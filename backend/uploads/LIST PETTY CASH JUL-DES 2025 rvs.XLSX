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Y:\Finance Accounting\Finance\KASIR UNIT SURABAYA\LAPORAN KAS\2025\JUL-DES 2025\"/>
    </mc:Choice>
  </mc:AlternateContent>
  <xr:revisionPtr revIDLastSave="0" documentId="13_ncr:1_{EC6507AA-1E73-4227-A694-82E8A23651B3}" xr6:coauthVersionLast="36" xr6:coauthVersionMax="36" xr10:uidLastSave="{00000000-0000-0000-0000-000000000000}"/>
  <bookViews>
    <workbookView xWindow="0" yWindow="0" windowWidth="28800" windowHeight="12105" activeTab="5" xr2:uid="{00000000-000D-0000-FFFF-FFFF00000000}"/>
  </bookViews>
  <sheets>
    <sheet name="FBCJ Jul-Des 2025" sheetId="3" r:id="rId1"/>
    <sheet name="FBL3N" sheetId="1" r:id="rId2"/>
    <sheet name="Sheet2" sheetId="5" r:id="rId3"/>
    <sheet name="List Petty Cash Jul-Des 25" sheetId="2" r:id="rId4"/>
    <sheet name="Sheet1" sheetId="4" r:id="rId5"/>
    <sheet name="Sheet3" sheetId="6" r:id="rId6"/>
  </sheets>
  <definedNames>
    <definedName name="_xlnm._FilterDatabase" localSheetId="0" hidden="1">'FBCJ Jul-Des 2025'!$A$7:$M$1300</definedName>
    <definedName name="_xlnm._FilterDatabase" localSheetId="3" hidden="1">'List Petty Cash Jul-Des 25'!$A$6:$AA$1295</definedName>
    <definedName name="_xlnm._FilterDatabase" localSheetId="4" hidden="1">Sheet1!$A$39:$T$194</definedName>
  </definedNames>
  <calcPr calcId="191029"/>
  <pivotCaches>
    <pivotCache cacheId="5" r:id="rId7"/>
  </pivotCaches>
</workbook>
</file>

<file path=xl/calcChain.xml><?xml version="1.0" encoding="utf-8"?>
<calcChain xmlns="http://schemas.openxmlformats.org/spreadsheetml/2006/main">
  <c r="N52" i="6" l="1"/>
  <c r="N51" i="6"/>
  <c r="K90" i="4" l="1"/>
  <c r="J91" i="4" l="1"/>
  <c r="J90" i="4"/>
  <c r="K57" i="6" l="1"/>
  <c r="K56" i="6" l="1"/>
  <c r="J56" i="6"/>
  <c r="I56" i="6"/>
  <c r="H56" i="6"/>
  <c r="G56" i="6"/>
  <c r="F56" i="6"/>
  <c r="E56" i="6"/>
  <c r="S37" i="4"/>
  <c r="S36" i="4"/>
  <c r="S35" i="4"/>
  <c r="S34" i="4"/>
  <c r="S33" i="4"/>
  <c r="S32" i="4"/>
  <c r="S31" i="4"/>
  <c r="S30" i="4"/>
  <c r="S29" i="4"/>
  <c r="S28" i="4"/>
  <c r="S27" i="4"/>
  <c r="S26" i="4"/>
  <c r="S25" i="4"/>
  <c r="S24" i="4"/>
  <c r="S23" i="4"/>
  <c r="S22" i="4"/>
  <c r="S21" i="4"/>
  <c r="S20" i="4"/>
  <c r="S19" i="4"/>
  <c r="S18" i="4"/>
  <c r="S17" i="4"/>
  <c r="S16" i="4"/>
  <c r="S15" i="4"/>
  <c r="S14" i="4"/>
  <c r="S13" i="4"/>
  <c r="S12" i="4"/>
  <c r="S11" i="4"/>
  <c r="S10" i="4"/>
  <c r="S9" i="4"/>
  <c r="S8" i="4"/>
  <c r="S7" i="4"/>
  <c r="S6" i="4"/>
  <c r="S5" i="4"/>
  <c r="S4" i="4"/>
  <c r="S3" i="4"/>
  <c r="S2" i="4"/>
  <c r="E25" i="6"/>
  <c r="D13" i="6"/>
  <c r="L55" i="6" l="1"/>
  <c r="L54" i="6"/>
  <c r="L53" i="6"/>
  <c r="L52" i="6"/>
  <c r="L51" i="6"/>
  <c r="L50" i="6"/>
  <c r="L49" i="6"/>
  <c r="L48" i="6"/>
  <c r="L47" i="6"/>
  <c r="L46" i="6"/>
  <c r="AG13" i="4"/>
  <c r="B193" i="4"/>
  <c r="B191" i="4"/>
  <c r="B190" i="4"/>
  <c r="B189" i="4"/>
  <c r="B188" i="4"/>
  <c r="B186" i="4"/>
  <c r="B185" i="4"/>
  <c r="B184" i="4"/>
  <c r="B182" i="4"/>
  <c r="B181" i="4"/>
  <c r="B180" i="4"/>
  <c r="B179" i="4"/>
  <c r="B178" i="4"/>
  <c r="B177" i="4"/>
  <c r="B175" i="4"/>
  <c r="B174" i="4"/>
  <c r="B173" i="4"/>
  <c r="B171" i="4"/>
  <c r="B170" i="4"/>
  <c r="B169" i="4"/>
  <c r="B167" i="4"/>
  <c r="B166" i="4"/>
  <c r="B165" i="4"/>
  <c r="B163" i="4"/>
  <c r="B162" i="4"/>
  <c r="B160" i="4"/>
  <c r="B159" i="4"/>
  <c r="B157" i="4"/>
  <c r="B156" i="4"/>
  <c r="B155" i="4"/>
  <c r="B154" i="4"/>
  <c r="B153" i="4"/>
  <c r="B151" i="4"/>
  <c r="B150" i="4"/>
  <c r="B148" i="4"/>
  <c r="B147" i="4"/>
  <c r="B146" i="4"/>
  <c r="B145" i="4"/>
  <c r="B144" i="4"/>
  <c r="B143" i="4"/>
  <c r="B142" i="4"/>
  <c r="B140" i="4"/>
  <c r="B139" i="4"/>
  <c r="B138" i="4"/>
  <c r="B136" i="4"/>
  <c r="B135" i="4"/>
  <c r="B134" i="4"/>
  <c r="B132" i="4"/>
  <c r="B131" i="4"/>
  <c r="B129" i="4"/>
  <c r="B128" i="4"/>
  <c r="B127" i="4"/>
  <c r="B125" i="4"/>
  <c r="B124" i="4"/>
  <c r="B122" i="4"/>
  <c r="B121" i="4"/>
  <c r="B120" i="4"/>
  <c r="B119" i="4"/>
  <c r="B118" i="4"/>
  <c r="B116" i="4"/>
  <c r="B115" i="4"/>
  <c r="B113" i="4"/>
  <c r="B112" i="4"/>
  <c r="B110" i="4"/>
  <c r="B109" i="4"/>
  <c r="B108" i="4"/>
  <c r="B107" i="4"/>
  <c r="B105" i="4"/>
  <c r="B103" i="4"/>
  <c r="B101" i="4"/>
  <c r="B100" i="4"/>
  <c r="B98" i="4"/>
  <c r="B97" i="4"/>
  <c r="B96" i="4"/>
  <c r="B94" i="4"/>
  <c r="B93" i="4"/>
  <c r="B92" i="4"/>
  <c r="B91" i="4"/>
  <c r="B90" i="4"/>
  <c r="B89" i="4"/>
  <c r="B88" i="4"/>
  <c r="B87" i="4"/>
  <c r="B86" i="4"/>
  <c r="B85" i="4"/>
  <c r="B83" i="4"/>
  <c r="B82" i="4"/>
  <c r="B81" i="4"/>
  <c r="B80" i="4"/>
  <c r="B79" i="4"/>
  <c r="B77" i="4"/>
  <c r="B76" i="4"/>
  <c r="B75" i="4"/>
  <c r="B73" i="4"/>
  <c r="B72" i="4"/>
  <c r="B71" i="4"/>
  <c r="B70" i="4"/>
  <c r="B68" i="4"/>
  <c r="B67" i="4"/>
  <c r="B66" i="4"/>
  <c r="B65" i="4"/>
  <c r="B63" i="4"/>
  <c r="B62" i="4"/>
  <c r="B61" i="4"/>
  <c r="B60" i="4"/>
  <c r="B59" i="4"/>
  <c r="B58" i="4"/>
  <c r="B56" i="4"/>
  <c r="B55" i="4"/>
  <c r="B53" i="4"/>
  <c r="B52" i="4"/>
  <c r="B51" i="4"/>
  <c r="B50" i="4"/>
  <c r="B49" i="4"/>
  <c r="B47" i="4"/>
  <c r="B45" i="4"/>
  <c r="B44" i="4"/>
  <c r="B43" i="4"/>
  <c r="H193" i="4"/>
  <c r="G193" i="4"/>
  <c r="F193" i="4"/>
  <c r="E193" i="4"/>
  <c r="D193" i="4"/>
  <c r="C193" i="4"/>
  <c r="H191" i="4"/>
  <c r="G191" i="4"/>
  <c r="F191" i="4"/>
  <c r="E191" i="4"/>
  <c r="D191" i="4"/>
  <c r="C191" i="4"/>
  <c r="H190" i="4"/>
  <c r="G190" i="4"/>
  <c r="F190" i="4"/>
  <c r="E190" i="4"/>
  <c r="D190" i="4"/>
  <c r="C190" i="4"/>
  <c r="H189" i="4"/>
  <c r="G189" i="4"/>
  <c r="F189" i="4"/>
  <c r="E189" i="4"/>
  <c r="D189" i="4"/>
  <c r="C189" i="4"/>
  <c r="H188" i="4"/>
  <c r="G188" i="4"/>
  <c r="F188" i="4"/>
  <c r="E188" i="4"/>
  <c r="D188" i="4"/>
  <c r="C188" i="4"/>
  <c r="H186" i="4"/>
  <c r="G186" i="4"/>
  <c r="F186" i="4"/>
  <c r="E186" i="4"/>
  <c r="D186" i="4"/>
  <c r="C186" i="4"/>
  <c r="H185" i="4"/>
  <c r="G185" i="4"/>
  <c r="F185" i="4"/>
  <c r="E185" i="4"/>
  <c r="D185" i="4"/>
  <c r="C185" i="4"/>
  <c r="H184" i="4"/>
  <c r="G184" i="4"/>
  <c r="F184" i="4"/>
  <c r="E184" i="4"/>
  <c r="D184" i="4"/>
  <c r="C184" i="4"/>
  <c r="H182" i="4"/>
  <c r="G182" i="4"/>
  <c r="F182" i="4"/>
  <c r="E182" i="4"/>
  <c r="D182" i="4"/>
  <c r="C182" i="4"/>
  <c r="H181" i="4"/>
  <c r="G181" i="4"/>
  <c r="F181" i="4"/>
  <c r="E181" i="4"/>
  <c r="D181" i="4"/>
  <c r="C181" i="4"/>
  <c r="H180" i="4"/>
  <c r="G180" i="4"/>
  <c r="F180" i="4"/>
  <c r="E180" i="4"/>
  <c r="D180" i="4"/>
  <c r="C180" i="4"/>
  <c r="H179" i="4"/>
  <c r="G179" i="4"/>
  <c r="F179" i="4"/>
  <c r="E179" i="4"/>
  <c r="D179" i="4"/>
  <c r="C179" i="4"/>
  <c r="H178" i="4"/>
  <c r="G178" i="4"/>
  <c r="F178" i="4"/>
  <c r="E178" i="4"/>
  <c r="D178" i="4"/>
  <c r="C178" i="4"/>
  <c r="H177" i="4"/>
  <c r="G177" i="4"/>
  <c r="F177" i="4"/>
  <c r="E177" i="4"/>
  <c r="D177" i="4"/>
  <c r="C177" i="4"/>
  <c r="H175" i="4"/>
  <c r="G175" i="4"/>
  <c r="F175" i="4"/>
  <c r="E175" i="4"/>
  <c r="D175" i="4"/>
  <c r="C175" i="4"/>
  <c r="H174" i="4"/>
  <c r="G174" i="4"/>
  <c r="F174" i="4"/>
  <c r="E174" i="4"/>
  <c r="D174" i="4"/>
  <c r="C174" i="4"/>
  <c r="H173" i="4"/>
  <c r="G173" i="4"/>
  <c r="F173" i="4"/>
  <c r="E173" i="4"/>
  <c r="D173" i="4"/>
  <c r="C173" i="4"/>
  <c r="H171" i="4"/>
  <c r="G171" i="4"/>
  <c r="F171" i="4"/>
  <c r="E171" i="4"/>
  <c r="D171" i="4"/>
  <c r="C171" i="4"/>
  <c r="H170" i="4"/>
  <c r="G170" i="4"/>
  <c r="F170" i="4"/>
  <c r="E170" i="4"/>
  <c r="D170" i="4"/>
  <c r="C170" i="4"/>
  <c r="H169" i="4"/>
  <c r="G169" i="4"/>
  <c r="F169" i="4"/>
  <c r="E169" i="4"/>
  <c r="D169" i="4"/>
  <c r="C169" i="4"/>
  <c r="H167" i="4"/>
  <c r="G167" i="4"/>
  <c r="F167" i="4"/>
  <c r="E167" i="4"/>
  <c r="D167" i="4"/>
  <c r="C167" i="4"/>
  <c r="H166" i="4"/>
  <c r="G166" i="4"/>
  <c r="F166" i="4"/>
  <c r="E166" i="4"/>
  <c r="D166" i="4"/>
  <c r="C166" i="4"/>
  <c r="H165" i="4"/>
  <c r="G165" i="4"/>
  <c r="F165" i="4"/>
  <c r="E165" i="4"/>
  <c r="D165" i="4"/>
  <c r="C165" i="4"/>
  <c r="H163" i="4"/>
  <c r="G163" i="4"/>
  <c r="F163" i="4"/>
  <c r="E163" i="4"/>
  <c r="D163" i="4"/>
  <c r="C163" i="4"/>
  <c r="H162" i="4"/>
  <c r="G162" i="4"/>
  <c r="F162" i="4"/>
  <c r="E162" i="4"/>
  <c r="D162" i="4"/>
  <c r="C162" i="4"/>
  <c r="H160" i="4"/>
  <c r="G160" i="4"/>
  <c r="F160" i="4"/>
  <c r="E160" i="4"/>
  <c r="D160" i="4"/>
  <c r="C160" i="4"/>
  <c r="H159" i="4"/>
  <c r="G159" i="4"/>
  <c r="F159" i="4"/>
  <c r="E159" i="4"/>
  <c r="D159" i="4"/>
  <c r="C159" i="4"/>
  <c r="H157" i="4"/>
  <c r="G157" i="4"/>
  <c r="F157" i="4"/>
  <c r="E157" i="4"/>
  <c r="D157" i="4"/>
  <c r="C157" i="4"/>
  <c r="H156" i="4"/>
  <c r="G156" i="4"/>
  <c r="F156" i="4"/>
  <c r="E156" i="4"/>
  <c r="D156" i="4"/>
  <c r="C156" i="4"/>
  <c r="H155" i="4"/>
  <c r="G155" i="4"/>
  <c r="F155" i="4"/>
  <c r="E155" i="4"/>
  <c r="D155" i="4"/>
  <c r="C155" i="4"/>
  <c r="H154" i="4"/>
  <c r="G154" i="4"/>
  <c r="F154" i="4"/>
  <c r="E154" i="4"/>
  <c r="D154" i="4"/>
  <c r="C154" i="4"/>
  <c r="H153" i="4"/>
  <c r="G153" i="4"/>
  <c r="F153" i="4"/>
  <c r="E153" i="4"/>
  <c r="D153" i="4"/>
  <c r="C153" i="4"/>
  <c r="H151" i="4"/>
  <c r="G151" i="4"/>
  <c r="F151" i="4"/>
  <c r="E151" i="4"/>
  <c r="D151" i="4"/>
  <c r="C151" i="4"/>
  <c r="H150" i="4"/>
  <c r="G150" i="4"/>
  <c r="F150" i="4"/>
  <c r="E150" i="4"/>
  <c r="D150" i="4"/>
  <c r="C150" i="4"/>
  <c r="H148" i="4"/>
  <c r="G148" i="4"/>
  <c r="F148" i="4"/>
  <c r="E148" i="4"/>
  <c r="D148" i="4"/>
  <c r="C148" i="4"/>
  <c r="H147" i="4"/>
  <c r="G147" i="4"/>
  <c r="F147" i="4"/>
  <c r="E147" i="4"/>
  <c r="D147" i="4"/>
  <c r="C147" i="4"/>
  <c r="H146" i="4"/>
  <c r="G146" i="4"/>
  <c r="F146" i="4"/>
  <c r="E146" i="4"/>
  <c r="D146" i="4"/>
  <c r="C146" i="4"/>
  <c r="H145" i="4"/>
  <c r="G145" i="4"/>
  <c r="F145" i="4"/>
  <c r="E145" i="4"/>
  <c r="D145" i="4"/>
  <c r="C145" i="4"/>
  <c r="H144" i="4"/>
  <c r="G144" i="4"/>
  <c r="F144" i="4"/>
  <c r="E144" i="4"/>
  <c r="D144" i="4"/>
  <c r="C144" i="4"/>
  <c r="H143" i="4"/>
  <c r="G143" i="4"/>
  <c r="F143" i="4"/>
  <c r="E143" i="4"/>
  <c r="D143" i="4"/>
  <c r="C143" i="4"/>
  <c r="H142" i="4"/>
  <c r="G142" i="4"/>
  <c r="F142" i="4"/>
  <c r="E142" i="4"/>
  <c r="D142" i="4"/>
  <c r="C142" i="4"/>
  <c r="H140" i="4"/>
  <c r="G140" i="4"/>
  <c r="F140" i="4"/>
  <c r="E140" i="4"/>
  <c r="D140" i="4"/>
  <c r="C140" i="4"/>
  <c r="H139" i="4"/>
  <c r="G139" i="4"/>
  <c r="F139" i="4"/>
  <c r="E139" i="4"/>
  <c r="D139" i="4"/>
  <c r="C139" i="4"/>
  <c r="H138" i="4"/>
  <c r="G138" i="4"/>
  <c r="F138" i="4"/>
  <c r="E138" i="4"/>
  <c r="D138" i="4"/>
  <c r="C138" i="4"/>
  <c r="H136" i="4"/>
  <c r="G136" i="4"/>
  <c r="F136" i="4"/>
  <c r="E136" i="4"/>
  <c r="D136" i="4"/>
  <c r="C136" i="4"/>
  <c r="H135" i="4"/>
  <c r="G135" i="4"/>
  <c r="F135" i="4"/>
  <c r="E135" i="4"/>
  <c r="D135" i="4"/>
  <c r="C135" i="4"/>
  <c r="H134" i="4"/>
  <c r="G134" i="4"/>
  <c r="F134" i="4"/>
  <c r="E134" i="4"/>
  <c r="D134" i="4"/>
  <c r="C134" i="4"/>
  <c r="H132" i="4"/>
  <c r="G132" i="4"/>
  <c r="F132" i="4"/>
  <c r="E132" i="4"/>
  <c r="D132" i="4"/>
  <c r="C132" i="4"/>
  <c r="H131" i="4"/>
  <c r="G131" i="4"/>
  <c r="F131" i="4"/>
  <c r="E131" i="4"/>
  <c r="D131" i="4"/>
  <c r="C131" i="4"/>
  <c r="H129" i="4"/>
  <c r="G129" i="4"/>
  <c r="F129" i="4"/>
  <c r="E129" i="4"/>
  <c r="D129" i="4"/>
  <c r="C129" i="4"/>
  <c r="H128" i="4"/>
  <c r="G128" i="4"/>
  <c r="F128" i="4"/>
  <c r="E128" i="4"/>
  <c r="D128" i="4"/>
  <c r="C128" i="4"/>
  <c r="H127" i="4"/>
  <c r="G127" i="4"/>
  <c r="F127" i="4"/>
  <c r="E127" i="4"/>
  <c r="D127" i="4"/>
  <c r="C127" i="4"/>
  <c r="H125" i="4"/>
  <c r="G125" i="4"/>
  <c r="F125" i="4"/>
  <c r="E125" i="4"/>
  <c r="D125" i="4"/>
  <c r="C125" i="4"/>
  <c r="H124" i="4"/>
  <c r="G124" i="4"/>
  <c r="F124" i="4"/>
  <c r="E124" i="4"/>
  <c r="D124" i="4"/>
  <c r="C124" i="4"/>
  <c r="H122" i="4"/>
  <c r="G122" i="4"/>
  <c r="F122" i="4"/>
  <c r="E122" i="4"/>
  <c r="D122" i="4"/>
  <c r="H121" i="4"/>
  <c r="G121" i="4"/>
  <c r="F121" i="4"/>
  <c r="E121" i="4"/>
  <c r="D121" i="4"/>
  <c r="C122" i="4"/>
  <c r="C121" i="4"/>
  <c r="H120" i="4"/>
  <c r="G120" i="4"/>
  <c r="F120" i="4"/>
  <c r="E120" i="4"/>
  <c r="D120" i="4"/>
  <c r="C120" i="4"/>
  <c r="H119" i="4"/>
  <c r="G119" i="4"/>
  <c r="F119" i="4"/>
  <c r="E119" i="4"/>
  <c r="D119" i="4"/>
  <c r="C119" i="4"/>
  <c r="H118" i="4"/>
  <c r="G118" i="4"/>
  <c r="F118" i="4"/>
  <c r="E118" i="4"/>
  <c r="D118" i="4"/>
  <c r="C118" i="4"/>
  <c r="H116" i="4"/>
  <c r="G116" i="4"/>
  <c r="F116" i="4"/>
  <c r="E116" i="4"/>
  <c r="D116" i="4"/>
  <c r="C116" i="4"/>
  <c r="H115" i="4"/>
  <c r="G115" i="4"/>
  <c r="F115" i="4"/>
  <c r="E115" i="4"/>
  <c r="D115" i="4"/>
  <c r="C115" i="4"/>
  <c r="H113" i="4"/>
  <c r="G113" i="4"/>
  <c r="F113" i="4"/>
  <c r="E113" i="4"/>
  <c r="D113" i="4"/>
  <c r="C113" i="4"/>
  <c r="H112" i="4"/>
  <c r="G112" i="4"/>
  <c r="F112" i="4"/>
  <c r="E112" i="4"/>
  <c r="D112" i="4"/>
  <c r="C112" i="4"/>
  <c r="H110" i="4"/>
  <c r="G110" i="4"/>
  <c r="F110" i="4"/>
  <c r="E110" i="4"/>
  <c r="D110" i="4"/>
  <c r="C110" i="4"/>
  <c r="H109" i="4"/>
  <c r="G109" i="4"/>
  <c r="F109" i="4"/>
  <c r="E109" i="4"/>
  <c r="D109" i="4"/>
  <c r="C109" i="4"/>
  <c r="H108" i="4"/>
  <c r="G108" i="4"/>
  <c r="F108" i="4"/>
  <c r="E108" i="4"/>
  <c r="D108" i="4"/>
  <c r="C108" i="4"/>
  <c r="H107" i="4"/>
  <c r="G107" i="4"/>
  <c r="F107" i="4"/>
  <c r="E107" i="4"/>
  <c r="D107" i="4"/>
  <c r="C107" i="4"/>
  <c r="H105" i="4"/>
  <c r="G105" i="4"/>
  <c r="F105" i="4"/>
  <c r="E105" i="4"/>
  <c r="D105" i="4"/>
  <c r="C105" i="4"/>
  <c r="H103" i="4"/>
  <c r="G103" i="4"/>
  <c r="F103" i="4"/>
  <c r="E103" i="4"/>
  <c r="D103" i="4"/>
  <c r="C103" i="4"/>
  <c r="H101" i="4"/>
  <c r="G101" i="4"/>
  <c r="F101" i="4"/>
  <c r="E101" i="4"/>
  <c r="D101" i="4"/>
  <c r="C101" i="4"/>
  <c r="H100" i="4"/>
  <c r="G100" i="4"/>
  <c r="F100" i="4"/>
  <c r="E100" i="4"/>
  <c r="D100" i="4"/>
  <c r="C100" i="4"/>
  <c r="H98" i="4"/>
  <c r="G98" i="4"/>
  <c r="F98" i="4"/>
  <c r="E98" i="4"/>
  <c r="D98" i="4"/>
  <c r="C98" i="4"/>
  <c r="H97" i="4"/>
  <c r="G97" i="4"/>
  <c r="F97" i="4"/>
  <c r="E97" i="4"/>
  <c r="D97" i="4"/>
  <c r="C97" i="4"/>
  <c r="H96" i="4"/>
  <c r="G96" i="4"/>
  <c r="F96" i="4"/>
  <c r="E96" i="4"/>
  <c r="D96" i="4"/>
  <c r="C96" i="4"/>
  <c r="H94" i="4"/>
  <c r="G94" i="4"/>
  <c r="F94" i="4"/>
  <c r="E94" i="4"/>
  <c r="D94" i="4"/>
  <c r="H93" i="4"/>
  <c r="G93" i="4"/>
  <c r="F93" i="4"/>
  <c r="E93" i="4"/>
  <c r="D93" i="4"/>
  <c r="H92" i="4"/>
  <c r="G92" i="4"/>
  <c r="F92" i="4"/>
  <c r="E92" i="4"/>
  <c r="D92" i="4"/>
  <c r="H91" i="4"/>
  <c r="G91" i="4"/>
  <c r="F91" i="4"/>
  <c r="E91" i="4"/>
  <c r="D91" i="4"/>
  <c r="H90" i="4"/>
  <c r="G90" i="4"/>
  <c r="F90" i="4"/>
  <c r="E90" i="4"/>
  <c r="D90" i="4"/>
  <c r="C94" i="4"/>
  <c r="C93" i="4"/>
  <c r="C92" i="4"/>
  <c r="C91" i="4"/>
  <c r="C90" i="4"/>
  <c r="H89" i="4"/>
  <c r="G89" i="4"/>
  <c r="F89" i="4"/>
  <c r="E89" i="4"/>
  <c r="D89" i="4"/>
  <c r="C89" i="4"/>
  <c r="H88" i="4"/>
  <c r="G88" i="4"/>
  <c r="F88" i="4"/>
  <c r="E88" i="4"/>
  <c r="D88" i="4"/>
  <c r="C88" i="4"/>
  <c r="H87" i="4"/>
  <c r="G87" i="4"/>
  <c r="F87" i="4"/>
  <c r="E87" i="4"/>
  <c r="D87" i="4"/>
  <c r="C87" i="4"/>
  <c r="H86" i="4"/>
  <c r="G86" i="4"/>
  <c r="F86" i="4"/>
  <c r="E86" i="4"/>
  <c r="D86" i="4"/>
  <c r="C86" i="4"/>
  <c r="H85" i="4"/>
  <c r="G85" i="4"/>
  <c r="F85" i="4"/>
  <c r="E85" i="4"/>
  <c r="D85" i="4"/>
  <c r="C85" i="4"/>
  <c r="H83" i="4"/>
  <c r="G83" i="4"/>
  <c r="F83" i="4"/>
  <c r="E83" i="4"/>
  <c r="D83" i="4"/>
  <c r="C83" i="4"/>
  <c r="H82" i="4"/>
  <c r="G82" i="4"/>
  <c r="F82" i="4"/>
  <c r="E82" i="4"/>
  <c r="D82" i="4"/>
  <c r="C82" i="4"/>
  <c r="H81" i="4"/>
  <c r="G81" i="4"/>
  <c r="F81" i="4"/>
  <c r="E81" i="4"/>
  <c r="D81" i="4"/>
  <c r="C81" i="4"/>
  <c r="H80" i="4"/>
  <c r="G80" i="4"/>
  <c r="F80" i="4"/>
  <c r="E80" i="4"/>
  <c r="D80" i="4"/>
  <c r="C80" i="4"/>
  <c r="H79" i="4"/>
  <c r="G79" i="4"/>
  <c r="F79" i="4"/>
  <c r="E79" i="4"/>
  <c r="D79" i="4"/>
  <c r="C79" i="4"/>
  <c r="H77" i="4"/>
  <c r="G77" i="4"/>
  <c r="F77" i="4"/>
  <c r="E77" i="4"/>
  <c r="D77" i="4"/>
  <c r="C77" i="4"/>
  <c r="H76" i="4"/>
  <c r="G76" i="4"/>
  <c r="F76" i="4"/>
  <c r="E76" i="4"/>
  <c r="D76" i="4"/>
  <c r="C76" i="4"/>
  <c r="H75" i="4"/>
  <c r="G75" i="4"/>
  <c r="F75" i="4"/>
  <c r="E75" i="4"/>
  <c r="D75" i="4"/>
  <c r="C75" i="4"/>
  <c r="H73" i="4"/>
  <c r="G73" i="4"/>
  <c r="F73" i="4"/>
  <c r="E73" i="4"/>
  <c r="D73" i="4"/>
  <c r="C73" i="4"/>
  <c r="H72" i="4"/>
  <c r="G72" i="4"/>
  <c r="F72" i="4"/>
  <c r="E72" i="4"/>
  <c r="D72" i="4"/>
  <c r="C72" i="4"/>
  <c r="H71" i="4"/>
  <c r="G71" i="4"/>
  <c r="F71" i="4"/>
  <c r="E71" i="4"/>
  <c r="D71" i="4"/>
  <c r="C71" i="4"/>
  <c r="H70" i="4"/>
  <c r="G70" i="4"/>
  <c r="F70" i="4"/>
  <c r="E70" i="4"/>
  <c r="D70" i="4"/>
  <c r="C70" i="4"/>
  <c r="H68" i="4"/>
  <c r="G68" i="4"/>
  <c r="F68" i="4"/>
  <c r="E68" i="4"/>
  <c r="D68" i="4"/>
  <c r="C68" i="4"/>
  <c r="H67" i="4"/>
  <c r="G67" i="4"/>
  <c r="F67" i="4"/>
  <c r="E67" i="4"/>
  <c r="D67" i="4"/>
  <c r="C67" i="4"/>
  <c r="H66" i="4"/>
  <c r="G66" i="4"/>
  <c r="F66" i="4"/>
  <c r="E66" i="4"/>
  <c r="D66" i="4"/>
  <c r="C66" i="4"/>
  <c r="H65" i="4"/>
  <c r="G65" i="4"/>
  <c r="F65" i="4"/>
  <c r="E65" i="4"/>
  <c r="D65" i="4"/>
  <c r="C65" i="4"/>
  <c r="H63" i="4"/>
  <c r="G63" i="4"/>
  <c r="F63" i="4"/>
  <c r="E63" i="4"/>
  <c r="D63" i="4"/>
  <c r="C63" i="4"/>
  <c r="H62" i="4"/>
  <c r="G62" i="4"/>
  <c r="F62" i="4"/>
  <c r="E62" i="4"/>
  <c r="D62" i="4"/>
  <c r="C62" i="4"/>
  <c r="H61" i="4"/>
  <c r="G61" i="4"/>
  <c r="F61" i="4"/>
  <c r="E61" i="4"/>
  <c r="D61" i="4"/>
  <c r="C61" i="4"/>
  <c r="H60" i="4"/>
  <c r="G60" i="4"/>
  <c r="F60" i="4"/>
  <c r="E60" i="4"/>
  <c r="D60" i="4"/>
  <c r="H59" i="4"/>
  <c r="G59" i="4"/>
  <c r="F59" i="4"/>
  <c r="E59" i="4"/>
  <c r="D59" i="4"/>
  <c r="C59" i="4"/>
  <c r="H56" i="4"/>
  <c r="G56" i="4"/>
  <c r="F56" i="4"/>
  <c r="E56" i="4"/>
  <c r="D56" i="4"/>
  <c r="C56" i="4"/>
  <c r="H53" i="4"/>
  <c r="G53" i="4"/>
  <c r="F53" i="4"/>
  <c r="E53" i="4"/>
  <c r="D53" i="4"/>
  <c r="H52" i="4"/>
  <c r="G52" i="4"/>
  <c r="F52" i="4"/>
  <c r="E52" i="4"/>
  <c r="D52" i="4"/>
  <c r="H51" i="4"/>
  <c r="G51" i="4"/>
  <c r="F51" i="4"/>
  <c r="E51" i="4"/>
  <c r="D51" i="4"/>
  <c r="C53" i="4"/>
  <c r="C52" i="4"/>
  <c r="C51" i="4"/>
  <c r="H50" i="4"/>
  <c r="G50" i="4"/>
  <c r="F50" i="4"/>
  <c r="E50" i="4"/>
  <c r="D50" i="4"/>
  <c r="C50" i="4"/>
  <c r="H45" i="4"/>
  <c r="G45" i="4"/>
  <c r="F45" i="4"/>
  <c r="E45" i="4"/>
  <c r="D45" i="4"/>
  <c r="C45" i="4"/>
  <c r="H44" i="4"/>
  <c r="G44" i="4"/>
  <c r="F44" i="4"/>
  <c r="E44" i="4"/>
  <c r="D44" i="4"/>
  <c r="C44" i="4"/>
  <c r="C60" i="4"/>
  <c r="H58" i="4"/>
  <c r="G58" i="4"/>
  <c r="F58" i="4"/>
  <c r="E58" i="4"/>
  <c r="D58" i="4"/>
  <c r="C58" i="4"/>
  <c r="H55" i="4"/>
  <c r="G55" i="4"/>
  <c r="F55" i="4"/>
  <c r="E55" i="4"/>
  <c r="D55" i="4"/>
  <c r="C55" i="4"/>
  <c r="H49" i="4"/>
  <c r="G49" i="4"/>
  <c r="F49" i="4"/>
  <c r="E49" i="4"/>
  <c r="D49" i="4"/>
  <c r="C49" i="4"/>
  <c r="H47" i="4"/>
  <c r="G47" i="4"/>
  <c r="F47" i="4"/>
  <c r="E47" i="4"/>
  <c r="D47" i="4"/>
  <c r="C47" i="4"/>
  <c r="H43" i="4"/>
  <c r="G43" i="4"/>
  <c r="F43" i="4"/>
  <c r="E43" i="4"/>
  <c r="D43" i="4"/>
  <c r="C43" i="4"/>
  <c r="H41" i="4"/>
  <c r="G41" i="4"/>
  <c r="F41" i="4"/>
  <c r="E41" i="4"/>
  <c r="D41" i="4"/>
  <c r="C41" i="4"/>
  <c r="C40" i="4"/>
  <c r="H23" i="4"/>
  <c r="G23" i="4"/>
  <c r="F23" i="4"/>
  <c r="E23" i="4"/>
  <c r="D23" i="4"/>
  <c r="C23" i="4"/>
  <c r="H27" i="4"/>
  <c r="G27" i="4"/>
  <c r="F27" i="4"/>
  <c r="E27" i="4"/>
  <c r="D27" i="4"/>
  <c r="C27" i="4"/>
  <c r="H26" i="4"/>
  <c r="G26" i="4"/>
  <c r="F26" i="4"/>
  <c r="E26" i="4"/>
  <c r="D26" i="4"/>
  <c r="C26" i="4"/>
  <c r="H25" i="4"/>
  <c r="G25" i="4"/>
  <c r="F25" i="4"/>
  <c r="E25" i="4"/>
  <c r="D25" i="4"/>
  <c r="C25" i="4"/>
  <c r="H24" i="4"/>
  <c r="G24" i="4"/>
  <c r="F24" i="4"/>
  <c r="E24" i="4"/>
  <c r="D24" i="4"/>
  <c r="C24" i="4"/>
  <c r="H22" i="4"/>
  <c r="G22" i="4"/>
  <c r="F22" i="4"/>
  <c r="E22" i="4"/>
  <c r="D22" i="4"/>
  <c r="C22" i="4"/>
  <c r="H21" i="4"/>
  <c r="G21" i="4"/>
  <c r="F21" i="4"/>
  <c r="E21" i="4"/>
  <c r="D21" i="4"/>
  <c r="C21" i="4"/>
  <c r="H20" i="4"/>
  <c r="G20" i="4"/>
  <c r="F20" i="4"/>
  <c r="E20" i="4"/>
  <c r="D20" i="4"/>
  <c r="C20" i="4"/>
  <c r="H19" i="4"/>
  <c r="G19" i="4"/>
  <c r="F19" i="4"/>
  <c r="E19" i="4"/>
  <c r="D19" i="4"/>
  <c r="C19" i="4"/>
  <c r="H18" i="4"/>
  <c r="G18" i="4"/>
  <c r="F18" i="4"/>
  <c r="E18" i="4"/>
  <c r="D18" i="4"/>
  <c r="C18" i="4"/>
  <c r="H17" i="4"/>
  <c r="G17" i="4"/>
  <c r="F17" i="4"/>
  <c r="E17" i="4"/>
  <c r="D17" i="4"/>
  <c r="C17" i="4"/>
  <c r="H16" i="4"/>
  <c r="G16" i="4"/>
  <c r="F16" i="4"/>
  <c r="E16" i="4"/>
  <c r="D16" i="4"/>
  <c r="C16" i="4"/>
  <c r="H15" i="4"/>
  <c r="G15" i="4"/>
  <c r="F15" i="4"/>
  <c r="E15" i="4"/>
  <c r="D15" i="4"/>
  <c r="C15" i="4"/>
  <c r="H14" i="4"/>
  <c r="G14" i="4"/>
  <c r="F14" i="4"/>
  <c r="E14" i="4"/>
  <c r="D14" i="4"/>
  <c r="C14" i="4"/>
  <c r="H13" i="4"/>
  <c r="G13" i="4"/>
  <c r="F13" i="4"/>
  <c r="E13" i="4"/>
  <c r="D13" i="4"/>
  <c r="C13" i="4"/>
  <c r="H12" i="4"/>
  <c r="G12" i="4"/>
  <c r="F12" i="4"/>
  <c r="E12" i="4"/>
  <c r="D12" i="4"/>
  <c r="C12" i="4"/>
  <c r="H11" i="4"/>
  <c r="G11" i="4"/>
  <c r="F11" i="4"/>
  <c r="E11" i="4"/>
  <c r="D11" i="4"/>
  <c r="C11" i="4"/>
  <c r="H10" i="4"/>
  <c r="G10" i="4"/>
  <c r="F10" i="4"/>
  <c r="E10" i="4"/>
  <c r="D10" i="4"/>
  <c r="C10" i="4"/>
  <c r="H9" i="4"/>
  <c r="G9" i="4"/>
  <c r="F9" i="4"/>
  <c r="E9" i="4"/>
  <c r="D9" i="4"/>
  <c r="C9" i="4"/>
  <c r="H8" i="4"/>
  <c r="G8" i="4"/>
  <c r="F8" i="4"/>
  <c r="E8" i="4"/>
  <c r="D8" i="4"/>
  <c r="C8" i="4"/>
  <c r="H7" i="4"/>
  <c r="G7" i="4"/>
  <c r="F7" i="4"/>
  <c r="E7" i="4"/>
  <c r="D7" i="4"/>
  <c r="C7" i="4"/>
  <c r="H6" i="4"/>
  <c r="G6" i="4"/>
  <c r="F6" i="4"/>
  <c r="E6" i="4"/>
  <c r="D6" i="4"/>
  <c r="C6" i="4"/>
  <c r="H5" i="4"/>
  <c r="G5" i="4"/>
  <c r="F5" i="4"/>
  <c r="E5" i="4"/>
  <c r="D5" i="4"/>
  <c r="C5" i="4"/>
  <c r="H4" i="4"/>
  <c r="G4" i="4"/>
  <c r="F4" i="4"/>
  <c r="E4" i="4"/>
  <c r="D4" i="4"/>
  <c r="C4" i="4"/>
  <c r="H3" i="4"/>
  <c r="G3" i="4"/>
  <c r="F3" i="4"/>
  <c r="E3" i="4"/>
  <c r="D3" i="4"/>
  <c r="C3" i="4"/>
  <c r="H2" i="4"/>
  <c r="G2" i="4"/>
  <c r="F2" i="4"/>
  <c r="E2" i="4"/>
  <c r="D2" i="4"/>
  <c r="C2" i="4"/>
  <c r="AB1296" i="2"/>
  <c r="I1295" i="2"/>
  <c r="I1294" i="2"/>
  <c r="I1293" i="2"/>
  <c r="I1292" i="2"/>
  <c r="I1291" i="2"/>
  <c r="I1290" i="2"/>
  <c r="I1289" i="2"/>
  <c r="I1288" i="2"/>
  <c r="I1287" i="2"/>
  <c r="I1286" i="2"/>
  <c r="I1285" i="2"/>
  <c r="I1284" i="2"/>
  <c r="I1283" i="2"/>
  <c r="I1282" i="2"/>
  <c r="I1281" i="2"/>
  <c r="I1280" i="2"/>
  <c r="I1279" i="2"/>
  <c r="I1278" i="2"/>
  <c r="I1277" i="2"/>
  <c r="I1276" i="2"/>
  <c r="I1275" i="2"/>
  <c r="I1274" i="2"/>
  <c r="I1273" i="2"/>
  <c r="I1272" i="2"/>
  <c r="I1271" i="2"/>
  <c r="I1270" i="2"/>
  <c r="I1269" i="2"/>
  <c r="I1268" i="2"/>
  <c r="I1267" i="2"/>
  <c r="I1266" i="2"/>
  <c r="I1265" i="2"/>
  <c r="I1264" i="2"/>
  <c r="I1263" i="2"/>
  <c r="I1262" i="2"/>
  <c r="I1261" i="2"/>
  <c r="I1260" i="2"/>
  <c r="I1259" i="2"/>
  <c r="I1258" i="2"/>
  <c r="I1257" i="2"/>
  <c r="I1256" i="2"/>
  <c r="I1255" i="2"/>
  <c r="I1254" i="2"/>
  <c r="I1253" i="2"/>
  <c r="I1252" i="2"/>
  <c r="I1251" i="2"/>
  <c r="I1250" i="2"/>
  <c r="I1249" i="2"/>
  <c r="I1248" i="2"/>
  <c r="I1247" i="2"/>
  <c r="I1246" i="2"/>
  <c r="I1245" i="2"/>
  <c r="I1244" i="2"/>
  <c r="I1243" i="2"/>
  <c r="I1242" i="2"/>
  <c r="I1241" i="2"/>
  <c r="I1240" i="2"/>
  <c r="I1239" i="2"/>
  <c r="I1238" i="2"/>
  <c r="I1237" i="2"/>
  <c r="I1236" i="2"/>
  <c r="I1235" i="2"/>
  <c r="I1234" i="2"/>
  <c r="I1233" i="2"/>
  <c r="I1232" i="2"/>
  <c r="I1231" i="2"/>
  <c r="I1230" i="2"/>
  <c r="I1229" i="2"/>
  <c r="I1228" i="2"/>
  <c r="I1227" i="2"/>
  <c r="I1226" i="2"/>
  <c r="I1225" i="2"/>
  <c r="I1224" i="2"/>
  <c r="I1223" i="2"/>
  <c r="I1222" i="2"/>
  <c r="I1221" i="2"/>
  <c r="I1220" i="2"/>
  <c r="I1219" i="2"/>
  <c r="I1218" i="2"/>
  <c r="I1217" i="2"/>
  <c r="I1216" i="2"/>
  <c r="I1215" i="2"/>
  <c r="I1214" i="2"/>
  <c r="I1213" i="2"/>
  <c r="I1212" i="2"/>
  <c r="I1211" i="2"/>
  <c r="I1210" i="2"/>
  <c r="I1209" i="2"/>
  <c r="I1208" i="2"/>
  <c r="I1207" i="2"/>
  <c r="I1206" i="2"/>
  <c r="I1205" i="2"/>
  <c r="I1204" i="2"/>
  <c r="I1203" i="2"/>
  <c r="I1202" i="2"/>
  <c r="I1201" i="2"/>
  <c r="I1200" i="2"/>
  <c r="I1199" i="2"/>
  <c r="I1198" i="2"/>
  <c r="I1197" i="2"/>
  <c r="I1196" i="2"/>
  <c r="I1195" i="2"/>
  <c r="I1194" i="2"/>
  <c r="I1193" i="2"/>
  <c r="I1192" i="2"/>
  <c r="I1191" i="2"/>
  <c r="I1190" i="2"/>
  <c r="I1189" i="2"/>
  <c r="I1188" i="2"/>
  <c r="I1187" i="2"/>
  <c r="I1186" i="2"/>
  <c r="I1185" i="2"/>
  <c r="I1184" i="2"/>
  <c r="I1183" i="2"/>
  <c r="I1182" i="2"/>
  <c r="I1181" i="2"/>
  <c r="I1180" i="2"/>
  <c r="I1179" i="2"/>
  <c r="I1178" i="2"/>
  <c r="I1177" i="2"/>
  <c r="I1176" i="2"/>
  <c r="I1175" i="2"/>
  <c r="I1174" i="2"/>
  <c r="I1173" i="2"/>
  <c r="I1172" i="2"/>
  <c r="I1171" i="2"/>
  <c r="I1170" i="2"/>
  <c r="I1169" i="2"/>
  <c r="I1168" i="2"/>
  <c r="I1167" i="2"/>
  <c r="I1166" i="2"/>
  <c r="I1165" i="2"/>
  <c r="I1164" i="2"/>
  <c r="I1163" i="2"/>
  <c r="I1162" i="2"/>
  <c r="I1161" i="2"/>
  <c r="I1160" i="2"/>
  <c r="I1159" i="2"/>
  <c r="I1158" i="2"/>
  <c r="I1157" i="2"/>
  <c r="I1156" i="2"/>
  <c r="I1155" i="2"/>
  <c r="I1154" i="2"/>
  <c r="I1153" i="2"/>
  <c r="I1152" i="2"/>
  <c r="I1151" i="2"/>
  <c r="I1150" i="2"/>
  <c r="I1149" i="2"/>
  <c r="I1148" i="2"/>
  <c r="I1147" i="2"/>
  <c r="I1146" i="2"/>
  <c r="I1145" i="2"/>
  <c r="I1144" i="2"/>
  <c r="I1143" i="2"/>
  <c r="I1142" i="2"/>
  <c r="I1141" i="2"/>
  <c r="I1140" i="2"/>
  <c r="I1139" i="2"/>
  <c r="I1138" i="2"/>
  <c r="I1137" i="2"/>
  <c r="I1136" i="2"/>
  <c r="I1135" i="2"/>
  <c r="I1134" i="2"/>
  <c r="I1133" i="2"/>
  <c r="I1132" i="2"/>
  <c r="I1131" i="2"/>
  <c r="I1130" i="2"/>
  <c r="I1129" i="2"/>
  <c r="I1128" i="2"/>
  <c r="I1127" i="2"/>
  <c r="I1126" i="2"/>
  <c r="I1125" i="2"/>
  <c r="I1124" i="2"/>
  <c r="I1123" i="2"/>
  <c r="I1122" i="2"/>
  <c r="I1121" i="2"/>
  <c r="I1120" i="2"/>
  <c r="I1119" i="2"/>
  <c r="I1118" i="2"/>
  <c r="I1117" i="2"/>
  <c r="I1116" i="2"/>
  <c r="I1115" i="2"/>
  <c r="I1114" i="2"/>
  <c r="I1113" i="2"/>
  <c r="I1112" i="2"/>
  <c r="I1111" i="2"/>
  <c r="I1110" i="2"/>
  <c r="I1109" i="2"/>
  <c r="I1108" i="2"/>
  <c r="I1107" i="2"/>
  <c r="I1106" i="2"/>
  <c r="I1105" i="2"/>
  <c r="I1104" i="2"/>
  <c r="I1103" i="2"/>
  <c r="I1102" i="2"/>
  <c r="I1101" i="2"/>
  <c r="I1100" i="2"/>
  <c r="I1099" i="2"/>
  <c r="I1098" i="2"/>
  <c r="I1097" i="2"/>
  <c r="I1096" i="2"/>
  <c r="I1095" i="2"/>
  <c r="I1094" i="2"/>
  <c r="I1093" i="2"/>
  <c r="I1092" i="2"/>
  <c r="I1091" i="2"/>
  <c r="I1090" i="2"/>
  <c r="I1089" i="2"/>
  <c r="I1088" i="2"/>
  <c r="I1087" i="2"/>
  <c r="I1086" i="2"/>
  <c r="I1085" i="2"/>
  <c r="I1084" i="2"/>
  <c r="I1083" i="2"/>
  <c r="I1082" i="2"/>
  <c r="I1081" i="2"/>
  <c r="I1080" i="2"/>
  <c r="I1079" i="2"/>
  <c r="I1078" i="2"/>
  <c r="I1077" i="2"/>
  <c r="I1076" i="2"/>
  <c r="I1075" i="2"/>
  <c r="I1074" i="2"/>
  <c r="I1073" i="2"/>
  <c r="I1072" i="2"/>
  <c r="I1071" i="2"/>
  <c r="I1070" i="2"/>
  <c r="I1069" i="2"/>
  <c r="I1068" i="2"/>
  <c r="I1067" i="2"/>
  <c r="I1066" i="2"/>
  <c r="I1065" i="2"/>
  <c r="I1064" i="2"/>
  <c r="I1063" i="2"/>
  <c r="I1062" i="2"/>
  <c r="I1061" i="2"/>
  <c r="I1060" i="2"/>
  <c r="I1059" i="2"/>
  <c r="I1058" i="2"/>
  <c r="I1057" i="2"/>
  <c r="I1056" i="2"/>
  <c r="I1055" i="2"/>
  <c r="I1054" i="2"/>
  <c r="I1053" i="2"/>
  <c r="I1052" i="2"/>
  <c r="I1051" i="2"/>
  <c r="I1050" i="2"/>
  <c r="I1049" i="2"/>
  <c r="I1048" i="2"/>
  <c r="I1047" i="2"/>
  <c r="I1046" i="2"/>
  <c r="I1045" i="2"/>
  <c r="I1044" i="2"/>
  <c r="I1043" i="2"/>
  <c r="I1042" i="2"/>
  <c r="I1041" i="2"/>
  <c r="I1040" i="2"/>
  <c r="I1039" i="2"/>
  <c r="I1038" i="2"/>
  <c r="I1037" i="2"/>
  <c r="I1036" i="2"/>
  <c r="I1035" i="2"/>
  <c r="I1034" i="2"/>
  <c r="I1033" i="2"/>
  <c r="I1032" i="2"/>
  <c r="I1031" i="2"/>
  <c r="I1030" i="2"/>
  <c r="I1029" i="2"/>
  <c r="I1028" i="2"/>
  <c r="I1027" i="2"/>
  <c r="I1026" i="2"/>
  <c r="I1025" i="2"/>
  <c r="I1024" i="2"/>
  <c r="I1023" i="2"/>
  <c r="I1022" i="2"/>
  <c r="I1021" i="2"/>
  <c r="I1020" i="2"/>
  <c r="I1019" i="2"/>
  <c r="I1018" i="2"/>
  <c r="I1017" i="2"/>
  <c r="I1016" i="2"/>
  <c r="I1015" i="2"/>
  <c r="I1014" i="2"/>
  <c r="I1013" i="2"/>
  <c r="I1012" i="2"/>
  <c r="I1011" i="2"/>
  <c r="I1010" i="2"/>
  <c r="I1009" i="2"/>
  <c r="I1008" i="2"/>
  <c r="I1007" i="2"/>
  <c r="I1006" i="2"/>
  <c r="I1005" i="2"/>
  <c r="I1004" i="2"/>
  <c r="I1003" i="2"/>
  <c r="I1002" i="2"/>
  <c r="I1001" i="2"/>
  <c r="I1000" i="2"/>
  <c r="I999" i="2"/>
  <c r="I998" i="2"/>
  <c r="I997" i="2"/>
  <c r="I996" i="2"/>
  <c r="I995" i="2"/>
  <c r="I994" i="2"/>
  <c r="I993" i="2"/>
  <c r="I992" i="2"/>
  <c r="I991" i="2"/>
  <c r="I990" i="2"/>
  <c r="I989" i="2"/>
  <c r="I988" i="2"/>
  <c r="I987" i="2"/>
  <c r="I986" i="2"/>
  <c r="I985" i="2"/>
  <c r="I984" i="2"/>
  <c r="I983" i="2"/>
  <c r="I982" i="2"/>
  <c r="I981" i="2"/>
  <c r="I980" i="2"/>
  <c r="I979" i="2"/>
  <c r="I978" i="2"/>
  <c r="I977" i="2"/>
  <c r="I976" i="2"/>
  <c r="I975" i="2"/>
  <c r="I974" i="2"/>
  <c r="I973" i="2"/>
  <c r="I972" i="2"/>
  <c r="I971" i="2"/>
  <c r="I970" i="2"/>
  <c r="I969" i="2"/>
  <c r="I968" i="2"/>
  <c r="I967" i="2"/>
  <c r="I966" i="2"/>
  <c r="I965" i="2"/>
  <c r="I964" i="2"/>
  <c r="I963" i="2"/>
  <c r="I962" i="2"/>
  <c r="I961" i="2"/>
  <c r="I960" i="2"/>
  <c r="I959" i="2"/>
  <c r="I958" i="2"/>
  <c r="I957" i="2"/>
  <c r="I956" i="2"/>
  <c r="I955" i="2"/>
  <c r="I954" i="2"/>
  <c r="I953" i="2"/>
  <c r="I952" i="2"/>
  <c r="I951" i="2"/>
  <c r="I950" i="2"/>
  <c r="I949" i="2"/>
  <c r="I948" i="2"/>
  <c r="I947" i="2"/>
  <c r="I946" i="2"/>
  <c r="I945" i="2"/>
  <c r="I944" i="2"/>
  <c r="I943" i="2"/>
  <c r="I942" i="2"/>
  <c r="I941" i="2"/>
  <c r="I940" i="2"/>
  <c r="I939" i="2"/>
  <c r="I938" i="2"/>
  <c r="I937" i="2"/>
  <c r="I936" i="2"/>
  <c r="I935" i="2"/>
  <c r="I934" i="2"/>
  <c r="I933" i="2"/>
  <c r="I932" i="2"/>
  <c r="I931" i="2"/>
  <c r="I930" i="2"/>
  <c r="I929" i="2"/>
  <c r="I928" i="2"/>
  <c r="I927" i="2"/>
  <c r="I926" i="2"/>
  <c r="I925" i="2"/>
  <c r="I924" i="2"/>
  <c r="I923" i="2"/>
  <c r="I922" i="2"/>
  <c r="I921" i="2"/>
  <c r="I920" i="2"/>
  <c r="I919" i="2"/>
  <c r="I918" i="2"/>
  <c r="I917" i="2"/>
  <c r="I916" i="2"/>
  <c r="I915" i="2"/>
  <c r="I914" i="2"/>
  <c r="I913" i="2"/>
  <c r="I912" i="2"/>
  <c r="I911" i="2"/>
  <c r="I910" i="2"/>
  <c r="I909" i="2"/>
  <c r="I908" i="2"/>
  <c r="I907" i="2"/>
  <c r="I906" i="2"/>
  <c r="I905" i="2"/>
  <c r="I904" i="2"/>
  <c r="I903" i="2"/>
  <c r="I902" i="2"/>
  <c r="I901" i="2"/>
  <c r="I900" i="2"/>
  <c r="I899" i="2"/>
  <c r="I898" i="2"/>
  <c r="I897" i="2"/>
  <c r="I896" i="2"/>
  <c r="I895" i="2"/>
  <c r="I894" i="2"/>
  <c r="I893" i="2"/>
  <c r="I892" i="2"/>
  <c r="I891" i="2"/>
  <c r="I890" i="2"/>
  <c r="I889" i="2"/>
  <c r="I888" i="2"/>
  <c r="I887" i="2"/>
  <c r="I886" i="2"/>
  <c r="I885" i="2"/>
  <c r="I884" i="2"/>
  <c r="I883" i="2"/>
  <c r="I882" i="2"/>
  <c r="I881" i="2"/>
  <c r="I880" i="2"/>
  <c r="I879" i="2"/>
  <c r="I878" i="2"/>
  <c r="I877" i="2"/>
  <c r="I876" i="2"/>
  <c r="I875" i="2"/>
  <c r="I874" i="2"/>
  <c r="I873" i="2"/>
  <c r="I872" i="2"/>
  <c r="I871" i="2"/>
  <c r="I870" i="2"/>
  <c r="I869" i="2"/>
  <c r="I868" i="2"/>
  <c r="I867" i="2"/>
  <c r="I866" i="2"/>
  <c r="I865" i="2"/>
  <c r="I864" i="2"/>
  <c r="I863" i="2"/>
  <c r="I862" i="2"/>
  <c r="I861" i="2"/>
  <c r="I860" i="2"/>
  <c r="I859" i="2"/>
  <c r="I858" i="2"/>
  <c r="I857" i="2"/>
  <c r="I856" i="2"/>
  <c r="I855" i="2"/>
  <c r="I854" i="2"/>
  <c r="I853" i="2"/>
  <c r="I852" i="2"/>
  <c r="I851" i="2"/>
  <c r="I850" i="2"/>
  <c r="I849" i="2"/>
  <c r="I848" i="2"/>
  <c r="I847" i="2"/>
  <c r="I846" i="2"/>
  <c r="I845" i="2"/>
  <c r="I844" i="2"/>
  <c r="I843" i="2"/>
  <c r="I842" i="2"/>
  <c r="I841" i="2"/>
  <c r="I840" i="2"/>
  <c r="I839" i="2"/>
  <c r="I838" i="2"/>
  <c r="I837" i="2"/>
  <c r="I836" i="2"/>
  <c r="I835" i="2"/>
  <c r="I834" i="2"/>
  <c r="I833" i="2"/>
  <c r="I832" i="2"/>
  <c r="I831" i="2"/>
  <c r="I830" i="2"/>
  <c r="I829" i="2"/>
  <c r="I828" i="2"/>
  <c r="I827" i="2"/>
  <c r="I826" i="2"/>
  <c r="I825" i="2"/>
  <c r="I824" i="2"/>
  <c r="I823" i="2"/>
  <c r="I822" i="2"/>
  <c r="I821" i="2"/>
  <c r="I820" i="2"/>
  <c r="I819" i="2"/>
  <c r="I818" i="2"/>
  <c r="I817" i="2"/>
  <c r="I816" i="2"/>
  <c r="I815" i="2"/>
  <c r="I814" i="2"/>
  <c r="I813" i="2"/>
  <c r="I812" i="2"/>
  <c r="I811" i="2"/>
  <c r="I810" i="2"/>
  <c r="I809" i="2"/>
  <c r="I808" i="2"/>
  <c r="I807" i="2"/>
  <c r="I806" i="2"/>
  <c r="I805" i="2"/>
  <c r="I804" i="2"/>
  <c r="I803" i="2"/>
  <c r="I802" i="2"/>
  <c r="I801" i="2"/>
  <c r="I800" i="2"/>
  <c r="I799" i="2"/>
  <c r="I798" i="2"/>
  <c r="I797" i="2"/>
  <c r="I796" i="2"/>
  <c r="I795" i="2"/>
  <c r="I794" i="2"/>
  <c r="I793" i="2"/>
  <c r="I792" i="2"/>
  <c r="I791" i="2"/>
  <c r="I790" i="2"/>
  <c r="I789" i="2"/>
  <c r="I788" i="2"/>
  <c r="I787" i="2"/>
  <c r="I786" i="2"/>
  <c r="I785" i="2"/>
  <c r="I784" i="2"/>
  <c r="I783" i="2"/>
  <c r="I782" i="2"/>
  <c r="I781" i="2"/>
  <c r="I780" i="2"/>
  <c r="I779" i="2"/>
  <c r="I778" i="2"/>
  <c r="I777" i="2"/>
  <c r="I776" i="2"/>
  <c r="I775" i="2"/>
  <c r="I774" i="2"/>
  <c r="I773" i="2"/>
  <c r="I772" i="2"/>
  <c r="I771" i="2"/>
  <c r="I770" i="2"/>
  <c r="I769" i="2"/>
  <c r="I768" i="2"/>
  <c r="I767" i="2"/>
  <c r="I766" i="2"/>
  <c r="I765" i="2"/>
  <c r="I764" i="2"/>
  <c r="I763" i="2"/>
  <c r="I762" i="2"/>
  <c r="I761" i="2"/>
  <c r="I760" i="2"/>
  <c r="I759" i="2"/>
  <c r="I758" i="2"/>
  <c r="I757" i="2"/>
  <c r="I756" i="2"/>
  <c r="I755" i="2"/>
  <c r="I754" i="2"/>
  <c r="I753" i="2"/>
  <c r="I752" i="2"/>
  <c r="I751" i="2"/>
  <c r="I750" i="2"/>
  <c r="I749" i="2"/>
  <c r="I748" i="2"/>
  <c r="I747" i="2"/>
  <c r="I746" i="2"/>
  <c r="I745" i="2"/>
  <c r="I744" i="2"/>
  <c r="I743" i="2"/>
  <c r="I742" i="2"/>
  <c r="I741" i="2"/>
  <c r="I740" i="2"/>
  <c r="I739" i="2"/>
  <c r="I738" i="2"/>
  <c r="I737" i="2"/>
  <c r="I736" i="2"/>
  <c r="I735" i="2"/>
  <c r="I734" i="2"/>
  <c r="I733" i="2"/>
  <c r="I732" i="2"/>
  <c r="I731" i="2"/>
  <c r="I730" i="2"/>
  <c r="I729" i="2"/>
  <c r="I728" i="2"/>
  <c r="I727" i="2"/>
  <c r="I726" i="2"/>
  <c r="I725" i="2"/>
  <c r="I724" i="2"/>
  <c r="I723" i="2"/>
  <c r="I722" i="2"/>
  <c r="I721" i="2"/>
  <c r="I720" i="2"/>
  <c r="I719" i="2"/>
  <c r="I718" i="2"/>
  <c r="I717" i="2"/>
  <c r="I716" i="2"/>
  <c r="I715" i="2"/>
  <c r="I714" i="2"/>
  <c r="I713" i="2"/>
  <c r="I712" i="2"/>
  <c r="I711" i="2"/>
  <c r="I710" i="2"/>
  <c r="I709" i="2"/>
  <c r="I708" i="2"/>
  <c r="I707" i="2"/>
  <c r="I706" i="2"/>
  <c r="I705" i="2"/>
  <c r="I704" i="2"/>
  <c r="I703" i="2"/>
  <c r="I702" i="2"/>
  <c r="I701" i="2"/>
  <c r="I700" i="2"/>
  <c r="I699" i="2"/>
  <c r="I698" i="2"/>
  <c r="I697" i="2"/>
  <c r="I696" i="2"/>
  <c r="I695" i="2"/>
  <c r="I694" i="2"/>
  <c r="I693" i="2"/>
  <c r="I692" i="2"/>
  <c r="I691" i="2"/>
  <c r="I690" i="2"/>
  <c r="I689" i="2"/>
  <c r="I688" i="2"/>
  <c r="I687" i="2"/>
  <c r="I686" i="2"/>
  <c r="I685" i="2"/>
  <c r="I684" i="2"/>
  <c r="I683" i="2"/>
  <c r="I682" i="2"/>
  <c r="I681" i="2"/>
  <c r="I680" i="2"/>
  <c r="I679" i="2"/>
  <c r="I678" i="2"/>
  <c r="I677" i="2"/>
  <c r="I676" i="2"/>
  <c r="I675" i="2"/>
  <c r="I674" i="2"/>
  <c r="I673" i="2"/>
  <c r="I672" i="2"/>
  <c r="I671" i="2"/>
  <c r="I670" i="2"/>
  <c r="I669" i="2"/>
  <c r="I668" i="2"/>
  <c r="I667" i="2"/>
  <c r="I666" i="2"/>
  <c r="I665" i="2"/>
  <c r="I664" i="2"/>
  <c r="I663" i="2"/>
  <c r="I662" i="2"/>
  <c r="I661" i="2"/>
  <c r="I660" i="2"/>
  <c r="I659" i="2"/>
  <c r="I658" i="2"/>
  <c r="I657" i="2"/>
  <c r="I656" i="2"/>
  <c r="I655" i="2"/>
  <c r="I654" i="2"/>
  <c r="I653" i="2"/>
  <c r="I652" i="2"/>
  <c r="I651" i="2"/>
  <c r="I650" i="2"/>
  <c r="I649" i="2"/>
  <c r="I648" i="2"/>
  <c r="I647" i="2"/>
  <c r="I646" i="2"/>
  <c r="I645" i="2"/>
  <c r="I644" i="2"/>
  <c r="I643" i="2"/>
  <c r="I642" i="2"/>
  <c r="I641" i="2"/>
  <c r="I640" i="2"/>
  <c r="I639" i="2"/>
  <c r="I638" i="2"/>
  <c r="I637" i="2"/>
  <c r="I636" i="2"/>
  <c r="I635" i="2"/>
  <c r="I634" i="2"/>
  <c r="I633" i="2"/>
  <c r="I632" i="2"/>
  <c r="I631" i="2"/>
  <c r="I630" i="2"/>
  <c r="I629" i="2"/>
  <c r="I628" i="2"/>
  <c r="I627" i="2"/>
  <c r="I626" i="2"/>
  <c r="I625" i="2"/>
  <c r="I624" i="2"/>
  <c r="I623" i="2"/>
  <c r="I622" i="2"/>
  <c r="I621" i="2"/>
  <c r="I620" i="2"/>
  <c r="I619" i="2"/>
  <c r="I618" i="2"/>
  <c r="I617" i="2"/>
  <c r="I616" i="2"/>
  <c r="I615" i="2"/>
  <c r="I614" i="2"/>
  <c r="I613" i="2"/>
  <c r="I612" i="2"/>
  <c r="I611" i="2"/>
  <c r="I610" i="2"/>
  <c r="I609" i="2"/>
  <c r="I608" i="2"/>
  <c r="I607" i="2"/>
  <c r="I606" i="2"/>
  <c r="I605" i="2"/>
  <c r="I604" i="2"/>
  <c r="I603" i="2"/>
  <c r="I602" i="2"/>
  <c r="I601" i="2"/>
  <c r="I600" i="2"/>
  <c r="I599" i="2"/>
  <c r="I598" i="2"/>
  <c r="I597" i="2"/>
  <c r="I596" i="2"/>
  <c r="I595" i="2"/>
  <c r="I594" i="2"/>
  <c r="I593" i="2"/>
  <c r="I592" i="2"/>
  <c r="I591" i="2"/>
  <c r="I590" i="2"/>
  <c r="I589" i="2"/>
  <c r="I588" i="2"/>
  <c r="I587" i="2"/>
  <c r="I586" i="2"/>
  <c r="I585" i="2"/>
  <c r="I584" i="2"/>
  <c r="I583" i="2"/>
  <c r="I582" i="2"/>
  <c r="I581" i="2"/>
  <c r="I580" i="2"/>
  <c r="I579" i="2"/>
  <c r="I578" i="2"/>
  <c r="I577" i="2"/>
  <c r="I576" i="2"/>
  <c r="I575" i="2"/>
  <c r="I574" i="2"/>
  <c r="I573" i="2"/>
  <c r="I572" i="2"/>
  <c r="I571" i="2"/>
  <c r="I570" i="2"/>
  <c r="I569" i="2"/>
  <c r="I568" i="2"/>
  <c r="I567" i="2"/>
  <c r="I566" i="2"/>
  <c r="I565" i="2"/>
  <c r="I564" i="2"/>
  <c r="I563" i="2"/>
  <c r="I562" i="2"/>
  <c r="I561" i="2"/>
  <c r="I560" i="2"/>
  <c r="I559" i="2"/>
  <c r="I558" i="2"/>
  <c r="I557" i="2"/>
  <c r="I556" i="2"/>
  <c r="I555" i="2"/>
  <c r="I554" i="2"/>
  <c r="I553" i="2"/>
  <c r="I552" i="2"/>
  <c r="I551" i="2"/>
  <c r="I550" i="2"/>
  <c r="I549" i="2"/>
  <c r="I548" i="2"/>
  <c r="I547" i="2"/>
  <c r="I546" i="2"/>
  <c r="I545" i="2"/>
  <c r="I544" i="2"/>
  <c r="I543" i="2"/>
  <c r="I542" i="2"/>
  <c r="I541" i="2"/>
  <c r="I540" i="2"/>
  <c r="I539" i="2"/>
  <c r="I538" i="2"/>
  <c r="I537" i="2"/>
  <c r="I536" i="2"/>
  <c r="I535" i="2"/>
  <c r="I534" i="2"/>
  <c r="I533" i="2"/>
  <c r="I532" i="2"/>
  <c r="I531" i="2"/>
  <c r="I530" i="2"/>
  <c r="I529" i="2"/>
  <c r="I528" i="2"/>
  <c r="I527" i="2"/>
  <c r="I526" i="2"/>
  <c r="I525" i="2"/>
  <c r="I524" i="2"/>
  <c r="I523" i="2"/>
  <c r="I522" i="2"/>
  <c r="I521" i="2"/>
  <c r="I520" i="2"/>
  <c r="I519" i="2"/>
  <c r="I518" i="2"/>
  <c r="I517" i="2"/>
  <c r="I516" i="2"/>
  <c r="I515" i="2"/>
  <c r="I514" i="2"/>
  <c r="I513" i="2"/>
  <c r="I512" i="2"/>
  <c r="I511" i="2"/>
  <c r="I510" i="2"/>
  <c r="I509" i="2"/>
  <c r="I508" i="2"/>
  <c r="I507" i="2"/>
  <c r="I506" i="2"/>
  <c r="I505" i="2"/>
  <c r="I504" i="2"/>
  <c r="I503" i="2"/>
  <c r="I502" i="2"/>
  <c r="I501" i="2"/>
  <c r="I500" i="2"/>
  <c r="I499" i="2"/>
  <c r="I498" i="2"/>
  <c r="I497" i="2"/>
  <c r="I496" i="2"/>
  <c r="I495" i="2"/>
  <c r="I494" i="2"/>
  <c r="I493" i="2"/>
  <c r="I492" i="2"/>
  <c r="I491" i="2"/>
  <c r="I490" i="2"/>
  <c r="I489" i="2"/>
  <c r="I488" i="2"/>
  <c r="I487" i="2"/>
  <c r="I486" i="2"/>
  <c r="I485" i="2"/>
  <c r="I484" i="2"/>
  <c r="I483" i="2"/>
  <c r="I482" i="2"/>
  <c r="I481" i="2"/>
  <c r="I480" i="2"/>
  <c r="I479" i="2"/>
  <c r="I478" i="2"/>
  <c r="I477" i="2"/>
  <c r="I476" i="2"/>
  <c r="I475" i="2"/>
  <c r="I474" i="2"/>
  <c r="I473" i="2"/>
  <c r="I472" i="2"/>
  <c r="I471" i="2"/>
  <c r="I470" i="2"/>
  <c r="I469" i="2"/>
  <c r="I468" i="2"/>
  <c r="I467" i="2"/>
  <c r="I466" i="2"/>
  <c r="I465" i="2"/>
  <c r="I464" i="2"/>
  <c r="I463" i="2"/>
  <c r="I462" i="2"/>
  <c r="I461" i="2"/>
  <c r="I460" i="2"/>
  <c r="I459" i="2"/>
  <c r="I458" i="2"/>
  <c r="I457" i="2"/>
  <c r="I456" i="2"/>
  <c r="I455" i="2"/>
  <c r="I454" i="2"/>
  <c r="I453" i="2"/>
  <c r="I452" i="2"/>
  <c r="I451" i="2"/>
  <c r="I450" i="2"/>
  <c r="I449" i="2"/>
  <c r="I448" i="2"/>
  <c r="I447" i="2"/>
  <c r="I446" i="2"/>
  <c r="I445" i="2"/>
  <c r="I444" i="2"/>
  <c r="I443" i="2"/>
  <c r="I442" i="2"/>
  <c r="I441" i="2"/>
  <c r="I440" i="2"/>
  <c r="I439" i="2"/>
  <c r="I438" i="2"/>
  <c r="I437" i="2"/>
  <c r="I436" i="2"/>
  <c r="I435" i="2"/>
  <c r="I434" i="2"/>
  <c r="I433" i="2"/>
  <c r="I432" i="2"/>
  <c r="I431" i="2"/>
  <c r="I430" i="2"/>
  <c r="I429" i="2"/>
  <c r="I428" i="2"/>
  <c r="I427" i="2"/>
  <c r="I426" i="2"/>
  <c r="I425" i="2"/>
  <c r="I424" i="2"/>
  <c r="I423" i="2"/>
  <c r="I422" i="2"/>
  <c r="I421" i="2"/>
  <c r="I420" i="2"/>
  <c r="I419" i="2"/>
  <c r="I418" i="2"/>
  <c r="I417" i="2"/>
  <c r="I416" i="2"/>
  <c r="I415" i="2"/>
  <c r="I414" i="2"/>
  <c r="I413" i="2"/>
  <c r="I412" i="2"/>
  <c r="I411" i="2"/>
  <c r="I410" i="2"/>
  <c r="I409" i="2"/>
  <c r="I408" i="2"/>
  <c r="I407" i="2"/>
  <c r="I406" i="2"/>
  <c r="I405" i="2"/>
  <c r="I404" i="2"/>
  <c r="I403" i="2"/>
  <c r="I402" i="2"/>
  <c r="I401" i="2"/>
  <c r="I400" i="2"/>
  <c r="I399" i="2"/>
  <c r="I398" i="2"/>
  <c r="I397" i="2"/>
  <c r="I396" i="2"/>
  <c r="I395" i="2"/>
  <c r="I394" i="2"/>
  <c r="I393" i="2"/>
  <c r="I392" i="2"/>
  <c r="I391" i="2"/>
  <c r="I390" i="2"/>
  <c r="I389" i="2"/>
  <c r="I388" i="2"/>
  <c r="I387" i="2"/>
  <c r="I386" i="2"/>
  <c r="I385" i="2"/>
  <c r="I384" i="2"/>
  <c r="I383" i="2"/>
  <c r="I382" i="2"/>
  <c r="I381" i="2"/>
  <c r="I380" i="2"/>
  <c r="I379" i="2"/>
  <c r="I378" i="2"/>
  <c r="I377" i="2"/>
  <c r="I376" i="2"/>
  <c r="I375" i="2"/>
  <c r="I374" i="2"/>
  <c r="I373" i="2"/>
  <c r="I372" i="2"/>
  <c r="I371" i="2"/>
  <c r="I370" i="2"/>
  <c r="I369" i="2"/>
  <c r="I368" i="2"/>
  <c r="I367" i="2"/>
  <c r="I366" i="2"/>
  <c r="I365" i="2"/>
  <c r="I364" i="2"/>
  <c r="I363" i="2"/>
  <c r="I362" i="2"/>
  <c r="I361" i="2"/>
  <c r="I360" i="2"/>
  <c r="I359" i="2"/>
  <c r="I358" i="2"/>
  <c r="I357" i="2"/>
  <c r="I356" i="2"/>
  <c r="I355" i="2"/>
  <c r="I354" i="2"/>
  <c r="I353" i="2"/>
  <c r="I352" i="2"/>
  <c r="I351" i="2"/>
  <c r="I350" i="2"/>
  <c r="I349" i="2"/>
  <c r="I348" i="2"/>
  <c r="I347" i="2"/>
  <c r="I346" i="2"/>
  <c r="I345" i="2"/>
  <c r="I344" i="2"/>
  <c r="I343" i="2"/>
  <c r="I342" i="2"/>
  <c r="I341" i="2"/>
  <c r="I340" i="2"/>
  <c r="I339" i="2"/>
  <c r="I338" i="2"/>
  <c r="I337" i="2"/>
  <c r="I336" i="2"/>
  <c r="I335" i="2"/>
  <c r="I334" i="2"/>
  <c r="I333" i="2"/>
  <c r="I332" i="2"/>
  <c r="I331" i="2"/>
  <c r="I330" i="2"/>
  <c r="I329" i="2"/>
  <c r="I328" i="2"/>
  <c r="I327" i="2"/>
  <c r="I326" i="2"/>
  <c r="I325" i="2"/>
  <c r="I324" i="2"/>
  <c r="I323" i="2"/>
  <c r="I322" i="2"/>
  <c r="I321" i="2"/>
  <c r="I320" i="2"/>
  <c r="I319" i="2"/>
  <c r="I318" i="2"/>
  <c r="I317" i="2"/>
  <c r="I316" i="2"/>
  <c r="I315" i="2"/>
  <c r="I314" i="2"/>
  <c r="I313" i="2"/>
  <c r="I312" i="2"/>
  <c r="I311" i="2"/>
  <c r="I310" i="2"/>
  <c r="I309" i="2"/>
  <c r="I308" i="2"/>
  <c r="I307" i="2"/>
  <c r="I306" i="2"/>
  <c r="I305" i="2"/>
  <c r="I304" i="2"/>
  <c r="I303" i="2"/>
  <c r="I302" i="2"/>
  <c r="I301" i="2"/>
  <c r="I300" i="2"/>
  <c r="I299" i="2"/>
  <c r="I298" i="2"/>
  <c r="I297" i="2"/>
  <c r="I296" i="2"/>
  <c r="I295" i="2"/>
  <c r="I294" i="2"/>
  <c r="I293" i="2"/>
  <c r="I292" i="2"/>
  <c r="I291" i="2"/>
  <c r="I290" i="2"/>
  <c r="I289" i="2"/>
  <c r="I288" i="2"/>
  <c r="I287" i="2"/>
  <c r="I286" i="2"/>
  <c r="I285" i="2"/>
  <c r="I284" i="2"/>
  <c r="I283" i="2"/>
  <c r="I282" i="2"/>
  <c r="I281" i="2"/>
  <c r="I280" i="2"/>
  <c r="I279" i="2"/>
  <c r="I278" i="2"/>
  <c r="I277" i="2"/>
  <c r="I276" i="2"/>
  <c r="I275" i="2"/>
  <c r="I274" i="2"/>
  <c r="I273" i="2"/>
  <c r="I272" i="2"/>
  <c r="I271" i="2"/>
  <c r="I270" i="2"/>
  <c r="I269" i="2"/>
  <c r="I268" i="2"/>
  <c r="I267" i="2"/>
  <c r="I266" i="2"/>
  <c r="I265" i="2"/>
  <c r="I264" i="2"/>
  <c r="I263" i="2"/>
  <c r="I262" i="2"/>
  <c r="I261" i="2"/>
  <c r="I260" i="2"/>
  <c r="I259" i="2"/>
  <c r="I258" i="2"/>
  <c r="I257" i="2"/>
  <c r="I256" i="2"/>
  <c r="I255" i="2"/>
  <c r="I254" i="2"/>
  <c r="I253" i="2"/>
  <c r="I252" i="2"/>
  <c r="I251" i="2"/>
  <c r="I250" i="2"/>
  <c r="I249" i="2"/>
  <c r="I248" i="2"/>
  <c r="I247" i="2"/>
  <c r="I246" i="2"/>
  <c r="I245" i="2"/>
  <c r="I244" i="2"/>
  <c r="I243" i="2"/>
  <c r="I242" i="2"/>
  <c r="I241" i="2"/>
  <c r="I240" i="2"/>
  <c r="I239" i="2"/>
  <c r="I238" i="2"/>
  <c r="I237" i="2"/>
  <c r="I236" i="2"/>
  <c r="I235" i="2"/>
  <c r="I234" i="2"/>
  <c r="I233" i="2"/>
  <c r="I232" i="2"/>
  <c r="I231" i="2"/>
  <c r="I230" i="2"/>
  <c r="I229" i="2"/>
  <c r="I228" i="2"/>
  <c r="I227" i="2"/>
  <c r="I226" i="2"/>
  <c r="I225" i="2"/>
  <c r="I224" i="2"/>
  <c r="I223" i="2"/>
  <c r="I222" i="2"/>
  <c r="I221" i="2"/>
  <c r="I220" i="2"/>
  <c r="I219" i="2"/>
  <c r="I218" i="2"/>
  <c r="I217" i="2"/>
  <c r="I216" i="2"/>
  <c r="I215" i="2"/>
  <c r="I214" i="2"/>
  <c r="I213" i="2"/>
  <c r="I212" i="2"/>
  <c r="I211" i="2"/>
  <c r="I210" i="2"/>
  <c r="I209" i="2"/>
  <c r="I208" i="2"/>
  <c r="I207" i="2"/>
  <c r="I206" i="2"/>
  <c r="I205" i="2"/>
  <c r="I204" i="2"/>
  <c r="I203" i="2"/>
  <c r="I202" i="2"/>
  <c r="I201" i="2"/>
  <c r="I200" i="2"/>
  <c r="I199" i="2"/>
  <c r="I198" i="2"/>
  <c r="I197" i="2"/>
  <c r="I196" i="2"/>
  <c r="I195" i="2"/>
  <c r="I194" i="2"/>
  <c r="I193" i="2"/>
  <c r="I192" i="2"/>
  <c r="I191" i="2"/>
  <c r="I190" i="2"/>
  <c r="I189" i="2"/>
  <c r="I188" i="2"/>
  <c r="I187" i="2"/>
  <c r="I186" i="2"/>
  <c r="I185" i="2"/>
  <c r="I184" i="2"/>
  <c r="I183" i="2"/>
  <c r="I182" i="2"/>
  <c r="I181" i="2"/>
  <c r="I180" i="2"/>
  <c r="I179" i="2"/>
  <c r="I178" i="2"/>
  <c r="I177" i="2"/>
  <c r="I176" i="2"/>
  <c r="I175" i="2"/>
  <c r="I174" i="2"/>
  <c r="I173" i="2"/>
  <c r="I172" i="2"/>
  <c r="I171" i="2"/>
  <c r="I170" i="2"/>
  <c r="I169" i="2"/>
  <c r="I168" i="2"/>
  <c r="I167" i="2"/>
  <c r="I166" i="2"/>
  <c r="I165" i="2"/>
  <c r="I164" i="2"/>
  <c r="I163" i="2"/>
  <c r="I162" i="2"/>
  <c r="I161" i="2"/>
  <c r="I160" i="2"/>
  <c r="I159" i="2"/>
  <c r="I158" i="2"/>
  <c r="I157" i="2"/>
  <c r="I156" i="2"/>
  <c r="I155" i="2"/>
  <c r="I154" i="2"/>
  <c r="I153" i="2"/>
  <c r="I152" i="2"/>
  <c r="I151" i="2"/>
  <c r="I150" i="2"/>
  <c r="I149" i="2"/>
  <c r="I148" i="2"/>
  <c r="I147" i="2"/>
  <c r="I146" i="2"/>
  <c r="I145" i="2"/>
  <c r="I144" i="2"/>
  <c r="I143" i="2"/>
  <c r="I142" i="2"/>
  <c r="I141" i="2"/>
  <c r="I140" i="2"/>
  <c r="I139" i="2"/>
  <c r="I138" i="2"/>
  <c r="I137" i="2"/>
  <c r="I136" i="2"/>
  <c r="I135" i="2"/>
  <c r="I134" i="2"/>
  <c r="I133" i="2"/>
  <c r="I132" i="2"/>
  <c r="I131" i="2"/>
  <c r="I130" i="2"/>
  <c r="I129" i="2"/>
  <c r="I128" i="2"/>
  <c r="I127" i="2"/>
  <c r="I126" i="2"/>
  <c r="I125" i="2"/>
  <c r="I124" i="2"/>
  <c r="I123" i="2"/>
  <c r="I122" i="2"/>
  <c r="I121" i="2"/>
  <c r="I120" i="2"/>
  <c r="I119" i="2"/>
  <c r="I118" i="2"/>
  <c r="I117" i="2"/>
  <c r="I116" i="2"/>
  <c r="I115" i="2"/>
  <c r="I114" i="2"/>
  <c r="I113" i="2"/>
  <c r="I112" i="2"/>
  <c r="I111" i="2"/>
  <c r="I110" i="2"/>
  <c r="I109" i="2"/>
  <c r="I108" i="2"/>
  <c r="I107" i="2"/>
  <c r="I106" i="2"/>
  <c r="I105" i="2"/>
  <c r="I104" i="2"/>
  <c r="I103" i="2"/>
  <c r="I102" i="2"/>
  <c r="I101" i="2"/>
  <c r="I100" i="2"/>
  <c r="I99" i="2"/>
  <c r="I98" i="2"/>
  <c r="I97" i="2"/>
  <c r="I96" i="2"/>
  <c r="I95" i="2"/>
  <c r="I94" i="2"/>
  <c r="I93" i="2"/>
  <c r="I92" i="2"/>
  <c r="I91" i="2"/>
  <c r="I90" i="2"/>
  <c r="I89" i="2"/>
  <c r="I88" i="2"/>
  <c r="I87" i="2"/>
  <c r="I86" i="2"/>
  <c r="I85" i="2"/>
  <c r="I84" i="2"/>
  <c r="I83" i="2"/>
  <c r="I82" i="2"/>
  <c r="I81" i="2"/>
  <c r="I80" i="2"/>
  <c r="I79" i="2"/>
  <c r="I78" i="2"/>
  <c r="I77" i="2"/>
  <c r="I76" i="2"/>
  <c r="I75" i="2"/>
  <c r="I74" i="2"/>
  <c r="I73" i="2"/>
  <c r="I72" i="2"/>
  <c r="I71" i="2"/>
  <c r="I70" i="2"/>
  <c r="I69" i="2"/>
  <c r="I68" i="2"/>
  <c r="I67" i="2"/>
  <c r="I66" i="2"/>
  <c r="I65" i="2"/>
  <c r="I64" i="2"/>
  <c r="I63" i="2"/>
  <c r="I62" i="2"/>
  <c r="I61" i="2"/>
  <c r="I60" i="2"/>
  <c r="I59" i="2"/>
  <c r="I58" i="2"/>
  <c r="I57" i="2"/>
  <c r="I56" i="2"/>
  <c r="I55" i="2"/>
  <c r="I54" i="2"/>
  <c r="I53" i="2"/>
  <c r="I52" i="2"/>
  <c r="I51" i="2"/>
  <c r="I50" i="2"/>
  <c r="I49" i="2"/>
  <c r="I48" i="2"/>
  <c r="I47" i="2"/>
  <c r="I46" i="2"/>
  <c r="I45" i="2"/>
  <c r="I44" i="2"/>
  <c r="I43" i="2"/>
  <c r="I42" i="2"/>
  <c r="I41" i="2"/>
  <c r="I40" i="2"/>
  <c r="I39" i="2"/>
  <c r="I38" i="2"/>
  <c r="I37" i="2"/>
  <c r="I36" i="2"/>
  <c r="I35" i="2"/>
  <c r="I34" i="2"/>
  <c r="I33" i="2"/>
  <c r="I32" i="2"/>
  <c r="I31" i="2"/>
  <c r="I30" i="2"/>
  <c r="I29" i="2"/>
  <c r="I28" i="2"/>
  <c r="I27" i="2"/>
  <c r="I26" i="2"/>
  <c r="I25" i="2"/>
  <c r="I24" i="2"/>
  <c r="I23" i="2"/>
  <c r="I22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21" i="4" l="1"/>
  <c r="I15" i="4"/>
  <c r="I17" i="4"/>
  <c r="I23" i="4"/>
  <c r="I19" i="4"/>
  <c r="I169" i="4"/>
  <c r="I171" i="4"/>
  <c r="I179" i="4"/>
  <c r="I184" i="4"/>
  <c r="I186" i="4"/>
  <c r="C194" i="4"/>
  <c r="I159" i="4"/>
  <c r="I162" i="4"/>
  <c r="I167" i="4"/>
  <c r="I175" i="4"/>
  <c r="I178" i="4"/>
  <c r="I182" i="4"/>
  <c r="I190" i="4"/>
  <c r="I193" i="4"/>
  <c r="E194" i="4"/>
  <c r="I66" i="4"/>
  <c r="I76" i="4"/>
  <c r="I79" i="4"/>
  <c r="I81" i="4"/>
  <c r="I83" i="4"/>
  <c r="I86" i="4"/>
  <c r="I88" i="4"/>
  <c r="I90" i="4"/>
  <c r="I97" i="4"/>
  <c r="I100" i="4"/>
  <c r="I103" i="4"/>
  <c r="I107" i="4"/>
  <c r="I109" i="4"/>
  <c r="I112" i="4"/>
  <c r="I115" i="4"/>
  <c r="I118" i="4"/>
  <c r="I120" i="4"/>
  <c r="I125" i="4"/>
  <c r="I128" i="4"/>
  <c r="I131" i="4"/>
  <c r="I134" i="4"/>
  <c r="I136" i="4"/>
  <c r="I139" i="4"/>
  <c r="I142" i="4"/>
  <c r="I144" i="4"/>
  <c r="I146" i="4"/>
  <c r="I148" i="4"/>
  <c r="I151" i="4"/>
  <c r="I154" i="4"/>
  <c r="I156" i="4"/>
  <c r="I68" i="4"/>
  <c r="I91" i="4"/>
  <c r="I165" i="4"/>
  <c r="I170" i="4"/>
  <c r="I173" i="4"/>
  <c r="I49" i="4"/>
  <c r="I61" i="4"/>
  <c r="I52" i="4"/>
  <c r="I43" i="4"/>
  <c r="I71" i="4"/>
  <c r="I45" i="4"/>
  <c r="I53" i="4"/>
  <c r="I93" i="4"/>
  <c r="I58" i="4"/>
  <c r="I63" i="4"/>
  <c r="I73" i="4"/>
  <c r="I51" i="4"/>
  <c r="I59" i="4"/>
  <c r="I92" i="4"/>
  <c r="I94" i="4"/>
  <c r="I180" i="4"/>
  <c r="I185" i="4"/>
  <c r="I188" i="4"/>
  <c r="I47" i="4"/>
  <c r="I62" i="4"/>
  <c r="I70" i="4"/>
  <c r="I72" i="4"/>
  <c r="I75" i="4"/>
  <c r="I77" i="4"/>
  <c r="I80" i="4"/>
  <c r="I82" i="4"/>
  <c r="I85" i="4"/>
  <c r="I87" i="4"/>
  <c r="I89" i="4"/>
  <c r="I96" i="4"/>
  <c r="I98" i="4"/>
  <c r="I101" i="4"/>
  <c r="I105" i="4"/>
  <c r="I108" i="4"/>
  <c r="I110" i="4"/>
  <c r="I113" i="4"/>
  <c r="I116" i="4"/>
  <c r="I119" i="4"/>
  <c r="I121" i="4"/>
  <c r="I124" i="4"/>
  <c r="I127" i="4"/>
  <c r="I129" i="4"/>
  <c r="I132" i="4"/>
  <c r="I135" i="4"/>
  <c r="I138" i="4"/>
  <c r="I140" i="4"/>
  <c r="I143" i="4"/>
  <c r="I145" i="4"/>
  <c r="I147" i="4"/>
  <c r="I150" i="4"/>
  <c r="I153" i="4"/>
  <c r="I155" i="4"/>
  <c r="I157" i="4"/>
  <c r="I160" i="4"/>
  <c r="I163" i="4"/>
  <c r="I166" i="4"/>
  <c r="I174" i="4"/>
  <c r="I177" i="4"/>
  <c r="I181" i="4"/>
  <c r="I189" i="4"/>
  <c r="I191" i="4"/>
  <c r="I41" i="4"/>
  <c r="I55" i="4"/>
  <c r="I60" i="4"/>
  <c r="I65" i="4"/>
  <c r="I67" i="4"/>
  <c r="I44" i="4"/>
  <c r="I50" i="4"/>
  <c r="I56" i="4"/>
  <c r="I122" i="4"/>
  <c r="D194" i="4"/>
  <c r="F194" i="4"/>
  <c r="G194" i="4"/>
  <c r="H194" i="4"/>
  <c r="D28" i="4"/>
  <c r="T44" i="4" s="1"/>
  <c r="F28" i="4"/>
  <c r="T46" i="4" s="1"/>
  <c r="C28" i="4"/>
  <c r="T43" i="4" s="1"/>
  <c r="T49" i="4" s="1"/>
  <c r="I2" i="4"/>
  <c r="I9" i="4"/>
  <c r="E28" i="4"/>
  <c r="T45" i="4" s="1"/>
  <c r="G28" i="4"/>
  <c r="T47" i="4" s="1"/>
  <c r="H28" i="4"/>
  <c r="T48" i="4" s="1"/>
  <c r="I4" i="4"/>
  <c r="I5" i="4"/>
  <c r="I7" i="4"/>
  <c r="I16" i="4"/>
  <c r="I3" i="4"/>
  <c r="I11" i="4"/>
  <c r="I13" i="4"/>
  <c r="I26" i="4"/>
  <c r="I6" i="4"/>
  <c r="I24" i="4"/>
  <c r="I8" i="4"/>
  <c r="I10" i="4"/>
  <c r="I14" i="4"/>
  <c r="I18" i="4"/>
  <c r="I12" i="4"/>
  <c r="I20" i="4"/>
  <c r="I22" i="4"/>
  <c r="I25" i="4"/>
  <c r="I27" i="4"/>
  <c r="W1294" i="2"/>
  <c r="W1293" i="2"/>
  <c r="W1191" i="2"/>
  <c r="W1190" i="2"/>
  <c r="W1189" i="2"/>
  <c r="W1188" i="2"/>
  <c r="W1187" i="2"/>
  <c r="W1049" i="2"/>
  <c r="W1048" i="2"/>
  <c r="W1047" i="2"/>
  <c r="W1046" i="2"/>
  <c r="W1045" i="2"/>
  <c r="W1044" i="2"/>
  <c r="W1043" i="2"/>
  <c r="W1042" i="2"/>
  <c r="W939" i="2"/>
  <c r="W938" i="2"/>
  <c r="W937" i="2"/>
  <c r="W936" i="2"/>
  <c r="W935" i="2"/>
  <c r="W934" i="2"/>
  <c r="W803" i="2"/>
  <c r="W802" i="2"/>
  <c r="W698" i="2"/>
  <c r="W697" i="2"/>
  <c r="W696" i="2"/>
  <c r="W695" i="2"/>
  <c r="W549" i="2"/>
  <c r="W548" i="2"/>
  <c r="W547" i="2"/>
  <c r="W546" i="2"/>
  <c r="W393" i="2"/>
  <c r="W392" i="2"/>
  <c r="W236" i="2"/>
  <c r="I194" i="4" l="1"/>
  <c r="I28" i="4"/>
  <c r="O1300" i="3"/>
  <c r="N1300" i="3"/>
  <c r="O1299" i="3"/>
  <c r="N1299" i="3"/>
  <c r="O1298" i="3"/>
  <c r="N1298" i="3"/>
  <c r="O1297" i="3"/>
  <c r="N1297" i="3"/>
  <c r="O1296" i="3"/>
  <c r="N1296" i="3"/>
  <c r="O1295" i="3"/>
  <c r="N1295" i="3"/>
  <c r="O1294" i="3"/>
  <c r="N1294" i="3"/>
  <c r="O1293" i="3"/>
  <c r="N1293" i="3"/>
  <c r="O1292" i="3"/>
  <c r="N1292" i="3"/>
  <c r="O1291" i="3"/>
  <c r="N1291" i="3"/>
  <c r="O1290" i="3"/>
  <c r="N1290" i="3"/>
  <c r="O1289" i="3"/>
  <c r="N1289" i="3"/>
  <c r="O1288" i="3"/>
  <c r="X1285" i="2" s="1"/>
  <c r="N1288" i="3"/>
  <c r="V1285" i="2" s="1"/>
  <c r="W1285" i="2" s="1"/>
  <c r="O1287" i="3"/>
  <c r="X1284" i="2" s="1"/>
  <c r="N1287" i="3"/>
  <c r="V1284" i="2" s="1"/>
  <c r="W1284" i="2" s="1"/>
  <c r="O1286" i="3"/>
  <c r="X1283" i="2" s="1"/>
  <c r="N1286" i="3"/>
  <c r="V1283" i="2" s="1"/>
  <c r="W1283" i="2" s="1"/>
  <c r="O1285" i="3"/>
  <c r="N1285" i="3"/>
  <c r="O1284" i="3"/>
  <c r="N1284" i="3"/>
  <c r="O1283" i="3"/>
  <c r="N1283" i="3"/>
  <c r="O1282" i="3"/>
  <c r="N1282" i="3"/>
  <c r="O1281" i="3"/>
  <c r="N1281" i="3"/>
  <c r="O1280" i="3"/>
  <c r="N1280" i="3"/>
  <c r="O1279" i="3"/>
  <c r="N1279" i="3"/>
  <c r="O1278" i="3"/>
  <c r="N1278" i="3"/>
  <c r="O1277" i="3"/>
  <c r="N1277" i="3"/>
  <c r="O1276" i="3"/>
  <c r="N1276" i="3"/>
  <c r="O1275" i="3"/>
  <c r="X1272" i="2" s="1"/>
  <c r="N1275" i="3"/>
  <c r="V1272" i="2" s="1"/>
  <c r="W1272" i="2" s="1"/>
  <c r="O1274" i="3"/>
  <c r="X1271" i="2" s="1"/>
  <c r="N1274" i="3"/>
  <c r="V1271" i="2" s="1"/>
  <c r="W1271" i="2" s="1"/>
  <c r="O1273" i="3"/>
  <c r="X1270" i="2" s="1"/>
  <c r="N1273" i="3"/>
  <c r="V1270" i="2" s="1"/>
  <c r="W1270" i="2" s="1"/>
  <c r="O1272" i="3"/>
  <c r="X1269" i="2" s="1"/>
  <c r="N1272" i="3"/>
  <c r="V1269" i="2" s="1"/>
  <c r="W1269" i="2" s="1"/>
  <c r="O1271" i="3"/>
  <c r="X1268" i="2" s="1"/>
  <c r="N1271" i="3"/>
  <c r="V1268" i="2" s="1"/>
  <c r="W1268" i="2" s="1"/>
  <c r="O1270" i="3"/>
  <c r="X1267" i="2" s="1"/>
  <c r="N1270" i="3"/>
  <c r="V1267" i="2" s="1"/>
  <c r="W1267" i="2" s="1"/>
  <c r="O1269" i="3"/>
  <c r="X1266" i="2" s="1"/>
  <c r="N1269" i="3"/>
  <c r="V1266" i="2" s="1"/>
  <c r="W1266" i="2" s="1"/>
  <c r="O1268" i="3"/>
  <c r="X1265" i="2" s="1"/>
  <c r="N1268" i="3"/>
  <c r="V1265" i="2" s="1"/>
  <c r="W1265" i="2" s="1"/>
  <c r="O1267" i="3"/>
  <c r="X1264" i="2" s="1"/>
  <c r="N1267" i="3"/>
  <c r="V1264" i="2" s="1"/>
  <c r="W1264" i="2" s="1"/>
  <c r="O1266" i="3"/>
  <c r="X1263" i="2" s="1"/>
  <c r="N1266" i="3"/>
  <c r="V1263" i="2" s="1"/>
  <c r="W1263" i="2" s="1"/>
  <c r="O1265" i="3"/>
  <c r="X1262" i="2" s="1"/>
  <c r="N1265" i="3"/>
  <c r="V1262" i="2" s="1"/>
  <c r="W1262" i="2" s="1"/>
  <c r="O1264" i="3"/>
  <c r="X1261" i="2" s="1"/>
  <c r="N1264" i="3"/>
  <c r="V1261" i="2" s="1"/>
  <c r="W1261" i="2" s="1"/>
  <c r="O1263" i="3"/>
  <c r="N1263" i="3"/>
  <c r="O1262" i="3"/>
  <c r="N1262" i="3"/>
  <c r="O1261" i="3"/>
  <c r="X1258" i="2" s="1"/>
  <c r="N1261" i="3"/>
  <c r="V1258" i="2" s="1"/>
  <c r="W1258" i="2" s="1"/>
  <c r="O1260" i="3"/>
  <c r="X1257" i="2" s="1"/>
  <c r="N1260" i="3"/>
  <c r="V1257" i="2" s="1"/>
  <c r="W1257" i="2" s="1"/>
  <c r="O1259" i="3"/>
  <c r="X1256" i="2" s="1"/>
  <c r="N1259" i="3"/>
  <c r="V1256" i="2" s="1"/>
  <c r="W1256" i="2" s="1"/>
  <c r="O1258" i="3"/>
  <c r="X1255" i="2" s="1"/>
  <c r="N1258" i="3"/>
  <c r="V1255" i="2" s="1"/>
  <c r="W1255" i="2" s="1"/>
  <c r="O1257" i="3"/>
  <c r="X1254" i="2" s="1"/>
  <c r="N1257" i="3"/>
  <c r="V1254" i="2" s="1"/>
  <c r="W1254" i="2" s="1"/>
  <c r="O1256" i="3"/>
  <c r="X1253" i="2" s="1"/>
  <c r="N1256" i="3"/>
  <c r="V1253" i="2" s="1"/>
  <c r="W1253" i="2" s="1"/>
  <c r="O1255" i="3"/>
  <c r="N1255" i="3"/>
  <c r="O1254" i="3"/>
  <c r="N1254" i="3"/>
  <c r="O1253" i="3"/>
  <c r="N1253" i="3"/>
  <c r="O1252" i="3"/>
  <c r="N1252" i="3"/>
  <c r="O1251" i="3"/>
  <c r="N1251" i="3"/>
  <c r="O1250" i="3"/>
  <c r="X1247" i="2" s="1"/>
  <c r="N1250" i="3"/>
  <c r="V1247" i="2" s="1"/>
  <c r="W1247" i="2" s="1"/>
  <c r="O1249" i="3"/>
  <c r="X1246" i="2" s="1"/>
  <c r="N1249" i="3"/>
  <c r="V1246" i="2" s="1"/>
  <c r="W1246" i="2" s="1"/>
  <c r="O1248" i="3"/>
  <c r="X1245" i="2" s="1"/>
  <c r="N1248" i="3"/>
  <c r="V1245" i="2" s="1"/>
  <c r="W1245" i="2" s="1"/>
  <c r="O1247" i="3"/>
  <c r="X1244" i="2" s="1"/>
  <c r="N1247" i="3"/>
  <c r="V1244" i="2" s="1"/>
  <c r="W1244" i="2" s="1"/>
  <c r="O1246" i="3"/>
  <c r="N1246" i="3"/>
  <c r="O1245" i="3"/>
  <c r="X1242" i="2" s="1"/>
  <c r="N1245" i="3"/>
  <c r="V1242" i="2" s="1"/>
  <c r="W1242" i="2" s="1"/>
  <c r="O1244" i="3"/>
  <c r="X1241" i="2" s="1"/>
  <c r="N1244" i="3"/>
  <c r="V1241" i="2" s="1"/>
  <c r="W1241" i="2" s="1"/>
  <c r="O1243" i="3"/>
  <c r="N1243" i="3"/>
  <c r="O1242" i="3"/>
  <c r="N1242" i="3"/>
  <c r="O1241" i="3"/>
  <c r="N1241" i="3"/>
  <c r="O1240" i="3"/>
  <c r="N1240" i="3"/>
  <c r="O1239" i="3"/>
  <c r="N1239" i="3"/>
  <c r="O1238" i="3"/>
  <c r="N1238" i="3"/>
  <c r="O1237" i="3"/>
  <c r="X1234" i="2" s="1"/>
  <c r="N1237" i="3"/>
  <c r="V1234" i="2" s="1"/>
  <c r="W1234" i="2" s="1"/>
  <c r="O1236" i="3"/>
  <c r="X1233" i="2" s="1"/>
  <c r="N1236" i="3"/>
  <c r="V1233" i="2" s="1"/>
  <c r="W1233" i="2" s="1"/>
  <c r="O1235" i="3"/>
  <c r="X1232" i="2" s="1"/>
  <c r="N1235" i="3"/>
  <c r="V1232" i="2" s="1"/>
  <c r="W1232" i="2" s="1"/>
  <c r="O1234" i="3"/>
  <c r="X1231" i="2" s="1"/>
  <c r="N1234" i="3"/>
  <c r="V1231" i="2" s="1"/>
  <c r="W1231" i="2" s="1"/>
  <c r="O1233" i="3"/>
  <c r="X1230" i="2" s="1"/>
  <c r="N1233" i="3"/>
  <c r="V1230" i="2" s="1"/>
  <c r="W1230" i="2" s="1"/>
  <c r="O1232" i="3"/>
  <c r="N1232" i="3"/>
  <c r="O1231" i="3"/>
  <c r="N1231" i="3"/>
  <c r="O1230" i="3"/>
  <c r="N1230" i="3"/>
  <c r="O1229" i="3"/>
  <c r="N1229" i="3"/>
  <c r="O1228" i="3"/>
  <c r="N1228" i="3"/>
  <c r="O1227" i="3"/>
  <c r="X1224" i="2" s="1"/>
  <c r="N1227" i="3"/>
  <c r="V1224" i="2" s="1"/>
  <c r="W1224" i="2" s="1"/>
  <c r="O1226" i="3"/>
  <c r="X1223" i="2" s="1"/>
  <c r="N1226" i="3"/>
  <c r="V1223" i="2" s="1"/>
  <c r="W1223" i="2" s="1"/>
  <c r="O1225" i="3"/>
  <c r="N1225" i="3"/>
  <c r="O1224" i="3"/>
  <c r="N1224" i="3"/>
  <c r="O1223" i="3"/>
  <c r="N1223" i="3"/>
  <c r="O1222" i="3"/>
  <c r="N1222" i="3"/>
  <c r="O1221" i="3"/>
  <c r="X1218" i="2" s="1"/>
  <c r="N1221" i="3"/>
  <c r="V1218" i="2" s="1"/>
  <c r="W1218" i="2" s="1"/>
  <c r="O1220" i="3"/>
  <c r="X1217" i="2" s="1"/>
  <c r="N1220" i="3"/>
  <c r="V1217" i="2" s="1"/>
  <c r="W1217" i="2" s="1"/>
  <c r="O1219" i="3"/>
  <c r="X1216" i="2" s="1"/>
  <c r="N1219" i="3"/>
  <c r="V1216" i="2" s="1"/>
  <c r="W1216" i="2" s="1"/>
  <c r="O1218" i="3"/>
  <c r="N1218" i="3"/>
  <c r="O1217" i="3"/>
  <c r="X1214" i="2" s="1"/>
  <c r="N1217" i="3"/>
  <c r="V1214" i="2" s="1"/>
  <c r="W1214" i="2" s="1"/>
  <c r="O1216" i="3"/>
  <c r="N1216" i="3"/>
  <c r="O1215" i="3"/>
  <c r="N1215" i="3"/>
  <c r="O1214" i="3"/>
  <c r="X1211" i="2" s="1"/>
  <c r="N1214" i="3"/>
  <c r="V1211" i="2" s="1"/>
  <c r="W1211" i="2" s="1"/>
  <c r="O1213" i="3"/>
  <c r="N1213" i="3"/>
  <c r="O1212" i="3"/>
  <c r="N1212" i="3"/>
  <c r="O1211" i="3"/>
  <c r="N1211" i="3"/>
  <c r="O1210" i="3"/>
  <c r="N1210" i="3"/>
  <c r="O1209" i="3"/>
  <c r="N1209" i="3"/>
  <c r="O1208" i="3"/>
  <c r="N1208" i="3"/>
  <c r="O1207" i="3"/>
  <c r="X1204" i="2" s="1"/>
  <c r="N1207" i="3"/>
  <c r="V1204" i="2" s="1"/>
  <c r="W1204" i="2" s="1"/>
  <c r="O1206" i="3"/>
  <c r="X1203" i="2" s="1"/>
  <c r="N1206" i="3"/>
  <c r="V1203" i="2" s="1"/>
  <c r="W1203" i="2" s="1"/>
  <c r="O1205" i="3"/>
  <c r="X1202" i="2" s="1"/>
  <c r="N1205" i="3"/>
  <c r="V1202" i="2" s="1"/>
  <c r="W1202" i="2" s="1"/>
  <c r="O1204" i="3"/>
  <c r="N1204" i="3"/>
  <c r="O1203" i="3"/>
  <c r="N1203" i="3"/>
  <c r="O1202" i="3"/>
  <c r="N1202" i="3"/>
  <c r="O1201" i="3"/>
  <c r="N1201" i="3"/>
  <c r="O1200" i="3"/>
  <c r="N1200" i="3"/>
  <c r="O1199" i="3"/>
  <c r="N1199" i="3"/>
  <c r="O1198" i="3"/>
  <c r="N1198" i="3"/>
  <c r="O1197" i="3"/>
  <c r="N1197" i="3"/>
  <c r="O1196" i="3"/>
  <c r="N1196" i="3"/>
  <c r="O1195" i="3"/>
  <c r="N1195" i="3"/>
  <c r="O1194" i="3"/>
  <c r="N1194" i="3"/>
  <c r="O1193" i="3"/>
  <c r="N1193" i="3"/>
  <c r="O1192" i="3"/>
  <c r="N1192" i="3"/>
  <c r="O1191" i="3"/>
  <c r="N1191" i="3"/>
  <c r="O1190" i="3"/>
  <c r="X1189" i="2" s="1"/>
  <c r="N1190" i="3"/>
  <c r="O1189" i="3"/>
  <c r="N1189" i="3"/>
  <c r="O1188" i="3"/>
  <c r="N1188" i="3"/>
  <c r="O1187" i="3"/>
  <c r="N1187" i="3"/>
  <c r="O1186" i="3"/>
  <c r="N1186" i="3"/>
  <c r="O1185" i="3"/>
  <c r="N1185" i="3"/>
  <c r="O1184" i="3"/>
  <c r="N1184" i="3"/>
  <c r="O1183" i="3"/>
  <c r="N1183" i="3"/>
  <c r="O1182" i="3"/>
  <c r="N1182" i="3"/>
  <c r="O1181" i="3"/>
  <c r="X1178" i="2" s="1"/>
  <c r="N1181" i="3"/>
  <c r="V1178" i="2" s="1"/>
  <c r="W1178" i="2" s="1"/>
  <c r="O1180" i="3"/>
  <c r="X1177" i="2" s="1"/>
  <c r="N1180" i="3"/>
  <c r="V1177" i="2" s="1"/>
  <c r="W1177" i="2" s="1"/>
  <c r="O1179" i="3"/>
  <c r="X1176" i="2" s="1"/>
  <c r="N1179" i="3"/>
  <c r="V1176" i="2" s="1"/>
  <c r="W1176" i="2" s="1"/>
  <c r="O1178" i="3"/>
  <c r="X1175" i="2" s="1"/>
  <c r="N1178" i="3"/>
  <c r="V1175" i="2" s="1"/>
  <c r="W1175" i="2" s="1"/>
  <c r="O1177" i="3"/>
  <c r="X1174" i="2" s="1"/>
  <c r="N1177" i="3"/>
  <c r="V1174" i="2" s="1"/>
  <c r="W1174" i="2" s="1"/>
  <c r="O1176" i="3"/>
  <c r="X1173" i="2" s="1"/>
  <c r="N1176" i="3"/>
  <c r="V1173" i="2" s="1"/>
  <c r="W1173" i="2" s="1"/>
  <c r="O1175" i="3"/>
  <c r="N1175" i="3"/>
  <c r="O1174" i="3"/>
  <c r="X1171" i="2" s="1"/>
  <c r="N1174" i="3"/>
  <c r="V1171" i="2" s="1"/>
  <c r="W1171" i="2" s="1"/>
  <c r="O1173" i="3"/>
  <c r="N1173" i="3"/>
  <c r="O1172" i="3"/>
  <c r="X1169" i="2" s="1"/>
  <c r="N1172" i="3"/>
  <c r="V1169" i="2" s="1"/>
  <c r="W1169" i="2" s="1"/>
  <c r="O1171" i="3"/>
  <c r="X1168" i="2" s="1"/>
  <c r="N1171" i="3"/>
  <c r="V1168" i="2" s="1"/>
  <c r="W1168" i="2" s="1"/>
  <c r="O1170" i="3"/>
  <c r="N1170" i="3"/>
  <c r="O1169" i="3"/>
  <c r="X1166" i="2" s="1"/>
  <c r="N1169" i="3"/>
  <c r="V1166" i="2" s="1"/>
  <c r="W1166" i="2" s="1"/>
  <c r="O1168" i="3"/>
  <c r="X1165" i="2" s="1"/>
  <c r="N1168" i="3"/>
  <c r="V1165" i="2" s="1"/>
  <c r="W1165" i="2" s="1"/>
  <c r="O1167" i="3"/>
  <c r="N1167" i="3"/>
  <c r="O1166" i="3"/>
  <c r="X1163" i="2" s="1"/>
  <c r="N1166" i="3"/>
  <c r="V1163" i="2" s="1"/>
  <c r="W1163" i="2" s="1"/>
  <c r="O1165" i="3"/>
  <c r="N1165" i="3"/>
  <c r="O1164" i="3"/>
  <c r="X1161" i="2" s="1"/>
  <c r="N1164" i="3"/>
  <c r="V1161" i="2" s="1"/>
  <c r="W1161" i="2" s="1"/>
  <c r="O1163" i="3"/>
  <c r="X1160" i="2" s="1"/>
  <c r="N1163" i="3"/>
  <c r="V1160" i="2" s="1"/>
  <c r="W1160" i="2" s="1"/>
  <c r="O1162" i="3"/>
  <c r="N1162" i="3"/>
  <c r="O1161" i="3"/>
  <c r="N1161" i="3"/>
  <c r="O1160" i="3"/>
  <c r="N1160" i="3"/>
  <c r="O1159" i="3"/>
  <c r="X1156" i="2" s="1"/>
  <c r="N1159" i="3"/>
  <c r="V1156" i="2" s="1"/>
  <c r="W1156" i="2" s="1"/>
  <c r="O1158" i="3"/>
  <c r="X1155" i="2" s="1"/>
  <c r="N1158" i="3"/>
  <c r="V1155" i="2" s="1"/>
  <c r="W1155" i="2" s="1"/>
  <c r="O1157" i="3"/>
  <c r="X1154" i="2" s="1"/>
  <c r="N1157" i="3"/>
  <c r="V1154" i="2" s="1"/>
  <c r="W1154" i="2" s="1"/>
  <c r="O1156" i="3"/>
  <c r="X1153" i="2" s="1"/>
  <c r="N1156" i="3"/>
  <c r="V1153" i="2" s="1"/>
  <c r="W1153" i="2" s="1"/>
  <c r="O1155" i="3"/>
  <c r="N1155" i="3"/>
  <c r="O1154" i="3"/>
  <c r="N1154" i="3"/>
  <c r="O1153" i="3"/>
  <c r="N1153" i="3"/>
  <c r="O1152" i="3"/>
  <c r="N1152" i="3"/>
  <c r="O1151" i="3"/>
  <c r="N1151" i="3"/>
  <c r="O1150" i="3"/>
  <c r="X1147" i="2" s="1"/>
  <c r="N1150" i="3"/>
  <c r="V1147" i="2" s="1"/>
  <c r="W1147" i="2" s="1"/>
  <c r="O1149" i="3"/>
  <c r="X1146" i="2" s="1"/>
  <c r="N1149" i="3"/>
  <c r="V1146" i="2" s="1"/>
  <c r="W1146" i="2" s="1"/>
  <c r="O1148" i="3"/>
  <c r="X1145" i="2" s="1"/>
  <c r="N1148" i="3"/>
  <c r="V1145" i="2" s="1"/>
  <c r="W1145" i="2" s="1"/>
  <c r="O1147" i="3"/>
  <c r="X1144" i="2" s="1"/>
  <c r="N1147" i="3"/>
  <c r="V1144" i="2" s="1"/>
  <c r="W1144" i="2" s="1"/>
  <c r="O1146" i="3"/>
  <c r="X1143" i="2" s="1"/>
  <c r="N1146" i="3"/>
  <c r="V1143" i="2" s="1"/>
  <c r="W1143" i="2" s="1"/>
  <c r="O1145" i="3"/>
  <c r="X1142" i="2" s="1"/>
  <c r="N1145" i="3"/>
  <c r="V1142" i="2" s="1"/>
  <c r="W1142" i="2" s="1"/>
  <c r="O1144" i="3"/>
  <c r="X1141" i="2" s="1"/>
  <c r="N1144" i="3"/>
  <c r="V1141" i="2" s="1"/>
  <c r="W1141" i="2" s="1"/>
  <c r="O1143" i="3"/>
  <c r="X1140" i="2" s="1"/>
  <c r="N1143" i="3"/>
  <c r="V1140" i="2" s="1"/>
  <c r="W1140" i="2" s="1"/>
  <c r="O1142" i="3"/>
  <c r="X1139" i="2" s="1"/>
  <c r="N1142" i="3"/>
  <c r="V1139" i="2" s="1"/>
  <c r="W1139" i="2" s="1"/>
  <c r="O1141" i="3"/>
  <c r="X1138" i="2" s="1"/>
  <c r="N1141" i="3"/>
  <c r="V1138" i="2" s="1"/>
  <c r="W1138" i="2" s="1"/>
  <c r="O1140" i="3"/>
  <c r="X1137" i="2" s="1"/>
  <c r="N1140" i="3"/>
  <c r="V1137" i="2" s="1"/>
  <c r="W1137" i="2" s="1"/>
  <c r="O1139" i="3"/>
  <c r="X1136" i="2" s="1"/>
  <c r="N1139" i="3"/>
  <c r="V1136" i="2" s="1"/>
  <c r="W1136" i="2" s="1"/>
  <c r="O1138" i="3"/>
  <c r="X1135" i="2" s="1"/>
  <c r="N1138" i="3"/>
  <c r="V1135" i="2" s="1"/>
  <c r="W1135" i="2" s="1"/>
  <c r="O1137" i="3"/>
  <c r="X1134" i="2" s="1"/>
  <c r="N1137" i="3"/>
  <c r="V1134" i="2" s="1"/>
  <c r="W1134" i="2" s="1"/>
  <c r="O1136" i="3"/>
  <c r="X1133" i="2" s="1"/>
  <c r="N1136" i="3"/>
  <c r="V1133" i="2" s="1"/>
  <c r="W1133" i="2" s="1"/>
  <c r="O1135" i="3"/>
  <c r="X1132" i="2" s="1"/>
  <c r="N1135" i="3"/>
  <c r="V1132" i="2" s="1"/>
  <c r="W1132" i="2" s="1"/>
  <c r="O1134" i="3"/>
  <c r="X1131" i="2" s="1"/>
  <c r="N1134" i="3"/>
  <c r="V1131" i="2" s="1"/>
  <c r="W1131" i="2" s="1"/>
  <c r="O1133" i="3"/>
  <c r="X1130" i="2" s="1"/>
  <c r="N1133" i="3"/>
  <c r="V1130" i="2" s="1"/>
  <c r="W1130" i="2" s="1"/>
  <c r="O1132" i="3"/>
  <c r="N1132" i="3"/>
  <c r="O1131" i="3"/>
  <c r="N1131" i="3"/>
  <c r="O1130" i="3"/>
  <c r="N1130" i="3"/>
  <c r="O1129" i="3"/>
  <c r="N1129" i="3"/>
  <c r="O1128" i="3"/>
  <c r="N1128" i="3"/>
  <c r="O1127" i="3"/>
  <c r="N1127" i="3"/>
  <c r="O1126" i="3"/>
  <c r="N1126" i="3"/>
  <c r="O1125" i="3"/>
  <c r="N1125" i="3"/>
  <c r="O1124" i="3"/>
  <c r="N1124" i="3"/>
  <c r="O1123" i="3"/>
  <c r="X1120" i="2" s="1"/>
  <c r="N1123" i="3"/>
  <c r="V1120" i="2" s="1"/>
  <c r="W1120" i="2" s="1"/>
  <c r="O1122" i="3"/>
  <c r="X1119" i="2" s="1"/>
  <c r="N1122" i="3"/>
  <c r="V1119" i="2" s="1"/>
  <c r="W1119" i="2" s="1"/>
  <c r="O1121" i="3"/>
  <c r="X1118" i="2" s="1"/>
  <c r="N1121" i="3"/>
  <c r="V1118" i="2" s="1"/>
  <c r="W1118" i="2" s="1"/>
  <c r="O1120" i="3"/>
  <c r="X1117" i="2" s="1"/>
  <c r="N1120" i="3"/>
  <c r="V1117" i="2" s="1"/>
  <c r="W1117" i="2" s="1"/>
  <c r="O1119" i="3"/>
  <c r="X1116" i="2" s="1"/>
  <c r="N1119" i="3"/>
  <c r="V1116" i="2" s="1"/>
  <c r="W1116" i="2" s="1"/>
  <c r="O1118" i="3"/>
  <c r="X1115" i="2" s="1"/>
  <c r="N1118" i="3"/>
  <c r="V1115" i="2" s="1"/>
  <c r="W1115" i="2" s="1"/>
  <c r="O1117" i="3"/>
  <c r="X1114" i="2" s="1"/>
  <c r="N1117" i="3"/>
  <c r="V1114" i="2" s="1"/>
  <c r="W1114" i="2" s="1"/>
  <c r="O1116" i="3"/>
  <c r="X1113" i="2" s="1"/>
  <c r="N1116" i="3"/>
  <c r="V1113" i="2" s="1"/>
  <c r="W1113" i="2" s="1"/>
  <c r="O1115" i="3"/>
  <c r="X1112" i="2" s="1"/>
  <c r="N1115" i="3"/>
  <c r="V1112" i="2" s="1"/>
  <c r="W1112" i="2" s="1"/>
  <c r="O1114" i="3"/>
  <c r="X1111" i="2" s="1"/>
  <c r="N1114" i="3"/>
  <c r="V1111" i="2" s="1"/>
  <c r="W1111" i="2" s="1"/>
  <c r="O1113" i="3"/>
  <c r="X1110" i="2" s="1"/>
  <c r="N1113" i="3"/>
  <c r="V1110" i="2" s="1"/>
  <c r="W1110" i="2" s="1"/>
  <c r="O1112" i="3"/>
  <c r="N1112" i="3"/>
  <c r="O1111" i="3"/>
  <c r="X1108" i="2" s="1"/>
  <c r="N1111" i="3"/>
  <c r="V1108" i="2" s="1"/>
  <c r="W1108" i="2" s="1"/>
  <c r="O1110" i="3"/>
  <c r="X1107" i="2" s="1"/>
  <c r="N1110" i="3"/>
  <c r="V1107" i="2" s="1"/>
  <c r="W1107" i="2" s="1"/>
  <c r="O1109" i="3"/>
  <c r="X1106" i="2" s="1"/>
  <c r="N1109" i="3"/>
  <c r="V1106" i="2" s="1"/>
  <c r="W1106" i="2" s="1"/>
  <c r="O1108" i="3"/>
  <c r="X1105" i="2" s="1"/>
  <c r="N1108" i="3"/>
  <c r="V1105" i="2" s="1"/>
  <c r="W1105" i="2" s="1"/>
  <c r="O1107" i="3"/>
  <c r="X1104" i="2" s="1"/>
  <c r="N1107" i="3"/>
  <c r="V1104" i="2" s="1"/>
  <c r="W1104" i="2" s="1"/>
  <c r="O1106" i="3"/>
  <c r="X1103" i="2" s="1"/>
  <c r="N1106" i="3"/>
  <c r="V1103" i="2" s="1"/>
  <c r="W1103" i="2" s="1"/>
  <c r="O1105" i="3"/>
  <c r="X1102" i="2" s="1"/>
  <c r="N1105" i="3"/>
  <c r="V1102" i="2" s="1"/>
  <c r="W1102" i="2" s="1"/>
  <c r="O1104" i="3"/>
  <c r="X1101" i="2" s="1"/>
  <c r="N1104" i="3"/>
  <c r="V1101" i="2" s="1"/>
  <c r="W1101" i="2" s="1"/>
  <c r="O1103" i="3"/>
  <c r="X1100" i="2" s="1"/>
  <c r="N1103" i="3"/>
  <c r="V1100" i="2" s="1"/>
  <c r="W1100" i="2" s="1"/>
  <c r="O1102" i="3"/>
  <c r="X1099" i="2" s="1"/>
  <c r="N1102" i="3"/>
  <c r="V1099" i="2" s="1"/>
  <c r="W1099" i="2" s="1"/>
  <c r="O1101" i="3"/>
  <c r="N1101" i="3"/>
  <c r="O1100" i="3"/>
  <c r="N1100" i="3"/>
  <c r="O1099" i="3"/>
  <c r="N1099" i="3"/>
  <c r="O1098" i="3"/>
  <c r="N1098" i="3"/>
  <c r="O1097" i="3"/>
  <c r="X1094" i="2" s="1"/>
  <c r="N1097" i="3"/>
  <c r="V1094" i="2" s="1"/>
  <c r="W1094" i="2" s="1"/>
  <c r="O1096" i="3"/>
  <c r="X1093" i="2" s="1"/>
  <c r="N1096" i="3"/>
  <c r="V1093" i="2" s="1"/>
  <c r="W1093" i="2" s="1"/>
  <c r="O1095" i="3"/>
  <c r="X1092" i="2" s="1"/>
  <c r="N1095" i="3"/>
  <c r="V1092" i="2" s="1"/>
  <c r="W1092" i="2" s="1"/>
  <c r="O1094" i="3"/>
  <c r="X1091" i="2" s="1"/>
  <c r="N1094" i="3"/>
  <c r="V1091" i="2" s="1"/>
  <c r="W1091" i="2" s="1"/>
  <c r="O1093" i="3"/>
  <c r="X1090" i="2" s="1"/>
  <c r="N1093" i="3"/>
  <c r="V1090" i="2" s="1"/>
  <c r="W1090" i="2" s="1"/>
  <c r="O1092" i="3"/>
  <c r="X1089" i="2" s="1"/>
  <c r="N1092" i="3"/>
  <c r="V1089" i="2" s="1"/>
  <c r="W1089" i="2" s="1"/>
  <c r="O1091" i="3"/>
  <c r="X1088" i="2" s="1"/>
  <c r="N1091" i="3"/>
  <c r="V1088" i="2" s="1"/>
  <c r="W1088" i="2" s="1"/>
  <c r="O1090" i="3"/>
  <c r="N1090" i="3"/>
  <c r="O1089" i="3"/>
  <c r="N1089" i="3"/>
  <c r="O1088" i="3"/>
  <c r="N1088" i="3"/>
  <c r="O1087" i="3"/>
  <c r="N1087" i="3"/>
  <c r="O1086" i="3"/>
  <c r="N1086" i="3"/>
  <c r="O1085" i="3"/>
  <c r="N1085" i="3"/>
  <c r="O1084" i="3"/>
  <c r="N1084" i="3"/>
  <c r="O1083" i="3"/>
  <c r="N1083" i="3"/>
  <c r="O1082" i="3"/>
  <c r="X1079" i="2" s="1"/>
  <c r="N1082" i="3"/>
  <c r="V1079" i="2" s="1"/>
  <c r="W1079" i="2" s="1"/>
  <c r="O1081" i="3"/>
  <c r="N1081" i="3"/>
  <c r="O1080" i="3"/>
  <c r="N1080" i="3"/>
  <c r="O1079" i="3"/>
  <c r="N1079" i="3"/>
  <c r="O1078" i="3"/>
  <c r="N1078" i="3"/>
  <c r="O1077" i="3"/>
  <c r="X1074" i="2" s="1"/>
  <c r="N1077" i="3"/>
  <c r="V1074" i="2" s="1"/>
  <c r="W1074" i="2" s="1"/>
  <c r="O1076" i="3"/>
  <c r="N1076" i="3"/>
  <c r="O1075" i="3"/>
  <c r="N1075" i="3"/>
  <c r="O1074" i="3"/>
  <c r="N1074" i="3"/>
  <c r="O1073" i="3"/>
  <c r="N1073" i="3"/>
  <c r="O1072" i="3"/>
  <c r="N1072" i="3"/>
  <c r="O1071" i="3"/>
  <c r="N1071" i="3"/>
  <c r="O1070" i="3"/>
  <c r="N1070" i="3"/>
  <c r="O1069" i="3"/>
  <c r="N1069" i="3"/>
  <c r="O1068" i="3"/>
  <c r="X1065" i="2" s="1"/>
  <c r="N1068" i="3"/>
  <c r="V1065" i="2" s="1"/>
  <c r="W1065" i="2" s="1"/>
  <c r="O1067" i="3"/>
  <c r="X1064" i="2" s="1"/>
  <c r="N1067" i="3"/>
  <c r="V1064" i="2" s="1"/>
  <c r="W1064" i="2" s="1"/>
  <c r="O1066" i="3"/>
  <c r="X1063" i="2" s="1"/>
  <c r="N1066" i="3"/>
  <c r="V1063" i="2" s="1"/>
  <c r="W1063" i="2" s="1"/>
  <c r="O1065" i="3"/>
  <c r="N1065" i="3"/>
  <c r="O1064" i="3"/>
  <c r="X1061" i="2" s="1"/>
  <c r="N1064" i="3"/>
  <c r="V1061" i="2" s="1"/>
  <c r="W1061" i="2" s="1"/>
  <c r="O1063" i="3"/>
  <c r="X1060" i="2" s="1"/>
  <c r="N1063" i="3"/>
  <c r="V1060" i="2" s="1"/>
  <c r="W1060" i="2" s="1"/>
  <c r="O1062" i="3"/>
  <c r="N1062" i="3"/>
  <c r="O1061" i="3"/>
  <c r="N1061" i="3"/>
  <c r="O1060" i="3"/>
  <c r="N1060" i="3"/>
  <c r="O1059" i="3"/>
  <c r="X1056" i="2" s="1"/>
  <c r="N1059" i="3"/>
  <c r="V1056" i="2" s="1"/>
  <c r="W1056" i="2" s="1"/>
  <c r="O1058" i="3"/>
  <c r="N1058" i="3"/>
  <c r="O1057" i="3"/>
  <c r="N1057" i="3"/>
  <c r="O1056" i="3"/>
  <c r="N1056" i="3"/>
  <c r="O1055" i="3"/>
  <c r="N1055" i="3"/>
  <c r="O1054" i="3"/>
  <c r="N1054" i="3"/>
  <c r="O1053" i="3"/>
  <c r="N1053" i="3"/>
  <c r="O1052" i="3"/>
  <c r="N1052" i="3"/>
  <c r="O1051" i="3"/>
  <c r="N1051" i="3"/>
  <c r="O1050" i="3"/>
  <c r="N1050" i="3"/>
  <c r="O1049" i="3"/>
  <c r="N1049" i="3"/>
  <c r="O1048" i="3"/>
  <c r="N1048" i="3"/>
  <c r="O1047" i="3"/>
  <c r="X1045" i="2" s="1"/>
  <c r="N1047" i="3"/>
  <c r="O1046" i="3"/>
  <c r="N1046" i="3"/>
  <c r="O1045" i="3"/>
  <c r="X1043" i="2" s="1"/>
  <c r="N1045" i="3"/>
  <c r="O1044" i="3"/>
  <c r="N1044" i="3"/>
  <c r="O1043" i="3"/>
  <c r="X1040" i="2" s="1"/>
  <c r="N1043" i="3"/>
  <c r="V1040" i="2" s="1"/>
  <c r="W1040" i="2" s="1"/>
  <c r="O1042" i="3"/>
  <c r="X1039" i="2" s="1"/>
  <c r="N1042" i="3"/>
  <c r="V1039" i="2" s="1"/>
  <c r="W1039" i="2" s="1"/>
  <c r="O1041" i="3"/>
  <c r="X1038" i="2" s="1"/>
  <c r="N1041" i="3"/>
  <c r="V1038" i="2" s="1"/>
  <c r="W1038" i="2" s="1"/>
  <c r="O1040" i="3"/>
  <c r="X1037" i="2" s="1"/>
  <c r="N1040" i="3"/>
  <c r="V1037" i="2" s="1"/>
  <c r="W1037" i="2" s="1"/>
  <c r="O1039" i="3"/>
  <c r="X1036" i="2" s="1"/>
  <c r="N1039" i="3"/>
  <c r="V1036" i="2" s="1"/>
  <c r="W1036" i="2" s="1"/>
  <c r="O1038" i="3"/>
  <c r="N1038" i="3"/>
  <c r="O1037" i="3"/>
  <c r="N1037" i="3"/>
  <c r="O1036" i="3"/>
  <c r="X1033" i="2" s="1"/>
  <c r="N1036" i="3"/>
  <c r="V1033" i="2" s="1"/>
  <c r="W1033" i="2" s="1"/>
  <c r="O1035" i="3"/>
  <c r="N1035" i="3"/>
  <c r="O1034" i="3"/>
  <c r="X1031" i="2" s="1"/>
  <c r="N1034" i="3"/>
  <c r="V1031" i="2" s="1"/>
  <c r="W1031" i="2" s="1"/>
  <c r="O1033" i="3"/>
  <c r="X1030" i="2" s="1"/>
  <c r="N1033" i="3"/>
  <c r="V1030" i="2" s="1"/>
  <c r="W1030" i="2" s="1"/>
  <c r="O1032" i="3"/>
  <c r="X1029" i="2" s="1"/>
  <c r="N1032" i="3"/>
  <c r="V1029" i="2" s="1"/>
  <c r="W1029" i="2" s="1"/>
  <c r="O1031" i="3"/>
  <c r="N1031" i="3"/>
  <c r="O1030" i="3"/>
  <c r="X1027" i="2" s="1"/>
  <c r="N1030" i="3"/>
  <c r="V1027" i="2" s="1"/>
  <c r="W1027" i="2" s="1"/>
  <c r="O1029" i="3"/>
  <c r="X1026" i="2" s="1"/>
  <c r="N1029" i="3"/>
  <c r="V1026" i="2" s="1"/>
  <c r="W1026" i="2" s="1"/>
  <c r="O1028" i="3"/>
  <c r="X1025" i="2" s="1"/>
  <c r="N1028" i="3"/>
  <c r="V1025" i="2" s="1"/>
  <c r="W1025" i="2" s="1"/>
  <c r="O1027" i="3"/>
  <c r="X1024" i="2" s="1"/>
  <c r="N1027" i="3"/>
  <c r="V1024" i="2" s="1"/>
  <c r="W1024" i="2" s="1"/>
  <c r="O1026" i="3"/>
  <c r="N1026" i="3"/>
  <c r="O1025" i="3"/>
  <c r="N1025" i="3"/>
  <c r="O1024" i="3"/>
  <c r="N1024" i="3"/>
  <c r="O1023" i="3"/>
  <c r="N1023" i="3"/>
  <c r="O1022" i="3"/>
  <c r="N1022" i="3"/>
  <c r="O1021" i="3"/>
  <c r="N1021" i="3"/>
  <c r="O1020" i="3"/>
  <c r="N1020" i="3"/>
  <c r="O1019" i="3"/>
  <c r="N1019" i="3"/>
  <c r="O1018" i="3"/>
  <c r="N1018" i="3"/>
  <c r="O1017" i="3"/>
  <c r="N1017" i="3"/>
  <c r="O1016" i="3"/>
  <c r="N1016" i="3"/>
  <c r="O1015" i="3"/>
  <c r="N1015" i="3"/>
  <c r="O1014" i="3"/>
  <c r="X1011" i="2" s="1"/>
  <c r="N1014" i="3"/>
  <c r="V1011" i="2" s="1"/>
  <c r="W1011" i="2" s="1"/>
  <c r="O1013" i="3"/>
  <c r="N1013" i="3"/>
  <c r="O1012" i="3"/>
  <c r="N1012" i="3"/>
  <c r="O1011" i="3"/>
  <c r="X1008" i="2" s="1"/>
  <c r="N1011" i="3"/>
  <c r="V1008" i="2" s="1"/>
  <c r="W1008" i="2" s="1"/>
  <c r="O1010" i="3"/>
  <c r="X1007" i="2" s="1"/>
  <c r="N1010" i="3"/>
  <c r="V1007" i="2" s="1"/>
  <c r="W1007" i="2" s="1"/>
  <c r="O1009" i="3"/>
  <c r="X1006" i="2" s="1"/>
  <c r="N1009" i="3"/>
  <c r="V1006" i="2" s="1"/>
  <c r="W1006" i="2" s="1"/>
  <c r="O1008" i="3"/>
  <c r="N1008" i="3"/>
  <c r="O1007" i="3"/>
  <c r="N1007" i="3"/>
  <c r="O1006" i="3"/>
  <c r="N1006" i="3"/>
  <c r="O1005" i="3"/>
  <c r="N1005" i="3"/>
  <c r="O1004" i="3"/>
  <c r="N1004" i="3"/>
  <c r="O1003" i="3"/>
  <c r="X1000" i="2" s="1"/>
  <c r="N1003" i="3"/>
  <c r="V1000" i="2" s="1"/>
  <c r="W1000" i="2" s="1"/>
  <c r="O1002" i="3"/>
  <c r="N1002" i="3"/>
  <c r="O1001" i="3"/>
  <c r="N1001" i="3"/>
  <c r="O1000" i="3"/>
  <c r="X997" i="2" s="1"/>
  <c r="N1000" i="3"/>
  <c r="O999" i="3"/>
  <c r="N999" i="3"/>
  <c r="O998" i="3"/>
  <c r="N998" i="3"/>
  <c r="O997" i="3"/>
  <c r="N997" i="3"/>
  <c r="O996" i="3"/>
  <c r="N996" i="3"/>
  <c r="O995" i="3"/>
  <c r="X992" i="2" s="1"/>
  <c r="N995" i="3"/>
  <c r="V992" i="2" s="1"/>
  <c r="W992" i="2" s="1"/>
  <c r="O994" i="3"/>
  <c r="N994" i="3"/>
  <c r="O993" i="3"/>
  <c r="X990" i="2" s="1"/>
  <c r="N993" i="3"/>
  <c r="V990" i="2" s="1"/>
  <c r="W990" i="2" s="1"/>
  <c r="O992" i="3"/>
  <c r="N992" i="3"/>
  <c r="O991" i="3"/>
  <c r="N991" i="3"/>
  <c r="O990" i="3"/>
  <c r="N990" i="3"/>
  <c r="O989" i="3"/>
  <c r="N989" i="3"/>
  <c r="O988" i="3"/>
  <c r="X985" i="2" s="1"/>
  <c r="N988" i="3"/>
  <c r="V985" i="2" s="1"/>
  <c r="W985" i="2" s="1"/>
  <c r="O987" i="3"/>
  <c r="N987" i="3"/>
  <c r="O986" i="3"/>
  <c r="X983" i="2" s="1"/>
  <c r="N986" i="3"/>
  <c r="V983" i="2" s="1"/>
  <c r="W983" i="2" s="1"/>
  <c r="O985" i="3"/>
  <c r="X982" i="2" s="1"/>
  <c r="N985" i="3"/>
  <c r="V982" i="2" s="1"/>
  <c r="W982" i="2" s="1"/>
  <c r="O984" i="3"/>
  <c r="N984" i="3"/>
  <c r="O983" i="3"/>
  <c r="N983" i="3"/>
  <c r="O982" i="3"/>
  <c r="N982" i="3"/>
  <c r="O981" i="3"/>
  <c r="N981" i="3"/>
  <c r="O980" i="3"/>
  <c r="N980" i="3"/>
  <c r="O979" i="3"/>
  <c r="N979" i="3"/>
  <c r="O978" i="3"/>
  <c r="N978" i="3"/>
  <c r="O977" i="3"/>
  <c r="N977" i="3"/>
  <c r="O976" i="3"/>
  <c r="N976" i="3"/>
  <c r="O975" i="3"/>
  <c r="N975" i="3"/>
  <c r="O974" i="3"/>
  <c r="N974" i="3"/>
  <c r="O973" i="3"/>
  <c r="X970" i="2" s="1"/>
  <c r="N973" i="3"/>
  <c r="V970" i="2" s="1"/>
  <c r="W970" i="2" s="1"/>
  <c r="O972" i="3"/>
  <c r="N972" i="3"/>
  <c r="O971" i="3"/>
  <c r="X968" i="2" s="1"/>
  <c r="N971" i="3"/>
  <c r="V968" i="2" s="1"/>
  <c r="W968" i="2" s="1"/>
  <c r="O970" i="3"/>
  <c r="X967" i="2" s="1"/>
  <c r="N970" i="3"/>
  <c r="V967" i="2" s="1"/>
  <c r="W967" i="2" s="1"/>
  <c r="O969" i="3"/>
  <c r="X966" i="2" s="1"/>
  <c r="N969" i="3"/>
  <c r="V966" i="2" s="1"/>
  <c r="W966" i="2" s="1"/>
  <c r="O968" i="3"/>
  <c r="X965" i="2" s="1"/>
  <c r="N968" i="3"/>
  <c r="V965" i="2" s="1"/>
  <c r="W965" i="2" s="1"/>
  <c r="O967" i="3"/>
  <c r="X964" i="2" s="1"/>
  <c r="N967" i="3"/>
  <c r="V964" i="2" s="1"/>
  <c r="W964" i="2" s="1"/>
  <c r="O966" i="3"/>
  <c r="X963" i="2" s="1"/>
  <c r="N966" i="3"/>
  <c r="V963" i="2" s="1"/>
  <c r="W963" i="2" s="1"/>
  <c r="O965" i="3"/>
  <c r="N965" i="3"/>
  <c r="O964" i="3"/>
  <c r="N964" i="3"/>
  <c r="O963" i="3"/>
  <c r="N963" i="3"/>
  <c r="O962" i="3"/>
  <c r="X959" i="2" s="1"/>
  <c r="N962" i="3"/>
  <c r="V959" i="2" s="1"/>
  <c r="W959" i="2" s="1"/>
  <c r="O961" i="3"/>
  <c r="X958" i="2" s="1"/>
  <c r="N961" i="3"/>
  <c r="V958" i="2" s="1"/>
  <c r="W958" i="2" s="1"/>
  <c r="O960" i="3"/>
  <c r="X957" i="2" s="1"/>
  <c r="N960" i="3"/>
  <c r="V957" i="2" s="1"/>
  <c r="W957" i="2" s="1"/>
  <c r="O959" i="3"/>
  <c r="N959" i="3"/>
  <c r="O958" i="3"/>
  <c r="X955" i="2" s="1"/>
  <c r="N958" i="3"/>
  <c r="V955" i="2" s="1"/>
  <c r="W955" i="2" s="1"/>
  <c r="O957" i="3"/>
  <c r="N957" i="3"/>
  <c r="O956" i="3"/>
  <c r="N956" i="3"/>
  <c r="O955" i="3"/>
  <c r="N955" i="3"/>
  <c r="V952" i="2" s="1"/>
  <c r="W952" i="2" s="1"/>
  <c r="O954" i="3"/>
  <c r="N954" i="3"/>
  <c r="O953" i="3"/>
  <c r="N953" i="3"/>
  <c r="O952" i="3"/>
  <c r="N952" i="3"/>
  <c r="O951" i="3"/>
  <c r="N951" i="3"/>
  <c r="O950" i="3"/>
  <c r="N950" i="3"/>
  <c r="O949" i="3"/>
  <c r="N949" i="3"/>
  <c r="O948" i="3"/>
  <c r="X945" i="2" s="1"/>
  <c r="N948" i="3"/>
  <c r="V945" i="2" s="1"/>
  <c r="W945" i="2" s="1"/>
  <c r="O947" i="3"/>
  <c r="N947" i="3"/>
  <c r="O946" i="3"/>
  <c r="N946" i="3"/>
  <c r="O945" i="3"/>
  <c r="N945" i="3"/>
  <c r="O944" i="3"/>
  <c r="N944" i="3"/>
  <c r="O943" i="3"/>
  <c r="N943" i="3"/>
  <c r="O942" i="3"/>
  <c r="N942" i="3"/>
  <c r="O941" i="3"/>
  <c r="N941" i="3"/>
  <c r="O940" i="3"/>
  <c r="N940" i="3"/>
  <c r="O939" i="3"/>
  <c r="X939" i="2" s="1"/>
  <c r="N939" i="3"/>
  <c r="O938" i="3"/>
  <c r="N938" i="3"/>
  <c r="O937" i="3"/>
  <c r="X935" i="2" s="1"/>
  <c r="N937" i="3"/>
  <c r="O936" i="3"/>
  <c r="N936" i="3"/>
  <c r="O935" i="3"/>
  <c r="N935" i="3"/>
  <c r="O934" i="3"/>
  <c r="N934" i="3"/>
  <c r="O933" i="3"/>
  <c r="N933" i="3"/>
  <c r="O932" i="3"/>
  <c r="X929" i="2" s="1"/>
  <c r="N932" i="3"/>
  <c r="V929" i="2" s="1"/>
  <c r="W929" i="2" s="1"/>
  <c r="O931" i="3"/>
  <c r="X928" i="2" s="1"/>
  <c r="N931" i="3"/>
  <c r="V928" i="2" s="1"/>
  <c r="W928" i="2" s="1"/>
  <c r="O930" i="3"/>
  <c r="X927" i="2" s="1"/>
  <c r="N930" i="3"/>
  <c r="V927" i="2" s="1"/>
  <c r="W927" i="2" s="1"/>
  <c r="O929" i="3"/>
  <c r="N929" i="3"/>
  <c r="O928" i="3"/>
  <c r="X925" i="2" s="1"/>
  <c r="N928" i="3"/>
  <c r="V925" i="2" s="1"/>
  <c r="W925" i="2" s="1"/>
  <c r="O927" i="3"/>
  <c r="X924" i="2" s="1"/>
  <c r="N927" i="3"/>
  <c r="V924" i="2" s="1"/>
  <c r="W924" i="2" s="1"/>
  <c r="O926" i="3"/>
  <c r="X923" i="2" s="1"/>
  <c r="N926" i="3"/>
  <c r="V923" i="2" s="1"/>
  <c r="W923" i="2" s="1"/>
  <c r="O925" i="3"/>
  <c r="X922" i="2" s="1"/>
  <c r="N925" i="3"/>
  <c r="V922" i="2" s="1"/>
  <c r="W922" i="2" s="1"/>
  <c r="O924" i="3"/>
  <c r="X921" i="2" s="1"/>
  <c r="N924" i="3"/>
  <c r="V921" i="2" s="1"/>
  <c r="W921" i="2" s="1"/>
  <c r="O923" i="3"/>
  <c r="N923" i="3"/>
  <c r="O922" i="3"/>
  <c r="X919" i="2" s="1"/>
  <c r="N922" i="3"/>
  <c r="V919" i="2" s="1"/>
  <c r="W919" i="2" s="1"/>
  <c r="O921" i="3"/>
  <c r="X918" i="2" s="1"/>
  <c r="N921" i="3"/>
  <c r="V918" i="2" s="1"/>
  <c r="W918" i="2" s="1"/>
  <c r="O920" i="3"/>
  <c r="X917" i="2" s="1"/>
  <c r="N920" i="3"/>
  <c r="V917" i="2" s="1"/>
  <c r="W917" i="2" s="1"/>
  <c r="O919" i="3"/>
  <c r="X916" i="2" s="1"/>
  <c r="N919" i="3"/>
  <c r="V916" i="2" s="1"/>
  <c r="W916" i="2" s="1"/>
  <c r="O918" i="3"/>
  <c r="X915" i="2" s="1"/>
  <c r="N918" i="3"/>
  <c r="V915" i="2" s="1"/>
  <c r="W915" i="2" s="1"/>
  <c r="O917" i="3"/>
  <c r="X914" i="2" s="1"/>
  <c r="N917" i="3"/>
  <c r="V914" i="2" s="1"/>
  <c r="W914" i="2" s="1"/>
  <c r="O916" i="3"/>
  <c r="X913" i="2" s="1"/>
  <c r="N916" i="3"/>
  <c r="V913" i="2" s="1"/>
  <c r="W913" i="2" s="1"/>
  <c r="O915" i="3"/>
  <c r="X912" i="2" s="1"/>
  <c r="N915" i="3"/>
  <c r="V912" i="2" s="1"/>
  <c r="W912" i="2" s="1"/>
  <c r="O914" i="3"/>
  <c r="N914" i="3"/>
  <c r="O913" i="3"/>
  <c r="N913" i="3"/>
  <c r="O912" i="3"/>
  <c r="N912" i="3"/>
  <c r="O911" i="3"/>
  <c r="N911" i="3"/>
  <c r="O910" i="3"/>
  <c r="N910" i="3"/>
  <c r="O909" i="3"/>
  <c r="N909" i="3"/>
  <c r="O908" i="3"/>
  <c r="N908" i="3"/>
  <c r="O907" i="3"/>
  <c r="N907" i="3"/>
  <c r="O906" i="3"/>
  <c r="N906" i="3"/>
  <c r="O905" i="3"/>
  <c r="N905" i="3"/>
  <c r="O904" i="3"/>
  <c r="X901" i="2" s="1"/>
  <c r="N904" i="3"/>
  <c r="V901" i="2" s="1"/>
  <c r="W901" i="2" s="1"/>
  <c r="O903" i="3"/>
  <c r="X900" i="2" s="1"/>
  <c r="N903" i="3"/>
  <c r="V900" i="2" s="1"/>
  <c r="W900" i="2" s="1"/>
  <c r="O902" i="3"/>
  <c r="N902" i="3"/>
  <c r="O901" i="3"/>
  <c r="X898" i="2" s="1"/>
  <c r="N901" i="3"/>
  <c r="V898" i="2" s="1"/>
  <c r="W898" i="2" s="1"/>
  <c r="O900" i="3"/>
  <c r="N900" i="3"/>
  <c r="O899" i="3"/>
  <c r="X896" i="2" s="1"/>
  <c r="N899" i="3"/>
  <c r="V896" i="2" s="1"/>
  <c r="W896" i="2" s="1"/>
  <c r="O898" i="3"/>
  <c r="X895" i="2" s="1"/>
  <c r="N898" i="3"/>
  <c r="V895" i="2" s="1"/>
  <c r="W895" i="2" s="1"/>
  <c r="O897" i="3"/>
  <c r="X894" i="2" s="1"/>
  <c r="N897" i="3"/>
  <c r="V894" i="2" s="1"/>
  <c r="W894" i="2" s="1"/>
  <c r="O896" i="3"/>
  <c r="X893" i="2" s="1"/>
  <c r="N896" i="3"/>
  <c r="V893" i="2" s="1"/>
  <c r="W893" i="2" s="1"/>
  <c r="O895" i="3"/>
  <c r="X892" i="2" s="1"/>
  <c r="N895" i="3"/>
  <c r="V892" i="2" s="1"/>
  <c r="W892" i="2" s="1"/>
  <c r="O894" i="3"/>
  <c r="N894" i="3"/>
  <c r="O893" i="3"/>
  <c r="N893" i="3"/>
  <c r="O892" i="3"/>
  <c r="N892" i="3"/>
  <c r="O891" i="3"/>
  <c r="N891" i="3"/>
  <c r="O890" i="3"/>
  <c r="N890" i="3"/>
  <c r="O889" i="3"/>
  <c r="N889" i="3"/>
  <c r="O888" i="3"/>
  <c r="N888" i="3"/>
  <c r="O887" i="3"/>
  <c r="X884" i="2" s="1"/>
  <c r="N887" i="3"/>
  <c r="V884" i="2" s="1"/>
  <c r="W884" i="2" s="1"/>
  <c r="O886" i="3"/>
  <c r="N886" i="3"/>
  <c r="O885" i="3"/>
  <c r="X882" i="2" s="1"/>
  <c r="N885" i="3"/>
  <c r="O884" i="3"/>
  <c r="N884" i="3"/>
  <c r="O883" i="3"/>
  <c r="X880" i="2" s="1"/>
  <c r="N883" i="3"/>
  <c r="V880" i="2" s="1"/>
  <c r="W880" i="2" s="1"/>
  <c r="O882" i="3"/>
  <c r="X879" i="2" s="1"/>
  <c r="N882" i="3"/>
  <c r="V879" i="2" s="1"/>
  <c r="W879" i="2" s="1"/>
  <c r="O881" i="3"/>
  <c r="N881" i="3"/>
  <c r="O880" i="3"/>
  <c r="N880" i="3"/>
  <c r="O879" i="3"/>
  <c r="N879" i="3"/>
  <c r="O878" i="3"/>
  <c r="N878" i="3"/>
  <c r="O877" i="3"/>
  <c r="X874" i="2" s="1"/>
  <c r="N877" i="3"/>
  <c r="V874" i="2" s="1"/>
  <c r="W874" i="2" s="1"/>
  <c r="O876" i="3"/>
  <c r="N876" i="3"/>
  <c r="O875" i="3"/>
  <c r="N875" i="3"/>
  <c r="O874" i="3"/>
  <c r="N874" i="3"/>
  <c r="O873" i="3"/>
  <c r="N873" i="3"/>
  <c r="O872" i="3"/>
  <c r="N872" i="3"/>
  <c r="O871" i="3"/>
  <c r="N871" i="3"/>
  <c r="O870" i="3"/>
  <c r="N870" i="3"/>
  <c r="O869" i="3"/>
  <c r="N869" i="3"/>
  <c r="O868" i="3"/>
  <c r="N868" i="3"/>
  <c r="O867" i="3"/>
  <c r="N867" i="3"/>
  <c r="O866" i="3"/>
  <c r="X863" i="2" s="1"/>
  <c r="N866" i="3"/>
  <c r="V863" i="2" s="1"/>
  <c r="W863" i="2" s="1"/>
  <c r="O865" i="3"/>
  <c r="X862" i="2" s="1"/>
  <c r="N865" i="3"/>
  <c r="V862" i="2" s="1"/>
  <c r="W862" i="2" s="1"/>
  <c r="O864" i="3"/>
  <c r="X861" i="2" s="1"/>
  <c r="N864" i="3"/>
  <c r="V861" i="2" s="1"/>
  <c r="W861" i="2" s="1"/>
  <c r="O863" i="3"/>
  <c r="X860" i="2" s="1"/>
  <c r="N863" i="3"/>
  <c r="V860" i="2" s="1"/>
  <c r="W860" i="2" s="1"/>
  <c r="O862" i="3"/>
  <c r="X859" i="2" s="1"/>
  <c r="N862" i="3"/>
  <c r="V859" i="2" s="1"/>
  <c r="W859" i="2" s="1"/>
  <c r="O861" i="3"/>
  <c r="X858" i="2" s="1"/>
  <c r="N861" i="3"/>
  <c r="V858" i="2" s="1"/>
  <c r="W858" i="2" s="1"/>
  <c r="O860" i="3"/>
  <c r="X857" i="2" s="1"/>
  <c r="N860" i="3"/>
  <c r="V857" i="2" s="1"/>
  <c r="W857" i="2" s="1"/>
  <c r="O859" i="3"/>
  <c r="X856" i="2" s="1"/>
  <c r="N859" i="3"/>
  <c r="V856" i="2" s="1"/>
  <c r="W856" i="2" s="1"/>
  <c r="O858" i="3"/>
  <c r="X855" i="2" s="1"/>
  <c r="N858" i="3"/>
  <c r="V855" i="2" s="1"/>
  <c r="W855" i="2" s="1"/>
  <c r="O857" i="3"/>
  <c r="N857" i="3"/>
  <c r="O856" i="3"/>
  <c r="X853" i="2" s="1"/>
  <c r="N856" i="3"/>
  <c r="V853" i="2" s="1"/>
  <c r="W853" i="2" s="1"/>
  <c r="O855" i="3"/>
  <c r="X852" i="2" s="1"/>
  <c r="N855" i="3"/>
  <c r="V852" i="2" s="1"/>
  <c r="W852" i="2" s="1"/>
  <c r="O854" i="3"/>
  <c r="N854" i="3"/>
  <c r="O853" i="3"/>
  <c r="N853" i="3"/>
  <c r="O852" i="3"/>
  <c r="N852" i="3"/>
  <c r="O851" i="3"/>
  <c r="N851" i="3"/>
  <c r="O850" i="3"/>
  <c r="N850" i="3"/>
  <c r="O849" i="3"/>
  <c r="N849" i="3"/>
  <c r="O848" i="3"/>
  <c r="X845" i="2" s="1"/>
  <c r="N848" i="3"/>
  <c r="V845" i="2" s="1"/>
  <c r="W845" i="2" s="1"/>
  <c r="O847" i="3"/>
  <c r="X844" i="2" s="1"/>
  <c r="N847" i="3"/>
  <c r="V844" i="2" s="1"/>
  <c r="W844" i="2" s="1"/>
  <c r="O846" i="3"/>
  <c r="X843" i="2" s="1"/>
  <c r="N846" i="3"/>
  <c r="V843" i="2" s="1"/>
  <c r="W843" i="2" s="1"/>
  <c r="O845" i="3"/>
  <c r="X842" i="2" s="1"/>
  <c r="N845" i="3"/>
  <c r="V842" i="2" s="1"/>
  <c r="W842" i="2" s="1"/>
  <c r="O844" i="3"/>
  <c r="X841" i="2" s="1"/>
  <c r="N844" i="3"/>
  <c r="V841" i="2" s="1"/>
  <c r="W841" i="2" s="1"/>
  <c r="O843" i="3"/>
  <c r="X840" i="2" s="1"/>
  <c r="N843" i="3"/>
  <c r="V840" i="2" s="1"/>
  <c r="W840" i="2" s="1"/>
  <c r="O842" i="3"/>
  <c r="X839" i="2" s="1"/>
  <c r="N842" i="3"/>
  <c r="V839" i="2" s="1"/>
  <c r="W839" i="2" s="1"/>
  <c r="O841" i="3"/>
  <c r="X838" i="2" s="1"/>
  <c r="N841" i="3"/>
  <c r="V838" i="2" s="1"/>
  <c r="W838" i="2" s="1"/>
  <c r="O840" i="3"/>
  <c r="X837" i="2" s="1"/>
  <c r="N840" i="3"/>
  <c r="V837" i="2" s="1"/>
  <c r="W837" i="2" s="1"/>
  <c r="O839" i="3"/>
  <c r="X836" i="2" s="1"/>
  <c r="N839" i="3"/>
  <c r="V836" i="2" s="1"/>
  <c r="W836" i="2" s="1"/>
  <c r="O838" i="3"/>
  <c r="X835" i="2" s="1"/>
  <c r="N838" i="3"/>
  <c r="V835" i="2" s="1"/>
  <c r="W835" i="2" s="1"/>
  <c r="O837" i="3"/>
  <c r="N837" i="3"/>
  <c r="O836" i="3"/>
  <c r="N836" i="3"/>
  <c r="O835" i="3"/>
  <c r="N835" i="3"/>
  <c r="O834" i="3"/>
  <c r="N834" i="3"/>
  <c r="O833" i="3"/>
  <c r="N833" i="3"/>
  <c r="O832" i="3"/>
  <c r="N832" i="3"/>
  <c r="O831" i="3"/>
  <c r="N831" i="3"/>
  <c r="O830" i="3"/>
  <c r="N830" i="3"/>
  <c r="O829" i="3"/>
  <c r="N829" i="3"/>
  <c r="O828" i="3"/>
  <c r="X825" i="2" s="1"/>
  <c r="N828" i="3"/>
  <c r="V825" i="2" s="1"/>
  <c r="W825" i="2" s="1"/>
  <c r="O827" i="3"/>
  <c r="X824" i="2" s="1"/>
  <c r="N827" i="3"/>
  <c r="V824" i="2" s="1"/>
  <c r="W824" i="2" s="1"/>
  <c r="O826" i="3"/>
  <c r="X823" i="2" s="1"/>
  <c r="N826" i="3"/>
  <c r="V823" i="2" s="1"/>
  <c r="W823" i="2" s="1"/>
  <c r="O825" i="3"/>
  <c r="X822" i="2" s="1"/>
  <c r="N825" i="3"/>
  <c r="V822" i="2" s="1"/>
  <c r="W822" i="2" s="1"/>
  <c r="O824" i="3"/>
  <c r="X821" i="2" s="1"/>
  <c r="N824" i="3"/>
  <c r="V821" i="2" s="1"/>
  <c r="W821" i="2" s="1"/>
  <c r="O823" i="3"/>
  <c r="X820" i="2" s="1"/>
  <c r="N823" i="3"/>
  <c r="V820" i="2" s="1"/>
  <c r="W820" i="2" s="1"/>
  <c r="O822" i="3"/>
  <c r="N822" i="3"/>
  <c r="O821" i="3"/>
  <c r="N821" i="3"/>
  <c r="O820" i="3"/>
  <c r="N820" i="3"/>
  <c r="O819" i="3"/>
  <c r="N819" i="3"/>
  <c r="O818" i="3"/>
  <c r="N818" i="3"/>
  <c r="O817" i="3"/>
  <c r="X814" i="2" s="1"/>
  <c r="N817" i="3"/>
  <c r="V814" i="2" s="1"/>
  <c r="W814" i="2" s="1"/>
  <c r="O816" i="3"/>
  <c r="N816" i="3"/>
  <c r="O815" i="3"/>
  <c r="X812" i="2" s="1"/>
  <c r="N815" i="3"/>
  <c r="V812" i="2" s="1"/>
  <c r="W812" i="2" s="1"/>
  <c r="O814" i="3"/>
  <c r="N814" i="3"/>
  <c r="O813" i="3"/>
  <c r="X810" i="2" s="1"/>
  <c r="N813" i="3"/>
  <c r="V810" i="2" s="1"/>
  <c r="W810" i="2" s="1"/>
  <c r="O812" i="3"/>
  <c r="X809" i="2" s="1"/>
  <c r="N812" i="3"/>
  <c r="V809" i="2" s="1"/>
  <c r="W809" i="2" s="1"/>
  <c r="O811" i="3"/>
  <c r="N811" i="3"/>
  <c r="O810" i="3"/>
  <c r="N810" i="3"/>
  <c r="O809" i="3"/>
  <c r="X806" i="2" s="1"/>
  <c r="N809" i="3"/>
  <c r="V806" i="2" s="1"/>
  <c r="W806" i="2" s="1"/>
  <c r="O808" i="3"/>
  <c r="N808" i="3"/>
  <c r="O807" i="3"/>
  <c r="N807" i="3"/>
  <c r="O806" i="3"/>
  <c r="N806" i="3"/>
  <c r="O805" i="3"/>
  <c r="N805" i="3"/>
  <c r="O804" i="3"/>
  <c r="X801" i="2" s="1"/>
  <c r="N804" i="3"/>
  <c r="V801" i="2" s="1"/>
  <c r="W801" i="2" s="1"/>
  <c r="O803" i="3"/>
  <c r="X800" i="2" s="1"/>
  <c r="N803" i="3"/>
  <c r="V800" i="2" s="1"/>
  <c r="W800" i="2" s="1"/>
  <c r="O802" i="3"/>
  <c r="X799" i="2" s="1"/>
  <c r="N802" i="3"/>
  <c r="V799" i="2" s="1"/>
  <c r="W799" i="2" s="1"/>
  <c r="O801" i="3"/>
  <c r="X798" i="2" s="1"/>
  <c r="N801" i="3"/>
  <c r="V798" i="2" s="1"/>
  <c r="W798" i="2" s="1"/>
  <c r="O800" i="3"/>
  <c r="N800" i="3"/>
  <c r="O799" i="3"/>
  <c r="N799" i="3"/>
  <c r="O798" i="3"/>
  <c r="N798" i="3"/>
  <c r="O797" i="3"/>
  <c r="N797" i="3"/>
  <c r="O796" i="3"/>
  <c r="N796" i="3"/>
  <c r="O795" i="3"/>
  <c r="N795" i="3"/>
  <c r="O794" i="3"/>
  <c r="N794" i="3"/>
  <c r="O793" i="3"/>
  <c r="N793" i="3"/>
  <c r="O792" i="3"/>
  <c r="X789" i="2" s="1"/>
  <c r="N792" i="3"/>
  <c r="V789" i="2" s="1"/>
  <c r="W789" i="2" s="1"/>
  <c r="O791" i="3"/>
  <c r="X788" i="2" s="1"/>
  <c r="N791" i="3"/>
  <c r="V788" i="2" s="1"/>
  <c r="W788" i="2" s="1"/>
  <c r="O790" i="3"/>
  <c r="N790" i="3"/>
  <c r="O789" i="3"/>
  <c r="N789" i="3"/>
  <c r="O788" i="3"/>
  <c r="X785" i="2" s="1"/>
  <c r="N788" i="3"/>
  <c r="V785" i="2" s="1"/>
  <c r="W785" i="2" s="1"/>
  <c r="O787" i="3"/>
  <c r="X784" i="2" s="1"/>
  <c r="N787" i="3"/>
  <c r="V784" i="2" s="1"/>
  <c r="W784" i="2" s="1"/>
  <c r="O786" i="3"/>
  <c r="X783" i="2" s="1"/>
  <c r="N786" i="3"/>
  <c r="V783" i="2" s="1"/>
  <c r="W783" i="2" s="1"/>
  <c r="O785" i="3"/>
  <c r="X782" i="2" s="1"/>
  <c r="N785" i="3"/>
  <c r="V782" i="2" s="1"/>
  <c r="W782" i="2" s="1"/>
  <c r="O784" i="3"/>
  <c r="X781" i="2" s="1"/>
  <c r="N784" i="3"/>
  <c r="V781" i="2" s="1"/>
  <c r="W781" i="2" s="1"/>
  <c r="O783" i="3"/>
  <c r="X780" i="2" s="1"/>
  <c r="N783" i="3"/>
  <c r="V780" i="2" s="1"/>
  <c r="W780" i="2" s="1"/>
  <c r="O782" i="3"/>
  <c r="N782" i="3"/>
  <c r="O781" i="3"/>
  <c r="N781" i="3"/>
  <c r="O780" i="3"/>
  <c r="N780" i="3"/>
  <c r="O779" i="3"/>
  <c r="N779" i="3"/>
  <c r="O778" i="3"/>
  <c r="N778" i="3"/>
  <c r="O777" i="3"/>
  <c r="N777" i="3"/>
  <c r="O776" i="3"/>
  <c r="N776" i="3"/>
  <c r="V773" i="2" s="1"/>
  <c r="W773" i="2" s="1"/>
  <c r="O775" i="3"/>
  <c r="N775" i="3"/>
  <c r="O774" i="3"/>
  <c r="X771" i="2" s="1"/>
  <c r="N774" i="3"/>
  <c r="V771" i="2" s="1"/>
  <c r="W771" i="2" s="1"/>
  <c r="O773" i="3"/>
  <c r="X770" i="2" s="1"/>
  <c r="N773" i="3"/>
  <c r="V770" i="2" s="1"/>
  <c r="W770" i="2" s="1"/>
  <c r="O772" i="3"/>
  <c r="X769" i="2" s="1"/>
  <c r="N772" i="3"/>
  <c r="V769" i="2" s="1"/>
  <c r="W769" i="2" s="1"/>
  <c r="O771" i="3"/>
  <c r="X768" i="2" s="1"/>
  <c r="N771" i="3"/>
  <c r="V768" i="2" s="1"/>
  <c r="W768" i="2" s="1"/>
  <c r="O770" i="3"/>
  <c r="X767" i="2" s="1"/>
  <c r="N770" i="3"/>
  <c r="V767" i="2" s="1"/>
  <c r="W767" i="2" s="1"/>
  <c r="O769" i="3"/>
  <c r="N769" i="3"/>
  <c r="O768" i="3"/>
  <c r="N768" i="3"/>
  <c r="O767" i="3"/>
  <c r="N767" i="3"/>
  <c r="O766" i="3"/>
  <c r="N766" i="3"/>
  <c r="O765" i="3"/>
  <c r="N765" i="3"/>
  <c r="O764" i="3"/>
  <c r="N764" i="3"/>
  <c r="O763" i="3"/>
  <c r="N763" i="3"/>
  <c r="O762" i="3"/>
  <c r="N762" i="3"/>
  <c r="O761" i="3"/>
  <c r="N761" i="3"/>
  <c r="O760" i="3"/>
  <c r="N760" i="3"/>
  <c r="O759" i="3"/>
  <c r="N759" i="3"/>
  <c r="O758" i="3"/>
  <c r="N758" i="3"/>
  <c r="O757" i="3"/>
  <c r="X754" i="2" s="1"/>
  <c r="N757" i="3"/>
  <c r="V754" i="2" s="1"/>
  <c r="W754" i="2" s="1"/>
  <c r="O756" i="3"/>
  <c r="X753" i="2" s="1"/>
  <c r="N756" i="3"/>
  <c r="V753" i="2" s="1"/>
  <c r="W753" i="2" s="1"/>
  <c r="O755" i="3"/>
  <c r="N755" i="3"/>
  <c r="O754" i="3"/>
  <c r="N754" i="3"/>
  <c r="O753" i="3"/>
  <c r="X750" i="2" s="1"/>
  <c r="N753" i="3"/>
  <c r="V750" i="2" s="1"/>
  <c r="W750" i="2" s="1"/>
  <c r="O752" i="3"/>
  <c r="X749" i="2" s="1"/>
  <c r="N752" i="3"/>
  <c r="V749" i="2" s="1"/>
  <c r="W749" i="2" s="1"/>
  <c r="O751" i="3"/>
  <c r="X748" i="2" s="1"/>
  <c r="N751" i="3"/>
  <c r="V748" i="2" s="1"/>
  <c r="W748" i="2" s="1"/>
  <c r="O750" i="3"/>
  <c r="X747" i="2" s="1"/>
  <c r="N750" i="3"/>
  <c r="V747" i="2" s="1"/>
  <c r="W747" i="2" s="1"/>
  <c r="O749" i="3"/>
  <c r="N749" i="3"/>
  <c r="O748" i="3"/>
  <c r="X745" i="2" s="1"/>
  <c r="N748" i="3"/>
  <c r="O747" i="3"/>
  <c r="N747" i="3"/>
  <c r="O746" i="3"/>
  <c r="N746" i="3"/>
  <c r="O745" i="3"/>
  <c r="N745" i="3"/>
  <c r="O744" i="3"/>
  <c r="N744" i="3"/>
  <c r="O743" i="3"/>
  <c r="X740" i="2" s="1"/>
  <c r="N743" i="3"/>
  <c r="V740" i="2" s="1"/>
  <c r="W740" i="2" s="1"/>
  <c r="O742" i="3"/>
  <c r="N742" i="3"/>
  <c r="O741" i="3"/>
  <c r="X738" i="2" s="1"/>
  <c r="N741" i="3"/>
  <c r="O740" i="3"/>
  <c r="X737" i="2" s="1"/>
  <c r="N740" i="3"/>
  <c r="V737" i="2" s="1"/>
  <c r="W737" i="2" s="1"/>
  <c r="O739" i="3"/>
  <c r="N739" i="3"/>
  <c r="O738" i="3"/>
  <c r="N738" i="3"/>
  <c r="O737" i="3"/>
  <c r="N737" i="3"/>
  <c r="O736" i="3"/>
  <c r="N736" i="3"/>
  <c r="O735" i="3"/>
  <c r="N735" i="3"/>
  <c r="O734" i="3"/>
  <c r="N734" i="3"/>
  <c r="O733" i="3"/>
  <c r="N733" i="3"/>
  <c r="O732" i="3"/>
  <c r="N732" i="3"/>
  <c r="O731" i="3"/>
  <c r="X728" i="2" s="1"/>
  <c r="N731" i="3"/>
  <c r="V728" i="2" s="1"/>
  <c r="W728" i="2" s="1"/>
  <c r="O730" i="3"/>
  <c r="N730" i="3"/>
  <c r="O729" i="3"/>
  <c r="X726" i="2" s="1"/>
  <c r="N729" i="3"/>
  <c r="V726" i="2" s="1"/>
  <c r="W726" i="2" s="1"/>
  <c r="O728" i="3"/>
  <c r="X725" i="2" s="1"/>
  <c r="N728" i="3"/>
  <c r="V725" i="2" s="1"/>
  <c r="W725" i="2" s="1"/>
  <c r="O727" i="3"/>
  <c r="X724" i="2" s="1"/>
  <c r="N727" i="3"/>
  <c r="V724" i="2" s="1"/>
  <c r="W724" i="2" s="1"/>
  <c r="O726" i="3"/>
  <c r="X723" i="2" s="1"/>
  <c r="N726" i="3"/>
  <c r="V723" i="2" s="1"/>
  <c r="W723" i="2" s="1"/>
  <c r="O725" i="3"/>
  <c r="X722" i="2" s="1"/>
  <c r="N725" i="3"/>
  <c r="V722" i="2" s="1"/>
  <c r="W722" i="2" s="1"/>
  <c r="O724" i="3"/>
  <c r="X721" i="2" s="1"/>
  <c r="N724" i="3"/>
  <c r="V721" i="2" s="1"/>
  <c r="W721" i="2" s="1"/>
  <c r="O723" i="3"/>
  <c r="X720" i="2" s="1"/>
  <c r="N723" i="3"/>
  <c r="V720" i="2" s="1"/>
  <c r="W720" i="2" s="1"/>
  <c r="O722" i="3"/>
  <c r="X719" i="2" s="1"/>
  <c r="N722" i="3"/>
  <c r="V719" i="2" s="1"/>
  <c r="W719" i="2" s="1"/>
  <c r="O721" i="3"/>
  <c r="X718" i="2" s="1"/>
  <c r="N721" i="3"/>
  <c r="V718" i="2" s="1"/>
  <c r="W718" i="2" s="1"/>
  <c r="O720" i="3"/>
  <c r="N720" i="3"/>
  <c r="O719" i="3"/>
  <c r="X716" i="2" s="1"/>
  <c r="N719" i="3"/>
  <c r="V716" i="2" s="1"/>
  <c r="W716" i="2" s="1"/>
  <c r="O718" i="3"/>
  <c r="N718" i="3"/>
  <c r="O717" i="3"/>
  <c r="X714" i="2" s="1"/>
  <c r="N717" i="3"/>
  <c r="V714" i="2" s="1"/>
  <c r="W714" i="2" s="1"/>
  <c r="O716" i="3"/>
  <c r="N716" i="3"/>
  <c r="O715" i="3"/>
  <c r="X712" i="2" s="1"/>
  <c r="N715" i="3"/>
  <c r="V712" i="2" s="1"/>
  <c r="W712" i="2" s="1"/>
  <c r="O714" i="3"/>
  <c r="N714" i="3"/>
  <c r="O713" i="3"/>
  <c r="N713" i="3"/>
  <c r="O712" i="3"/>
  <c r="N712" i="3"/>
  <c r="O711" i="3"/>
  <c r="N711" i="3"/>
  <c r="O710" i="3"/>
  <c r="N710" i="3"/>
  <c r="O709" i="3"/>
  <c r="N709" i="3"/>
  <c r="O708" i="3"/>
  <c r="N708" i="3"/>
  <c r="O707" i="3"/>
  <c r="N707" i="3"/>
  <c r="O706" i="3"/>
  <c r="N706" i="3"/>
  <c r="V703" i="2" s="1"/>
  <c r="W703" i="2" s="1"/>
  <c r="O705" i="3"/>
  <c r="N705" i="3"/>
  <c r="O704" i="3"/>
  <c r="N704" i="3"/>
  <c r="O703" i="3"/>
  <c r="N703" i="3"/>
  <c r="O702" i="3"/>
  <c r="N702" i="3"/>
  <c r="O701" i="3"/>
  <c r="N701" i="3"/>
  <c r="O700" i="3"/>
  <c r="N700" i="3"/>
  <c r="O699" i="3"/>
  <c r="N699" i="3"/>
  <c r="O698" i="3"/>
  <c r="N698" i="3"/>
  <c r="O697" i="3"/>
  <c r="X694" i="2" s="1"/>
  <c r="N697" i="3"/>
  <c r="V694" i="2" s="1"/>
  <c r="W694" i="2" s="1"/>
  <c r="O696" i="3"/>
  <c r="X693" i="2" s="1"/>
  <c r="N696" i="3"/>
  <c r="V693" i="2" s="1"/>
  <c r="W693" i="2" s="1"/>
  <c r="O695" i="3"/>
  <c r="X692" i="2" s="1"/>
  <c r="N695" i="3"/>
  <c r="V692" i="2" s="1"/>
  <c r="W692" i="2" s="1"/>
  <c r="O694" i="3"/>
  <c r="X691" i="2" s="1"/>
  <c r="N694" i="3"/>
  <c r="V691" i="2" s="1"/>
  <c r="W691" i="2" s="1"/>
  <c r="O693" i="3"/>
  <c r="X690" i="2" s="1"/>
  <c r="N693" i="3"/>
  <c r="V690" i="2" s="1"/>
  <c r="W690" i="2" s="1"/>
  <c r="O692" i="3"/>
  <c r="N692" i="3"/>
  <c r="O691" i="3"/>
  <c r="N691" i="3"/>
  <c r="O690" i="3"/>
  <c r="X687" i="2" s="1"/>
  <c r="N690" i="3"/>
  <c r="V687" i="2" s="1"/>
  <c r="W687" i="2" s="1"/>
  <c r="O689" i="3"/>
  <c r="X686" i="2" s="1"/>
  <c r="N689" i="3"/>
  <c r="V686" i="2" s="1"/>
  <c r="W686" i="2" s="1"/>
  <c r="O688" i="3"/>
  <c r="X685" i="2" s="1"/>
  <c r="N688" i="3"/>
  <c r="V685" i="2" s="1"/>
  <c r="W685" i="2" s="1"/>
  <c r="O687" i="3"/>
  <c r="X684" i="2" s="1"/>
  <c r="N687" i="3"/>
  <c r="V684" i="2" s="1"/>
  <c r="W684" i="2" s="1"/>
  <c r="O686" i="3"/>
  <c r="N686" i="3"/>
  <c r="O685" i="3"/>
  <c r="N685" i="3"/>
  <c r="O684" i="3"/>
  <c r="N684" i="3"/>
  <c r="O683" i="3"/>
  <c r="X680" i="2" s="1"/>
  <c r="N683" i="3"/>
  <c r="O682" i="3"/>
  <c r="X679" i="2" s="1"/>
  <c r="N682" i="3"/>
  <c r="V679" i="2" s="1"/>
  <c r="W679" i="2" s="1"/>
  <c r="O681" i="3"/>
  <c r="X678" i="2" s="1"/>
  <c r="N681" i="3"/>
  <c r="V678" i="2" s="1"/>
  <c r="W678" i="2" s="1"/>
  <c r="O680" i="3"/>
  <c r="X677" i="2" s="1"/>
  <c r="N680" i="3"/>
  <c r="V677" i="2" s="1"/>
  <c r="W677" i="2" s="1"/>
  <c r="O679" i="3"/>
  <c r="N679" i="3"/>
  <c r="O678" i="3"/>
  <c r="N678" i="3"/>
  <c r="O677" i="3"/>
  <c r="N677" i="3"/>
  <c r="V674" i="2" s="1"/>
  <c r="W674" i="2" s="1"/>
  <c r="O676" i="3"/>
  <c r="X673" i="2" s="1"/>
  <c r="N676" i="3"/>
  <c r="V673" i="2" s="1"/>
  <c r="W673" i="2" s="1"/>
  <c r="O675" i="3"/>
  <c r="X672" i="2" s="1"/>
  <c r="N675" i="3"/>
  <c r="V672" i="2" s="1"/>
  <c r="W672" i="2" s="1"/>
  <c r="O674" i="3"/>
  <c r="X671" i="2" s="1"/>
  <c r="N674" i="3"/>
  <c r="V671" i="2" s="1"/>
  <c r="W671" i="2" s="1"/>
  <c r="O673" i="3"/>
  <c r="X670" i="2" s="1"/>
  <c r="N673" i="3"/>
  <c r="V670" i="2" s="1"/>
  <c r="W670" i="2" s="1"/>
  <c r="O672" i="3"/>
  <c r="X669" i="2" s="1"/>
  <c r="N672" i="3"/>
  <c r="V669" i="2" s="1"/>
  <c r="W669" i="2" s="1"/>
  <c r="O671" i="3"/>
  <c r="X668" i="2" s="1"/>
  <c r="N671" i="3"/>
  <c r="V668" i="2" s="1"/>
  <c r="W668" i="2" s="1"/>
  <c r="O670" i="3"/>
  <c r="N670" i="3"/>
  <c r="O669" i="3"/>
  <c r="N669" i="3"/>
  <c r="O668" i="3"/>
  <c r="X665" i="2" s="1"/>
  <c r="N668" i="3"/>
  <c r="V665" i="2" s="1"/>
  <c r="W665" i="2" s="1"/>
  <c r="O667" i="3"/>
  <c r="X664" i="2" s="1"/>
  <c r="N667" i="3"/>
  <c r="V664" i="2" s="1"/>
  <c r="W664" i="2" s="1"/>
  <c r="O666" i="3"/>
  <c r="N666" i="3"/>
  <c r="O665" i="3"/>
  <c r="N665" i="3"/>
  <c r="O664" i="3"/>
  <c r="N664" i="3"/>
  <c r="O663" i="3"/>
  <c r="X660" i="2" s="1"/>
  <c r="N663" i="3"/>
  <c r="O662" i="3"/>
  <c r="N662" i="3"/>
  <c r="O661" i="3"/>
  <c r="N661" i="3"/>
  <c r="O660" i="3"/>
  <c r="X657" i="2" s="1"/>
  <c r="N660" i="3"/>
  <c r="V657" i="2" s="1"/>
  <c r="W657" i="2" s="1"/>
  <c r="O659" i="3"/>
  <c r="X656" i="2" s="1"/>
  <c r="N659" i="3"/>
  <c r="V656" i="2" s="1"/>
  <c r="W656" i="2" s="1"/>
  <c r="O658" i="3"/>
  <c r="N658" i="3"/>
  <c r="O657" i="3"/>
  <c r="X654" i="2" s="1"/>
  <c r="N657" i="3"/>
  <c r="O656" i="3"/>
  <c r="N656" i="3"/>
  <c r="O655" i="3"/>
  <c r="N655" i="3"/>
  <c r="O654" i="3"/>
  <c r="N654" i="3"/>
  <c r="O653" i="3"/>
  <c r="N653" i="3"/>
  <c r="O652" i="3"/>
  <c r="N652" i="3"/>
  <c r="O651" i="3"/>
  <c r="X648" i="2" s="1"/>
  <c r="N651" i="3"/>
  <c r="V648" i="2" s="1"/>
  <c r="W648" i="2" s="1"/>
  <c r="O650" i="3"/>
  <c r="N650" i="3"/>
  <c r="O649" i="3"/>
  <c r="X646" i="2" s="1"/>
  <c r="N649" i="3"/>
  <c r="V646" i="2" s="1"/>
  <c r="W646" i="2" s="1"/>
  <c r="O648" i="3"/>
  <c r="X645" i="2" s="1"/>
  <c r="N648" i="3"/>
  <c r="V645" i="2" s="1"/>
  <c r="W645" i="2" s="1"/>
  <c r="O647" i="3"/>
  <c r="X644" i="2" s="1"/>
  <c r="N647" i="3"/>
  <c r="V644" i="2" s="1"/>
  <c r="W644" i="2" s="1"/>
  <c r="O646" i="3"/>
  <c r="N646" i="3"/>
  <c r="O645" i="3"/>
  <c r="X642" i="2" s="1"/>
  <c r="N645" i="3"/>
  <c r="O644" i="3"/>
  <c r="N644" i="3"/>
  <c r="O643" i="3"/>
  <c r="N643" i="3"/>
  <c r="O642" i="3"/>
  <c r="X639" i="2" s="1"/>
  <c r="N642" i="3"/>
  <c r="V639" i="2" s="1"/>
  <c r="W639" i="2" s="1"/>
  <c r="O641" i="3"/>
  <c r="X638" i="2" s="1"/>
  <c r="N641" i="3"/>
  <c r="V638" i="2" s="1"/>
  <c r="W638" i="2" s="1"/>
  <c r="O640" i="3"/>
  <c r="X637" i="2" s="1"/>
  <c r="N640" i="3"/>
  <c r="V637" i="2" s="1"/>
  <c r="W637" i="2" s="1"/>
  <c r="O639" i="3"/>
  <c r="X636" i="2" s="1"/>
  <c r="N639" i="3"/>
  <c r="V636" i="2" s="1"/>
  <c r="W636" i="2" s="1"/>
  <c r="O638" i="3"/>
  <c r="X635" i="2" s="1"/>
  <c r="N638" i="3"/>
  <c r="V635" i="2" s="1"/>
  <c r="W635" i="2" s="1"/>
  <c r="O637" i="3"/>
  <c r="N637" i="3"/>
  <c r="O636" i="3"/>
  <c r="N636" i="3"/>
  <c r="O635" i="3"/>
  <c r="N635" i="3"/>
  <c r="O634" i="3"/>
  <c r="X630" i="2" s="1"/>
  <c r="N634" i="3"/>
  <c r="O633" i="3"/>
  <c r="X629" i="2" s="1"/>
  <c r="N633" i="3"/>
  <c r="V629" i="2" s="1"/>
  <c r="W629" i="2" s="1"/>
  <c r="O632" i="3"/>
  <c r="N632" i="3"/>
  <c r="O631" i="3"/>
  <c r="N631" i="3"/>
  <c r="O630" i="3"/>
  <c r="N630" i="3"/>
  <c r="O629" i="3"/>
  <c r="X625" i="2" s="1"/>
  <c r="N629" i="3"/>
  <c r="V625" i="2" s="1"/>
  <c r="W625" i="2" s="1"/>
  <c r="O628" i="3"/>
  <c r="X633" i="2" s="1"/>
  <c r="N628" i="3"/>
  <c r="V633" i="2" s="1"/>
  <c r="W633" i="2" s="1"/>
  <c r="O627" i="3"/>
  <c r="X624" i="2" s="1"/>
  <c r="N627" i="3"/>
  <c r="V624" i="2" s="1"/>
  <c r="W624" i="2" s="1"/>
  <c r="O626" i="3"/>
  <c r="X623" i="2" s="1"/>
  <c r="N626" i="3"/>
  <c r="V623" i="2" s="1"/>
  <c r="W623" i="2" s="1"/>
  <c r="O625" i="3"/>
  <c r="X622" i="2" s="1"/>
  <c r="N625" i="3"/>
  <c r="V622" i="2" s="1"/>
  <c r="W622" i="2" s="1"/>
  <c r="O624" i="3"/>
  <c r="N624" i="3"/>
  <c r="O623" i="3"/>
  <c r="N623" i="3"/>
  <c r="O622" i="3"/>
  <c r="N622" i="3"/>
  <c r="O621" i="3"/>
  <c r="X618" i="2" s="1"/>
  <c r="N621" i="3"/>
  <c r="V618" i="2" s="1"/>
  <c r="W618" i="2" s="1"/>
  <c r="O620" i="3"/>
  <c r="N620" i="3"/>
  <c r="O619" i="3"/>
  <c r="N619" i="3"/>
  <c r="O618" i="3"/>
  <c r="N618" i="3"/>
  <c r="O617" i="3"/>
  <c r="N617" i="3"/>
  <c r="O616" i="3"/>
  <c r="N616" i="3"/>
  <c r="O615" i="3"/>
  <c r="X612" i="2" s="1"/>
  <c r="N615" i="3"/>
  <c r="O614" i="3"/>
  <c r="N614" i="3"/>
  <c r="O613" i="3"/>
  <c r="X610" i="2" s="1"/>
  <c r="N613" i="3"/>
  <c r="V610" i="2" s="1"/>
  <c r="W610" i="2" s="1"/>
  <c r="O612" i="3"/>
  <c r="X609" i="2" s="1"/>
  <c r="N612" i="3"/>
  <c r="V609" i="2" s="1"/>
  <c r="W609" i="2" s="1"/>
  <c r="O611" i="3"/>
  <c r="X608" i="2" s="1"/>
  <c r="N611" i="3"/>
  <c r="V608" i="2" s="1"/>
  <c r="W608" i="2" s="1"/>
  <c r="O610" i="3"/>
  <c r="N610" i="3"/>
  <c r="O609" i="3"/>
  <c r="X606" i="2" s="1"/>
  <c r="N609" i="3"/>
  <c r="O608" i="3"/>
  <c r="N608" i="3"/>
  <c r="O607" i="3"/>
  <c r="N607" i="3"/>
  <c r="O606" i="3"/>
  <c r="N606" i="3"/>
  <c r="O605" i="3"/>
  <c r="N605" i="3"/>
  <c r="O604" i="3"/>
  <c r="N604" i="3"/>
  <c r="O603" i="3"/>
  <c r="N603" i="3"/>
  <c r="O602" i="3"/>
  <c r="X599" i="2" s="1"/>
  <c r="N602" i="3"/>
  <c r="V599" i="2" s="1"/>
  <c r="W599" i="2" s="1"/>
  <c r="O601" i="3"/>
  <c r="X598" i="2" s="1"/>
  <c r="N601" i="3"/>
  <c r="V598" i="2" s="1"/>
  <c r="W598" i="2" s="1"/>
  <c r="O600" i="3"/>
  <c r="X597" i="2" s="1"/>
  <c r="N600" i="3"/>
  <c r="V597" i="2" s="1"/>
  <c r="W597" i="2" s="1"/>
  <c r="O599" i="3"/>
  <c r="N599" i="3"/>
  <c r="O598" i="3"/>
  <c r="N598" i="3"/>
  <c r="O597" i="3"/>
  <c r="X594" i="2" s="1"/>
  <c r="N597" i="3"/>
  <c r="O596" i="3"/>
  <c r="N596" i="3"/>
  <c r="O595" i="3"/>
  <c r="N595" i="3"/>
  <c r="O594" i="3"/>
  <c r="N594" i="3"/>
  <c r="O593" i="3"/>
  <c r="N593" i="3"/>
  <c r="O592" i="3"/>
  <c r="N592" i="3"/>
  <c r="O591" i="3"/>
  <c r="X588" i="2" s="1"/>
  <c r="N591" i="3"/>
  <c r="V588" i="2" s="1"/>
  <c r="W588" i="2" s="1"/>
  <c r="O590" i="3"/>
  <c r="X587" i="2" s="1"/>
  <c r="N590" i="3"/>
  <c r="V587" i="2" s="1"/>
  <c r="W587" i="2" s="1"/>
  <c r="O589" i="3"/>
  <c r="N589" i="3"/>
  <c r="O588" i="3"/>
  <c r="X585" i="2" s="1"/>
  <c r="N588" i="3"/>
  <c r="V585" i="2" s="1"/>
  <c r="W585" i="2" s="1"/>
  <c r="O587" i="3"/>
  <c r="X584" i="2" s="1"/>
  <c r="N587" i="3"/>
  <c r="V584" i="2" s="1"/>
  <c r="W584" i="2" s="1"/>
  <c r="O586" i="3"/>
  <c r="X583" i="2" s="1"/>
  <c r="N586" i="3"/>
  <c r="V583" i="2" s="1"/>
  <c r="W583" i="2" s="1"/>
  <c r="O585" i="3"/>
  <c r="N585" i="3"/>
  <c r="O584" i="3"/>
  <c r="X581" i="2" s="1"/>
  <c r="N584" i="3"/>
  <c r="V581" i="2" s="1"/>
  <c r="W581" i="2" s="1"/>
  <c r="O583" i="3"/>
  <c r="X580" i="2" s="1"/>
  <c r="N583" i="3"/>
  <c r="V580" i="2" s="1"/>
  <c r="W580" i="2" s="1"/>
  <c r="O582" i="3"/>
  <c r="X579" i="2" s="1"/>
  <c r="N582" i="3"/>
  <c r="V579" i="2" s="1"/>
  <c r="W579" i="2" s="1"/>
  <c r="O581" i="3"/>
  <c r="X578" i="2" s="1"/>
  <c r="N581" i="3"/>
  <c r="V578" i="2" s="1"/>
  <c r="W578" i="2" s="1"/>
  <c r="O580" i="3"/>
  <c r="X577" i="2" s="1"/>
  <c r="N580" i="3"/>
  <c r="V577" i="2" s="1"/>
  <c r="W577" i="2" s="1"/>
  <c r="O579" i="3"/>
  <c r="X576" i="2" s="1"/>
  <c r="N579" i="3"/>
  <c r="V576" i="2" s="1"/>
  <c r="W576" i="2" s="1"/>
  <c r="O578" i="3"/>
  <c r="N578" i="3"/>
  <c r="O577" i="3"/>
  <c r="N577" i="3"/>
  <c r="O576" i="3"/>
  <c r="N576" i="3"/>
  <c r="O575" i="3"/>
  <c r="N575" i="3"/>
  <c r="O574" i="3"/>
  <c r="X571" i="2" s="1"/>
  <c r="N574" i="3"/>
  <c r="V571" i="2" s="1"/>
  <c r="W571" i="2" s="1"/>
  <c r="O573" i="3"/>
  <c r="X570" i="2" s="1"/>
  <c r="N573" i="3"/>
  <c r="V570" i="2" s="1"/>
  <c r="W570" i="2" s="1"/>
  <c r="O572" i="3"/>
  <c r="X569" i="2" s="1"/>
  <c r="N572" i="3"/>
  <c r="V569" i="2" s="1"/>
  <c r="W569" i="2" s="1"/>
  <c r="O571" i="3"/>
  <c r="X568" i="2" s="1"/>
  <c r="N571" i="3"/>
  <c r="V568" i="2" s="1"/>
  <c r="W568" i="2" s="1"/>
  <c r="O570" i="3"/>
  <c r="X567" i="2" s="1"/>
  <c r="N570" i="3"/>
  <c r="V567" i="2" s="1"/>
  <c r="W567" i="2" s="1"/>
  <c r="O569" i="3"/>
  <c r="X566" i="2" s="1"/>
  <c r="N569" i="3"/>
  <c r="V566" i="2" s="1"/>
  <c r="W566" i="2" s="1"/>
  <c r="O568" i="3"/>
  <c r="N568" i="3"/>
  <c r="O567" i="3"/>
  <c r="X564" i="2" s="1"/>
  <c r="N567" i="3"/>
  <c r="V564" i="2" s="1"/>
  <c r="W564" i="2" s="1"/>
  <c r="O566" i="3"/>
  <c r="X563" i="2" s="1"/>
  <c r="N566" i="3"/>
  <c r="V563" i="2" s="1"/>
  <c r="W563" i="2" s="1"/>
  <c r="O565" i="3"/>
  <c r="N565" i="3"/>
  <c r="O564" i="3"/>
  <c r="N564" i="3"/>
  <c r="O563" i="3"/>
  <c r="N563" i="3"/>
  <c r="O562" i="3"/>
  <c r="N562" i="3"/>
  <c r="O561" i="3"/>
  <c r="X558" i="2" s="1"/>
  <c r="N561" i="3"/>
  <c r="O560" i="3"/>
  <c r="N560" i="3"/>
  <c r="O559" i="3"/>
  <c r="N559" i="3"/>
  <c r="O558" i="3"/>
  <c r="N558" i="3"/>
  <c r="O557" i="3"/>
  <c r="N557" i="3"/>
  <c r="O556" i="3"/>
  <c r="N556" i="3"/>
  <c r="O555" i="3"/>
  <c r="X552" i="2" s="1"/>
  <c r="N555" i="3"/>
  <c r="O554" i="3"/>
  <c r="N554" i="3"/>
  <c r="O553" i="3"/>
  <c r="N553" i="3"/>
  <c r="O552" i="3"/>
  <c r="N552" i="3"/>
  <c r="O551" i="3"/>
  <c r="N551" i="3"/>
  <c r="O550" i="3"/>
  <c r="N550" i="3"/>
  <c r="O549" i="3"/>
  <c r="X550" i="2" s="1"/>
  <c r="N549" i="3"/>
  <c r="V550" i="2" s="1"/>
  <c r="W550" i="2" s="1"/>
  <c r="O548" i="3"/>
  <c r="N548" i="3"/>
  <c r="O547" i="3"/>
  <c r="N547" i="3"/>
  <c r="O546" i="3"/>
  <c r="X543" i="2" s="1"/>
  <c r="N546" i="3"/>
  <c r="V543" i="2" s="1"/>
  <c r="W543" i="2" s="1"/>
  <c r="O545" i="3"/>
  <c r="N545" i="3"/>
  <c r="O544" i="3"/>
  <c r="N544" i="3"/>
  <c r="O543" i="3"/>
  <c r="X540" i="2" s="1"/>
  <c r="N543" i="3"/>
  <c r="V540" i="2" s="1"/>
  <c r="W540" i="2" s="1"/>
  <c r="O542" i="3"/>
  <c r="N542" i="3"/>
  <c r="O541" i="3"/>
  <c r="N541" i="3"/>
  <c r="O540" i="3"/>
  <c r="X537" i="2" s="1"/>
  <c r="N540" i="3"/>
  <c r="V537" i="2" s="1"/>
  <c r="W537" i="2" s="1"/>
  <c r="O539" i="3"/>
  <c r="N539" i="3"/>
  <c r="O538" i="3"/>
  <c r="X535" i="2" s="1"/>
  <c r="N538" i="3"/>
  <c r="V535" i="2" s="1"/>
  <c r="W535" i="2" s="1"/>
  <c r="O537" i="3"/>
  <c r="X534" i="2" s="1"/>
  <c r="N537" i="3"/>
  <c r="V534" i="2" s="1"/>
  <c r="W534" i="2" s="1"/>
  <c r="O536" i="3"/>
  <c r="N536" i="3"/>
  <c r="O535" i="3"/>
  <c r="X532" i="2" s="1"/>
  <c r="N535" i="3"/>
  <c r="V532" i="2" s="1"/>
  <c r="W532" i="2" s="1"/>
  <c r="O534" i="3"/>
  <c r="X531" i="2" s="1"/>
  <c r="N534" i="3"/>
  <c r="V531" i="2" s="1"/>
  <c r="W531" i="2" s="1"/>
  <c r="O533" i="3"/>
  <c r="X530" i="2" s="1"/>
  <c r="N533" i="3"/>
  <c r="V530" i="2" s="1"/>
  <c r="W530" i="2" s="1"/>
  <c r="O532" i="3"/>
  <c r="X529" i="2" s="1"/>
  <c r="N532" i="3"/>
  <c r="V529" i="2" s="1"/>
  <c r="W529" i="2" s="1"/>
  <c r="O531" i="3"/>
  <c r="N531" i="3"/>
  <c r="O530" i="3"/>
  <c r="N530" i="3"/>
  <c r="O529" i="3"/>
  <c r="X526" i="2" s="1"/>
  <c r="N529" i="3"/>
  <c r="V526" i="2" s="1"/>
  <c r="W526" i="2" s="1"/>
  <c r="O528" i="3"/>
  <c r="X525" i="2" s="1"/>
  <c r="N528" i="3"/>
  <c r="V525" i="2" s="1"/>
  <c r="W525" i="2" s="1"/>
  <c r="O527" i="3"/>
  <c r="X524" i="2" s="1"/>
  <c r="N527" i="3"/>
  <c r="V524" i="2" s="1"/>
  <c r="W524" i="2" s="1"/>
  <c r="O526" i="3"/>
  <c r="N526" i="3"/>
  <c r="O525" i="3"/>
  <c r="N525" i="3"/>
  <c r="O524" i="3"/>
  <c r="N524" i="3"/>
  <c r="O523" i="3"/>
  <c r="X520" i="2" s="1"/>
  <c r="N523" i="3"/>
  <c r="V520" i="2" s="1"/>
  <c r="W520" i="2" s="1"/>
  <c r="O522" i="3"/>
  <c r="N522" i="3"/>
  <c r="O521" i="3"/>
  <c r="X518" i="2" s="1"/>
  <c r="N521" i="3"/>
  <c r="V518" i="2" s="1"/>
  <c r="W518" i="2" s="1"/>
  <c r="O520" i="3"/>
  <c r="N520" i="3"/>
  <c r="O519" i="3"/>
  <c r="N519" i="3"/>
  <c r="O518" i="3"/>
  <c r="X515" i="2" s="1"/>
  <c r="N518" i="3"/>
  <c r="V515" i="2" s="1"/>
  <c r="W515" i="2" s="1"/>
  <c r="O517" i="3"/>
  <c r="N517" i="3"/>
  <c r="O516" i="3"/>
  <c r="N516" i="3"/>
  <c r="O515" i="3"/>
  <c r="X512" i="2" s="1"/>
  <c r="N515" i="3"/>
  <c r="V512" i="2" s="1"/>
  <c r="W512" i="2" s="1"/>
  <c r="O514" i="3"/>
  <c r="X511" i="2" s="1"/>
  <c r="N514" i="3"/>
  <c r="V511" i="2" s="1"/>
  <c r="W511" i="2" s="1"/>
  <c r="O513" i="3"/>
  <c r="N513" i="3"/>
  <c r="O512" i="3"/>
  <c r="N512" i="3"/>
  <c r="O511" i="3"/>
  <c r="N511" i="3"/>
  <c r="O510" i="3"/>
  <c r="N510" i="3"/>
  <c r="O509" i="3"/>
  <c r="N509" i="3"/>
  <c r="O508" i="3"/>
  <c r="N508" i="3"/>
  <c r="O507" i="3"/>
  <c r="N507" i="3"/>
  <c r="O506" i="3"/>
  <c r="X502" i="2" s="1"/>
  <c r="N506" i="3"/>
  <c r="V502" i="2" s="1"/>
  <c r="W502" i="2" s="1"/>
  <c r="O505" i="3"/>
  <c r="N505" i="3"/>
  <c r="O504" i="3"/>
  <c r="X500" i="2" s="1"/>
  <c r="N504" i="3"/>
  <c r="V500" i="2" s="1"/>
  <c r="W500" i="2" s="1"/>
  <c r="O503" i="3"/>
  <c r="X499" i="2" s="1"/>
  <c r="N503" i="3"/>
  <c r="V499" i="2" s="1"/>
  <c r="W499" i="2" s="1"/>
  <c r="O502" i="3"/>
  <c r="X498" i="2" s="1"/>
  <c r="N502" i="3"/>
  <c r="V498" i="2" s="1"/>
  <c r="W498" i="2" s="1"/>
  <c r="O501" i="3"/>
  <c r="X497" i="2" s="1"/>
  <c r="N501" i="3"/>
  <c r="V497" i="2" s="1"/>
  <c r="W497" i="2" s="1"/>
  <c r="O500" i="3"/>
  <c r="N500" i="3"/>
  <c r="O499" i="3"/>
  <c r="X495" i="2" s="1"/>
  <c r="N499" i="3"/>
  <c r="V495" i="2" s="1"/>
  <c r="W495" i="2" s="1"/>
  <c r="O498" i="3"/>
  <c r="X494" i="2" s="1"/>
  <c r="N498" i="3"/>
  <c r="V494" i="2" s="1"/>
  <c r="W494" i="2" s="1"/>
  <c r="O497" i="3"/>
  <c r="X493" i="2" s="1"/>
  <c r="N497" i="3"/>
  <c r="V493" i="2" s="1"/>
  <c r="W493" i="2" s="1"/>
  <c r="O496" i="3"/>
  <c r="N496" i="3"/>
  <c r="O495" i="3"/>
  <c r="X491" i="2" s="1"/>
  <c r="N495" i="3"/>
  <c r="V491" i="2" s="1"/>
  <c r="W491" i="2" s="1"/>
  <c r="O494" i="3"/>
  <c r="X507" i="2" s="1"/>
  <c r="N494" i="3"/>
  <c r="V507" i="2" s="1"/>
  <c r="W507" i="2" s="1"/>
  <c r="O493" i="3"/>
  <c r="X490" i="2" s="1"/>
  <c r="N493" i="3"/>
  <c r="V490" i="2" s="1"/>
  <c r="W490" i="2" s="1"/>
  <c r="O492" i="3"/>
  <c r="X489" i="2" s="1"/>
  <c r="N492" i="3"/>
  <c r="V489" i="2" s="1"/>
  <c r="W489" i="2" s="1"/>
  <c r="O491" i="3"/>
  <c r="X488" i="2" s="1"/>
  <c r="N491" i="3"/>
  <c r="V488" i="2" s="1"/>
  <c r="W488" i="2" s="1"/>
  <c r="O490" i="3"/>
  <c r="X487" i="2" s="1"/>
  <c r="N490" i="3"/>
  <c r="V487" i="2" s="1"/>
  <c r="W487" i="2" s="1"/>
  <c r="O489" i="3"/>
  <c r="X486" i="2" s="1"/>
  <c r="N489" i="3"/>
  <c r="V486" i="2" s="1"/>
  <c r="W486" i="2" s="1"/>
  <c r="O488" i="3"/>
  <c r="X485" i="2" s="1"/>
  <c r="N488" i="3"/>
  <c r="V485" i="2" s="1"/>
  <c r="W485" i="2" s="1"/>
  <c r="O487" i="3"/>
  <c r="N487" i="3"/>
  <c r="O486" i="3"/>
  <c r="N486" i="3"/>
  <c r="O485" i="3"/>
  <c r="X482" i="2" s="1"/>
  <c r="N485" i="3"/>
  <c r="V482" i="2" s="1"/>
  <c r="W482" i="2" s="1"/>
  <c r="O484" i="3"/>
  <c r="N484" i="3"/>
  <c r="O483" i="3"/>
  <c r="N483" i="3"/>
  <c r="O482" i="3"/>
  <c r="N482" i="3"/>
  <c r="O481" i="3"/>
  <c r="N481" i="3"/>
  <c r="O480" i="3"/>
  <c r="X477" i="2" s="1"/>
  <c r="N480" i="3"/>
  <c r="V477" i="2" s="1"/>
  <c r="W477" i="2" s="1"/>
  <c r="O479" i="3"/>
  <c r="X476" i="2" s="1"/>
  <c r="N479" i="3"/>
  <c r="V476" i="2" s="1"/>
  <c r="W476" i="2" s="1"/>
  <c r="O478" i="3"/>
  <c r="X475" i="2" s="1"/>
  <c r="N478" i="3"/>
  <c r="V475" i="2" s="1"/>
  <c r="W475" i="2" s="1"/>
  <c r="O477" i="3"/>
  <c r="X474" i="2" s="1"/>
  <c r="N477" i="3"/>
  <c r="V474" i="2" s="1"/>
  <c r="W474" i="2" s="1"/>
  <c r="O476" i="3"/>
  <c r="X473" i="2" s="1"/>
  <c r="N476" i="3"/>
  <c r="V473" i="2" s="1"/>
  <c r="W473" i="2" s="1"/>
  <c r="O475" i="3"/>
  <c r="X472" i="2" s="1"/>
  <c r="N475" i="3"/>
  <c r="V472" i="2" s="1"/>
  <c r="W472" i="2" s="1"/>
  <c r="O474" i="3"/>
  <c r="N474" i="3"/>
  <c r="O473" i="3"/>
  <c r="X470" i="2" s="1"/>
  <c r="N473" i="3"/>
  <c r="V470" i="2" s="1"/>
  <c r="W470" i="2" s="1"/>
  <c r="O472" i="3"/>
  <c r="X469" i="2" s="1"/>
  <c r="N472" i="3"/>
  <c r="V469" i="2" s="1"/>
  <c r="W469" i="2" s="1"/>
  <c r="O471" i="3"/>
  <c r="X468" i="2" s="1"/>
  <c r="N471" i="3"/>
  <c r="V468" i="2" s="1"/>
  <c r="W468" i="2" s="1"/>
  <c r="O470" i="3"/>
  <c r="N470" i="3"/>
  <c r="O469" i="3"/>
  <c r="N469" i="3"/>
  <c r="O468" i="3"/>
  <c r="N468" i="3"/>
  <c r="O467" i="3"/>
  <c r="X464" i="2" s="1"/>
  <c r="N467" i="3"/>
  <c r="V464" i="2" s="1"/>
  <c r="W464" i="2" s="1"/>
  <c r="O466" i="3"/>
  <c r="N466" i="3"/>
  <c r="O465" i="3"/>
  <c r="N465" i="3"/>
  <c r="O464" i="3"/>
  <c r="N464" i="3"/>
  <c r="O463" i="3"/>
  <c r="N463" i="3"/>
  <c r="O462" i="3"/>
  <c r="N462" i="3"/>
  <c r="O461" i="3"/>
  <c r="X458" i="2" s="1"/>
  <c r="N461" i="3"/>
  <c r="V458" i="2" s="1"/>
  <c r="W458" i="2" s="1"/>
  <c r="O460" i="3"/>
  <c r="N460" i="3"/>
  <c r="O459" i="3"/>
  <c r="N459" i="3"/>
  <c r="O458" i="3"/>
  <c r="X454" i="2" s="1"/>
  <c r="N458" i="3"/>
  <c r="V454" i="2" s="1"/>
  <c r="W454" i="2" s="1"/>
  <c r="O457" i="3"/>
  <c r="N457" i="3"/>
  <c r="O456" i="3"/>
  <c r="X452" i="2" s="1"/>
  <c r="N456" i="3"/>
  <c r="V452" i="2" s="1"/>
  <c r="W452" i="2" s="1"/>
  <c r="O455" i="3"/>
  <c r="X451" i="2" s="1"/>
  <c r="N455" i="3"/>
  <c r="V451" i="2" s="1"/>
  <c r="W451" i="2" s="1"/>
  <c r="O454" i="3"/>
  <c r="N454" i="3"/>
  <c r="O453" i="3"/>
  <c r="N453" i="3"/>
  <c r="O452" i="3"/>
  <c r="N452" i="3"/>
  <c r="O451" i="3"/>
  <c r="N451" i="3"/>
  <c r="O450" i="3"/>
  <c r="N450" i="3"/>
  <c r="O449" i="3"/>
  <c r="N449" i="3"/>
  <c r="O448" i="3"/>
  <c r="N448" i="3"/>
  <c r="O447" i="3"/>
  <c r="X443" i="2" s="1"/>
  <c r="N447" i="3"/>
  <c r="V443" i="2" s="1"/>
  <c r="W443" i="2" s="1"/>
  <c r="O446" i="3"/>
  <c r="X442" i="2" s="1"/>
  <c r="N446" i="3"/>
  <c r="V442" i="2" s="1"/>
  <c r="W442" i="2" s="1"/>
  <c r="O445" i="3"/>
  <c r="X441" i="2" s="1"/>
  <c r="N445" i="3"/>
  <c r="V441" i="2" s="1"/>
  <c r="W441" i="2" s="1"/>
  <c r="O444" i="3"/>
  <c r="X440" i="2" s="1"/>
  <c r="N444" i="3"/>
  <c r="V440" i="2" s="1"/>
  <c r="W440" i="2" s="1"/>
  <c r="O443" i="3"/>
  <c r="N443" i="3"/>
  <c r="O442" i="3"/>
  <c r="N442" i="3"/>
  <c r="O441" i="3"/>
  <c r="N441" i="3"/>
  <c r="O440" i="3"/>
  <c r="N440" i="3"/>
  <c r="O439" i="3"/>
  <c r="X436" i="2" s="1"/>
  <c r="N439" i="3"/>
  <c r="V436" i="2" s="1"/>
  <c r="W436" i="2" s="1"/>
  <c r="O438" i="3"/>
  <c r="X435" i="2" s="1"/>
  <c r="N438" i="3"/>
  <c r="V435" i="2" s="1"/>
  <c r="W435" i="2" s="1"/>
  <c r="O437" i="3"/>
  <c r="N437" i="3"/>
  <c r="O436" i="3"/>
  <c r="N436" i="3"/>
  <c r="O435" i="3"/>
  <c r="X432" i="2" s="1"/>
  <c r="N435" i="3"/>
  <c r="V432" i="2" s="1"/>
  <c r="W432" i="2" s="1"/>
  <c r="O434" i="3"/>
  <c r="N434" i="3"/>
  <c r="O433" i="3"/>
  <c r="X430" i="2" s="1"/>
  <c r="N433" i="3"/>
  <c r="V430" i="2" s="1"/>
  <c r="W430" i="2" s="1"/>
  <c r="O432" i="3"/>
  <c r="X429" i="2" s="1"/>
  <c r="N432" i="3"/>
  <c r="V429" i="2" s="1"/>
  <c r="W429" i="2" s="1"/>
  <c r="O431" i="3"/>
  <c r="X428" i="2" s="1"/>
  <c r="N431" i="3"/>
  <c r="V428" i="2" s="1"/>
  <c r="W428" i="2" s="1"/>
  <c r="O430" i="3"/>
  <c r="N430" i="3"/>
  <c r="O429" i="3"/>
  <c r="N429" i="3"/>
  <c r="O428" i="3"/>
  <c r="X425" i="2" s="1"/>
  <c r="N428" i="3"/>
  <c r="V425" i="2" s="1"/>
  <c r="W425" i="2" s="1"/>
  <c r="O427" i="3"/>
  <c r="X424" i="2" s="1"/>
  <c r="N427" i="3"/>
  <c r="V424" i="2" s="1"/>
  <c r="W424" i="2" s="1"/>
  <c r="O426" i="3"/>
  <c r="X423" i="2" s="1"/>
  <c r="N426" i="3"/>
  <c r="V423" i="2" s="1"/>
  <c r="W423" i="2" s="1"/>
  <c r="O425" i="3"/>
  <c r="X422" i="2" s="1"/>
  <c r="N425" i="3"/>
  <c r="V422" i="2" s="1"/>
  <c r="W422" i="2" s="1"/>
  <c r="O424" i="3"/>
  <c r="X421" i="2" s="1"/>
  <c r="N424" i="3"/>
  <c r="V421" i="2" s="1"/>
  <c r="W421" i="2" s="1"/>
  <c r="O423" i="3"/>
  <c r="X420" i="2" s="1"/>
  <c r="N423" i="3"/>
  <c r="V420" i="2" s="1"/>
  <c r="W420" i="2" s="1"/>
  <c r="O422" i="3"/>
  <c r="X419" i="2" s="1"/>
  <c r="N422" i="3"/>
  <c r="V419" i="2" s="1"/>
  <c r="W419" i="2" s="1"/>
  <c r="O421" i="3"/>
  <c r="N421" i="3"/>
  <c r="O420" i="3"/>
  <c r="X417" i="2" s="1"/>
  <c r="N420" i="3"/>
  <c r="V417" i="2" s="1"/>
  <c r="W417" i="2" s="1"/>
  <c r="O419" i="3"/>
  <c r="X416" i="2" s="1"/>
  <c r="N419" i="3"/>
  <c r="V416" i="2" s="1"/>
  <c r="W416" i="2" s="1"/>
  <c r="O418" i="3"/>
  <c r="X415" i="2" s="1"/>
  <c r="N418" i="3"/>
  <c r="V415" i="2" s="1"/>
  <c r="W415" i="2" s="1"/>
  <c r="O417" i="3"/>
  <c r="N417" i="3"/>
  <c r="O416" i="3"/>
  <c r="X413" i="2" s="1"/>
  <c r="N416" i="3"/>
  <c r="V413" i="2" s="1"/>
  <c r="W413" i="2" s="1"/>
  <c r="O415" i="3"/>
  <c r="N415" i="3"/>
  <c r="O414" i="3"/>
  <c r="X411" i="2" s="1"/>
  <c r="N414" i="3"/>
  <c r="V411" i="2" s="1"/>
  <c r="W411" i="2" s="1"/>
  <c r="O413" i="3"/>
  <c r="X410" i="2" s="1"/>
  <c r="N413" i="3"/>
  <c r="V410" i="2" s="1"/>
  <c r="W410" i="2" s="1"/>
  <c r="O412" i="3"/>
  <c r="X409" i="2" s="1"/>
  <c r="N412" i="3"/>
  <c r="V409" i="2" s="1"/>
  <c r="W409" i="2" s="1"/>
  <c r="O411" i="3"/>
  <c r="X408" i="2" s="1"/>
  <c r="N411" i="3"/>
  <c r="V408" i="2" s="1"/>
  <c r="W408" i="2" s="1"/>
  <c r="O410" i="3"/>
  <c r="X407" i="2" s="1"/>
  <c r="N410" i="3"/>
  <c r="V407" i="2" s="1"/>
  <c r="W407" i="2" s="1"/>
  <c r="O409" i="3"/>
  <c r="X406" i="2" s="1"/>
  <c r="N409" i="3"/>
  <c r="V406" i="2" s="1"/>
  <c r="W406" i="2" s="1"/>
  <c r="O408" i="3"/>
  <c r="X405" i="2" s="1"/>
  <c r="N408" i="3"/>
  <c r="V405" i="2" s="1"/>
  <c r="W405" i="2" s="1"/>
  <c r="O407" i="3"/>
  <c r="X404" i="2" s="1"/>
  <c r="N407" i="3"/>
  <c r="V404" i="2" s="1"/>
  <c r="W404" i="2" s="1"/>
  <c r="O406" i="3"/>
  <c r="X403" i="2" s="1"/>
  <c r="N406" i="3"/>
  <c r="V403" i="2" s="1"/>
  <c r="W403" i="2" s="1"/>
  <c r="O405" i="3"/>
  <c r="X402" i="2" s="1"/>
  <c r="N405" i="3"/>
  <c r="V402" i="2" s="1"/>
  <c r="W402" i="2" s="1"/>
  <c r="O404" i="3"/>
  <c r="N404" i="3"/>
  <c r="O403" i="3"/>
  <c r="X400" i="2" s="1"/>
  <c r="N403" i="3"/>
  <c r="V400" i="2" s="1"/>
  <c r="W400" i="2" s="1"/>
  <c r="O402" i="3"/>
  <c r="X399" i="2" s="1"/>
  <c r="N402" i="3"/>
  <c r="V399" i="2" s="1"/>
  <c r="W399" i="2" s="1"/>
  <c r="O401" i="3"/>
  <c r="X398" i="2" s="1"/>
  <c r="N401" i="3"/>
  <c r="V398" i="2" s="1"/>
  <c r="W398" i="2" s="1"/>
  <c r="O400" i="3"/>
  <c r="X397" i="2" s="1"/>
  <c r="N400" i="3"/>
  <c r="V397" i="2" s="1"/>
  <c r="W397" i="2" s="1"/>
  <c r="O399" i="3"/>
  <c r="N399" i="3"/>
  <c r="O398" i="3"/>
  <c r="N398" i="3"/>
  <c r="O397" i="3"/>
  <c r="N397" i="3"/>
  <c r="O396" i="3"/>
  <c r="N396" i="3"/>
  <c r="O395" i="3"/>
  <c r="N395" i="3"/>
  <c r="O394" i="3"/>
  <c r="N394" i="3"/>
  <c r="O393" i="3"/>
  <c r="N393" i="3"/>
  <c r="O392" i="3"/>
  <c r="N392" i="3"/>
  <c r="O391" i="3"/>
  <c r="N391" i="3"/>
  <c r="O390" i="3"/>
  <c r="N390" i="3"/>
  <c r="O389" i="3"/>
  <c r="N389" i="3"/>
  <c r="O388" i="3"/>
  <c r="N388" i="3"/>
  <c r="O387" i="3"/>
  <c r="N387" i="3"/>
  <c r="O386" i="3"/>
  <c r="N386" i="3"/>
  <c r="V383" i="2" s="1"/>
  <c r="W383" i="2" s="1"/>
  <c r="O385" i="3"/>
  <c r="X382" i="2" s="1"/>
  <c r="N385" i="3"/>
  <c r="V382" i="2" s="1"/>
  <c r="W382" i="2" s="1"/>
  <c r="O384" i="3"/>
  <c r="X381" i="2" s="1"/>
  <c r="N384" i="3"/>
  <c r="V381" i="2" s="1"/>
  <c r="W381" i="2" s="1"/>
  <c r="O383" i="3"/>
  <c r="N383" i="3"/>
  <c r="O382" i="3"/>
  <c r="X379" i="2" s="1"/>
  <c r="N382" i="3"/>
  <c r="V379" i="2" s="1"/>
  <c r="W379" i="2" s="1"/>
  <c r="O381" i="3"/>
  <c r="N381" i="3"/>
  <c r="O380" i="3"/>
  <c r="N380" i="3"/>
  <c r="O379" i="3"/>
  <c r="N379" i="3"/>
  <c r="O378" i="3"/>
  <c r="X375" i="2" s="1"/>
  <c r="N378" i="3"/>
  <c r="V375" i="2" s="1"/>
  <c r="W375" i="2" s="1"/>
  <c r="O377" i="3"/>
  <c r="N377" i="3"/>
  <c r="O376" i="3"/>
  <c r="N376" i="3"/>
  <c r="O375" i="3"/>
  <c r="N375" i="3"/>
  <c r="O374" i="3"/>
  <c r="N374" i="3"/>
  <c r="V371" i="2" s="1"/>
  <c r="W371" i="2" s="1"/>
  <c r="O373" i="3"/>
  <c r="X370" i="2" s="1"/>
  <c r="N373" i="3"/>
  <c r="V370" i="2" s="1"/>
  <c r="W370" i="2" s="1"/>
  <c r="O372" i="3"/>
  <c r="X369" i="2" s="1"/>
  <c r="N372" i="3"/>
  <c r="V369" i="2" s="1"/>
  <c r="W369" i="2" s="1"/>
  <c r="O371" i="3"/>
  <c r="X368" i="2" s="1"/>
  <c r="N371" i="3"/>
  <c r="V368" i="2" s="1"/>
  <c r="W368" i="2" s="1"/>
  <c r="O370" i="3"/>
  <c r="N370" i="3"/>
  <c r="O369" i="3"/>
  <c r="N369" i="3"/>
  <c r="O368" i="3"/>
  <c r="X365" i="2" s="1"/>
  <c r="N368" i="3"/>
  <c r="V365" i="2" s="1"/>
  <c r="W365" i="2" s="1"/>
  <c r="O367" i="3"/>
  <c r="X364" i="2" s="1"/>
  <c r="N367" i="3"/>
  <c r="V364" i="2" s="1"/>
  <c r="W364" i="2" s="1"/>
  <c r="O366" i="3"/>
  <c r="X363" i="2" s="1"/>
  <c r="N366" i="3"/>
  <c r="V363" i="2" s="1"/>
  <c r="W363" i="2" s="1"/>
  <c r="O365" i="3"/>
  <c r="X362" i="2" s="1"/>
  <c r="N365" i="3"/>
  <c r="V362" i="2" s="1"/>
  <c r="W362" i="2" s="1"/>
  <c r="O364" i="3"/>
  <c r="X361" i="2" s="1"/>
  <c r="N364" i="3"/>
  <c r="V361" i="2" s="1"/>
  <c r="W361" i="2" s="1"/>
  <c r="O363" i="3"/>
  <c r="X360" i="2" s="1"/>
  <c r="N363" i="3"/>
  <c r="V360" i="2" s="1"/>
  <c r="W360" i="2" s="1"/>
  <c r="O362" i="3"/>
  <c r="X359" i="2" s="1"/>
  <c r="N362" i="3"/>
  <c r="V359" i="2" s="1"/>
  <c r="W359" i="2" s="1"/>
  <c r="O361" i="3"/>
  <c r="X358" i="2" s="1"/>
  <c r="N361" i="3"/>
  <c r="V358" i="2" s="1"/>
  <c r="W358" i="2" s="1"/>
  <c r="O360" i="3"/>
  <c r="X357" i="2" s="1"/>
  <c r="N360" i="3"/>
  <c r="V357" i="2" s="1"/>
  <c r="W357" i="2" s="1"/>
  <c r="O359" i="3"/>
  <c r="X356" i="2" s="1"/>
  <c r="N359" i="3"/>
  <c r="V356" i="2" s="1"/>
  <c r="W356" i="2" s="1"/>
  <c r="O358" i="3"/>
  <c r="X355" i="2" s="1"/>
  <c r="N358" i="3"/>
  <c r="V355" i="2" s="1"/>
  <c r="W355" i="2" s="1"/>
  <c r="O357" i="3"/>
  <c r="X354" i="2" s="1"/>
  <c r="N357" i="3"/>
  <c r="V354" i="2" s="1"/>
  <c r="W354" i="2" s="1"/>
  <c r="O356" i="3"/>
  <c r="N356" i="3"/>
  <c r="O355" i="3"/>
  <c r="N355" i="3"/>
  <c r="O354" i="3"/>
  <c r="X351" i="2" s="1"/>
  <c r="N354" i="3"/>
  <c r="V351" i="2" s="1"/>
  <c r="W351" i="2" s="1"/>
  <c r="O353" i="3"/>
  <c r="X350" i="2" s="1"/>
  <c r="N353" i="3"/>
  <c r="V350" i="2" s="1"/>
  <c r="W350" i="2" s="1"/>
  <c r="O352" i="3"/>
  <c r="X349" i="2" s="1"/>
  <c r="N352" i="3"/>
  <c r="V349" i="2" s="1"/>
  <c r="W349" i="2" s="1"/>
  <c r="O351" i="3"/>
  <c r="X348" i="2" s="1"/>
  <c r="N351" i="3"/>
  <c r="V348" i="2" s="1"/>
  <c r="W348" i="2" s="1"/>
  <c r="O350" i="3"/>
  <c r="X347" i="2" s="1"/>
  <c r="N350" i="3"/>
  <c r="V347" i="2" s="1"/>
  <c r="W347" i="2" s="1"/>
  <c r="O349" i="3"/>
  <c r="N349" i="3"/>
  <c r="O348" i="3"/>
  <c r="X345" i="2" s="1"/>
  <c r="N348" i="3"/>
  <c r="O347" i="3"/>
  <c r="N347" i="3"/>
  <c r="O346" i="3"/>
  <c r="X343" i="2" s="1"/>
  <c r="N346" i="3"/>
  <c r="V343" i="2" s="1"/>
  <c r="W343" i="2" s="1"/>
  <c r="O345" i="3"/>
  <c r="N345" i="3"/>
  <c r="O344" i="3"/>
  <c r="N344" i="3"/>
  <c r="O343" i="3"/>
  <c r="N343" i="3"/>
  <c r="O342" i="3"/>
  <c r="N342" i="3"/>
  <c r="O341" i="3"/>
  <c r="N341" i="3"/>
  <c r="O340" i="3"/>
  <c r="X337" i="2" s="1"/>
  <c r="N340" i="3"/>
  <c r="V337" i="2" s="1"/>
  <c r="W337" i="2" s="1"/>
  <c r="O339" i="3"/>
  <c r="X336" i="2" s="1"/>
  <c r="N339" i="3"/>
  <c r="V336" i="2" s="1"/>
  <c r="W336" i="2" s="1"/>
  <c r="O338" i="3"/>
  <c r="X335" i="2" s="1"/>
  <c r="N338" i="3"/>
  <c r="V335" i="2" s="1"/>
  <c r="W335" i="2" s="1"/>
  <c r="O337" i="3"/>
  <c r="N337" i="3"/>
  <c r="O336" i="3"/>
  <c r="N336" i="3"/>
  <c r="O335" i="3"/>
  <c r="X332" i="2" s="1"/>
  <c r="N335" i="3"/>
  <c r="V332" i="2" s="1"/>
  <c r="W332" i="2" s="1"/>
  <c r="O334" i="3"/>
  <c r="X331" i="2" s="1"/>
  <c r="N334" i="3"/>
  <c r="V331" i="2" s="1"/>
  <c r="W331" i="2" s="1"/>
  <c r="O333" i="3"/>
  <c r="X330" i="2" s="1"/>
  <c r="N333" i="3"/>
  <c r="V330" i="2" s="1"/>
  <c r="W330" i="2" s="1"/>
  <c r="O332" i="3"/>
  <c r="N332" i="3"/>
  <c r="O331" i="3"/>
  <c r="N331" i="3"/>
  <c r="O330" i="3"/>
  <c r="X327" i="2" s="1"/>
  <c r="N330" i="3"/>
  <c r="O329" i="3"/>
  <c r="X326" i="2" s="1"/>
  <c r="N329" i="3"/>
  <c r="V326" i="2" s="1"/>
  <c r="W326" i="2" s="1"/>
  <c r="O328" i="3"/>
  <c r="X325" i="2" s="1"/>
  <c r="N328" i="3"/>
  <c r="V325" i="2" s="1"/>
  <c r="W325" i="2" s="1"/>
  <c r="O327" i="3"/>
  <c r="X324" i="2" s="1"/>
  <c r="N327" i="3"/>
  <c r="O326" i="3"/>
  <c r="N326" i="3"/>
  <c r="O325" i="3"/>
  <c r="N325" i="3"/>
  <c r="O324" i="3"/>
  <c r="X321" i="2" s="1"/>
  <c r="N324" i="3"/>
  <c r="O323" i="3"/>
  <c r="X320" i="2" s="1"/>
  <c r="N323" i="3"/>
  <c r="V320" i="2" s="1"/>
  <c r="W320" i="2" s="1"/>
  <c r="O322" i="3"/>
  <c r="X319" i="2" s="1"/>
  <c r="N322" i="3"/>
  <c r="V319" i="2" s="1"/>
  <c r="W319" i="2" s="1"/>
  <c r="O321" i="3"/>
  <c r="N321" i="3"/>
  <c r="O320" i="3"/>
  <c r="X317" i="2" s="1"/>
  <c r="N320" i="3"/>
  <c r="O319" i="3"/>
  <c r="N319" i="3"/>
  <c r="O318" i="3"/>
  <c r="X315" i="2" s="1"/>
  <c r="N318" i="3"/>
  <c r="V315" i="2" s="1"/>
  <c r="W315" i="2" s="1"/>
  <c r="O317" i="3"/>
  <c r="X314" i="2" s="1"/>
  <c r="N317" i="3"/>
  <c r="V314" i="2" s="1"/>
  <c r="W314" i="2" s="1"/>
  <c r="O316" i="3"/>
  <c r="X313" i="2" s="1"/>
  <c r="N316" i="3"/>
  <c r="V313" i="2" s="1"/>
  <c r="W313" i="2" s="1"/>
  <c r="O315" i="3"/>
  <c r="N315" i="3"/>
  <c r="O314" i="3"/>
  <c r="N314" i="3"/>
  <c r="O313" i="3"/>
  <c r="X310" i="2" s="1"/>
  <c r="N313" i="3"/>
  <c r="V310" i="2" s="1"/>
  <c r="W310" i="2" s="1"/>
  <c r="O312" i="3"/>
  <c r="X309" i="2" s="1"/>
  <c r="N312" i="3"/>
  <c r="V309" i="2" s="1"/>
  <c r="W309" i="2" s="1"/>
  <c r="O311" i="3"/>
  <c r="X308" i="2" s="1"/>
  <c r="N311" i="3"/>
  <c r="V308" i="2" s="1"/>
  <c r="W308" i="2" s="1"/>
  <c r="O310" i="3"/>
  <c r="X307" i="2" s="1"/>
  <c r="N310" i="3"/>
  <c r="V307" i="2" s="1"/>
  <c r="W307" i="2" s="1"/>
  <c r="O309" i="3"/>
  <c r="X306" i="2" s="1"/>
  <c r="N309" i="3"/>
  <c r="V306" i="2" s="1"/>
  <c r="W306" i="2" s="1"/>
  <c r="O308" i="3"/>
  <c r="X305" i="2" s="1"/>
  <c r="N308" i="3"/>
  <c r="V305" i="2" s="1"/>
  <c r="W305" i="2" s="1"/>
  <c r="O307" i="3"/>
  <c r="N307" i="3"/>
  <c r="O306" i="3"/>
  <c r="X303" i="2" s="1"/>
  <c r="N306" i="3"/>
  <c r="V303" i="2" s="1"/>
  <c r="W303" i="2" s="1"/>
  <c r="O305" i="3"/>
  <c r="X302" i="2" s="1"/>
  <c r="N305" i="3"/>
  <c r="V302" i="2" s="1"/>
  <c r="W302" i="2" s="1"/>
  <c r="O304" i="3"/>
  <c r="X301" i="2" s="1"/>
  <c r="N304" i="3"/>
  <c r="V301" i="2" s="1"/>
  <c r="W301" i="2" s="1"/>
  <c r="O303" i="3"/>
  <c r="X300" i="2" s="1"/>
  <c r="N303" i="3"/>
  <c r="O302" i="3"/>
  <c r="X299" i="2" s="1"/>
  <c r="N302" i="3"/>
  <c r="V299" i="2" s="1"/>
  <c r="W299" i="2" s="1"/>
  <c r="O301" i="3"/>
  <c r="X298" i="2" s="1"/>
  <c r="N301" i="3"/>
  <c r="V298" i="2" s="1"/>
  <c r="W298" i="2" s="1"/>
  <c r="O300" i="3"/>
  <c r="X297" i="2" s="1"/>
  <c r="N300" i="3"/>
  <c r="V297" i="2" s="1"/>
  <c r="W297" i="2" s="1"/>
  <c r="O299" i="3"/>
  <c r="X296" i="2" s="1"/>
  <c r="N299" i="3"/>
  <c r="V296" i="2" s="1"/>
  <c r="W296" i="2" s="1"/>
  <c r="O298" i="3"/>
  <c r="X295" i="2" s="1"/>
  <c r="N298" i="3"/>
  <c r="V295" i="2" s="1"/>
  <c r="W295" i="2" s="1"/>
  <c r="O297" i="3"/>
  <c r="X294" i="2" s="1"/>
  <c r="N297" i="3"/>
  <c r="V294" i="2" s="1"/>
  <c r="W294" i="2" s="1"/>
  <c r="O296" i="3"/>
  <c r="N296" i="3"/>
  <c r="O295" i="3"/>
  <c r="N295" i="3"/>
  <c r="O294" i="3"/>
  <c r="X291" i="2" s="1"/>
  <c r="N294" i="3"/>
  <c r="V291" i="2" s="1"/>
  <c r="W291" i="2" s="1"/>
  <c r="O293" i="3"/>
  <c r="X290" i="2" s="1"/>
  <c r="N293" i="3"/>
  <c r="V290" i="2" s="1"/>
  <c r="W290" i="2" s="1"/>
  <c r="O292" i="3"/>
  <c r="X289" i="2" s="1"/>
  <c r="N292" i="3"/>
  <c r="V289" i="2" s="1"/>
  <c r="W289" i="2" s="1"/>
  <c r="O291" i="3"/>
  <c r="X288" i="2" s="1"/>
  <c r="N291" i="3"/>
  <c r="O290" i="3"/>
  <c r="X287" i="2" s="1"/>
  <c r="N290" i="3"/>
  <c r="V287" i="2" s="1"/>
  <c r="W287" i="2" s="1"/>
  <c r="O289" i="3"/>
  <c r="N289" i="3"/>
  <c r="O288" i="3"/>
  <c r="N288" i="3"/>
  <c r="V285" i="2" s="1"/>
  <c r="W285" i="2" s="1"/>
  <c r="O287" i="3"/>
  <c r="N287" i="3"/>
  <c r="O286" i="3"/>
  <c r="X283" i="2" s="1"/>
  <c r="N286" i="3"/>
  <c r="V283" i="2" s="1"/>
  <c r="W283" i="2" s="1"/>
  <c r="O285" i="3"/>
  <c r="X282" i="2" s="1"/>
  <c r="N285" i="3"/>
  <c r="V282" i="2" s="1"/>
  <c r="W282" i="2" s="1"/>
  <c r="O284" i="3"/>
  <c r="X281" i="2" s="1"/>
  <c r="N284" i="3"/>
  <c r="O283" i="3"/>
  <c r="N283" i="3"/>
  <c r="O282" i="3"/>
  <c r="N282" i="3"/>
  <c r="V279" i="2" s="1"/>
  <c r="W279" i="2" s="1"/>
  <c r="O281" i="3"/>
  <c r="N281" i="3"/>
  <c r="O280" i="3"/>
  <c r="X277" i="2" s="1"/>
  <c r="N280" i="3"/>
  <c r="V277" i="2" s="1"/>
  <c r="W277" i="2" s="1"/>
  <c r="O279" i="3"/>
  <c r="X276" i="2" s="1"/>
  <c r="N279" i="3"/>
  <c r="V276" i="2" s="1"/>
  <c r="W276" i="2" s="1"/>
  <c r="O278" i="3"/>
  <c r="X275" i="2" s="1"/>
  <c r="N278" i="3"/>
  <c r="V275" i="2" s="1"/>
  <c r="W275" i="2" s="1"/>
  <c r="O277" i="3"/>
  <c r="N277" i="3"/>
  <c r="O276" i="3"/>
  <c r="X273" i="2" s="1"/>
  <c r="N276" i="3"/>
  <c r="V273" i="2" s="1"/>
  <c r="W273" i="2" s="1"/>
  <c r="O275" i="3"/>
  <c r="X272" i="2" s="1"/>
  <c r="N275" i="3"/>
  <c r="V272" i="2" s="1"/>
  <c r="W272" i="2" s="1"/>
  <c r="O274" i="3"/>
  <c r="X271" i="2" s="1"/>
  <c r="N274" i="3"/>
  <c r="V271" i="2" s="1"/>
  <c r="W271" i="2" s="1"/>
  <c r="O273" i="3"/>
  <c r="X270" i="2" s="1"/>
  <c r="N273" i="3"/>
  <c r="V270" i="2" s="1"/>
  <c r="W270" i="2" s="1"/>
  <c r="O272" i="3"/>
  <c r="N272" i="3"/>
  <c r="O271" i="3"/>
  <c r="N271" i="3"/>
  <c r="O270" i="3"/>
  <c r="X267" i="2" s="1"/>
  <c r="N270" i="3"/>
  <c r="V267" i="2" s="1"/>
  <c r="W267" i="2" s="1"/>
  <c r="O269" i="3"/>
  <c r="X266" i="2" s="1"/>
  <c r="N269" i="3"/>
  <c r="V266" i="2" s="1"/>
  <c r="W266" i="2" s="1"/>
  <c r="O268" i="3"/>
  <c r="X265" i="2" s="1"/>
  <c r="N268" i="3"/>
  <c r="V265" i="2" s="1"/>
  <c r="W265" i="2" s="1"/>
  <c r="O267" i="3"/>
  <c r="X264" i="2" s="1"/>
  <c r="N267" i="3"/>
  <c r="V264" i="2" s="1"/>
  <c r="W264" i="2" s="1"/>
  <c r="O266" i="3"/>
  <c r="X263" i="2" s="1"/>
  <c r="N266" i="3"/>
  <c r="V263" i="2" s="1"/>
  <c r="W263" i="2" s="1"/>
  <c r="O265" i="3"/>
  <c r="X262" i="2" s="1"/>
  <c r="N265" i="3"/>
  <c r="V262" i="2" s="1"/>
  <c r="W262" i="2" s="1"/>
  <c r="O264" i="3"/>
  <c r="X261" i="2" s="1"/>
  <c r="N264" i="3"/>
  <c r="V261" i="2" s="1"/>
  <c r="W261" i="2" s="1"/>
  <c r="O263" i="3"/>
  <c r="X260" i="2" s="1"/>
  <c r="N263" i="3"/>
  <c r="V260" i="2" s="1"/>
  <c r="W260" i="2" s="1"/>
  <c r="O262" i="3"/>
  <c r="X259" i="2" s="1"/>
  <c r="N262" i="3"/>
  <c r="V259" i="2" s="1"/>
  <c r="W259" i="2" s="1"/>
  <c r="O261" i="3"/>
  <c r="X258" i="2" s="1"/>
  <c r="N261" i="3"/>
  <c r="V258" i="2" s="1"/>
  <c r="W258" i="2" s="1"/>
  <c r="O260" i="3"/>
  <c r="X257" i="2" s="1"/>
  <c r="N260" i="3"/>
  <c r="V257" i="2" s="1"/>
  <c r="W257" i="2" s="1"/>
  <c r="O259" i="3"/>
  <c r="N259" i="3"/>
  <c r="O258" i="3"/>
  <c r="N258" i="3"/>
  <c r="V255" i="2" s="1"/>
  <c r="W255" i="2" s="1"/>
  <c r="O257" i="3"/>
  <c r="N257" i="3"/>
  <c r="O256" i="3"/>
  <c r="X253" i="2" s="1"/>
  <c r="N256" i="3"/>
  <c r="V253" i="2" s="1"/>
  <c r="W253" i="2" s="1"/>
  <c r="O255" i="3"/>
  <c r="X252" i="2" s="1"/>
  <c r="N255" i="3"/>
  <c r="V252" i="2" s="1"/>
  <c r="W252" i="2" s="1"/>
  <c r="O254" i="3"/>
  <c r="X251" i="2" s="1"/>
  <c r="N254" i="3"/>
  <c r="V251" i="2" s="1"/>
  <c r="W251" i="2" s="1"/>
  <c r="O253" i="3"/>
  <c r="X250" i="2" s="1"/>
  <c r="N253" i="3"/>
  <c r="V250" i="2" s="1"/>
  <c r="W250" i="2" s="1"/>
  <c r="O252" i="3"/>
  <c r="N252" i="3"/>
  <c r="V249" i="2" s="1"/>
  <c r="W249" i="2" s="1"/>
  <c r="O251" i="3"/>
  <c r="X248" i="2" s="1"/>
  <c r="N251" i="3"/>
  <c r="V248" i="2" s="1"/>
  <c r="W248" i="2" s="1"/>
  <c r="O250" i="3"/>
  <c r="X247" i="2" s="1"/>
  <c r="N250" i="3"/>
  <c r="V247" i="2" s="1"/>
  <c r="W247" i="2" s="1"/>
  <c r="O249" i="3"/>
  <c r="X246" i="2" s="1"/>
  <c r="N249" i="3"/>
  <c r="V246" i="2" s="1"/>
  <c r="W246" i="2" s="1"/>
  <c r="O248" i="3"/>
  <c r="X245" i="2" s="1"/>
  <c r="N248" i="3"/>
  <c r="V245" i="2" s="1"/>
  <c r="W245" i="2" s="1"/>
  <c r="O247" i="3"/>
  <c r="X244" i="2" s="1"/>
  <c r="N247" i="3"/>
  <c r="V244" i="2" s="1"/>
  <c r="W244" i="2" s="1"/>
  <c r="O246" i="3"/>
  <c r="X243" i="2" s="1"/>
  <c r="N246" i="3"/>
  <c r="V243" i="2" s="1"/>
  <c r="W243" i="2" s="1"/>
  <c r="O245" i="3"/>
  <c r="X242" i="2" s="1"/>
  <c r="N245" i="3"/>
  <c r="V242" i="2" s="1"/>
  <c r="W242" i="2" s="1"/>
  <c r="O244" i="3"/>
  <c r="X241" i="2" s="1"/>
  <c r="N244" i="3"/>
  <c r="V241" i="2" s="1"/>
  <c r="W241" i="2" s="1"/>
  <c r="O243" i="3"/>
  <c r="X240" i="2" s="1"/>
  <c r="N243" i="3"/>
  <c r="V240" i="2" s="1"/>
  <c r="W240" i="2" s="1"/>
  <c r="O242" i="3"/>
  <c r="N242" i="3"/>
  <c r="V239" i="2" s="1"/>
  <c r="W239" i="2" s="1"/>
  <c r="O241" i="3"/>
  <c r="N241" i="3"/>
  <c r="O240" i="3"/>
  <c r="N240" i="3"/>
  <c r="O239" i="3"/>
  <c r="N239" i="3"/>
  <c r="O238" i="3"/>
  <c r="X235" i="2" s="1"/>
  <c r="N238" i="3"/>
  <c r="V235" i="2" s="1"/>
  <c r="W235" i="2" s="1"/>
  <c r="O237" i="3"/>
  <c r="X234" i="2" s="1"/>
  <c r="N237" i="3"/>
  <c r="V234" i="2" s="1"/>
  <c r="W234" i="2" s="1"/>
  <c r="O236" i="3"/>
  <c r="X233" i="2" s="1"/>
  <c r="N236" i="3"/>
  <c r="V233" i="2" s="1"/>
  <c r="W233" i="2" s="1"/>
  <c r="O235" i="3"/>
  <c r="N235" i="3"/>
  <c r="O234" i="3"/>
  <c r="X231" i="2" s="1"/>
  <c r="N234" i="3"/>
  <c r="V231" i="2" s="1"/>
  <c r="W231" i="2" s="1"/>
  <c r="O233" i="3"/>
  <c r="N233" i="3"/>
  <c r="O232" i="3"/>
  <c r="N232" i="3"/>
  <c r="O231" i="3"/>
  <c r="X228" i="2" s="1"/>
  <c r="N231" i="3"/>
  <c r="V228" i="2" s="1"/>
  <c r="W228" i="2" s="1"/>
  <c r="O230" i="3"/>
  <c r="X227" i="2" s="1"/>
  <c r="N230" i="3"/>
  <c r="V227" i="2" s="1"/>
  <c r="W227" i="2" s="1"/>
  <c r="O229" i="3"/>
  <c r="N229" i="3"/>
  <c r="O228" i="3"/>
  <c r="N228" i="3"/>
  <c r="V225" i="2" s="1"/>
  <c r="W225" i="2" s="1"/>
  <c r="O227" i="3"/>
  <c r="N227" i="3"/>
  <c r="O226" i="3"/>
  <c r="N226" i="3"/>
  <c r="O225" i="3"/>
  <c r="X222" i="2" s="1"/>
  <c r="N225" i="3"/>
  <c r="V222" i="2" s="1"/>
  <c r="W222" i="2" s="1"/>
  <c r="O224" i="3"/>
  <c r="X221" i="2" s="1"/>
  <c r="N224" i="3"/>
  <c r="V221" i="2" s="1"/>
  <c r="W221" i="2" s="1"/>
  <c r="O223" i="3"/>
  <c r="X220" i="2" s="1"/>
  <c r="N223" i="3"/>
  <c r="V220" i="2" s="1"/>
  <c r="W220" i="2" s="1"/>
  <c r="O222" i="3"/>
  <c r="X219" i="2" s="1"/>
  <c r="N222" i="3"/>
  <c r="V219" i="2" s="1"/>
  <c r="W219" i="2" s="1"/>
  <c r="O221" i="3"/>
  <c r="N221" i="3"/>
  <c r="O220" i="3"/>
  <c r="X217" i="2" s="1"/>
  <c r="N220" i="3"/>
  <c r="V217" i="2" s="1"/>
  <c r="W217" i="2" s="1"/>
  <c r="O219" i="3"/>
  <c r="X216" i="2" s="1"/>
  <c r="N219" i="3"/>
  <c r="V216" i="2" s="1"/>
  <c r="W216" i="2" s="1"/>
  <c r="O218" i="3"/>
  <c r="X215" i="2" s="1"/>
  <c r="N218" i="3"/>
  <c r="V215" i="2" s="1"/>
  <c r="W215" i="2" s="1"/>
  <c r="O217" i="3"/>
  <c r="N217" i="3"/>
  <c r="O216" i="3"/>
  <c r="X213" i="2" s="1"/>
  <c r="N216" i="3"/>
  <c r="V213" i="2" s="1"/>
  <c r="W213" i="2" s="1"/>
  <c r="O215" i="3"/>
  <c r="X212" i="2" s="1"/>
  <c r="N215" i="3"/>
  <c r="V212" i="2" s="1"/>
  <c r="W212" i="2" s="1"/>
  <c r="O214" i="3"/>
  <c r="X211" i="2" s="1"/>
  <c r="N214" i="3"/>
  <c r="V211" i="2" s="1"/>
  <c r="W211" i="2" s="1"/>
  <c r="O213" i="3"/>
  <c r="X210" i="2" s="1"/>
  <c r="N213" i="3"/>
  <c r="V210" i="2" s="1"/>
  <c r="W210" i="2" s="1"/>
  <c r="O212" i="3"/>
  <c r="X209" i="2" s="1"/>
  <c r="N212" i="3"/>
  <c r="V209" i="2" s="1"/>
  <c r="W209" i="2" s="1"/>
  <c r="O211" i="3"/>
  <c r="X208" i="2" s="1"/>
  <c r="N211" i="3"/>
  <c r="V208" i="2" s="1"/>
  <c r="W208" i="2" s="1"/>
  <c r="O210" i="3"/>
  <c r="X207" i="2" s="1"/>
  <c r="N210" i="3"/>
  <c r="V207" i="2" s="1"/>
  <c r="W207" i="2" s="1"/>
  <c r="O209" i="3"/>
  <c r="X206" i="2" s="1"/>
  <c r="N209" i="3"/>
  <c r="V206" i="2" s="1"/>
  <c r="W206" i="2" s="1"/>
  <c r="O208" i="3"/>
  <c r="X205" i="2" s="1"/>
  <c r="N208" i="3"/>
  <c r="V205" i="2" s="1"/>
  <c r="W205" i="2" s="1"/>
  <c r="O207" i="3"/>
  <c r="X204" i="2" s="1"/>
  <c r="N207" i="3"/>
  <c r="V204" i="2" s="1"/>
  <c r="W204" i="2" s="1"/>
  <c r="O206" i="3"/>
  <c r="X203" i="2" s="1"/>
  <c r="N206" i="3"/>
  <c r="V203" i="2" s="1"/>
  <c r="W203" i="2" s="1"/>
  <c r="O205" i="3"/>
  <c r="X202" i="2" s="1"/>
  <c r="N205" i="3"/>
  <c r="V202" i="2" s="1"/>
  <c r="W202" i="2" s="1"/>
  <c r="O204" i="3"/>
  <c r="N204" i="3"/>
  <c r="O203" i="3"/>
  <c r="N203" i="3"/>
  <c r="O202" i="3"/>
  <c r="N202" i="3"/>
  <c r="O201" i="3"/>
  <c r="X198" i="2" s="1"/>
  <c r="N201" i="3"/>
  <c r="V198" i="2" s="1"/>
  <c r="W198" i="2" s="1"/>
  <c r="O200" i="3"/>
  <c r="X197" i="2" s="1"/>
  <c r="N200" i="3"/>
  <c r="V197" i="2" s="1"/>
  <c r="W197" i="2" s="1"/>
  <c r="O199" i="3"/>
  <c r="X196" i="2" s="1"/>
  <c r="N199" i="3"/>
  <c r="V196" i="2" s="1"/>
  <c r="W196" i="2" s="1"/>
  <c r="O198" i="3"/>
  <c r="X195" i="2" s="1"/>
  <c r="N198" i="3"/>
  <c r="V195" i="2" s="1"/>
  <c r="W195" i="2" s="1"/>
  <c r="O197" i="3"/>
  <c r="X194" i="2" s="1"/>
  <c r="N197" i="3"/>
  <c r="V194" i="2" s="1"/>
  <c r="W194" i="2" s="1"/>
  <c r="O196" i="3"/>
  <c r="X193" i="2" s="1"/>
  <c r="N196" i="3"/>
  <c r="V193" i="2" s="1"/>
  <c r="W193" i="2" s="1"/>
  <c r="O195" i="3"/>
  <c r="N195" i="3"/>
  <c r="V192" i="2" s="1"/>
  <c r="W192" i="2" s="1"/>
  <c r="O194" i="3"/>
  <c r="X191" i="2" s="1"/>
  <c r="N194" i="3"/>
  <c r="V191" i="2" s="1"/>
  <c r="W191" i="2" s="1"/>
  <c r="O193" i="3"/>
  <c r="X190" i="2" s="1"/>
  <c r="N193" i="3"/>
  <c r="V190" i="2" s="1"/>
  <c r="W190" i="2" s="1"/>
  <c r="O192" i="3"/>
  <c r="X189" i="2" s="1"/>
  <c r="N192" i="3"/>
  <c r="V189" i="2" s="1"/>
  <c r="W189" i="2" s="1"/>
  <c r="O191" i="3"/>
  <c r="N191" i="3"/>
  <c r="O190" i="3"/>
  <c r="X187" i="2" s="1"/>
  <c r="N190" i="3"/>
  <c r="V187" i="2" s="1"/>
  <c r="W187" i="2" s="1"/>
  <c r="O189" i="3"/>
  <c r="X186" i="2" s="1"/>
  <c r="N189" i="3"/>
  <c r="V186" i="2" s="1"/>
  <c r="W186" i="2" s="1"/>
  <c r="O188" i="3"/>
  <c r="X185" i="2" s="1"/>
  <c r="N188" i="3"/>
  <c r="V185" i="2" s="1"/>
  <c r="W185" i="2" s="1"/>
  <c r="O187" i="3"/>
  <c r="X184" i="2" s="1"/>
  <c r="N187" i="3"/>
  <c r="V184" i="2" s="1"/>
  <c r="W184" i="2" s="1"/>
  <c r="O186" i="3"/>
  <c r="X183" i="2" s="1"/>
  <c r="N186" i="3"/>
  <c r="V183" i="2" s="1"/>
  <c r="W183" i="2" s="1"/>
  <c r="O185" i="3"/>
  <c r="N185" i="3"/>
  <c r="O184" i="3"/>
  <c r="X181" i="2" s="1"/>
  <c r="N184" i="3"/>
  <c r="V181" i="2" s="1"/>
  <c r="W181" i="2" s="1"/>
  <c r="O183" i="3"/>
  <c r="X180" i="2" s="1"/>
  <c r="N183" i="3"/>
  <c r="V180" i="2" s="1"/>
  <c r="W180" i="2" s="1"/>
  <c r="O182" i="3"/>
  <c r="X179" i="2" s="1"/>
  <c r="N182" i="3"/>
  <c r="V179" i="2" s="1"/>
  <c r="W179" i="2" s="1"/>
  <c r="O181" i="3"/>
  <c r="N181" i="3"/>
  <c r="O180" i="3"/>
  <c r="N180" i="3"/>
  <c r="V177" i="2" s="1"/>
  <c r="W177" i="2" s="1"/>
  <c r="O179" i="3"/>
  <c r="N179" i="3"/>
  <c r="O178" i="3"/>
  <c r="X175" i="2" s="1"/>
  <c r="N178" i="3"/>
  <c r="V175" i="2" s="1"/>
  <c r="W175" i="2" s="1"/>
  <c r="O177" i="3"/>
  <c r="X174" i="2" s="1"/>
  <c r="N177" i="3"/>
  <c r="V174" i="2" s="1"/>
  <c r="W174" i="2" s="1"/>
  <c r="O176" i="3"/>
  <c r="X173" i="2" s="1"/>
  <c r="N176" i="3"/>
  <c r="V173" i="2" s="1"/>
  <c r="W173" i="2" s="1"/>
  <c r="O175" i="3"/>
  <c r="X172" i="2" s="1"/>
  <c r="N175" i="3"/>
  <c r="V172" i="2" s="1"/>
  <c r="W172" i="2" s="1"/>
  <c r="O174" i="3"/>
  <c r="X171" i="2" s="1"/>
  <c r="N174" i="3"/>
  <c r="V171" i="2" s="1"/>
  <c r="W171" i="2" s="1"/>
  <c r="O173" i="3"/>
  <c r="X170" i="2" s="1"/>
  <c r="N173" i="3"/>
  <c r="V170" i="2" s="1"/>
  <c r="W170" i="2" s="1"/>
  <c r="O172" i="3"/>
  <c r="N172" i="3"/>
  <c r="O171" i="3"/>
  <c r="X168" i="2" s="1"/>
  <c r="N171" i="3"/>
  <c r="V168" i="2" s="1"/>
  <c r="W168" i="2" s="1"/>
  <c r="O170" i="3"/>
  <c r="X167" i="2" s="1"/>
  <c r="N170" i="3"/>
  <c r="V167" i="2" s="1"/>
  <c r="W167" i="2" s="1"/>
  <c r="O169" i="3"/>
  <c r="X166" i="2" s="1"/>
  <c r="N169" i="3"/>
  <c r="V166" i="2" s="1"/>
  <c r="W166" i="2" s="1"/>
  <c r="O168" i="3"/>
  <c r="X165" i="2" s="1"/>
  <c r="N168" i="3"/>
  <c r="V165" i="2" s="1"/>
  <c r="W165" i="2" s="1"/>
  <c r="O167" i="3"/>
  <c r="X164" i="2" s="1"/>
  <c r="N167" i="3"/>
  <c r="V164" i="2" s="1"/>
  <c r="W164" i="2" s="1"/>
  <c r="O166" i="3"/>
  <c r="X163" i="2" s="1"/>
  <c r="N166" i="3"/>
  <c r="V163" i="2" s="1"/>
  <c r="W163" i="2" s="1"/>
  <c r="O165" i="3"/>
  <c r="X162" i="2" s="1"/>
  <c r="N165" i="3"/>
  <c r="V162" i="2" s="1"/>
  <c r="W162" i="2" s="1"/>
  <c r="O164" i="3"/>
  <c r="N164" i="3"/>
  <c r="O163" i="3"/>
  <c r="X160" i="2" s="1"/>
  <c r="N163" i="3"/>
  <c r="V160" i="2" s="1"/>
  <c r="W160" i="2" s="1"/>
  <c r="O162" i="3"/>
  <c r="X159" i="2" s="1"/>
  <c r="N162" i="3"/>
  <c r="V159" i="2" s="1"/>
  <c r="W159" i="2" s="1"/>
  <c r="O161" i="3"/>
  <c r="X158" i="2" s="1"/>
  <c r="N161" i="3"/>
  <c r="V158" i="2" s="1"/>
  <c r="W158" i="2" s="1"/>
  <c r="O160" i="3"/>
  <c r="X157" i="2" s="1"/>
  <c r="N160" i="3"/>
  <c r="V157" i="2" s="1"/>
  <c r="W157" i="2" s="1"/>
  <c r="O159" i="3"/>
  <c r="X156" i="2" s="1"/>
  <c r="N159" i="3"/>
  <c r="V156" i="2" s="1"/>
  <c r="W156" i="2" s="1"/>
  <c r="O158" i="3"/>
  <c r="X155" i="2" s="1"/>
  <c r="N158" i="3"/>
  <c r="V155" i="2" s="1"/>
  <c r="W155" i="2" s="1"/>
  <c r="O157" i="3"/>
  <c r="X154" i="2" s="1"/>
  <c r="N157" i="3"/>
  <c r="V154" i="2" s="1"/>
  <c r="W154" i="2" s="1"/>
  <c r="O156" i="3"/>
  <c r="X153" i="2" s="1"/>
  <c r="N156" i="3"/>
  <c r="V153" i="2" s="1"/>
  <c r="W153" i="2" s="1"/>
  <c r="O155" i="3"/>
  <c r="X152" i="2" s="1"/>
  <c r="N155" i="3"/>
  <c r="V152" i="2" s="1"/>
  <c r="W152" i="2" s="1"/>
  <c r="O154" i="3"/>
  <c r="X151" i="2" s="1"/>
  <c r="N154" i="3"/>
  <c r="V151" i="2" s="1"/>
  <c r="W151" i="2" s="1"/>
  <c r="O153" i="3"/>
  <c r="X150" i="2" s="1"/>
  <c r="N153" i="3"/>
  <c r="V150" i="2" s="1"/>
  <c r="W150" i="2" s="1"/>
  <c r="O152" i="3"/>
  <c r="X149" i="2" s="1"/>
  <c r="N152" i="3"/>
  <c r="V149" i="2" s="1"/>
  <c r="W149" i="2" s="1"/>
  <c r="O151" i="3"/>
  <c r="X148" i="2" s="1"/>
  <c r="N151" i="3"/>
  <c r="V148" i="2" s="1"/>
  <c r="W148" i="2" s="1"/>
  <c r="O150" i="3"/>
  <c r="X147" i="2" s="1"/>
  <c r="N150" i="3"/>
  <c r="V147" i="2" s="1"/>
  <c r="W147" i="2" s="1"/>
  <c r="O149" i="3"/>
  <c r="N149" i="3"/>
  <c r="O148" i="3"/>
  <c r="X145" i="2" s="1"/>
  <c r="N148" i="3"/>
  <c r="V145" i="2" s="1"/>
  <c r="W145" i="2" s="1"/>
  <c r="O147" i="3"/>
  <c r="X144" i="2" s="1"/>
  <c r="N147" i="3"/>
  <c r="V144" i="2" s="1"/>
  <c r="W144" i="2" s="1"/>
  <c r="O146" i="3"/>
  <c r="X143" i="2" s="1"/>
  <c r="N146" i="3"/>
  <c r="V143" i="2" s="1"/>
  <c r="W143" i="2" s="1"/>
  <c r="O145" i="3"/>
  <c r="X142" i="2" s="1"/>
  <c r="N145" i="3"/>
  <c r="V142" i="2" s="1"/>
  <c r="W142" i="2" s="1"/>
  <c r="O144" i="3"/>
  <c r="X141" i="2" s="1"/>
  <c r="N144" i="3"/>
  <c r="V141" i="2" s="1"/>
  <c r="W141" i="2" s="1"/>
  <c r="O143" i="3"/>
  <c r="X140" i="2" s="1"/>
  <c r="N143" i="3"/>
  <c r="V140" i="2" s="1"/>
  <c r="W140" i="2" s="1"/>
  <c r="O142" i="3"/>
  <c r="X139" i="2" s="1"/>
  <c r="N142" i="3"/>
  <c r="V139" i="2" s="1"/>
  <c r="W139" i="2" s="1"/>
  <c r="O141" i="3"/>
  <c r="X138" i="2" s="1"/>
  <c r="N141" i="3"/>
  <c r="V138" i="2" s="1"/>
  <c r="W138" i="2" s="1"/>
  <c r="O140" i="3"/>
  <c r="X137" i="2" s="1"/>
  <c r="N140" i="3"/>
  <c r="V137" i="2" s="1"/>
  <c r="W137" i="2" s="1"/>
  <c r="O139" i="3"/>
  <c r="X136" i="2" s="1"/>
  <c r="N139" i="3"/>
  <c r="V136" i="2" s="1"/>
  <c r="W136" i="2" s="1"/>
  <c r="O138" i="3"/>
  <c r="X135" i="2" s="1"/>
  <c r="N138" i="3"/>
  <c r="V135" i="2" s="1"/>
  <c r="W135" i="2" s="1"/>
  <c r="O137" i="3"/>
  <c r="X134" i="2" s="1"/>
  <c r="N137" i="3"/>
  <c r="V134" i="2" s="1"/>
  <c r="W134" i="2" s="1"/>
  <c r="O136" i="3"/>
  <c r="X133" i="2" s="1"/>
  <c r="N136" i="3"/>
  <c r="V133" i="2" s="1"/>
  <c r="W133" i="2" s="1"/>
  <c r="O135" i="3"/>
  <c r="X132" i="2" s="1"/>
  <c r="N135" i="3"/>
  <c r="V132" i="2" s="1"/>
  <c r="W132" i="2" s="1"/>
  <c r="O134" i="3"/>
  <c r="X131" i="2" s="1"/>
  <c r="N134" i="3"/>
  <c r="V131" i="2" s="1"/>
  <c r="W131" i="2" s="1"/>
  <c r="O133" i="3"/>
  <c r="X130" i="2" s="1"/>
  <c r="N133" i="3"/>
  <c r="V130" i="2" s="1"/>
  <c r="W130" i="2" s="1"/>
  <c r="O132" i="3"/>
  <c r="N132" i="3"/>
  <c r="O131" i="3"/>
  <c r="X128" i="2" s="1"/>
  <c r="N131" i="3"/>
  <c r="V128" i="2" s="1"/>
  <c r="W128" i="2" s="1"/>
  <c r="O130" i="3"/>
  <c r="X127" i="2" s="1"/>
  <c r="N130" i="3"/>
  <c r="V127" i="2" s="1"/>
  <c r="W127" i="2" s="1"/>
  <c r="O129" i="3"/>
  <c r="X126" i="2" s="1"/>
  <c r="N129" i="3"/>
  <c r="V126" i="2" s="1"/>
  <c r="W126" i="2" s="1"/>
  <c r="O128" i="3"/>
  <c r="X125" i="2" s="1"/>
  <c r="N128" i="3"/>
  <c r="V125" i="2" s="1"/>
  <c r="W125" i="2" s="1"/>
  <c r="O127" i="3"/>
  <c r="X124" i="2" s="1"/>
  <c r="N127" i="3"/>
  <c r="V124" i="2" s="1"/>
  <c r="W124" i="2" s="1"/>
  <c r="O126" i="3"/>
  <c r="X123" i="2" s="1"/>
  <c r="N126" i="3"/>
  <c r="V123" i="2" s="1"/>
  <c r="W123" i="2" s="1"/>
  <c r="O125" i="3"/>
  <c r="X122" i="2" s="1"/>
  <c r="N125" i="3"/>
  <c r="V122" i="2" s="1"/>
  <c r="W122" i="2" s="1"/>
  <c r="O124" i="3"/>
  <c r="N124" i="3"/>
  <c r="V121" i="2" s="1"/>
  <c r="W121" i="2" s="1"/>
  <c r="O123" i="3"/>
  <c r="N123" i="3"/>
  <c r="O122" i="3"/>
  <c r="X119" i="2" s="1"/>
  <c r="N122" i="3"/>
  <c r="V119" i="2" s="1"/>
  <c r="W119" i="2" s="1"/>
  <c r="O121" i="3"/>
  <c r="N121" i="3"/>
  <c r="O120" i="3"/>
  <c r="N120" i="3"/>
  <c r="O119" i="3"/>
  <c r="N119" i="3"/>
  <c r="O118" i="3"/>
  <c r="X115" i="2" s="1"/>
  <c r="N118" i="3"/>
  <c r="V115" i="2" s="1"/>
  <c r="W115" i="2" s="1"/>
  <c r="O117" i="3"/>
  <c r="X114" i="2" s="1"/>
  <c r="N117" i="3"/>
  <c r="V114" i="2" s="1"/>
  <c r="W114" i="2" s="1"/>
  <c r="O116" i="3"/>
  <c r="X113" i="2" s="1"/>
  <c r="N116" i="3"/>
  <c r="V113" i="2" s="1"/>
  <c r="W113" i="2" s="1"/>
  <c r="O115" i="3"/>
  <c r="N115" i="3"/>
  <c r="O114" i="3"/>
  <c r="X111" i="2" s="1"/>
  <c r="N114" i="3"/>
  <c r="V111" i="2" s="1"/>
  <c r="W111" i="2" s="1"/>
  <c r="O113" i="3"/>
  <c r="N113" i="3"/>
  <c r="O112" i="3"/>
  <c r="N112" i="3"/>
  <c r="O111" i="3"/>
  <c r="X108" i="2" s="1"/>
  <c r="N111" i="3"/>
  <c r="V108" i="2" s="1"/>
  <c r="W108" i="2" s="1"/>
  <c r="O110" i="3"/>
  <c r="X107" i="2" s="1"/>
  <c r="N110" i="3"/>
  <c r="V107" i="2" s="1"/>
  <c r="W107" i="2" s="1"/>
  <c r="O109" i="3"/>
  <c r="N109" i="3"/>
  <c r="O108" i="3"/>
  <c r="N108" i="3"/>
  <c r="O107" i="3"/>
  <c r="N107" i="3"/>
  <c r="O106" i="3"/>
  <c r="N106" i="3"/>
  <c r="V103" i="2" s="1"/>
  <c r="W103" i="2" s="1"/>
  <c r="O105" i="3"/>
  <c r="X102" i="2" s="1"/>
  <c r="N105" i="3"/>
  <c r="V102" i="2" s="1"/>
  <c r="W102" i="2" s="1"/>
  <c r="O104" i="3"/>
  <c r="N104" i="3"/>
  <c r="O103" i="3"/>
  <c r="N103" i="3"/>
  <c r="O102" i="3"/>
  <c r="N102" i="3"/>
  <c r="O101" i="3"/>
  <c r="X98" i="2" s="1"/>
  <c r="N101" i="3"/>
  <c r="V98" i="2" s="1"/>
  <c r="W98" i="2" s="1"/>
  <c r="O100" i="3"/>
  <c r="X97" i="2" s="1"/>
  <c r="N100" i="3"/>
  <c r="V97" i="2" s="1"/>
  <c r="W97" i="2" s="1"/>
  <c r="O99" i="3"/>
  <c r="X96" i="2" s="1"/>
  <c r="N99" i="3"/>
  <c r="V96" i="2" s="1"/>
  <c r="W96" i="2" s="1"/>
  <c r="O98" i="3"/>
  <c r="X95" i="2" s="1"/>
  <c r="N98" i="3"/>
  <c r="V95" i="2" s="1"/>
  <c r="W95" i="2" s="1"/>
  <c r="O97" i="3"/>
  <c r="N97" i="3"/>
  <c r="O96" i="3"/>
  <c r="N96" i="3"/>
  <c r="O95" i="3"/>
  <c r="N95" i="3"/>
  <c r="O94" i="3"/>
  <c r="X91" i="2" s="1"/>
  <c r="N94" i="3"/>
  <c r="V91" i="2" s="1"/>
  <c r="W91" i="2" s="1"/>
  <c r="O93" i="3"/>
  <c r="N93" i="3"/>
  <c r="O92" i="3"/>
  <c r="N92" i="3"/>
  <c r="O91" i="3"/>
  <c r="N91" i="3"/>
  <c r="V88" i="2" s="1"/>
  <c r="W88" i="2" s="1"/>
  <c r="O90" i="3"/>
  <c r="N90" i="3"/>
  <c r="O89" i="3"/>
  <c r="N89" i="3"/>
  <c r="O88" i="3"/>
  <c r="N88" i="3"/>
  <c r="V85" i="2" s="1"/>
  <c r="W85" i="2" s="1"/>
  <c r="O87" i="3"/>
  <c r="N87" i="3"/>
  <c r="O86" i="3"/>
  <c r="X83" i="2" s="1"/>
  <c r="N86" i="3"/>
  <c r="V83" i="2" s="1"/>
  <c r="W83" i="2" s="1"/>
  <c r="O85" i="3"/>
  <c r="X82" i="2" s="1"/>
  <c r="N85" i="3"/>
  <c r="V82" i="2" s="1"/>
  <c r="W82" i="2" s="1"/>
  <c r="O84" i="3"/>
  <c r="X81" i="2" s="1"/>
  <c r="N84" i="3"/>
  <c r="V81" i="2" s="1"/>
  <c r="W81" i="2" s="1"/>
  <c r="O83" i="3"/>
  <c r="N83" i="3"/>
  <c r="O82" i="3"/>
  <c r="N82" i="3"/>
  <c r="V79" i="2" s="1"/>
  <c r="W79" i="2" s="1"/>
  <c r="O81" i="3"/>
  <c r="X78" i="2" s="1"/>
  <c r="N81" i="3"/>
  <c r="V78" i="2" s="1"/>
  <c r="W78" i="2" s="1"/>
  <c r="O80" i="3"/>
  <c r="N80" i="3"/>
  <c r="O79" i="3"/>
  <c r="X76" i="2" s="1"/>
  <c r="N79" i="3"/>
  <c r="V76" i="2" s="1"/>
  <c r="W76" i="2" s="1"/>
  <c r="O78" i="3"/>
  <c r="N78" i="3"/>
  <c r="O77" i="3"/>
  <c r="N77" i="3"/>
  <c r="O76" i="3"/>
  <c r="N76" i="3"/>
  <c r="V73" i="2" s="1"/>
  <c r="W73" i="2" s="1"/>
  <c r="O75" i="3"/>
  <c r="X72" i="2" s="1"/>
  <c r="N75" i="3"/>
  <c r="V72" i="2" s="1"/>
  <c r="W72" i="2" s="1"/>
  <c r="O74" i="3"/>
  <c r="X71" i="2" s="1"/>
  <c r="N74" i="3"/>
  <c r="V71" i="2" s="1"/>
  <c r="W71" i="2" s="1"/>
  <c r="O73" i="3"/>
  <c r="N73" i="3"/>
  <c r="O72" i="3"/>
  <c r="N72" i="3"/>
  <c r="O71" i="3"/>
  <c r="X68" i="2" s="1"/>
  <c r="N71" i="3"/>
  <c r="O70" i="3"/>
  <c r="N70" i="3"/>
  <c r="V67" i="2" s="1"/>
  <c r="W67" i="2" s="1"/>
  <c r="O69" i="3"/>
  <c r="X66" i="2" s="1"/>
  <c r="N69" i="3"/>
  <c r="V66" i="2" s="1"/>
  <c r="W66" i="2" s="1"/>
  <c r="O68" i="3"/>
  <c r="X65" i="2" s="1"/>
  <c r="N68" i="3"/>
  <c r="V65" i="2" s="1"/>
  <c r="W65" i="2" s="1"/>
  <c r="O67" i="3"/>
  <c r="N67" i="3"/>
  <c r="O66" i="3"/>
  <c r="N66" i="3"/>
  <c r="O65" i="3"/>
  <c r="X62" i="2" s="1"/>
  <c r="N65" i="3"/>
  <c r="V62" i="2" s="1"/>
  <c r="W62" i="2" s="1"/>
  <c r="O64" i="3"/>
  <c r="X61" i="2" s="1"/>
  <c r="N64" i="3"/>
  <c r="V61" i="2" s="1"/>
  <c r="W61" i="2" s="1"/>
  <c r="O63" i="3"/>
  <c r="X60" i="2" s="1"/>
  <c r="N63" i="3"/>
  <c r="V60" i="2" s="1"/>
  <c r="W60" i="2" s="1"/>
  <c r="O62" i="3"/>
  <c r="X59" i="2" s="1"/>
  <c r="N62" i="3"/>
  <c r="V59" i="2" s="1"/>
  <c r="W59" i="2" s="1"/>
  <c r="O61" i="3"/>
  <c r="X58" i="2" s="1"/>
  <c r="N61" i="3"/>
  <c r="V58" i="2" s="1"/>
  <c r="W58" i="2" s="1"/>
  <c r="O60" i="3"/>
  <c r="X57" i="2" s="1"/>
  <c r="N60" i="3"/>
  <c r="V57" i="2" s="1"/>
  <c r="W57" i="2" s="1"/>
  <c r="O59" i="3"/>
  <c r="X56" i="2" s="1"/>
  <c r="N59" i="3"/>
  <c r="V56" i="2" s="1"/>
  <c r="W56" i="2" s="1"/>
  <c r="O58" i="3"/>
  <c r="X55" i="2" s="1"/>
  <c r="N58" i="3"/>
  <c r="V55" i="2" s="1"/>
  <c r="W55" i="2" s="1"/>
  <c r="O57" i="3"/>
  <c r="X54" i="2" s="1"/>
  <c r="N57" i="3"/>
  <c r="V54" i="2" s="1"/>
  <c r="W54" i="2" s="1"/>
  <c r="O56" i="3"/>
  <c r="X53" i="2" s="1"/>
  <c r="N56" i="3"/>
  <c r="V53" i="2" s="1"/>
  <c r="W53" i="2" s="1"/>
  <c r="O55" i="3"/>
  <c r="N55" i="3"/>
  <c r="O54" i="3"/>
  <c r="X51" i="2" s="1"/>
  <c r="N54" i="3"/>
  <c r="V51" i="2" s="1"/>
  <c r="W51" i="2" s="1"/>
  <c r="O53" i="3"/>
  <c r="X50" i="2" s="1"/>
  <c r="N53" i="3"/>
  <c r="V50" i="2" s="1"/>
  <c r="W50" i="2" s="1"/>
  <c r="O52" i="3"/>
  <c r="N52" i="3"/>
  <c r="V49" i="2" s="1"/>
  <c r="W49" i="2" s="1"/>
  <c r="O51" i="3"/>
  <c r="X48" i="2" s="1"/>
  <c r="N51" i="3"/>
  <c r="V48" i="2" s="1"/>
  <c r="W48" i="2" s="1"/>
  <c r="O50" i="3"/>
  <c r="X47" i="2" s="1"/>
  <c r="N50" i="3"/>
  <c r="V47" i="2" s="1"/>
  <c r="W47" i="2" s="1"/>
  <c r="O49" i="3"/>
  <c r="N49" i="3"/>
  <c r="O48" i="3"/>
  <c r="N48" i="3"/>
  <c r="O47" i="3"/>
  <c r="N47" i="3"/>
  <c r="O46" i="3"/>
  <c r="N46" i="3"/>
  <c r="O45" i="3"/>
  <c r="X42" i="2" s="1"/>
  <c r="N45" i="3"/>
  <c r="V42" i="2" s="1"/>
  <c r="W42" i="2" s="1"/>
  <c r="O44" i="3"/>
  <c r="X41" i="2" s="1"/>
  <c r="N44" i="3"/>
  <c r="V41" i="2" s="1"/>
  <c r="W41" i="2" s="1"/>
  <c r="O43" i="3"/>
  <c r="N43" i="3"/>
  <c r="O42" i="3"/>
  <c r="X39" i="2" s="1"/>
  <c r="N42" i="3"/>
  <c r="V39" i="2" s="1"/>
  <c r="W39" i="2" s="1"/>
  <c r="O41" i="3"/>
  <c r="X38" i="2" s="1"/>
  <c r="N41" i="3"/>
  <c r="V38" i="2" s="1"/>
  <c r="W38" i="2" s="1"/>
  <c r="O40" i="3"/>
  <c r="X37" i="2" s="1"/>
  <c r="N40" i="3"/>
  <c r="V37" i="2" s="1"/>
  <c r="W37" i="2" s="1"/>
  <c r="O39" i="3"/>
  <c r="X36" i="2" s="1"/>
  <c r="N39" i="3"/>
  <c r="V36" i="2" s="1"/>
  <c r="W36" i="2" s="1"/>
  <c r="O38" i="3"/>
  <c r="X35" i="2" s="1"/>
  <c r="N38" i="3"/>
  <c r="V35" i="2" s="1"/>
  <c r="W35" i="2" s="1"/>
  <c r="O37" i="3"/>
  <c r="X34" i="2" s="1"/>
  <c r="N37" i="3"/>
  <c r="V34" i="2" s="1"/>
  <c r="W34" i="2" s="1"/>
  <c r="O36" i="3"/>
  <c r="X33" i="2" s="1"/>
  <c r="N36" i="3"/>
  <c r="V33" i="2" s="1"/>
  <c r="W33" i="2" s="1"/>
  <c r="O35" i="3"/>
  <c r="N35" i="3"/>
  <c r="O34" i="3"/>
  <c r="X31" i="2" s="1"/>
  <c r="N34" i="3"/>
  <c r="V31" i="2" s="1"/>
  <c r="W31" i="2" s="1"/>
  <c r="O33" i="3"/>
  <c r="X30" i="2" s="1"/>
  <c r="N33" i="3"/>
  <c r="V30" i="2" s="1"/>
  <c r="W30" i="2" s="1"/>
  <c r="O32" i="3"/>
  <c r="X29" i="2" s="1"/>
  <c r="N32" i="3"/>
  <c r="V29" i="2" s="1"/>
  <c r="W29" i="2" s="1"/>
  <c r="O31" i="3"/>
  <c r="X28" i="2" s="1"/>
  <c r="N31" i="3"/>
  <c r="V28" i="2" s="1"/>
  <c r="W28" i="2" s="1"/>
  <c r="O30" i="3"/>
  <c r="X27" i="2" s="1"/>
  <c r="N30" i="3"/>
  <c r="V27" i="2" s="1"/>
  <c r="W27" i="2" s="1"/>
  <c r="O29" i="3"/>
  <c r="N29" i="3"/>
  <c r="O28" i="3"/>
  <c r="N28" i="3"/>
  <c r="V25" i="2" s="1"/>
  <c r="W25" i="2" s="1"/>
  <c r="O27" i="3"/>
  <c r="X24" i="2" s="1"/>
  <c r="N27" i="3"/>
  <c r="V24" i="2" s="1"/>
  <c r="W24" i="2" s="1"/>
  <c r="O26" i="3"/>
  <c r="X23" i="2" s="1"/>
  <c r="N26" i="3"/>
  <c r="V23" i="2" s="1"/>
  <c r="W23" i="2" s="1"/>
  <c r="O25" i="3"/>
  <c r="N25" i="3"/>
  <c r="O24" i="3"/>
  <c r="N24" i="3"/>
  <c r="O23" i="3"/>
  <c r="N23" i="3"/>
  <c r="O22" i="3"/>
  <c r="X19" i="2" s="1"/>
  <c r="N22" i="3"/>
  <c r="V19" i="2" s="1"/>
  <c r="W19" i="2" s="1"/>
  <c r="O21" i="3"/>
  <c r="X18" i="2" s="1"/>
  <c r="N21" i="3"/>
  <c r="V18" i="2" s="1"/>
  <c r="W18" i="2" s="1"/>
  <c r="O20" i="3"/>
  <c r="X17" i="2" s="1"/>
  <c r="N20" i="3"/>
  <c r="V17" i="2" s="1"/>
  <c r="W17" i="2" s="1"/>
  <c r="O19" i="3"/>
  <c r="X16" i="2" s="1"/>
  <c r="N19" i="3"/>
  <c r="V16" i="2" s="1"/>
  <c r="W16" i="2" s="1"/>
  <c r="O18" i="3"/>
  <c r="X15" i="2" s="1"/>
  <c r="N18" i="3"/>
  <c r="V15" i="2" s="1"/>
  <c r="W15" i="2" s="1"/>
  <c r="O17" i="3"/>
  <c r="X14" i="2" s="1"/>
  <c r="N17" i="3"/>
  <c r="V14" i="2" s="1"/>
  <c r="W14" i="2" s="1"/>
  <c r="O16" i="3"/>
  <c r="X13" i="2" s="1"/>
  <c r="N16" i="3"/>
  <c r="V13" i="2" s="1"/>
  <c r="W13" i="2" s="1"/>
  <c r="O15" i="3"/>
  <c r="X12" i="2" s="1"/>
  <c r="N15" i="3"/>
  <c r="V12" i="2" s="1"/>
  <c r="W12" i="2" s="1"/>
  <c r="O14" i="3"/>
  <c r="X11" i="2" s="1"/>
  <c r="N14" i="3"/>
  <c r="V11" i="2" s="1"/>
  <c r="W11" i="2" s="1"/>
  <c r="O13" i="3"/>
  <c r="X10" i="2" s="1"/>
  <c r="N13" i="3"/>
  <c r="V10" i="2" s="1"/>
  <c r="W10" i="2" s="1"/>
  <c r="O12" i="3"/>
  <c r="X9" i="2" s="1"/>
  <c r="N12" i="3"/>
  <c r="V9" i="2" s="1"/>
  <c r="W9" i="2" s="1"/>
  <c r="O11" i="3"/>
  <c r="N11" i="3"/>
  <c r="O10" i="3"/>
  <c r="N10" i="3"/>
  <c r="V7" i="2" s="1"/>
  <c r="W7" i="2" s="1"/>
  <c r="X1096" i="2" l="1"/>
  <c r="X52" i="2"/>
  <c r="X88" i="2"/>
  <c r="X453" i="2"/>
  <c r="X652" i="2"/>
  <c r="X658" i="2"/>
  <c r="X676" i="2"/>
  <c r="X688" i="2"/>
  <c r="X706" i="2"/>
  <c r="X1078" i="2"/>
  <c r="X1186" i="2"/>
  <c r="X1240" i="2"/>
  <c r="X40" i="2"/>
  <c r="X329" i="2"/>
  <c r="X328" i="2"/>
  <c r="X340" i="2"/>
  <c r="X352" i="2"/>
  <c r="X460" i="2"/>
  <c r="X484" i="2"/>
  <c r="X627" i="2"/>
  <c r="X634" i="2"/>
  <c r="X640" i="2"/>
  <c r="X1012" i="2"/>
  <c r="X1066" i="2"/>
  <c r="X1126" i="2"/>
  <c r="X1222" i="2"/>
  <c r="X274" i="2"/>
  <c r="X466" i="2"/>
  <c r="X480" i="2"/>
  <c r="X479" i="2"/>
  <c r="X478" i="2"/>
  <c r="X586" i="2"/>
  <c r="X976" i="2"/>
  <c r="X1228" i="2"/>
  <c r="X106" i="2"/>
  <c r="X118" i="2"/>
  <c r="X178" i="2"/>
  <c r="X280" i="2"/>
  <c r="X286" i="2"/>
  <c r="X304" i="2"/>
  <c r="X316" i="2"/>
  <c r="X346" i="2"/>
  <c r="X508" i="2"/>
  <c r="X868" i="2"/>
  <c r="X946" i="2"/>
  <c r="X952" i="2"/>
  <c r="X7" i="2"/>
  <c r="X25" i="2"/>
  <c r="X1127" i="2"/>
  <c r="X1013" i="2"/>
  <c r="X977" i="2"/>
  <c r="X869" i="2"/>
  <c r="X1198" i="2"/>
  <c r="X1084" i="2"/>
  <c r="X1018" i="2"/>
  <c r="X1287" i="2"/>
  <c r="X1275" i="2"/>
  <c r="X1149" i="2"/>
  <c r="X987" i="2"/>
  <c r="X1068" i="2"/>
  <c r="X1002" i="2"/>
  <c r="X996" i="2"/>
  <c r="X1082" i="2"/>
  <c r="X1196" i="2"/>
  <c r="X758" i="2"/>
  <c r="X710" i="2"/>
  <c r="X632" i="2"/>
  <c r="X1237" i="2"/>
  <c r="X1076" i="2"/>
  <c r="X763" i="2"/>
  <c r="X1070" i="2"/>
  <c r="X886" i="2"/>
  <c r="X795" i="2"/>
  <c r="X980" i="2"/>
  <c r="X775" i="2"/>
  <c r="X872" i="2"/>
  <c r="X731" i="2"/>
  <c r="X950" i="2"/>
  <c r="X1208" i="2"/>
  <c r="X903" i="2"/>
  <c r="X890" i="2"/>
  <c r="X831" i="2"/>
  <c r="X818" i="2"/>
  <c r="X948" i="2"/>
  <c r="X389" i="2"/>
  <c r="X735" i="2"/>
  <c r="X616" i="2"/>
  <c r="X601" i="2"/>
  <c r="X659" i="2"/>
  <c r="X574" i="2"/>
  <c r="X109" i="2"/>
  <c r="X43" i="2"/>
  <c r="X385" i="2"/>
  <c r="X223" i="2"/>
  <c r="X120" i="2"/>
  <c r="X229" i="2"/>
  <c r="X101" i="2"/>
  <c r="X169" i="2"/>
  <c r="X161" i="2"/>
  <c r="X105" i="2"/>
  <c r="X87" i="2"/>
  <c r="X373" i="2"/>
  <c r="X199" i="2"/>
  <c r="X323" i="2"/>
  <c r="X342" i="2"/>
  <c r="X49" i="2"/>
  <c r="X67" i="2"/>
  <c r="X73" i="2"/>
  <c r="X79" i="2"/>
  <c r="X85" i="2"/>
  <c r="X103" i="2"/>
  <c r="X121" i="2"/>
  <c r="X501" i="2"/>
  <c r="X514" i="2"/>
  <c r="X832" i="2"/>
  <c r="V20" i="2"/>
  <c r="W20" i="2" s="1"/>
  <c r="V68" i="2"/>
  <c r="W68" i="2" s="1"/>
  <c r="V218" i="2"/>
  <c r="W218" i="2" s="1"/>
  <c r="V224" i="2"/>
  <c r="W224" i="2" s="1"/>
  <c r="V230" i="2"/>
  <c r="W230" i="2" s="1"/>
  <c r="V254" i="2"/>
  <c r="W254" i="2" s="1"/>
  <c r="V278" i="2"/>
  <c r="W278" i="2" s="1"/>
  <c r="V284" i="2"/>
  <c r="W284" i="2" s="1"/>
  <c r="X214" i="2"/>
  <c r="X412" i="2"/>
  <c r="X418" i="2"/>
  <c r="X766" i="2"/>
  <c r="X772" i="2"/>
  <c r="X778" i="2"/>
  <c r="V8" i="2"/>
  <c r="W8" i="2" s="1"/>
  <c r="V26" i="2"/>
  <c r="W26" i="2" s="1"/>
  <c r="V74" i="2"/>
  <c r="W74" i="2" s="1"/>
  <c r="V80" i="2"/>
  <c r="W80" i="2" s="1"/>
  <c r="V86" i="2"/>
  <c r="W86" i="2" s="1"/>
  <c r="V92" i="2"/>
  <c r="W92" i="2" s="1"/>
  <c r="X8" i="2"/>
  <c r="X20" i="2"/>
  <c r="X32" i="2"/>
  <c r="X104" i="2"/>
  <c r="X110" i="2"/>
  <c r="X117" i="2"/>
  <c r="X116" i="2"/>
  <c r="X176" i="2"/>
  <c r="X334" i="2"/>
  <c r="X182" i="2"/>
  <c r="X1210" i="2"/>
  <c r="X188" i="2"/>
  <c r="X254" i="2"/>
  <c r="X112" i="2"/>
  <c r="X226" i="2"/>
  <c r="X232" i="2"/>
  <c r="X238" i="2"/>
  <c r="X256" i="2"/>
  <c r="X538" i="2"/>
  <c r="X544" i="2"/>
  <c r="X556" i="2"/>
  <c r="X562" i="2"/>
  <c r="X730" i="2"/>
  <c r="X736" i="2"/>
  <c r="X742" i="2"/>
  <c r="X760" i="2"/>
  <c r="V44" i="2"/>
  <c r="W44" i="2" s="1"/>
  <c r="V176" i="2"/>
  <c r="W176" i="2" s="1"/>
  <c r="V334" i="2"/>
  <c r="W334" i="2" s="1"/>
  <c r="V182" i="2"/>
  <c r="W182" i="2" s="1"/>
  <c r="V200" i="2"/>
  <c r="W200" i="2" s="1"/>
  <c r="X26" i="2"/>
  <c r="X44" i="2"/>
  <c r="X74" i="2"/>
  <c r="X80" i="2"/>
  <c r="X86" i="2"/>
  <c r="X92" i="2"/>
  <c r="X200" i="2"/>
  <c r="X218" i="2"/>
  <c r="X224" i="2"/>
  <c r="X230" i="2"/>
  <c r="X278" i="2"/>
  <c r="X284" i="2"/>
  <c r="V21" i="2"/>
  <c r="W21" i="2" s="1"/>
  <c r="V45" i="2"/>
  <c r="W45" i="2" s="1"/>
  <c r="V63" i="2"/>
  <c r="W63" i="2" s="1"/>
  <c r="V69" i="2"/>
  <c r="W69" i="2" s="1"/>
  <c r="V77" i="2"/>
  <c r="W77" i="2" s="1"/>
  <c r="V75" i="2"/>
  <c r="W75" i="2" s="1"/>
  <c r="V1151" i="2"/>
  <c r="W1151" i="2" s="1"/>
  <c r="V961" i="2"/>
  <c r="W961" i="2" s="1"/>
  <c r="V704" i="2"/>
  <c r="W704" i="2" s="1"/>
  <c r="V311" i="2"/>
  <c r="W311" i="2" s="1"/>
  <c r="V93" i="2"/>
  <c r="W93" i="2" s="1"/>
  <c r="V99" i="2"/>
  <c r="W99" i="2" s="1"/>
  <c r="V129" i="2"/>
  <c r="W129" i="2" s="1"/>
  <c r="V201" i="2"/>
  <c r="W201" i="2" s="1"/>
  <c r="X46" i="2"/>
  <c r="X70" i="2"/>
  <c r="X100" i="2"/>
  <c r="X269" i="2"/>
  <c r="X268" i="2"/>
  <c r="X292" i="2"/>
  <c r="X322" i="2"/>
  <c r="X910" i="2"/>
  <c r="V1210" i="2"/>
  <c r="W1210" i="2" s="1"/>
  <c r="V188" i="2"/>
  <c r="W188" i="2" s="1"/>
  <c r="X21" i="2"/>
  <c r="X45" i="2"/>
  <c r="X63" i="2"/>
  <c r="X69" i="2"/>
  <c r="X77" i="2"/>
  <c r="X75" i="2"/>
  <c r="X1151" i="2"/>
  <c r="X704" i="2"/>
  <c r="X961" i="2"/>
  <c r="X93" i="2"/>
  <c r="X311" i="2"/>
  <c r="X99" i="2"/>
  <c r="X129" i="2"/>
  <c r="X177" i="2"/>
  <c r="X201" i="2"/>
  <c r="X225" i="2"/>
  <c r="X249" i="2"/>
  <c r="X255" i="2"/>
  <c r="X279" i="2"/>
  <c r="X285" i="2"/>
  <c r="X377" i="2"/>
  <c r="X376" i="2"/>
  <c r="X378" i="2"/>
  <c r="X682" i="2"/>
  <c r="X700" i="2"/>
  <c r="X826" i="2"/>
  <c r="V32" i="2"/>
  <c r="W32" i="2" s="1"/>
  <c r="V104" i="2"/>
  <c r="W104" i="2" s="1"/>
  <c r="V110" i="2"/>
  <c r="W110" i="2" s="1"/>
  <c r="V117" i="2"/>
  <c r="W117" i="2" s="1"/>
  <c r="V116" i="2"/>
  <c r="W116" i="2" s="1"/>
  <c r="V22" i="2"/>
  <c r="W22" i="2" s="1"/>
  <c r="V40" i="2"/>
  <c r="W40" i="2" s="1"/>
  <c r="V46" i="2"/>
  <c r="W46" i="2" s="1"/>
  <c r="V52" i="2"/>
  <c r="W52" i="2" s="1"/>
  <c r="V64" i="2"/>
  <c r="W64" i="2" s="1"/>
  <c r="V70" i="2"/>
  <c r="W70" i="2" s="1"/>
  <c r="V1150" i="2"/>
  <c r="W1150" i="2" s="1"/>
  <c r="V960" i="2"/>
  <c r="W960" i="2" s="1"/>
  <c r="V732" i="2"/>
  <c r="W732" i="2" s="1"/>
  <c r="V312" i="2"/>
  <c r="W312" i="2" s="1"/>
  <c r="V94" i="2"/>
  <c r="W94" i="2" s="1"/>
  <c r="V100" i="2"/>
  <c r="W100" i="2" s="1"/>
  <c r="V106" i="2"/>
  <c r="W106" i="2" s="1"/>
  <c r="V112" i="2"/>
  <c r="W112" i="2" s="1"/>
  <c r="V118" i="2"/>
  <c r="W118" i="2" s="1"/>
  <c r="V178" i="2"/>
  <c r="W178" i="2" s="1"/>
  <c r="V214" i="2"/>
  <c r="W214" i="2" s="1"/>
  <c r="V226" i="2"/>
  <c r="W226" i="2" s="1"/>
  <c r="V232" i="2"/>
  <c r="W232" i="2" s="1"/>
  <c r="V238" i="2"/>
  <c r="W238" i="2" s="1"/>
  <c r="V256" i="2"/>
  <c r="W256" i="2" s="1"/>
  <c r="V269" i="2"/>
  <c r="W269" i="2" s="1"/>
  <c r="V268" i="2"/>
  <c r="W268" i="2" s="1"/>
  <c r="V274" i="2"/>
  <c r="W274" i="2" s="1"/>
  <c r="V280" i="2"/>
  <c r="W280" i="2" s="1"/>
  <c r="V286" i="2"/>
  <c r="W286" i="2" s="1"/>
  <c r="V292" i="2"/>
  <c r="W292" i="2" s="1"/>
  <c r="V304" i="2"/>
  <c r="W304" i="2" s="1"/>
  <c r="V316" i="2"/>
  <c r="W316" i="2" s="1"/>
  <c r="V322" i="2"/>
  <c r="W322" i="2" s="1"/>
  <c r="V329" i="2"/>
  <c r="W329" i="2" s="1"/>
  <c r="V328" i="2"/>
  <c r="W328" i="2" s="1"/>
  <c r="V340" i="2"/>
  <c r="W340" i="2" s="1"/>
  <c r="V346" i="2"/>
  <c r="W346" i="2" s="1"/>
  <c r="V352" i="2"/>
  <c r="W352" i="2" s="1"/>
  <c r="X22" i="2"/>
  <c r="X64" i="2"/>
  <c r="X1150" i="2"/>
  <c r="X960" i="2"/>
  <c r="X732" i="2"/>
  <c r="X94" i="2"/>
  <c r="X312" i="2"/>
  <c r="X388" i="2"/>
  <c r="X988" i="2"/>
  <c r="X994" i="2"/>
  <c r="X604" i="2"/>
  <c r="X790" i="2"/>
  <c r="X796" i="2"/>
  <c r="X808" i="2"/>
  <c r="X904" i="2"/>
  <c r="X1054" i="2"/>
  <c r="X1162" i="2"/>
  <c r="X1252" i="2"/>
  <c r="X1276" i="2"/>
  <c r="X1281" i="2"/>
  <c r="X1282" i="2"/>
  <c r="X1288" i="2"/>
  <c r="V281" i="2"/>
  <c r="W281" i="2" s="1"/>
  <c r="V353" i="2"/>
  <c r="W353" i="2" s="1"/>
  <c r="V395" i="2"/>
  <c r="W395" i="2" s="1"/>
  <c r="V401" i="2"/>
  <c r="W401" i="2" s="1"/>
  <c r="V431" i="2"/>
  <c r="W431" i="2" s="1"/>
  <c r="V437" i="2"/>
  <c r="W437" i="2" s="1"/>
  <c r="V461" i="2"/>
  <c r="W461" i="2" s="1"/>
  <c r="V467" i="2"/>
  <c r="W467" i="2" s="1"/>
  <c r="V496" i="2"/>
  <c r="W496" i="2" s="1"/>
  <c r="V509" i="2"/>
  <c r="W509" i="2" s="1"/>
  <c r="V521" i="2"/>
  <c r="W521" i="2" s="1"/>
  <c r="V527" i="2"/>
  <c r="W527" i="2" s="1"/>
  <c r="V533" i="2"/>
  <c r="W533" i="2" s="1"/>
  <c r="V539" i="2"/>
  <c r="W539" i="2" s="1"/>
  <c r="V545" i="2"/>
  <c r="W545" i="2" s="1"/>
  <c r="V551" i="2"/>
  <c r="W551" i="2" s="1"/>
  <c r="V557" i="2"/>
  <c r="W557" i="2" s="1"/>
  <c r="V575" i="2"/>
  <c r="W575" i="2" s="1"/>
  <c r="V593" i="2"/>
  <c r="W593" i="2" s="1"/>
  <c r="V605" i="2"/>
  <c r="W605" i="2" s="1"/>
  <c r="V611" i="2"/>
  <c r="W611" i="2" s="1"/>
  <c r="V617" i="2"/>
  <c r="W617" i="2" s="1"/>
  <c r="V628" i="2"/>
  <c r="W628" i="2" s="1"/>
  <c r="V641" i="2"/>
  <c r="W641" i="2" s="1"/>
  <c r="V647" i="2"/>
  <c r="W647" i="2" s="1"/>
  <c r="V653" i="2"/>
  <c r="W653" i="2" s="1"/>
  <c r="V683" i="2"/>
  <c r="W683" i="2" s="1"/>
  <c r="V689" i="2"/>
  <c r="W689" i="2" s="1"/>
  <c r="V701" i="2"/>
  <c r="W701" i="2" s="1"/>
  <c r="V707" i="2"/>
  <c r="W707" i="2" s="1"/>
  <c r="V713" i="2"/>
  <c r="W713" i="2" s="1"/>
  <c r="V743" i="2"/>
  <c r="W743" i="2" s="1"/>
  <c r="V755" i="2"/>
  <c r="W755" i="2" s="1"/>
  <c r="V761" i="2"/>
  <c r="W761" i="2" s="1"/>
  <c r="V779" i="2"/>
  <c r="W779" i="2" s="1"/>
  <c r="V791" i="2"/>
  <c r="W791" i="2" s="1"/>
  <c r="V797" i="2"/>
  <c r="W797" i="2" s="1"/>
  <c r="V815" i="2"/>
  <c r="W815" i="2" s="1"/>
  <c r="V827" i="2"/>
  <c r="W827" i="2" s="1"/>
  <c r="V833" i="2"/>
  <c r="W833" i="2" s="1"/>
  <c r="V875" i="2"/>
  <c r="W875" i="2" s="1"/>
  <c r="V881" i="2"/>
  <c r="W881" i="2" s="1"/>
  <c r="V887" i="2"/>
  <c r="W887" i="2" s="1"/>
  <c r="V899" i="2"/>
  <c r="W899" i="2" s="1"/>
  <c r="V905" i="2"/>
  <c r="W905" i="2" s="1"/>
  <c r="V911" i="2"/>
  <c r="W911" i="2" s="1"/>
  <c r="V941" i="2"/>
  <c r="W941" i="2" s="1"/>
  <c r="V947" i="2"/>
  <c r="W947" i="2" s="1"/>
  <c r="V953" i="2"/>
  <c r="W953" i="2" s="1"/>
  <c r="V971" i="2"/>
  <c r="W971" i="2" s="1"/>
  <c r="V989" i="2"/>
  <c r="W989" i="2" s="1"/>
  <c r="V1010" i="2"/>
  <c r="W1010" i="2" s="1"/>
  <c r="V995" i="2"/>
  <c r="W995" i="2" s="1"/>
  <c r="V1001" i="2"/>
  <c r="W1001" i="2" s="1"/>
  <c r="V1019" i="2"/>
  <c r="W1019" i="2" s="1"/>
  <c r="V1055" i="2"/>
  <c r="W1055" i="2" s="1"/>
  <c r="V1067" i="2"/>
  <c r="W1067" i="2" s="1"/>
  <c r="V1073" i="2"/>
  <c r="W1073" i="2" s="1"/>
  <c r="V1085" i="2"/>
  <c r="W1085" i="2" s="1"/>
  <c r="V1097" i="2"/>
  <c r="W1097" i="2" s="1"/>
  <c r="V1109" i="2"/>
  <c r="W1109" i="2" s="1"/>
  <c r="V1121" i="2"/>
  <c r="W1121" i="2" s="1"/>
  <c r="V1157" i="2"/>
  <c r="W1157" i="2" s="1"/>
  <c r="V1193" i="2"/>
  <c r="W1193" i="2" s="1"/>
  <c r="V1199" i="2"/>
  <c r="W1199" i="2" s="1"/>
  <c r="V1205" i="2"/>
  <c r="W1205" i="2" s="1"/>
  <c r="V1229" i="2"/>
  <c r="W1229" i="2" s="1"/>
  <c r="V1235" i="2"/>
  <c r="W1235" i="2" s="1"/>
  <c r="V1259" i="2"/>
  <c r="W1259" i="2" s="1"/>
  <c r="V1277" i="2"/>
  <c r="W1277" i="2" s="1"/>
  <c r="V1289" i="2"/>
  <c r="W1289" i="2" s="1"/>
  <c r="V317" i="2"/>
  <c r="W317" i="2" s="1"/>
  <c r="X90" i="2"/>
  <c r="X89" i="2"/>
  <c r="X293" i="2"/>
  <c r="X341" i="2"/>
  <c r="X353" i="2"/>
  <c r="X371" i="2"/>
  <c r="X383" i="2"/>
  <c r="X395" i="2"/>
  <c r="X401" i="2"/>
  <c r="X431" i="2"/>
  <c r="X437" i="2"/>
  <c r="X461" i="2"/>
  <c r="X467" i="2"/>
  <c r="X496" i="2"/>
  <c r="X509" i="2"/>
  <c r="X521" i="2"/>
  <c r="X527" i="2"/>
  <c r="X533" i="2"/>
  <c r="X539" i="2"/>
  <c r="X545" i="2"/>
  <c r="X551" i="2"/>
  <c r="X557" i="2"/>
  <c r="X575" i="2"/>
  <c r="X593" i="2"/>
  <c r="X605" i="2"/>
  <c r="X611" i="2"/>
  <c r="X617" i="2"/>
  <c r="X628" i="2"/>
  <c r="X641" i="2"/>
  <c r="X647" i="2"/>
  <c r="X653" i="2"/>
  <c r="X683" i="2"/>
  <c r="X689" i="2"/>
  <c r="X701" i="2"/>
  <c r="X707" i="2"/>
  <c r="X713" i="2"/>
  <c r="X743" i="2"/>
  <c r="X755" i="2"/>
  <c r="X761" i="2"/>
  <c r="X773" i="2"/>
  <c r="X779" i="2"/>
  <c r="X791" i="2"/>
  <c r="X797" i="2"/>
  <c r="X815" i="2"/>
  <c r="X827" i="2"/>
  <c r="X833" i="2"/>
  <c r="X875" i="2"/>
  <c r="X881" i="2"/>
  <c r="X887" i="2"/>
  <c r="X899" i="2"/>
  <c r="X905" i="2"/>
  <c r="X911" i="2"/>
  <c r="X941" i="2"/>
  <c r="X947" i="2"/>
  <c r="X953" i="2"/>
  <c r="X971" i="2"/>
  <c r="X989" i="2"/>
  <c r="X1010" i="2"/>
  <c r="X995" i="2"/>
  <c r="X1001" i="2"/>
  <c r="X1019" i="2"/>
  <c r="X1055" i="2"/>
  <c r="X1067" i="2"/>
  <c r="X1073" i="2"/>
  <c r="X1085" i="2"/>
  <c r="X1097" i="2"/>
  <c r="X1109" i="2"/>
  <c r="X1121" i="2"/>
  <c r="X1157" i="2"/>
  <c r="X1193" i="2"/>
  <c r="X1199" i="2"/>
  <c r="X1205" i="2"/>
  <c r="X1229" i="2"/>
  <c r="X1235" i="2"/>
  <c r="X1259" i="2"/>
  <c r="V293" i="2"/>
  <c r="W293" i="2" s="1"/>
  <c r="V300" i="2"/>
  <c r="W300" i="2" s="1"/>
  <c r="V414" i="2"/>
  <c r="W414" i="2" s="1"/>
  <c r="V438" i="2"/>
  <c r="W438" i="2" s="1"/>
  <c r="V552" i="2"/>
  <c r="W552" i="2" s="1"/>
  <c r="V558" i="2"/>
  <c r="W558" i="2" s="1"/>
  <c r="V582" i="2"/>
  <c r="W582" i="2" s="1"/>
  <c r="V594" i="2"/>
  <c r="W594" i="2" s="1"/>
  <c r="V600" i="2"/>
  <c r="W600" i="2" s="1"/>
  <c r="V606" i="2"/>
  <c r="W606" i="2" s="1"/>
  <c r="V612" i="2"/>
  <c r="W612" i="2" s="1"/>
  <c r="V642" i="2"/>
  <c r="W642" i="2" s="1"/>
  <c r="V654" i="2"/>
  <c r="W654" i="2" s="1"/>
  <c r="V660" i="2"/>
  <c r="W660" i="2" s="1"/>
  <c r="V666" i="2"/>
  <c r="W666" i="2" s="1"/>
  <c r="V702" i="2"/>
  <c r="W702" i="2" s="1"/>
  <c r="V708" i="2"/>
  <c r="W708" i="2" s="1"/>
  <c r="V738" i="2"/>
  <c r="W738" i="2" s="1"/>
  <c r="V744" i="2"/>
  <c r="W744" i="2" s="1"/>
  <c r="V756" i="2"/>
  <c r="W756" i="2" s="1"/>
  <c r="V762" i="2"/>
  <c r="W762" i="2" s="1"/>
  <c r="V774" i="2"/>
  <c r="W774" i="2" s="1"/>
  <c r="V786" i="2"/>
  <c r="W786" i="2" s="1"/>
  <c r="V792" i="2"/>
  <c r="W792" i="2" s="1"/>
  <c r="V816" i="2"/>
  <c r="W816" i="2" s="1"/>
  <c r="V828" i="2"/>
  <c r="W828" i="2" s="1"/>
  <c r="V834" i="2"/>
  <c r="W834" i="2" s="1"/>
  <c r="V849" i="2"/>
  <c r="W849" i="2" s="1"/>
  <c r="V848" i="2"/>
  <c r="W848" i="2" s="1"/>
  <c r="V847" i="2"/>
  <c r="W847" i="2" s="1"/>
  <c r="V846" i="2"/>
  <c r="W846" i="2" s="1"/>
  <c r="V851" i="2"/>
  <c r="W851" i="2" s="1"/>
  <c r="V850" i="2"/>
  <c r="W850" i="2" s="1"/>
  <c r="V864" i="2"/>
  <c r="W864" i="2" s="1"/>
  <c r="V870" i="2"/>
  <c r="W870" i="2" s="1"/>
  <c r="V876" i="2"/>
  <c r="W876" i="2" s="1"/>
  <c r="V882" i="2"/>
  <c r="W882" i="2" s="1"/>
  <c r="V888" i="2"/>
  <c r="W888" i="2" s="1"/>
  <c r="V906" i="2"/>
  <c r="W906" i="2" s="1"/>
  <c r="V930" i="2"/>
  <c r="W930" i="2" s="1"/>
  <c r="V942" i="2"/>
  <c r="W942" i="2" s="1"/>
  <c r="V954" i="2"/>
  <c r="W954" i="2" s="1"/>
  <c r="V972" i="2"/>
  <c r="W972" i="2" s="1"/>
  <c r="V978" i="2"/>
  <c r="W978" i="2" s="1"/>
  <c r="V984" i="2"/>
  <c r="W984" i="2" s="1"/>
  <c r="V1014" i="2"/>
  <c r="W1014" i="2" s="1"/>
  <c r="V1020" i="2"/>
  <c r="W1020" i="2" s="1"/>
  <c r="V1034" i="2"/>
  <c r="W1034" i="2" s="1"/>
  <c r="V1032" i="2"/>
  <c r="W1032" i="2" s="1"/>
  <c r="V1062" i="2"/>
  <c r="W1062" i="2" s="1"/>
  <c r="V1080" i="2"/>
  <c r="W1080" i="2" s="1"/>
  <c r="V1086" i="2"/>
  <c r="W1086" i="2" s="1"/>
  <c r="V1098" i="2"/>
  <c r="W1098" i="2" s="1"/>
  <c r="V1122" i="2"/>
  <c r="W1122" i="2" s="1"/>
  <c r="V1128" i="2"/>
  <c r="W1128" i="2" s="1"/>
  <c r="V1152" i="2"/>
  <c r="W1152" i="2" s="1"/>
  <c r="V1158" i="2"/>
  <c r="W1158" i="2" s="1"/>
  <c r="V1164" i="2"/>
  <c r="W1164" i="2" s="1"/>
  <c r="V1170" i="2"/>
  <c r="W1170" i="2" s="1"/>
  <c r="V1183" i="2"/>
  <c r="W1183" i="2" s="1"/>
  <c r="V1182" i="2"/>
  <c r="W1182" i="2" s="1"/>
  <c r="V1194" i="2"/>
  <c r="W1194" i="2" s="1"/>
  <c r="V1200" i="2"/>
  <c r="W1200" i="2" s="1"/>
  <c r="V1206" i="2"/>
  <c r="W1206" i="2" s="1"/>
  <c r="V1212" i="2"/>
  <c r="W1212" i="2" s="1"/>
  <c r="V1236" i="2"/>
  <c r="W1236" i="2" s="1"/>
  <c r="V1248" i="2"/>
  <c r="W1248" i="2" s="1"/>
  <c r="V1260" i="2"/>
  <c r="W1260" i="2" s="1"/>
  <c r="V1278" i="2"/>
  <c r="W1278" i="2" s="1"/>
  <c r="V1290" i="2"/>
  <c r="W1290" i="2" s="1"/>
  <c r="V341" i="2"/>
  <c r="W341" i="2" s="1"/>
  <c r="X239" i="2"/>
  <c r="V84" i="2"/>
  <c r="W84" i="2" s="1"/>
  <c r="V318" i="2"/>
  <c r="W318" i="2" s="1"/>
  <c r="V288" i="2"/>
  <c r="W288" i="2" s="1"/>
  <c r="V324" i="2"/>
  <c r="W324" i="2" s="1"/>
  <c r="V366" i="2"/>
  <c r="W366" i="2" s="1"/>
  <c r="V372" i="2"/>
  <c r="W372" i="2" s="1"/>
  <c r="V384" i="2"/>
  <c r="W384" i="2" s="1"/>
  <c r="V390" i="2"/>
  <c r="W390" i="2" s="1"/>
  <c r="V396" i="2"/>
  <c r="W396" i="2" s="1"/>
  <c r="V426" i="2"/>
  <c r="W426" i="2" s="1"/>
  <c r="V450" i="2"/>
  <c r="W450" i="2" s="1"/>
  <c r="V449" i="2"/>
  <c r="W449" i="2" s="1"/>
  <c r="V455" i="2"/>
  <c r="W455" i="2" s="1"/>
  <c r="V462" i="2"/>
  <c r="W462" i="2" s="1"/>
  <c r="V503" i="2"/>
  <c r="W503" i="2" s="1"/>
  <c r="V510" i="2"/>
  <c r="W510" i="2" s="1"/>
  <c r="V516" i="2"/>
  <c r="W516" i="2" s="1"/>
  <c r="V522" i="2"/>
  <c r="W522" i="2" s="1"/>
  <c r="V528" i="2"/>
  <c r="W528" i="2" s="1"/>
  <c r="X84" i="2"/>
  <c r="X318" i="2"/>
  <c r="X192" i="2"/>
  <c r="X366" i="2"/>
  <c r="X372" i="2"/>
  <c r="X384" i="2"/>
  <c r="X390" i="2"/>
  <c r="X396" i="2"/>
  <c r="X414" i="2"/>
  <c r="X426" i="2"/>
  <c r="X438" i="2"/>
  <c r="X449" i="2"/>
  <c r="X450" i="2"/>
  <c r="X455" i="2"/>
  <c r="X462" i="2"/>
  <c r="X503" i="2"/>
  <c r="X510" i="2"/>
  <c r="X516" i="2"/>
  <c r="X522" i="2"/>
  <c r="X528" i="2"/>
  <c r="X582" i="2"/>
  <c r="X600" i="2"/>
  <c r="X666" i="2"/>
  <c r="X702" i="2"/>
  <c r="X708" i="2"/>
  <c r="X744" i="2"/>
  <c r="X756" i="2"/>
  <c r="X762" i="2"/>
  <c r="X774" i="2"/>
  <c r="X786" i="2"/>
  <c r="X792" i="2"/>
  <c r="X816" i="2"/>
  <c r="X828" i="2"/>
  <c r="X834" i="2"/>
  <c r="X851" i="2"/>
  <c r="X849" i="2"/>
  <c r="X848" i="2"/>
  <c r="X847" i="2"/>
  <c r="X846" i="2"/>
  <c r="X850" i="2"/>
  <c r="X864" i="2"/>
  <c r="X870" i="2"/>
  <c r="X876" i="2"/>
  <c r="X888" i="2"/>
  <c r="X906" i="2"/>
  <c r="X930" i="2"/>
  <c r="X942" i="2"/>
  <c r="X954" i="2"/>
  <c r="X972" i="2"/>
  <c r="X978" i="2"/>
  <c r="X984" i="2"/>
  <c r="X1014" i="2"/>
  <c r="X1020" i="2"/>
  <c r="X1032" i="2"/>
  <c r="X1034" i="2"/>
  <c r="X1062" i="2"/>
  <c r="X1080" i="2"/>
  <c r="X1086" i="2"/>
  <c r="X1098" i="2"/>
  <c r="X1122" i="2"/>
  <c r="X1128" i="2"/>
  <c r="X1152" i="2"/>
  <c r="X1158" i="2"/>
  <c r="X1164" i="2"/>
  <c r="X1170" i="2"/>
  <c r="X1182" i="2"/>
  <c r="X1183" i="2"/>
  <c r="X1194" i="2"/>
  <c r="X1200" i="2"/>
  <c r="X1206" i="2"/>
  <c r="X1212" i="2"/>
  <c r="X1236" i="2"/>
  <c r="X1248" i="2"/>
  <c r="X1260" i="2"/>
  <c r="X1278" i="2"/>
  <c r="X1290" i="2"/>
  <c r="V90" i="2"/>
  <c r="W90" i="2" s="1"/>
  <c r="V89" i="2"/>
  <c r="W89" i="2" s="1"/>
  <c r="V1127" i="2"/>
  <c r="W1127" i="2" s="1"/>
  <c r="V1013" i="2"/>
  <c r="W1013" i="2" s="1"/>
  <c r="V977" i="2"/>
  <c r="W977" i="2" s="1"/>
  <c r="V1198" i="2"/>
  <c r="W1198" i="2" s="1"/>
  <c r="V1084" i="2"/>
  <c r="W1084" i="2" s="1"/>
  <c r="V1018" i="2"/>
  <c r="W1018" i="2" s="1"/>
  <c r="V1287" i="2"/>
  <c r="W1287" i="2" s="1"/>
  <c r="V1275" i="2"/>
  <c r="W1275" i="2" s="1"/>
  <c r="V1149" i="2"/>
  <c r="W1149" i="2" s="1"/>
  <c r="V987" i="2"/>
  <c r="W987" i="2" s="1"/>
  <c r="V1208" i="2"/>
  <c r="W1208" i="2" s="1"/>
  <c r="V1196" i="2"/>
  <c r="W1196" i="2" s="1"/>
  <c r="V1082" i="2"/>
  <c r="W1082" i="2" s="1"/>
  <c r="V1076" i="2"/>
  <c r="W1076" i="2" s="1"/>
  <c r="V1070" i="2"/>
  <c r="W1070" i="2" s="1"/>
  <c r="V980" i="2"/>
  <c r="W980" i="2" s="1"/>
  <c r="V950" i="2"/>
  <c r="W950" i="2" s="1"/>
  <c r="V1237" i="2"/>
  <c r="W1237" i="2" s="1"/>
  <c r="V1068" i="2"/>
  <c r="W1068" i="2" s="1"/>
  <c r="V869" i="2"/>
  <c r="W869" i="2" s="1"/>
  <c r="V735" i="2"/>
  <c r="W735" i="2" s="1"/>
  <c r="V758" i="2"/>
  <c r="W758" i="2" s="1"/>
  <c r="V710" i="2"/>
  <c r="W710" i="2" s="1"/>
  <c r="V632" i="2"/>
  <c r="W632" i="2" s="1"/>
  <c r="V763" i="2"/>
  <c r="W763" i="2" s="1"/>
  <c r="V886" i="2"/>
  <c r="W886" i="2" s="1"/>
  <c r="V795" i="2"/>
  <c r="W795" i="2" s="1"/>
  <c r="V775" i="2"/>
  <c r="W775" i="2" s="1"/>
  <c r="V1002" i="2"/>
  <c r="W1002" i="2" s="1"/>
  <c r="V872" i="2"/>
  <c r="W872" i="2" s="1"/>
  <c r="V731" i="2"/>
  <c r="W731" i="2" s="1"/>
  <c r="V996" i="2"/>
  <c r="W996" i="2" s="1"/>
  <c r="V903" i="2"/>
  <c r="W903" i="2" s="1"/>
  <c r="V890" i="2"/>
  <c r="W890" i="2" s="1"/>
  <c r="V831" i="2"/>
  <c r="W831" i="2" s="1"/>
  <c r="V818" i="2"/>
  <c r="W818" i="2" s="1"/>
  <c r="V659" i="2"/>
  <c r="W659" i="2" s="1"/>
  <c r="V574" i="2"/>
  <c r="W574" i="2" s="1"/>
  <c r="V389" i="2"/>
  <c r="W389" i="2" s="1"/>
  <c r="V323" i="2"/>
  <c r="W323" i="2" s="1"/>
  <c r="V161" i="2"/>
  <c r="W161" i="2" s="1"/>
  <c r="V948" i="2"/>
  <c r="W948" i="2" s="1"/>
  <c r="V616" i="2"/>
  <c r="W616" i="2" s="1"/>
  <c r="V601" i="2"/>
  <c r="W601" i="2" s="1"/>
  <c r="V342" i="2"/>
  <c r="W342" i="2" s="1"/>
  <c r="V385" i="2"/>
  <c r="W385" i="2" s="1"/>
  <c r="V223" i="2"/>
  <c r="W223" i="2" s="1"/>
  <c r="V120" i="2"/>
  <c r="W120" i="2" s="1"/>
  <c r="V229" i="2"/>
  <c r="W229" i="2" s="1"/>
  <c r="V101" i="2"/>
  <c r="W101" i="2" s="1"/>
  <c r="V169" i="2"/>
  <c r="W169" i="2" s="1"/>
  <c r="V105" i="2"/>
  <c r="W105" i="2" s="1"/>
  <c r="V87" i="2"/>
  <c r="W87" i="2" s="1"/>
  <c r="V373" i="2"/>
  <c r="W373" i="2" s="1"/>
  <c r="V199" i="2"/>
  <c r="W199" i="2" s="1"/>
  <c r="V43" i="2"/>
  <c r="W43" i="2" s="1"/>
  <c r="V109" i="2"/>
  <c r="W109" i="2" s="1"/>
  <c r="V367" i="2"/>
  <c r="W367" i="2" s="1"/>
  <c r="V391" i="2"/>
  <c r="W391" i="2" s="1"/>
  <c r="V427" i="2"/>
  <c r="W427" i="2" s="1"/>
  <c r="V433" i="2"/>
  <c r="W433" i="2" s="1"/>
  <c r="V456" i="2"/>
  <c r="W456" i="2" s="1"/>
  <c r="V448" i="2"/>
  <c r="W448" i="2" s="1"/>
  <c r="V447" i="2"/>
  <c r="W447" i="2" s="1"/>
  <c r="V445" i="2"/>
  <c r="W445" i="2" s="1"/>
  <c r="V444" i="2"/>
  <c r="W444" i="2" s="1"/>
  <c r="V446" i="2"/>
  <c r="W446" i="2" s="1"/>
  <c r="V457" i="2"/>
  <c r="W457" i="2" s="1"/>
  <c r="V463" i="2"/>
  <c r="W463" i="2" s="1"/>
  <c r="V481" i="2"/>
  <c r="W481" i="2" s="1"/>
  <c r="V492" i="2"/>
  <c r="W492" i="2" s="1"/>
  <c r="V504" i="2"/>
  <c r="W504" i="2" s="1"/>
  <c r="V505" i="2"/>
  <c r="W505" i="2" s="1"/>
  <c r="V506" i="2"/>
  <c r="W506" i="2" s="1"/>
  <c r="V517" i="2"/>
  <c r="W517" i="2" s="1"/>
  <c r="V523" i="2"/>
  <c r="W523" i="2" s="1"/>
  <c r="V541" i="2"/>
  <c r="W541" i="2" s="1"/>
  <c r="V553" i="2"/>
  <c r="W553" i="2" s="1"/>
  <c r="V559" i="2"/>
  <c r="W559" i="2" s="1"/>
  <c r="V565" i="2"/>
  <c r="W565" i="2" s="1"/>
  <c r="V592" i="2"/>
  <c r="W592" i="2" s="1"/>
  <c r="V590" i="2"/>
  <c r="W590" i="2" s="1"/>
  <c r="V589" i="2"/>
  <c r="W589" i="2" s="1"/>
  <c r="V591" i="2"/>
  <c r="W591" i="2" s="1"/>
  <c r="V595" i="2"/>
  <c r="W595" i="2" s="1"/>
  <c r="V607" i="2"/>
  <c r="W607" i="2" s="1"/>
  <c r="V613" i="2"/>
  <c r="W613" i="2" s="1"/>
  <c r="V619" i="2"/>
  <c r="W619" i="2" s="1"/>
  <c r="V630" i="2"/>
  <c r="W630" i="2" s="1"/>
  <c r="V643" i="2"/>
  <c r="W643" i="2" s="1"/>
  <c r="V649" i="2"/>
  <c r="W649" i="2" s="1"/>
  <c r="V655" i="2"/>
  <c r="W655" i="2" s="1"/>
  <c r="V661" i="2"/>
  <c r="W661" i="2" s="1"/>
  <c r="V667" i="2"/>
  <c r="W667" i="2" s="1"/>
  <c r="V709" i="2"/>
  <c r="W709" i="2" s="1"/>
  <c r="V715" i="2"/>
  <c r="W715" i="2" s="1"/>
  <c r="V727" i="2"/>
  <c r="W727" i="2" s="1"/>
  <c r="V733" i="2"/>
  <c r="W733" i="2" s="1"/>
  <c r="V739" i="2"/>
  <c r="W739" i="2" s="1"/>
  <c r="V745" i="2"/>
  <c r="W745" i="2" s="1"/>
  <c r="V751" i="2"/>
  <c r="W751" i="2" s="1"/>
  <c r="V757" i="2"/>
  <c r="W757" i="2" s="1"/>
  <c r="V787" i="2"/>
  <c r="W787" i="2" s="1"/>
  <c r="V793" i="2"/>
  <c r="W793" i="2" s="1"/>
  <c r="V813" i="2"/>
  <c r="W813" i="2" s="1"/>
  <c r="V805" i="2"/>
  <c r="W805" i="2" s="1"/>
  <c r="V811" i="2"/>
  <c r="W811" i="2" s="1"/>
  <c r="V817" i="2"/>
  <c r="W817" i="2" s="1"/>
  <c r="V829" i="2"/>
  <c r="W829" i="2" s="1"/>
  <c r="V865" i="2"/>
  <c r="W865" i="2" s="1"/>
  <c r="V871" i="2"/>
  <c r="W871" i="2" s="1"/>
  <c r="V877" i="2"/>
  <c r="W877" i="2" s="1"/>
  <c r="V883" i="2"/>
  <c r="W883" i="2" s="1"/>
  <c r="V889" i="2"/>
  <c r="W889" i="2" s="1"/>
  <c r="V907" i="2"/>
  <c r="W907" i="2" s="1"/>
  <c r="V931" i="2"/>
  <c r="W931" i="2" s="1"/>
  <c r="V943" i="2"/>
  <c r="W943" i="2" s="1"/>
  <c r="V949" i="2"/>
  <c r="W949" i="2" s="1"/>
  <c r="V973" i="2"/>
  <c r="W973" i="2" s="1"/>
  <c r="V979" i="2"/>
  <c r="W979" i="2" s="1"/>
  <c r="V991" i="2"/>
  <c r="W991" i="2" s="1"/>
  <c r="V997" i="2"/>
  <c r="W997" i="2" s="1"/>
  <c r="V1003" i="2"/>
  <c r="W1003" i="2" s="1"/>
  <c r="V1009" i="2"/>
  <c r="W1009" i="2" s="1"/>
  <c r="V1015" i="2"/>
  <c r="W1015" i="2" s="1"/>
  <c r="V1021" i="2"/>
  <c r="W1021" i="2" s="1"/>
  <c r="V1051" i="2"/>
  <c r="W1051" i="2" s="1"/>
  <c r="V1057" i="2"/>
  <c r="W1057" i="2" s="1"/>
  <c r="V1069" i="2"/>
  <c r="W1069" i="2" s="1"/>
  <c r="V1075" i="2"/>
  <c r="W1075" i="2" s="1"/>
  <c r="V1081" i="2"/>
  <c r="W1081" i="2" s="1"/>
  <c r="V1087" i="2"/>
  <c r="W1087" i="2" s="1"/>
  <c r="V1123" i="2"/>
  <c r="W1123" i="2" s="1"/>
  <c r="V1129" i="2"/>
  <c r="W1129" i="2" s="1"/>
  <c r="V1159" i="2"/>
  <c r="W1159" i="2" s="1"/>
  <c r="V1195" i="2"/>
  <c r="W1195" i="2" s="1"/>
  <c r="V1201" i="2"/>
  <c r="W1201" i="2" s="1"/>
  <c r="V1207" i="2"/>
  <c r="W1207" i="2" s="1"/>
  <c r="V1213" i="2"/>
  <c r="W1213" i="2" s="1"/>
  <c r="V1219" i="2"/>
  <c r="W1219" i="2" s="1"/>
  <c r="V1225" i="2"/>
  <c r="W1225" i="2" s="1"/>
  <c r="V1243" i="2"/>
  <c r="W1243" i="2" s="1"/>
  <c r="V1249" i="2"/>
  <c r="W1249" i="2" s="1"/>
  <c r="V1273" i="2"/>
  <c r="W1273" i="2" s="1"/>
  <c r="V1279" i="2"/>
  <c r="W1279" i="2" s="1"/>
  <c r="V1291" i="2"/>
  <c r="W1291" i="2" s="1"/>
  <c r="X367" i="2"/>
  <c r="X391" i="2"/>
  <c r="X427" i="2"/>
  <c r="X433" i="2"/>
  <c r="X456" i="2"/>
  <c r="X446" i="2"/>
  <c r="X448" i="2"/>
  <c r="X445" i="2"/>
  <c r="X444" i="2"/>
  <c r="X447" i="2"/>
  <c r="X457" i="2"/>
  <c r="X463" i="2"/>
  <c r="X481" i="2"/>
  <c r="X492" i="2"/>
  <c r="X506" i="2"/>
  <c r="X505" i="2"/>
  <c r="X504" i="2"/>
  <c r="X517" i="2"/>
  <c r="X523" i="2"/>
  <c r="X541" i="2"/>
  <c r="X553" i="2"/>
  <c r="X559" i="2"/>
  <c r="X565" i="2"/>
  <c r="X590" i="2"/>
  <c r="X592" i="2"/>
  <c r="X591" i="2"/>
  <c r="X589" i="2"/>
  <c r="X595" i="2"/>
  <c r="X607" i="2"/>
  <c r="X613" i="2"/>
  <c r="X619" i="2"/>
  <c r="X643" i="2"/>
  <c r="X649" i="2"/>
  <c r="X655" i="2"/>
  <c r="X661" i="2"/>
  <c r="X667" i="2"/>
  <c r="X703" i="2"/>
  <c r="X709" i="2"/>
  <c r="X715" i="2"/>
  <c r="X727" i="2"/>
  <c r="X733" i="2"/>
  <c r="X739" i="2"/>
  <c r="X751" i="2"/>
  <c r="X757" i="2"/>
  <c r="X787" i="2"/>
  <c r="X793" i="2"/>
  <c r="X813" i="2"/>
  <c r="X805" i="2"/>
  <c r="X811" i="2"/>
  <c r="X817" i="2"/>
  <c r="X829" i="2"/>
  <c r="X865" i="2"/>
  <c r="X871" i="2"/>
  <c r="X877" i="2"/>
  <c r="X883" i="2"/>
  <c r="X889" i="2"/>
  <c r="X907" i="2"/>
  <c r="X931" i="2"/>
  <c r="X943" i="2"/>
  <c r="X949" i="2"/>
  <c r="X973" i="2"/>
  <c r="X979" i="2"/>
  <c r="X991" i="2"/>
  <c r="X1003" i="2"/>
  <c r="X1009" i="2"/>
  <c r="X1015" i="2"/>
  <c r="X1021" i="2"/>
  <c r="X1051" i="2"/>
  <c r="X1057" i="2"/>
  <c r="X1069" i="2"/>
  <c r="X1075" i="2"/>
  <c r="X1081" i="2"/>
  <c r="X1087" i="2"/>
  <c r="X1123" i="2"/>
  <c r="X1129" i="2"/>
  <c r="X1159" i="2"/>
  <c r="X1195" i="2"/>
  <c r="X1201" i="2"/>
  <c r="X1207" i="2"/>
  <c r="X1213" i="2"/>
  <c r="X1219" i="2"/>
  <c r="X1225" i="2"/>
  <c r="X1243" i="2"/>
  <c r="X1249" i="2"/>
  <c r="X1273" i="2"/>
  <c r="X1279" i="2"/>
  <c r="X1291" i="2"/>
  <c r="V344" i="2"/>
  <c r="W344" i="2" s="1"/>
  <c r="V374" i="2"/>
  <c r="W374" i="2" s="1"/>
  <c r="V380" i="2"/>
  <c r="W380" i="2" s="1"/>
  <c r="V386" i="2"/>
  <c r="W386" i="2" s="1"/>
  <c r="V434" i="2"/>
  <c r="W434" i="2" s="1"/>
  <c r="V439" i="2"/>
  <c r="W439" i="2" s="1"/>
  <c r="V536" i="2"/>
  <c r="W536" i="2" s="1"/>
  <c r="V542" i="2"/>
  <c r="W542" i="2" s="1"/>
  <c r="V554" i="2"/>
  <c r="W554" i="2" s="1"/>
  <c r="V560" i="2"/>
  <c r="W560" i="2" s="1"/>
  <c r="V572" i="2"/>
  <c r="W572" i="2" s="1"/>
  <c r="V596" i="2"/>
  <c r="W596" i="2" s="1"/>
  <c r="V602" i="2"/>
  <c r="W602" i="2" s="1"/>
  <c r="V614" i="2"/>
  <c r="W614" i="2" s="1"/>
  <c r="V620" i="2"/>
  <c r="W620" i="2" s="1"/>
  <c r="V631" i="2"/>
  <c r="W631" i="2" s="1"/>
  <c r="V650" i="2"/>
  <c r="W650" i="2" s="1"/>
  <c r="V662" i="2"/>
  <c r="W662" i="2" s="1"/>
  <c r="V680" i="2"/>
  <c r="W680" i="2" s="1"/>
  <c r="V734" i="2"/>
  <c r="W734" i="2" s="1"/>
  <c r="V746" i="2"/>
  <c r="W746" i="2" s="1"/>
  <c r="V752" i="2"/>
  <c r="W752" i="2" s="1"/>
  <c r="V764" i="2"/>
  <c r="W764" i="2" s="1"/>
  <c r="V776" i="2"/>
  <c r="W776" i="2" s="1"/>
  <c r="V794" i="2"/>
  <c r="W794" i="2" s="1"/>
  <c r="V830" i="2"/>
  <c r="W830" i="2" s="1"/>
  <c r="V854" i="2"/>
  <c r="W854" i="2" s="1"/>
  <c r="V866" i="2"/>
  <c r="W866" i="2" s="1"/>
  <c r="V878" i="2"/>
  <c r="W878" i="2" s="1"/>
  <c r="V902" i="2"/>
  <c r="W902" i="2" s="1"/>
  <c r="V908" i="2"/>
  <c r="W908" i="2" s="1"/>
  <c r="V920" i="2"/>
  <c r="W920" i="2" s="1"/>
  <c r="V926" i="2"/>
  <c r="W926" i="2" s="1"/>
  <c r="V932" i="2"/>
  <c r="W932" i="2" s="1"/>
  <c r="V944" i="2"/>
  <c r="W944" i="2" s="1"/>
  <c r="V956" i="2"/>
  <c r="W956" i="2" s="1"/>
  <c r="V962" i="2"/>
  <c r="W962" i="2" s="1"/>
  <c r="V974" i="2"/>
  <c r="W974" i="2" s="1"/>
  <c r="V986" i="2"/>
  <c r="W986" i="2" s="1"/>
  <c r="V998" i="2"/>
  <c r="W998" i="2" s="1"/>
  <c r="V1004" i="2"/>
  <c r="W1004" i="2" s="1"/>
  <c r="V1016" i="2"/>
  <c r="W1016" i="2" s="1"/>
  <c r="V1022" i="2"/>
  <c r="W1022" i="2" s="1"/>
  <c r="V1028" i="2"/>
  <c r="W1028" i="2" s="1"/>
  <c r="V1052" i="2"/>
  <c r="W1052" i="2" s="1"/>
  <c r="V1072" i="2"/>
  <c r="W1072" i="2" s="1"/>
  <c r="V1058" i="2"/>
  <c r="W1058" i="2" s="1"/>
  <c r="V1124" i="2"/>
  <c r="W1124" i="2" s="1"/>
  <c r="V1148" i="2"/>
  <c r="W1148" i="2" s="1"/>
  <c r="V1172" i="2"/>
  <c r="W1172" i="2" s="1"/>
  <c r="V1184" i="2"/>
  <c r="W1184" i="2" s="1"/>
  <c r="V1220" i="2"/>
  <c r="W1220" i="2" s="1"/>
  <c r="V1226" i="2"/>
  <c r="W1226" i="2" s="1"/>
  <c r="V1238" i="2"/>
  <c r="W1238" i="2" s="1"/>
  <c r="V1250" i="2"/>
  <c r="W1250" i="2" s="1"/>
  <c r="V1274" i="2"/>
  <c r="W1274" i="2" s="1"/>
  <c r="V1280" i="2"/>
  <c r="W1280" i="2" s="1"/>
  <c r="V1286" i="2"/>
  <c r="W1286" i="2" s="1"/>
  <c r="V1292" i="2"/>
  <c r="W1292" i="2" s="1"/>
  <c r="X344" i="2"/>
  <c r="X374" i="2"/>
  <c r="X380" i="2"/>
  <c r="X386" i="2"/>
  <c r="X434" i="2"/>
  <c r="X439" i="2"/>
  <c r="X536" i="2"/>
  <c r="X542" i="2"/>
  <c r="X554" i="2"/>
  <c r="X560" i="2"/>
  <c r="X572" i="2"/>
  <c r="X596" i="2"/>
  <c r="X602" i="2"/>
  <c r="X614" i="2"/>
  <c r="X620" i="2"/>
  <c r="X631" i="2"/>
  <c r="X650" i="2"/>
  <c r="X662" i="2"/>
  <c r="X674" i="2"/>
  <c r="X734" i="2"/>
  <c r="X746" i="2"/>
  <c r="X752" i="2"/>
  <c r="X764" i="2"/>
  <c r="X776" i="2"/>
  <c r="X794" i="2"/>
  <c r="X830" i="2"/>
  <c r="X854" i="2"/>
  <c r="X866" i="2"/>
  <c r="X878" i="2"/>
  <c r="X902" i="2"/>
  <c r="X908" i="2"/>
  <c r="X920" i="2"/>
  <c r="X926" i="2"/>
  <c r="X932" i="2"/>
  <c r="X944" i="2"/>
  <c r="X956" i="2"/>
  <c r="X962" i="2"/>
  <c r="X974" i="2"/>
  <c r="X986" i="2"/>
  <c r="X998" i="2"/>
  <c r="X1004" i="2"/>
  <c r="X1016" i="2"/>
  <c r="X1022" i="2"/>
  <c r="X1028" i="2"/>
  <c r="X1052" i="2"/>
  <c r="X1072" i="2"/>
  <c r="X1058" i="2"/>
  <c r="X1124" i="2"/>
  <c r="X1148" i="2"/>
  <c r="X1172" i="2"/>
  <c r="X1184" i="2"/>
  <c r="X1220" i="2"/>
  <c r="X1226" i="2"/>
  <c r="X1238" i="2"/>
  <c r="X1250" i="2"/>
  <c r="X1274" i="2"/>
  <c r="X1280" i="2"/>
  <c r="X1286" i="2"/>
  <c r="X1292" i="2"/>
  <c r="V321" i="2"/>
  <c r="W321" i="2" s="1"/>
  <c r="V327" i="2"/>
  <c r="W327" i="2" s="1"/>
  <c r="V333" i="2"/>
  <c r="W333" i="2" s="1"/>
  <c r="V339" i="2"/>
  <c r="W339" i="2" s="1"/>
  <c r="V338" i="2"/>
  <c r="W338" i="2" s="1"/>
  <c r="V345" i="2"/>
  <c r="W345" i="2" s="1"/>
  <c r="V387" i="2"/>
  <c r="W387" i="2" s="1"/>
  <c r="V459" i="2"/>
  <c r="W459" i="2" s="1"/>
  <c r="V465" i="2"/>
  <c r="W465" i="2" s="1"/>
  <c r="V471" i="2"/>
  <c r="W471" i="2" s="1"/>
  <c r="V483" i="2"/>
  <c r="W483" i="2" s="1"/>
  <c r="V513" i="2"/>
  <c r="W513" i="2" s="1"/>
  <c r="V519" i="2"/>
  <c r="W519" i="2" s="1"/>
  <c r="V561" i="2"/>
  <c r="W561" i="2" s="1"/>
  <c r="V573" i="2"/>
  <c r="W573" i="2" s="1"/>
  <c r="V663" i="2"/>
  <c r="W663" i="2" s="1"/>
  <c r="V603" i="2"/>
  <c r="W603" i="2" s="1"/>
  <c r="V615" i="2"/>
  <c r="W615" i="2" s="1"/>
  <c r="V621" i="2"/>
  <c r="W621" i="2" s="1"/>
  <c r="V626" i="2"/>
  <c r="W626" i="2" s="1"/>
  <c r="V651" i="2"/>
  <c r="W651" i="2" s="1"/>
  <c r="V675" i="2"/>
  <c r="W675" i="2" s="1"/>
  <c r="V681" i="2"/>
  <c r="W681" i="2" s="1"/>
  <c r="V705" i="2"/>
  <c r="W705" i="2" s="1"/>
  <c r="V711" i="2"/>
  <c r="W711" i="2" s="1"/>
  <c r="V717" i="2"/>
  <c r="W717" i="2" s="1"/>
  <c r="V729" i="2"/>
  <c r="W729" i="2" s="1"/>
  <c r="V741" i="2"/>
  <c r="W741" i="2" s="1"/>
  <c r="V759" i="2"/>
  <c r="W759" i="2" s="1"/>
  <c r="V765" i="2"/>
  <c r="W765" i="2" s="1"/>
  <c r="V777" i="2"/>
  <c r="W777" i="2" s="1"/>
  <c r="V807" i="2"/>
  <c r="W807" i="2" s="1"/>
  <c r="V819" i="2"/>
  <c r="W819" i="2" s="1"/>
  <c r="V867" i="2"/>
  <c r="W867" i="2" s="1"/>
  <c r="V873" i="2"/>
  <c r="W873" i="2" s="1"/>
  <c r="V885" i="2"/>
  <c r="W885" i="2" s="1"/>
  <c r="V891" i="2"/>
  <c r="W891" i="2" s="1"/>
  <c r="V897" i="2"/>
  <c r="W897" i="2" s="1"/>
  <c r="V909" i="2"/>
  <c r="W909" i="2" s="1"/>
  <c r="V933" i="2"/>
  <c r="W933" i="2" s="1"/>
  <c r="V951" i="2"/>
  <c r="W951" i="2" s="1"/>
  <c r="V969" i="2"/>
  <c r="W969" i="2" s="1"/>
  <c r="V975" i="2"/>
  <c r="W975" i="2" s="1"/>
  <c r="V981" i="2"/>
  <c r="W981" i="2" s="1"/>
  <c r="V993" i="2"/>
  <c r="W993" i="2" s="1"/>
  <c r="V999" i="2"/>
  <c r="W999" i="2" s="1"/>
  <c r="V1005" i="2"/>
  <c r="W1005" i="2" s="1"/>
  <c r="V1017" i="2"/>
  <c r="W1017" i="2" s="1"/>
  <c r="V1023" i="2"/>
  <c r="W1023" i="2" s="1"/>
  <c r="V1035" i="2"/>
  <c r="W1035" i="2" s="1"/>
  <c r="V1041" i="2"/>
  <c r="W1041" i="2" s="1"/>
  <c r="V1053" i="2"/>
  <c r="W1053" i="2" s="1"/>
  <c r="V1059" i="2"/>
  <c r="W1059" i="2" s="1"/>
  <c r="V1071" i="2"/>
  <c r="W1071" i="2" s="1"/>
  <c r="V1077" i="2"/>
  <c r="W1077" i="2" s="1"/>
  <c r="V1083" i="2"/>
  <c r="W1083" i="2" s="1"/>
  <c r="V1095" i="2"/>
  <c r="W1095" i="2" s="1"/>
  <c r="V1125" i="2"/>
  <c r="W1125" i="2" s="1"/>
  <c r="V1167" i="2"/>
  <c r="W1167" i="2" s="1"/>
  <c r="V1181" i="2"/>
  <c r="W1181" i="2" s="1"/>
  <c r="V1180" i="2"/>
  <c r="W1180" i="2" s="1"/>
  <c r="V1179" i="2"/>
  <c r="W1179" i="2" s="1"/>
  <c r="V1185" i="2"/>
  <c r="W1185" i="2" s="1"/>
  <c r="V1197" i="2"/>
  <c r="W1197" i="2" s="1"/>
  <c r="V1209" i="2"/>
  <c r="W1209" i="2" s="1"/>
  <c r="V1215" i="2"/>
  <c r="W1215" i="2" s="1"/>
  <c r="V1221" i="2"/>
  <c r="W1221" i="2" s="1"/>
  <c r="V1227" i="2"/>
  <c r="W1227" i="2" s="1"/>
  <c r="V1239" i="2"/>
  <c r="W1239" i="2" s="1"/>
  <c r="V1251" i="2"/>
  <c r="W1251" i="2" s="1"/>
  <c r="X333" i="2"/>
  <c r="X339" i="2"/>
  <c r="X338" i="2"/>
  <c r="X387" i="2"/>
  <c r="X459" i="2"/>
  <c r="X465" i="2"/>
  <c r="X471" i="2"/>
  <c r="X483" i="2"/>
  <c r="X513" i="2"/>
  <c r="X519" i="2"/>
  <c r="X561" i="2"/>
  <c r="X573" i="2"/>
  <c r="X603" i="2"/>
  <c r="X663" i="2"/>
  <c r="X615" i="2"/>
  <c r="X621" i="2"/>
  <c r="X626" i="2"/>
  <c r="X651" i="2"/>
  <c r="X675" i="2"/>
  <c r="X681" i="2"/>
  <c r="X705" i="2"/>
  <c r="X711" i="2"/>
  <c r="X717" i="2"/>
  <c r="X729" i="2"/>
  <c r="X741" i="2"/>
  <c r="X759" i="2"/>
  <c r="X765" i="2"/>
  <c r="X777" i="2"/>
  <c r="X807" i="2"/>
  <c r="X819" i="2"/>
  <c r="X867" i="2"/>
  <c r="X873" i="2"/>
  <c r="X885" i="2"/>
  <c r="X891" i="2"/>
  <c r="X897" i="2"/>
  <c r="X909" i="2"/>
  <c r="X933" i="2"/>
  <c r="X951" i="2"/>
  <c r="X969" i="2"/>
  <c r="X975" i="2"/>
  <c r="X981" i="2"/>
  <c r="X993" i="2"/>
  <c r="X999" i="2"/>
  <c r="X1005" i="2"/>
  <c r="X1017" i="2"/>
  <c r="X1023" i="2"/>
  <c r="X1035" i="2"/>
  <c r="X1041" i="2"/>
  <c r="X1053" i="2"/>
  <c r="X1059" i="2"/>
  <c r="X1071" i="2"/>
  <c r="X1077" i="2"/>
  <c r="X1083" i="2"/>
  <c r="X1095" i="2"/>
  <c r="X1125" i="2"/>
  <c r="X1167" i="2"/>
  <c r="X1181" i="2"/>
  <c r="X1180" i="2"/>
  <c r="X1179" i="2"/>
  <c r="X1185" i="2"/>
  <c r="X1197" i="2"/>
  <c r="X1209" i="2"/>
  <c r="X1215" i="2"/>
  <c r="X1221" i="2"/>
  <c r="X1227" i="2"/>
  <c r="X1239" i="2"/>
  <c r="X1251" i="2"/>
  <c r="V377" i="2"/>
  <c r="W377" i="2" s="1"/>
  <c r="V378" i="2"/>
  <c r="W378" i="2" s="1"/>
  <c r="V376" i="2"/>
  <c r="W376" i="2" s="1"/>
  <c r="V388" i="2"/>
  <c r="W388" i="2" s="1"/>
  <c r="V412" i="2"/>
  <c r="W412" i="2" s="1"/>
  <c r="V418" i="2"/>
  <c r="W418" i="2" s="1"/>
  <c r="V453" i="2"/>
  <c r="W453" i="2" s="1"/>
  <c r="V460" i="2"/>
  <c r="W460" i="2" s="1"/>
  <c r="V466" i="2"/>
  <c r="W466" i="2" s="1"/>
  <c r="V478" i="2"/>
  <c r="W478" i="2" s="1"/>
  <c r="V479" i="2"/>
  <c r="W479" i="2" s="1"/>
  <c r="V480" i="2"/>
  <c r="W480" i="2" s="1"/>
  <c r="V484" i="2"/>
  <c r="W484" i="2" s="1"/>
  <c r="V501" i="2"/>
  <c r="W501" i="2" s="1"/>
  <c r="V508" i="2"/>
  <c r="W508" i="2" s="1"/>
  <c r="V514" i="2"/>
  <c r="W514" i="2" s="1"/>
  <c r="V538" i="2"/>
  <c r="W538" i="2" s="1"/>
  <c r="V544" i="2"/>
  <c r="W544" i="2" s="1"/>
  <c r="V556" i="2"/>
  <c r="W556" i="2" s="1"/>
  <c r="V562" i="2"/>
  <c r="W562" i="2" s="1"/>
  <c r="V586" i="2"/>
  <c r="W586" i="2" s="1"/>
  <c r="V604" i="2"/>
  <c r="W604" i="2" s="1"/>
  <c r="V627" i="2"/>
  <c r="W627" i="2" s="1"/>
  <c r="V634" i="2"/>
  <c r="W634" i="2" s="1"/>
  <c r="V640" i="2"/>
  <c r="W640" i="2" s="1"/>
  <c r="V652" i="2"/>
  <c r="W652" i="2" s="1"/>
  <c r="V658" i="2"/>
  <c r="W658" i="2" s="1"/>
  <c r="V676" i="2"/>
  <c r="W676" i="2" s="1"/>
  <c r="V682" i="2"/>
  <c r="W682" i="2" s="1"/>
  <c r="V688" i="2"/>
  <c r="W688" i="2" s="1"/>
  <c r="V700" i="2"/>
  <c r="W700" i="2" s="1"/>
  <c r="V706" i="2"/>
  <c r="W706" i="2" s="1"/>
  <c r="V730" i="2"/>
  <c r="W730" i="2" s="1"/>
  <c r="V736" i="2"/>
  <c r="W736" i="2" s="1"/>
  <c r="V742" i="2"/>
  <c r="W742" i="2" s="1"/>
  <c r="V760" i="2"/>
  <c r="W760" i="2" s="1"/>
  <c r="V766" i="2"/>
  <c r="W766" i="2" s="1"/>
  <c r="V772" i="2"/>
  <c r="W772" i="2" s="1"/>
  <c r="V778" i="2"/>
  <c r="W778" i="2" s="1"/>
  <c r="V790" i="2"/>
  <c r="W790" i="2" s="1"/>
  <c r="V796" i="2"/>
  <c r="W796" i="2" s="1"/>
  <c r="V808" i="2"/>
  <c r="W808" i="2" s="1"/>
  <c r="V826" i="2"/>
  <c r="W826" i="2" s="1"/>
  <c r="V832" i="2"/>
  <c r="W832" i="2" s="1"/>
  <c r="V868" i="2"/>
  <c r="W868" i="2" s="1"/>
  <c r="V904" i="2"/>
  <c r="W904" i="2" s="1"/>
  <c r="V910" i="2"/>
  <c r="W910" i="2" s="1"/>
  <c r="V946" i="2"/>
  <c r="W946" i="2" s="1"/>
  <c r="V976" i="2"/>
  <c r="W976" i="2" s="1"/>
  <c r="V988" i="2"/>
  <c r="W988" i="2" s="1"/>
  <c r="V994" i="2"/>
  <c r="W994" i="2" s="1"/>
  <c r="V1012" i="2"/>
  <c r="W1012" i="2" s="1"/>
  <c r="V1054" i="2"/>
  <c r="W1054" i="2" s="1"/>
  <c r="V1066" i="2"/>
  <c r="W1066" i="2" s="1"/>
  <c r="V1078" i="2"/>
  <c r="W1078" i="2" s="1"/>
  <c r="V1096" i="2"/>
  <c r="W1096" i="2" s="1"/>
  <c r="V1126" i="2"/>
  <c r="W1126" i="2" s="1"/>
  <c r="V1162" i="2"/>
  <c r="W1162" i="2" s="1"/>
  <c r="V1186" i="2"/>
  <c r="W1186" i="2" s="1"/>
  <c r="V1222" i="2"/>
  <c r="W1222" i="2" s="1"/>
  <c r="V1228" i="2"/>
  <c r="W1228" i="2" s="1"/>
  <c r="V1240" i="2"/>
  <c r="W1240" i="2" s="1"/>
  <c r="V1252" i="2"/>
  <c r="W1252" i="2" s="1"/>
  <c r="V1276" i="2"/>
  <c r="W1276" i="2" s="1"/>
  <c r="V1281" i="2"/>
  <c r="W1281" i="2" s="1"/>
  <c r="V1282" i="2"/>
  <c r="W1282" i="2" s="1"/>
  <c r="V1288" i="2"/>
  <c r="W1288" i="2" s="1"/>
  <c r="X1277" i="2"/>
  <c r="X1289" i="2"/>
  <c r="M1296" i="2"/>
  <c r="K1296" i="2"/>
  <c r="O21" i="4" l="1"/>
  <c r="O10" i="4"/>
  <c r="O3" i="4"/>
  <c r="O20" i="4"/>
  <c r="O17" i="4"/>
  <c r="O18" i="4"/>
  <c r="O16" i="4"/>
  <c r="O19" i="4"/>
  <c r="O37" i="4"/>
  <c r="O35" i="4"/>
  <c r="O25" i="4"/>
  <c r="O14" i="4"/>
  <c r="O36" i="4"/>
  <c r="O31" i="4"/>
  <c r="O13" i="4"/>
  <c r="O12" i="4"/>
  <c r="O33" i="4"/>
  <c r="O22" i="4"/>
  <c r="O15" i="4"/>
  <c r="O29" i="4"/>
  <c r="O24" i="4"/>
  <c r="O32" i="4"/>
  <c r="O30" i="4"/>
  <c r="O11" i="4"/>
  <c r="O9" i="4"/>
  <c r="O26" i="4"/>
  <c r="O8" i="4"/>
  <c r="O6" i="4"/>
  <c r="O2" i="4"/>
  <c r="O34" i="4"/>
  <c r="O27" i="4"/>
  <c r="O7" i="4"/>
  <c r="O28" i="4"/>
  <c r="O23" i="4"/>
  <c r="O4" i="4"/>
  <c r="O5" i="4"/>
  <c r="L29" i="4"/>
  <c r="L9" i="4"/>
  <c r="L13" i="4"/>
  <c r="L3" i="4"/>
  <c r="L5" i="4"/>
  <c r="L21" i="4"/>
  <c r="L25" i="4"/>
  <c r="L2" i="4"/>
  <c r="L15" i="4"/>
  <c r="L6" i="4"/>
  <c r="L37" i="4"/>
  <c r="L7" i="4"/>
  <c r="L4" i="4"/>
  <c r="L18" i="4"/>
  <c r="L11" i="4"/>
  <c r="L27" i="4"/>
  <c r="L10" i="4"/>
  <c r="L31" i="4"/>
  <c r="L22" i="4"/>
  <c r="L12" i="4"/>
  <c r="L34" i="4"/>
  <c r="L24" i="4"/>
  <c r="L20" i="4"/>
  <c r="L8" i="4"/>
  <c r="L36" i="4"/>
  <c r="L16" i="4"/>
  <c r="L32" i="4"/>
  <c r="L14" i="4"/>
  <c r="L28" i="4"/>
  <c r="L23" i="4"/>
  <c r="L17" i="4"/>
  <c r="L30" i="4"/>
  <c r="L26" i="4"/>
  <c r="L35" i="4"/>
  <c r="L19" i="4"/>
  <c r="L33" i="4"/>
  <c r="N7" i="4"/>
  <c r="N32" i="4"/>
  <c r="N17" i="4"/>
  <c r="N6" i="4"/>
  <c r="N28" i="4"/>
  <c r="N29" i="4"/>
  <c r="N9" i="4"/>
  <c r="N10" i="4"/>
  <c r="N20" i="4"/>
  <c r="N26" i="4"/>
  <c r="N15" i="4"/>
  <c r="N8" i="4"/>
  <c r="N3" i="4"/>
  <c r="N25" i="4"/>
  <c r="N23" i="4"/>
  <c r="N5" i="4"/>
  <c r="N4" i="4"/>
  <c r="N2" i="4"/>
  <c r="N12" i="4"/>
  <c r="N19" i="4"/>
  <c r="N34" i="4"/>
  <c r="N24" i="4"/>
  <c r="N27" i="4"/>
  <c r="N18" i="4"/>
  <c r="N36" i="4"/>
  <c r="N21" i="4"/>
  <c r="N37" i="4"/>
  <c r="N35" i="4"/>
  <c r="N16" i="4"/>
  <c r="N14" i="4"/>
  <c r="N31" i="4"/>
  <c r="N22" i="4"/>
  <c r="N13" i="4"/>
  <c r="N11" i="4"/>
  <c r="N33" i="4"/>
  <c r="N30" i="4"/>
  <c r="P35" i="4"/>
  <c r="P32" i="4"/>
  <c r="P19" i="4"/>
  <c r="P9" i="4"/>
  <c r="P34" i="4"/>
  <c r="P23" i="4"/>
  <c r="P24" i="4"/>
  <c r="P26" i="4"/>
  <c r="P8" i="4"/>
  <c r="P30" i="4"/>
  <c r="P11" i="4"/>
  <c r="P28" i="4"/>
  <c r="P17" i="4"/>
  <c r="P10" i="4"/>
  <c r="P2" i="4"/>
  <c r="P6" i="4"/>
  <c r="P27" i="4"/>
  <c r="P25" i="4"/>
  <c r="P4" i="4"/>
  <c r="P14" i="4"/>
  <c r="P18" i="4"/>
  <c r="P21" i="4"/>
  <c r="P3" i="4"/>
  <c r="P31" i="4"/>
  <c r="P20" i="4"/>
  <c r="P37" i="4"/>
  <c r="P29" i="4"/>
  <c r="P22" i="4"/>
  <c r="P12" i="4"/>
  <c r="P16" i="4"/>
  <c r="P5" i="4"/>
  <c r="P36" i="4"/>
  <c r="P7" i="4"/>
  <c r="P33" i="4"/>
  <c r="P15" i="4"/>
  <c r="P13" i="4"/>
  <c r="M36" i="4"/>
  <c r="M18" i="4"/>
  <c r="M16" i="4"/>
  <c r="M17" i="4"/>
  <c r="M35" i="4"/>
  <c r="M29" i="4"/>
  <c r="M12" i="4"/>
  <c r="M37" i="4"/>
  <c r="M27" i="4"/>
  <c r="M14" i="4"/>
  <c r="M24" i="4"/>
  <c r="M4" i="4"/>
  <c r="M11" i="4"/>
  <c r="M33" i="4"/>
  <c r="M34" i="4"/>
  <c r="M31" i="4"/>
  <c r="M20" i="4"/>
  <c r="M13" i="4"/>
  <c r="M32" i="4"/>
  <c r="M25" i="4"/>
  <c r="M30" i="4"/>
  <c r="M28" i="4"/>
  <c r="M22" i="4"/>
  <c r="M9" i="4"/>
  <c r="M7" i="4"/>
  <c r="M5" i="4"/>
  <c r="M3" i="4"/>
  <c r="M23" i="4"/>
  <c r="M10" i="4"/>
  <c r="M15" i="4"/>
  <c r="M26" i="4"/>
  <c r="M21" i="4"/>
  <c r="M2" i="4"/>
  <c r="M19" i="4"/>
  <c r="M8" i="4"/>
  <c r="M6" i="4"/>
  <c r="Q3" i="4"/>
  <c r="Q7" i="4"/>
  <c r="Q25" i="4"/>
  <c r="Q6" i="4"/>
  <c r="Q34" i="4"/>
  <c r="Q23" i="4"/>
  <c r="Q12" i="4"/>
  <c r="Q9" i="4"/>
  <c r="Q22" i="4"/>
  <c r="Q20" i="4"/>
  <c r="Q5" i="4"/>
  <c r="Q32" i="4"/>
  <c r="Q33" i="4"/>
  <c r="Q16" i="4"/>
  <c r="Q2" i="4"/>
  <c r="Q19" i="4"/>
  <c r="Q8" i="4"/>
  <c r="Q14" i="4"/>
  <c r="Q15" i="4"/>
  <c r="Q37" i="4"/>
  <c r="Q18" i="4"/>
  <c r="Q35" i="4"/>
  <c r="Q24" i="4"/>
  <c r="Q17" i="4"/>
  <c r="Q11" i="4"/>
  <c r="Q21" i="4"/>
  <c r="Q28" i="4"/>
  <c r="Q27" i="4"/>
  <c r="Q26" i="4"/>
  <c r="Q30" i="4"/>
  <c r="Q13" i="4"/>
  <c r="Q4" i="4"/>
  <c r="Q36" i="4"/>
  <c r="Q31" i="4"/>
  <c r="Q29" i="4"/>
  <c r="Q10" i="4"/>
  <c r="M38" i="4" l="1"/>
  <c r="N38" i="4"/>
  <c r="O38" i="4"/>
  <c r="Q38" i="4"/>
  <c r="P38" i="4"/>
  <c r="R33" i="4"/>
  <c r="R8" i="4"/>
  <c r="R7" i="4"/>
  <c r="R19" i="4"/>
  <c r="R20" i="4"/>
  <c r="R37" i="4"/>
  <c r="R35" i="4"/>
  <c r="R24" i="4"/>
  <c r="R6" i="4"/>
  <c r="R26" i="4"/>
  <c r="R34" i="4"/>
  <c r="R15" i="4"/>
  <c r="R30" i="4"/>
  <c r="R12" i="4"/>
  <c r="R2" i="4"/>
  <c r="L38" i="4"/>
  <c r="R17" i="4"/>
  <c r="R22" i="4"/>
  <c r="R25" i="4"/>
  <c r="R23" i="4"/>
  <c r="R31" i="4"/>
  <c r="R21" i="4"/>
  <c r="R28" i="4"/>
  <c r="R10" i="4"/>
  <c r="R5" i="4"/>
  <c r="R14" i="4"/>
  <c r="R27" i="4"/>
  <c r="R3" i="4"/>
  <c r="R32" i="4"/>
  <c r="R11" i="4"/>
  <c r="R13" i="4"/>
  <c r="R16" i="4"/>
  <c r="R18" i="4"/>
  <c r="R9" i="4"/>
  <c r="R36" i="4"/>
  <c r="R4" i="4"/>
  <c r="R29" i="4"/>
  <c r="R38" i="4" l="1"/>
</calcChain>
</file>

<file path=xl/sharedStrings.xml><?xml version="1.0" encoding="utf-8"?>
<sst xmlns="http://schemas.openxmlformats.org/spreadsheetml/2006/main" count="39889" uniqueCount="2094">
  <si>
    <t xml:space="preserve"> G/L Account</t>
  </si>
  <si>
    <t>Kas Kecil Unit 01</t>
  </si>
  <si>
    <t xml:space="preserve"> Company Code</t>
  </si>
  <si>
    <t>Account</t>
  </si>
  <si>
    <t>Doc. Date</t>
  </si>
  <si>
    <t>DocumentNo</t>
  </si>
  <si>
    <t>Pstng Date</t>
  </si>
  <si>
    <t>PK</t>
  </si>
  <si>
    <t>Amount in doc. curr.</t>
  </si>
  <si>
    <t>Curr.</t>
  </si>
  <si>
    <t>Amount in local cur.</t>
  </si>
  <si>
    <t>LCurr</t>
  </si>
  <si>
    <t xml:space="preserve">         Quantity</t>
  </si>
  <si>
    <t>BUn</t>
  </si>
  <si>
    <t>Cost Ctr</t>
  </si>
  <si>
    <t>Profit Ctr</t>
  </si>
  <si>
    <t>Reference</t>
  </si>
  <si>
    <t>Document Header Text</t>
  </si>
  <si>
    <t>Text</t>
  </si>
  <si>
    <t>Tr.Prt</t>
  </si>
  <si>
    <t>Ref.key (header) 1</t>
  </si>
  <si>
    <t>Ref.key (header) 2</t>
  </si>
  <si>
    <t>Type</t>
  </si>
  <si>
    <t>Clrng doc.</t>
  </si>
  <si>
    <t>Assignment</t>
  </si>
  <si>
    <t>31.12.2025</t>
  </si>
  <si>
    <t>IDR</t>
  </si>
  <si>
    <t>R124</t>
  </si>
  <si>
    <t>FC Valuation</t>
  </si>
  <si>
    <t>10000001 - Valuation on 20251231</t>
  </si>
  <si>
    <t>SA</t>
  </si>
  <si>
    <t>30.06.2025</t>
  </si>
  <si>
    <t>01.07.2025</t>
  </si>
  <si>
    <t>Reverse posting</t>
  </si>
  <si>
    <t>10000001 - Valuation on 20250630 Reversal</t>
  </si>
  <si>
    <t>03.07.2025</t>
  </si>
  <si>
    <t>Autom.clearing SAPF124</t>
  </si>
  <si>
    <t>10000001 - Valuation on 20250630</t>
  </si>
  <si>
    <t>AB</t>
  </si>
  <si>
    <t>07.07.2025</t>
  </si>
  <si>
    <t>510/PPC/VI/2025</t>
  </si>
  <si>
    <t>OLAHRAGA DAN PERMAINAN</t>
  </si>
  <si>
    <t>BY OLAHRAGA 20/06/2025</t>
  </si>
  <si>
    <t>SP</t>
  </si>
  <si>
    <t>498/PPC/VI/2025</t>
  </si>
  <si>
    <t>SURVEY DAN ANALISA</t>
  </si>
  <si>
    <t>BY COO KADIN ASSUDAMAL EBP 2411775352</t>
  </si>
  <si>
    <t>BY COO KADIN ASSUDAMAL EBP 2411775353</t>
  </si>
  <si>
    <t>BY COO KADIN ASSUDAMAL EBP 2411775354</t>
  </si>
  <si>
    <t>BY COO KADIN ASSUDAMAL EBP 2411775666</t>
  </si>
  <si>
    <t>BY COO KADIN ASSUDAMAL EBP 2411775667</t>
  </si>
  <si>
    <t>BY COO KADIN ASSUDAMAL EBP 2411775668</t>
  </si>
  <si>
    <t>BY COO KADIN ASSUDAMAL EBP 2411775669</t>
  </si>
  <si>
    <t>BY COO KADIN ASSUDAMAL EBP 2411775670</t>
  </si>
  <si>
    <t>BY COO KADIN ASSUDAMAL EBP 2411775671</t>
  </si>
  <si>
    <t>BY HC BPOM AL JAZIRA EBP 2411775754</t>
  </si>
  <si>
    <t>504/PPC/VI/2025</t>
  </si>
  <si>
    <t>PEMEL.KEND&amp;A.BERAT MATRL</t>
  </si>
  <si>
    <t>BY PEMBELIAN CAIRAN PENETRANT DAN CLEANER</t>
  </si>
  <si>
    <t>PBAIKN&amp;PRAWATN PRABT MATR</t>
  </si>
  <si>
    <t>BY PEMBELIAN SEMPROTAN AIR KNG</t>
  </si>
  <si>
    <t>511/PPC/VI/2025</t>
  </si>
  <si>
    <t>BY PEMBELIAN SELECTOR &amp; SKUN MOTOR AHU</t>
  </si>
  <si>
    <t>513/PPC/VI/2025</t>
  </si>
  <si>
    <t>PERLENGKAPAN FOTOCOPY</t>
  </si>
  <si>
    <t>BY PEMBELIAN KERTAS UNTUK COPY SERTIFIKAT</t>
  </si>
  <si>
    <t>514/PPC/VI/2025</t>
  </si>
  <si>
    <t>TRANSPORTASI LOKAL</t>
  </si>
  <si>
    <t>BY PARKIR KENDARAAN  L 2167 FT (27 MEI-24JUNI 25)</t>
  </si>
  <si>
    <t>BY FOTOCOPY</t>
  </si>
  <si>
    <t>505/PPC/VI/2025</t>
  </si>
  <si>
    <t>BY PEMBELIAN BUKET 6 LT</t>
  </si>
  <si>
    <t>516/PPC/VI/2025</t>
  </si>
  <si>
    <t>BY PEMBELIAN KEBUTUHAN INSTALASI LISTRIK</t>
  </si>
  <si>
    <t>512/PPC/VI/2025</t>
  </si>
  <si>
    <t>BY HC BPOM SG OILSEED EBP 2411775931</t>
  </si>
  <si>
    <t>BY HC BPOM DONGXIAO NORTH AMERICA EBP 24117755932</t>
  </si>
  <si>
    <t>BY HC BPOM SG OILSEED EBP 2411775933</t>
  </si>
  <si>
    <t>BY HC BPOM CHEMI EBP 2411775816</t>
  </si>
  <si>
    <t>518/PPC/VI/2025</t>
  </si>
  <si>
    <t>BY HC BPOM NESTLE GHANA EBP 2411775768</t>
  </si>
  <si>
    <t>BY HC BPOM NESTLE PNG EBP 2411775857</t>
  </si>
  <si>
    <t>519/PPC/VI/2025</t>
  </si>
  <si>
    <t>BY HC BPOM SG OILSEED EBP 2411775828</t>
  </si>
  <si>
    <t>BY HC BPOM SG OILSEED EBP 2411775735</t>
  </si>
  <si>
    <t>08.07.2025</t>
  </si>
  <si>
    <t>BY HC SG OILSEED EBP 2411775763</t>
  </si>
  <si>
    <t>BY HC SG OILSEED EBP 2411775779</t>
  </si>
  <si>
    <t>BY HC SG OILSEED EBP 2411775812</t>
  </si>
  <si>
    <t>BY HC SG OILSEED EBP 2411775814</t>
  </si>
  <si>
    <t>BY HC SG OILSEED EBP 2411775736</t>
  </si>
  <si>
    <t>BY HC SG OILSEED EBP 2411775714</t>
  </si>
  <si>
    <t>517/PPC/VI/2025</t>
  </si>
  <si>
    <t>BY HC HOME CHAIN EBP 2411775823</t>
  </si>
  <si>
    <t>BY HC NESTLE PNG ETP 2411775858</t>
  </si>
  <si>
    <t>520/PPC/VI/2025</t>
  </si>
  <si>
    <t>BAHAN BAKAR</t>
  </si>
  <si>
    <t>BY TRANSPORTASI BBM 23-26/06/2025</t>
  </si>
  <si>
    <t>BY TRANSPORTASI PARKIR TOL</t>
  </si>
  <si>
    <t>521/PPC/VI/2025</t>
  </si>
  <si>
    <t>BY PEMB D NEPLE, RING, SOCKET, N SOK, DLL</t>
  </si>
  <si>
    <t>523/PPC/VI/2025</t>
  </si>
  <si>
    <t>BY PARKIR SPD MTR L 2057 EK BAG. EKSP.01-25/06/25</t>
  </si>
  <si>
    <t>524/PPC/VI/2025</t>
  </si>
  <si>
    <t>BY HC SG OILSEED EBP 2411775826</t>
  </si>
  <si>
    <t>BY HC SG OILSEED EBP 2411775934</t>
  </si>
  <si>
    <t>BY HC SG OILSEED EBP 2411775813</t>
  </si>
  <si>
    <t>525/PPC/VI/2025</t>
  </si>
  <si>
    <t>BY HC NESTLE GHANA ETP 2411775939</t>
  </si>
  <si>
    <t>BY HC NESTLE AUSTRALIA ETP 2411775984</t>
  </si>
  <si>
    <t>BY HC NESTLE AUSTRALIA ETP 2411775985</t>
  </si>
  <si>
    <t>502/PPC/VI/2025</t>
  </si>
  <si>
    <t>BY COO KADIN AL JAZIRA EBP 2411775754</t>
  </si>
  <si>
    <t>BY HC DINKES POLIVA ETP 2411775688</t>
  </si>
  <si>
    <t>BY HC ASSUDAMAL EBP 2411775352</t>
  </si>
  <si>
    <t>BY HC ASSUDAMAL EBP 2411775353</t>
  </si>
  <si>
    <t>BY HC ASSUDAMAL EBP 2411775354</t>
  </si>
  <si>
    <t>BY HC ASSUDAMAL EBP 2411775666</t>
  </si>
  <si>
    <t>BY HC ASSUDAMAL EBP 2411775667</t>
  </si>
  <si>
    <t>BY HC ASSUDAMAL EBP 2411775668</t>
  </si>
  <si>
    <t>BY HC ASSUDAMAL EBP 2411775669</t>
  </si>
  <si>
    <t>BY HC ASSUDAMAL EBP 2411775670</t>
  </si>
  <si>
    <t>BY HC ASSUDAMAL EBP 2411775671</t>
  </si>
  <si>
    <t>526/PPC/VI/2025</t>
  </si>
  <si>
    <t>BY PEMB BUTON, WL, C13 U/ VNA &amp; HDS SHUTTLE</t>
  </si>
  <si>
    <t>529/PPC/VI/2025</t>
  </si>
  <si>
    <t>MAKANAN DAN MINUMAN</t>
  </si>
  <si>
    <t>BY KONSUMSI 551 20/06/2025</t>
  </si>
  <si>
    <t>515/PPC/VI/2025</t>
  </si>
  <si>
    <t>PEMEL.BNGAN&amp;PSARANA MATRL</t>
  </si>
  <si>
    <t>BY PEMB PIPA GAS U/ PEMBUATAN TANGGA DISABILITAS</t>
  </si>
  <si>
    <t>522/PPC/VI/2025</t>
  </si>
  <si>
    <t>BY PEMB BESI LUBANG, BAUT SIKU LUBANG U/RAK SAMPLE</t>
  </si>
  <si>
    <t>530/PPC/VII/2025</t>
  </si>
  <si>
    <t>BY PEMB HANDLE PEGANGAN CLOSED KMR MANDI, GRAB BAR</t>
  </si>
  <si>
    <t>531/PPC/VII/2025</t>
  </si>
  <si>
    <t>BY PEMB OIL SEAL, NAPEL SPC, DOUBLE NEPEL SS</t>
  </si>
  <si>
    <t>535/PPC/VII/2025</t>
  </si>
  <si>
    <t>BY PERLENGKAPAN OLAHRAGA: MATRAS YOGA</t>
  </si>
  <si>
    <t>536/PPC/VII/2025</t>
  </si>
  <si>
    <t>BY PEMB LASER SCANNER HP LASERJET</t>
  </si>
  <si>
    <t>537/PPC/VII/2025</t>
  </si>
  <si>
    <t>BY PEMB DUST SEAL, OIL SEAL, ORING U/ MHE, FUSE</t>
  </si>
  <si>
    <t>538/PPC/VII/2025</t>
  </si>
  <si>
    <t>BY PEMB KOPLING SET, NAPLE KOPLING, DRAT NAPLE</t>
  </si>
  <si>
    <t>539/PPC/VII/2025</t>
  </si>
  <si>
    <t>RISET/PENGEMBANGAN PRODUK</t>
  </si>
  <si>
    <t>BY PEMB BOTOL DURAN 1L &amp; 500ml U/ SAMPLE</t>
  </si>
  <si>
    <t>540/PPC/VII/2025</t>
  </si>
  <si>
    <t>BY MKN DNS PRK 30/06/2025 - 2ORG</t>
  </si>
  <si>
    <t>541/PPC/VII/2025</t>
  </si>
  <si>
    <t>BY BOTOL JAR+TUTUP SAMPLE RETAIN MOSH MOAH NESTLE</t>
  </si>
  <si>
    <t>BY PEMB SENTER U/ CEK ROADTANKER</t>
  </si>
  <si>
    <t>542/PPC/VII/2025</t>
  </si>
  <si>
    <t>BY GRAB RUNGKUT-PRK PP+ TOL</t>
  </si>
  <si>
    <t>543/PPC/VII/2025</t>
  </si>
  <si>
    <t>BY PEMB BATTERAI, LEM G, DOUBLE TAPE</t>
  </si>
  <si>
    <t>534/PPC/VII/2025</t>
  </si>
  <si>
    <t>BY HC NESTLE PAKISTAN ETP 2411776013</t>
  </si>
  <si>
    <t>BY HC SG OILSEED EBP 2411776022</t>
  </si>
  <si>
    <t>BY HC SG OILSEED EBP 2411776030</t>
  </si>
  <si>
    <t>544/PPC/VII/2025</t>
  </si>
  <si>
    <t>BIAYA POLIKLINIK</t>
  </si>
  <si>
    <t>BY PEMB TENSIMETER DIGITAL &amp; REFILL OKSIGEN MEDIS</t>
  </si>
  <si>
    <t>BY KONSUMSI MEETING P2K3</t>
  </si>
  <si>
    <t>545/PPC/VII/2025</t>
  </si>
  <si>
    <t>BY PEMB COVER PELINDUNG SELANG INFUS TINTA PRINTER</t>
  </si>
  <si>
    <t>546/PPC/VII/2025</t>
  </si>
  <si>
    <t>BY TRANSPORTASI BBM 26/06-02/07/2025</t>
  </si>
  <si>
    <t>547/PPC/VII/2025</t>
  </si>
  <si>
    <t>BY KONSUMSI MEETING QFS SAFETY TALK LOGISTIK</t>
  </si>
  <si>
    <t>548/PPC/VII/2025</t>
  </si>
  <si>
    <t>SPAREPART KEND &amp; A.BERAT</t>
  </si>
  <si>
    <t>BY PEMB BEARING LOAD WHEEL REACHTRUCK JUNGHEINRICH</t>
  </si>
  <si>
    <t>549/PPC/VII/2025</t>
  </si>
  <si>
    <t>BY PEMB SOLDER DEKKO, TIMAH, ARPUS</t>
  </si>
  <si>
    <t>527/PPC/VI/2025</t>
  </si>
  <si>
    <t>BY KONSUMSI REFRESHING INTERNAL AUDIT</t>
  </si>
  <si>
    <t>532/PPC/VII/2025</t>
  </si>
  <si>
    <t>BY PERAWATAN SPD MTR BAG.EKSP. L 2167 FT (VIXION)</t>
  </si>
  <si>
    <t>533/PPC/VII/2025</t>
  </si>
  <si>
    <t>BY PERAWATAN SPD MTR BAG.EKSP. L 2057 EK (VEGA R)</t>
  </si>
  <si>
    <t>551/PPC/VII/2025</t>
  </si>
  <si>
    <t>BY HC NESTLE GHANA ETP 2411776084</t>
  </si>
  <si>
    <t>552/PPC/VII/2025</t>
  </si>
  <si>
    <t>BY HC SG OILSEED EBP 2411776020</t>
  </si>
  <si>
    <t>BY HC SG OILSEED EBP 2411776024</t>
  </si>
  <si>
    <t>BY HC SG OILSEED EBP 2411776026</t>
  </si>
  <si>
    <t>553/PPC/VII/2025</t>
  </si>
  <si>
    <t>BY PEMB KARPET ANTI SLIP, PEGANGAN KMR MANDI</t>
  </si>
  <si>
    <t>554/PPC/VII/2025</t>
  </si>
  <si>
    <t>BY TRANSPORTASI BBM 02-03/07/2025</t>
  </si>
  <si>
    <t>555/PPC/VII/2025</t>
  </si>
  <si>
    <t>PERIZINAN PEMERINTAH</t>
  </si>
  <si>
    <t>BY PEMBAYARAN PPJ GENSET 1 &amp; 2 JUNI 2025</t>
  </si>
  <si>
    <t>556/PPC/VII/2025</t>
  </si>
  <si>
    <t>BY OLAHRAGA 04/07/2025</t>
  </si>
  <si>
    <t>560/PPC/VII/2025</t>
  </si>
  <si>
    <t>BY TRANSPORTASI BBM 03-07/07/2025</t>
  </si>
  <si>
    <t>10.07.2025</t>
  </si>
  <si>
    <t>550/PPC/VII/2025</t>
  </si>
  <si>
    <t>BY PEMB CAT BODELAC</t>
  </si>
  <si>
    <t>557/PPC/VII/2025</t>
  </si>
  <si>
    <t>BY KONSUMSI AUDIT SMETA INTERTEK</t>
  </si>
  <si>
    <t>562/PPC/VII/2025</t>
  </si>
  <si>
    <t>BY TRANSPORTASI BBM 07/07/2025</t>
  </si>
  <si>
    <t>563/PPC/VII/2025</t>
  </si>
  <si>
    <t>BY HC SG OILSEED EBP 2411776056</t>
  </si>
  <si>
    <t>BY HC TOP ROAD EBP 2411776132</t>
  </si>
  <si>
    <t>564/PPC/VII/2025</t>
  </si>
  <si>
    <t>BY PEMB 2 CHAIN BLOCK 1 TON, PLASTIK SAMPAH, DLL</t>
  </si>
  <si>
    <t>559/PPC/VII/2025</t>
  </si>
  <si>
    <t>BY HC SG OILSEED EBP 2411776090</t>
  </si>
  <si>
    <t>BY HC SG OILSEED EBP 2411776097</t>
  </si>
  <si>
    <t>BY HC SG OILSEED EBP 2411776094, 2411776095</t>
  </si>
  <si>
    <t>566/PPC/VII/2025</t>
  </si>
  <si>
    <t>BY HC ACHIEVERS EBP 2411776197</t>
  </si>
  <si>
    <t>567/PPC/VII/2025</t>
  </si>
  <si>
    <t>BY KONSUMSI TRAINING INTERNAL QFS, GHG-LCA</t>
  </si>
  <si>
    <t>568/PPC/VII/2025</t>
  </si>
  <si>
    <t>BY TRANSPORTASI BBM 09-10/07/2025</t>
  </si>
  <si>
    <t>11.07.2025</t>
  </si>
  <si>
    <t>565/PPC/VII/2025</t>
  </si>
  <si>
    <t>BY HC GUANGDONG SHENGRONG EBP 2411776093</t>
  </si>
  <si>
    <t>BY HC SG OILSEED EBP 2411776027</t>
  </si>
  <si>
    <t>BY HC SG OILSEED EBP 2411776028</t>
  </si>
  <si>
    <t>BY HC GUANGDONG SHENGRONG EBP 2411776021</t>
  </si>
  <si>
    <t>BY HC SG OILSEED EBP 2411776019</t>
  </si>
  <si>
    <t>BY HC GUANGDONG SHENGRONG EBP 2411775941</t>
  </si>
  <si>
    <t>BY HC SG OILSEED EBP 2411775935, 775938</t>
  </si>
  <si>
    <t>BY HC SG OILSEED EBP 2411775940</t>
  </si>
  <si>
    <t>558/PPC/VII/2025</t>
  </si>
  <si>
    <t>BY HC NESTLE SENEGAL ETP 2411775686</t>
  </si>
  <si>
    <t>BY HC AGRIRESINDO ETP 2411775593</t>
  </si>
  <si>
    <t>BY HC L BIODIVERSITY EBP 2411775692</t>
  </si>
  <si>
    <t>BY HC HOME CHAIN EBP 2411775685</t>
  </si>
  <si>
    <t>BY HC TALENT FAREAST EBP 2411775767</t>
  </si>
  <si>
    <t>BY HC FALCON EBP 2411775580</t>
  </si>
  <si>
    <t>BY HC SHENGRONG EBP 2411775769</t>
  </si>
  <si>
    <t>BY HC NESTLE SENEGAL ETP 2411775958</t>
  </si>
  <si>
    <t>BY HC SHENGRONG EBP 2411775780</t>
  </si>
  <si>
    <t>BY HC THAI GLICO EBP 2411775960</t>
  </si>
  <si>
    <t>BY HC TALENT FAREAST EBP 2411775973</t>
  </si>
  <si>
    <t>BY HC SHENGRONG EBP 2411775963</t>
  </si>
  <si>
    <t>BY HC NESTLE SENEGAL ETP 2411775969</t>
  </si>
  <si>
    <t>BY HC PIKKO DOOEL EBP 2411776054</t>
  </si>
  <si>
    <t>BY HC SHENGRONG EBP 2411775597</t>
  </si>
  <si>
    <t>BY HC HOME CHAIN EBP 2411775614</t>
  </si>
  <si>
    <t>BY HC HOME CHAIN EBP 2411775613</t>
  </si>
  <si>
    <t>BANK IN TRANSIT</t>
  </si>
  <si>
    <t>PETTY CASH RUNGKUT SURABAYA PERIODE 01-11 JULI 25</t>
  </si>
  <si>
    <t>16.07.2025</t>
  </si>
  <si>
    <t>BY PEMB EXHAUST FAN, TIMP FLOOR MARKING</t>
  </si>
  <si>
    <t>BY PEMB WIPER SPRING U/ MOTOR POMPA F204</t>
  </si>
  <si>
    <t>BIAYA MESS</t>
  </si>
  <si>
    <t>BY PDAM MESS PKTJAND JULI 2025</t>
  </si>
  <si>
    <t>BY CETAK POSTER, BANNER, TAGGING PRP</t>
  </si>
  <si>
    <t>BY OLAHRAGA 11/07/2025</t>
  </si>
  <si>
    <t>BY SNACK KUNJUNGAN SLF</t>
  </si>
  <si>
    <t>UMUM &amp; ADMIN LAIN</t>
  </si>
  <si>
    <t>BY PEMB MATERAI</t>
  </si>
  <si>
    <t>BY PEMB KUAS U/ CAT</t>
  </si>
  <si>
    <t>BY HC SG OILSEED EBP 2411776092</t>
  </si>
  <si>
    <t>BY HC SG OILSEED EBP 2411776096</t>
  </si>
  <si>
    <t>BY HC MONDELEZ EBP 2411776205</t>
  </si>
  <si>
    <t>BY HC THAI GLICO EBP 2411776134</t>
  </si>
  <si>
    <t>BY PEMB BATA RINGAN</t>
  </si>
  <si>
    <t>BY TRANSPORTASI BBM 10-14/07/2025</t>
  </si>
  <si>
    <t>BY HC NESTLE PAKISTAN ETP 2411776191</t>
  </si>
  <si>
    <t>BY HC CHEMI C EBP 2411776192</t>
  </si>
  <si>
    <t>BY HC CHEMI S EBP 2411776193</t>
  </si>
  <si>
    <t>BY HC NESTLE PAKISTAN ETP 2411776206</t>
  </si>
  <si>
    <t>BY HC SG OILSEED EBP 2411776231</t>
  </si>
  <si>
    <t>17.07.2025</t>
  </si>
  <si>
    <t>PERALATAN KANTOR</t>
  </si>
  <si>
    <t>BY PEMB TEMPAT SAMPAH, RAK SEPATU, DOUBLE TAPE</t>
  </si>
  <si>
    <t>BY TRANSPORTASI BBM 14-16/07/2025</t>
  </si>
  <si>
    <t>BY PEMB SEALANT, KERTAS GOSOK, BOLT CUTTER</t>
  </si>
  <si>
    <t>BY PEMB SPRING MOUNTING DUDUK LOCAL U/ AHU</t>
  </si>
  <si>
    <t>BY PEMB BOTOL DURAN U/ SAMPLE NESTLE</t>
  </si>
  <si>
    <t>BY PEMB BLOOD PRESSURE MONITOR, LIDOCAIN</t>
  </si>
  <si>
    <t>ORGANISASI PROF. NASIONAL</t>
  </si>
  <si>
    <t>BY IURAN ANGGOTA APINDO JATIM MEI &amp; JUNI 2025</t>
  </si>
  <si>
    <t>BY KONSUMSI SC MEETING 17/07/2025</t>
  </si>
  <si>
    <t>25.07.2025</t>
  </si>
  <si>
    <t>571/PPC/VII/2025</t>
  </si>
  <si>
    <t>BY PEMB NIPPLE SELANG PVC, ELBOW SS, DLL</t>
  </si>
  <si>
    <t>577/PPC/VII/2025</t>
  </si>
  <si>
    <t>BY PEMB TANGGA LIPAT TELESKOPIK</t>
  </si>
  <si>
    <t>587/PPC/VII/2025</t>
  </si>
  <si>
    <t>BY HC AST PVT EBP 2411776266</t>
  </si>
  <si>
    <t>BY HC SG OILSEED EBP 2411775747</t>
  </si>
  <si>
    <t>BY HC SG OILSEED EBP 2411776233</t>
  </si>
  <si>
    <t>BY COO KADIN AST PVT EBP 2411776266</t>
  </si>
  <si>
    <t>592/PPC/VII/2025</t>
  </si>
  <si>
    <t>BY SENSORY KFC, McD</t>
  </si>
  <si>
    <t>BY PEMB SLING</t>
  </si>
  <si>
    <t>BY ONGKIR SAMPLE KE QUALIS</t>
  </si>
  <si>
    <t>593/PPC/VII/2025</t>
  </si>
  <si>
    <t>BY HC SG OILSEED EBP 2411775745</t>
  </si>
  <si>
    <t>BY HC SG OILSEED EBP 2411776321</t>
  </si>
  <si>
    <t>BY HC SG OILSEED EBP 2411776320</t>
  </si>
  <si>
    <t>594/PPC/VII/2025</t>
  </si>
  <si>
    <t>BY ATCQ McD, SENSORY KFC</t>
  </si>
  <si>
    <t>BY ONGKIR SAMPLE KE SGS</t>
  </si>
  <si>
    <t>BY SIKAT BOTOL GLASSWARE</t>
  </si>
  <si>
    <t>595/PPC/VII/2025</t>
  </si>
  <si>
    <t>BY KONSUMSI PENANDATANGANAN PERPANJANGAN WAKTU PKB</t>
  </si>
  <si>
    <t>596/PPC/VII/2025</t>
  </si>
  <si>
    <t>BY HC SUICHANGLONG EBP 2411776235</t>
  </si>
  <si>
    <t>BY HC SUICHANGLONG EBP 2411776236</t>
  </si>
  <si>
    <t>BY HC SG OILSEED EBP 2411776464</t>
  </si>
  <si>
    <t>BY HC SUICHANGLONG EBP 2411776456</t>
  </si>
  <si>
    <t>BY HC SG OILSEED EBP 2411776462</t>
  </si>
  <si>
    <t>597/PPC/VII/2025</t>
  </si>
  <si>
    <t>BY OLAHRAGA 18/07/2025</t>
  </si>
  <si>
    <t>598/PPC/VII/2025</t>
  </si>
  <si>
    <t>BY TRANSPORTASI BBM 16-22/07/2025</t>
  </si>
  <si>
    <t>599/PPC/VII/2025</t>
  </si>
  <si>
    <t>BY PEMB OR VITON CHILLING CHEMTECH 3.1</t>
  </si>
  <si>
    <t>600/PPC/VII/2025</t>
  </si>
  <si>
    <t>BY HC SG OILSEED EBP 2411776232</t>
  </si>
  <si>
    <t>BY HC SG OILSEED EBP 2411776366</t>
  </si>
  <si>
    <t>BY HC SG OILSEED EBP 2411776234</t>
  </si>
  <si>
    <t>BY HC SG OILSEED EBP 2411776322, 2411776323</t>
  </si>
  <si>
    <t>BY HC SUICHANGLONG EBP 2411776325</t>
  </si>
  <si>
    <t>BY HC SG OILSEED EBP 2411776227</t>
  </si>
  <si>
    <t>BY HC SG OILSEED EBP 2411775748</t>
  </si>
  <si>
    <t>BY HC SG OILSEED EBP 2411776098</t>
  </si>
  <si>
    <t>BY HC SG OILSEED EBP 2411776230</t>
  </si>
  <si>
    <t>601/PPC/VII/2025</t>
  </si>
  <si>
    <t>BY HC NESTLE AUSTRALIA ETP 2411776271</t>
  </si>
  <si>
    <t>BY HC NESTLE PNG ETP 2411776276</t>
  </si>
  <si>
    <t>BY HC NESTLE PNG ETP 2411776277</t>
  </si>
  <si>
    <t>ADMIN &amp; DOKUMEN EKSPOR</t>
  </si>
  <si>
    <t>BY LEVY &amp;BEA KELUAR SAMPLE RBDOLN SINGAPORE</t>
  </si>
  <si>
    <t>604/PPC/VII/2025</t>
  </si>
  <si>
    <t>BY STICKER VINYL, PAPER ALBATROS, DLL</t>
  </si>
  <si>
    <t>BY KANTONG PLASTIK SAMPAH HITAM, MUR</t>
  </si>
  <si>
    <t>605/PPC/VII/2025</t>
  </si>
  <si>
    <t>BY HC HAWK TRADING EBP 2411776457</t>
  </si>
  <si>
    <t>606/PPC/VII/2025</t>
  </si>
  <si>
    <t>BY HC POLIVA ETP 2411776152</t>
  </si>
  <si>
    <t>607/PPC/VII/2025</t>
  </si>
  <si>
    <t>BY HC SG OILSEED EBP 2411776237</t>
  </si>
  <si>
    <t>BY HC SG OILSEED EBP 2411776463</t>
  </si>
  <si>
    <t>BY HC MONDELEZ EBP 2411776519</t>
  </si>
  <si>
    <t>608/PPC/VII/2025</t>
  </si>
  <si>
    <t>BY PEMB CATRIDGE HEATER, NAPLE DN SS, SELANG</t>
  </si>
  <si>
    <t>609/PPC/VII/2025</t>
  </si>
  <si>
    <t>BY TRANSPORTASI BBM 22-24/07/2025</t>
  </si>
  <si>
    <t>610/PPC/VII/2025</t>
  </si>
  <si>
    <t>BY PEMB CASH BOX U/ KASIR</t>
  </si>
  <si>
    <t>611/PPC/VII/2025</t>
  </si>
  <si>
    <t>BY KONSUMSI KUNJUNGAN KOMISARIS &amp; KOMITE AUDIT</t>
  </si>
  <si>
    <t>612/PPC/VII/2025</t>
  </si>
  <si>
    <t>BY PEMB KACA FILM, DOP REM MOBIL INNOVA PUTIH</t>
  </si>
  <si>
    <t>28.07.2025</t>
  </si>
  <si>
    <t>614/PPC/VII/2025</t>
  </si>
  <si>
    <t>BY KONSUMSI MEETING 23/07/2025</t>
  </si>
  <si>
    <t>615/PPC/VII/2025</t>
  </si>
  <si>
    <t>BY TRANSPORTASI BBM 24-28/07/2025</t>
  </si>
  <si>
    <t>616/PPC/VII/2025</t>
  </si>
  <si>
    <t>603/PPC/VII/2025</t>
  </si>
  <si>
    <t>BY OLAHRAGA DANCE FIT 25 JULI 2025</t>
  </si>
  <si>
    <t>BY KONSUMSI 551 25 JUI 2025</t>
  </si>
  <si>
    <t>602/PPC/VII/2025</t>
  </si>
  <si>
    <t>BY PEMB MATERAI U/ BAG. ADM EXPORT</t>
  </si>
  <si>
    <t>573/PPC/VII/2025</t>
  </si>
  <si>
    <t>BY LEVY &amp; BEA KELUAR SAMPLE</t>
  </si>
  <si>
    <t>29.07.2025</t>
  </si>
  <si>
    <t>617/PPC/VII/2025</t>
  </si>
  <si>
    <t>BY PEMBELIAN TC OVAL, NYM supreme utk kerapian kab</t>
  </si>
  <si>
    <t>528/PPV/VII/2025</t>
  </si>
  <si>
    <t>BY PEMBELIAN B/M TWP SS</t>
  </si>
  <si>
    <t>UANG MUKA BIAYA</t>
  </si>
  <si>
    <t>BY FLANGE BADJA KARYA T FP 04002500197911271</t>
  </si>
  <si>
    <t>PETTY CASH RUNGKUT SURABAYA PERIODE 15-29 JULI 25</t>
  </si>
  <si>
    <t>31.07.2025</t>
  </si>
  <si>
    <t>10000001 - Valuation on 20250731</t>
  </si>
  <si>
    <t>01.08.2025</t>
  </si>
  <si>
    <t>10000001 - Valuation on 20250731 Reversal</t>
  </si>
  <si>
    <t>05.08.2025</t>
  </si>
  <si>
    <t>04.08.2025</t>
  </si>
  <si>
    <t>620/PPC/VII/2025</t>
  </si>
  <si>
    <t>BY IURAN RT BULANAN 8 UNIT, PDK TJANDRA INDAH JUL</t>
  </si>
  <si>
    <t>613/PPC/VII/2025</t>
  </si>
  <si>
    <t>BY HC SHENGRONG EBP/0725/0486-2411776274</t>
  </si>
  <si>
    <t>BY HC HOME CHAIN EBP/0725/0488-2411776293</t>
  </si>
  <si>
    <t>BY HC NESTLE SENEGAL ETP/0725/0140/2411776136</t>
  </si>
  <si>
    <t>BY HC NESTLE SENEGAL ETP/0725/0140/2411776137</t>
  </si>
  <si>
    <t>BY HC HOME CHAIN EBP/0625/0459-2411776133</t>
  </si>
  <si>
    <t>BY HC HOCHEE EBP/0625/0462-2411776138</t>
  </si>
  <si>
    <t>BY HC RAMFOOD EBP/0625/0453-2411776116</t>
  </si>
  <si>
    <t>BY HC RAMFOOD EBP/0625/0454-2411776117</t>
  </si>
  <si>
    <t>BY REPROSES HC HOME CHAIN EBP/0625/0454-2411776133</t>
  </si>
  <si>
    <t>BY HC SUNNY EBP/0725/0485-2411776270</t>
  </si>
  <si>
    <t>622/PPC/VII/2025</t>
  </si>
  <si>
    <t>BY TRANSPORTASI LOKAL 300725</t>
  </si>
  <si>
    <t>BY BAHAN BAKAR 300725</t>
  </si>
  <si>
    <t>623/PPC/VII/2025</t>
  </si>
  <si>
    <t>BY MAKANAN DAN MINUAN 290725</t>
  </si>
  <si>
    <t>624/PPC/VII/2025</t>
  </si>
  <si>
    <t>BY TRANSPORTASI LOKAL 290725</t>
  </si>
  <si>
    <t>BY FOTOCOPY 290725</t>
  </si>
  <si>
    <t>625/PPC/VII/2025</t>
  </si>
  <si>
    <t>BY TRANSPORTASI LOKAL 280725</t>
  </si>
  <si>
    <t>618/PPC/VII/2025</t>
  </si>
  <si>
    <t>BY PEMBELIAN PERALATAN KANTOR 280725</t>
  </si>
  <si>
    <t>619/PPC/VII/2025</t>
  </si>
  <si>
    <t>BY COO KADIN EBP/3324/0725/000506-2411776389</t>
  </si>
  <si>
    <t>BY COO KADIN EBP/3324/0725/000506-2411776390</t>
  </si>
  <si>
    <t>BY COO KADIN EBP/3324/0725/000506-2411776391</t>
  </si>
  <si>
    <t>BY COO KADIN EBP/3324/0725/000509-2411776392</t>
  </si>
  <si>
    <t>BY COO KADIN EBP/3324/0725/000509-2411776393</t>
  </si>
  <si>
    <t>BY COO KADIN EBP/3324/0725/000509-2411776394</t>
  </si>
  <si>
    <t>BY HC BPOM EBP/3324/0725/000506-2411776389</t>
  </si>
  <si>
    <t>BY HC BPOM EBP/3324/0725/000506-2411776390</t>
  </si>
  <si>
    <t>BY HC BPOM EBP/3324/0725/000506-2411776391</t>
  </si>
  <si>
    <t>BY HC BPOM EBP/3324/0725/000509-2411776392</t>
  </si>
  <si>
    <t>BY HC BPOM EBP/3324/0725/000509-2411776393</t>
  </si>
  <si>
    <t>BY HC BPOM EBP/3324/0725/000509-2411776394</t>
  </si>
  <si>
    <t>BY HC EBP/0625/0461-2411776135 HOCHEE</t>
  </si>
  <si>
    <t>621/PPC/VII/2025</t>
  </si>
  <si>
    <t>BY HC BPOM EBP/000529-2411776511 SUICHANGLONG</t>
  </si>
  <si>
    <t>BY HC BPOM EBP/000530-2411776512 SHANGHAI DOILLY</t>
  </si>
  <si>
    <t>BY HC BPOM EBP/000525-2411776506 SG OILSEED</t>
  </si>
  <si>
    <t>BY HC BPOM EBP/000546-2411776587 SG OILSEED</t>
  </si>
  <si>
    <t>626/PPC/VIII/25</t>
  </si>
  <si>
    <t>BY HC BPOM EBP/528-2411776510 SG OILSEED</t>
  </si>
  <si>
    <t>BY HC BPOM EBP/527-2411776508 SG OILSEED</t>
  </si>
  <si>
    <t>627/PPC/VIII/25</t>
  </si>
  <si>
    <t>BY HC ETP/000148-2411776468 NESTLE AUSTRALIA</t>
  </si>
  <si>
    <t>BY HC ETP/000512-2411776408 NESTLE EGYPT</t>
  </si>
  <si>
    <t>628/PPC/VIII/25</t>
  </si>
  <si>
    <t>BY PEMBELIAN KONSUMSI MEETING QFS 240725</t>
  </si>
  <si>
    <t>629/PPC/VIII/25</t>
  </si>
  <si>
    <t>BY PEMBELIAN SPRAY CAT GREASE GUN 310725</t>
  </si>
  <si>
    <t>630/PPC/VIII/25</t>
  </si>
  <si>
    <t>SUMBANGAN SOSIAL</t>
  </si>
  <si>
    <t>BY SUMBANGAN SOSIAL 240725</t>
  </si>
  <si>
    <t>631/PPC/VIII/25</t>
  </si>
  <si>
    <t>BY BAHAN BAKAR 010825</t>
  </si>
  <si>
    <t>BY TRANSPORT LOKAL 010825</t>
  </si>
  <si>
    <t>633/PPC/VIII/25</t>
  </si>
  <si>
    <t>BY PEMELIHARAAN KENDARAAN 010825</t>
  </si>
  <si>
    <t>639/PPC/VIII/25</t>
  </si>
  <si>
    <t>BY MAKANAN DAN MINUAN 310725</t>
  </si>
  <si>
    <t>632/PPC/VIII/25</t>
  </si>
  <si>
    <t>BY PEMBELIAN KABEL HDMI 010825</t>
  </si>
  <si>
    <t>640/PPC/VIII/25</t>
  </si>
  <si>
    <t>BY PYLOX, ISOLASI, S.KONTAK, PASTA SOLDER 310725</t>
  </si>
  <si>
    <t>BY BRACKET TV VIPER 32-75 310725</t>
  </si>
  <si>
    <t>06.08.2025</t>
  </si>
  <si>
    <t>641/PPC/VIII/25</t>
  </si>
  <si>
    <t>By HC ETP/3324/0725/000146-2411776452 NESTLE PNG</t>
  </si>
  <si>
    <t>By HC ETP/3324/0725/000149-2411776470 NESTLE PNG</t>
  </si>
  <si>
    <t>BY BEA SAPLE US 35/QA-QM/0725;640250702476508 levy</t>
  </si>
  <si>
    <t>BY BEA DAN LEVY 640250702477056;994025072477060</t>
  </si>
  <si>
    <t>634/PPC/VIII/25</t>
  </si>
  <si>
    <t>BY OLAHRAGA CARDIO BOXING 010825</t>
  </si>
  <si>
    <t>637/PPC/VIII/25</t>
  </si>
  <si>
    <t>BY HC BPOM EBP/3324/0725/000550-2411776611 OILSEED</t>
  </si>
  <si>
    <t>BY HC BPOM EBP/3324/0725/000545-2411776586 OILSEED</t>
  </si>
  <si>
    <t>BY HC BPOM EBP/3324/0725/000559-2411776633 OILSEED</t>
  </si>
  <si>
    <t>BY HC BPOM EBP/3324/0725/000559-2411776683 fae</t>
  </si>
  <si>
    <t>BY HC EBP/3324/0725/000547-2411776593 SABEANAT</t>
  </si>
  <si>
    <t>BY HC EBP/3324/000540-2411776577 ART CHEMICALS</t>
  </si>
  <si>
    <t>BY HC EBP/3324/000541-2411776578 ART CHEMICALS</t>
  </si>
  <si>
    <t>643/PPC/VIII/25</t>
  </si>
  <si>
    <t>BY PEMBELIAN LED STRIP, FRONTLITE, LAMPU MERAH 050</t>
  </si>
  <si>
    <t>642/PPC/VIII/25</t>
  </si>
  <si>
    <t>BY BAHAN BAKAR 050825</t>
  </si>
  <si>
    <t>BY TRANSPORT LOKAL 050825</t>
  </si>
  <si>
    <t>644/PPC/VIII/25</t>
  </si>
  <si>
    <t>BY PPJ GENSET PEMAKAIAN JUL 25</t>
  </si>
  <si>
    <t>13.08.2025</t>
  </si>
  <si>
    <t>638/PPC/VIII/25</t>
  </si>
  <si>
    <t>BY HC ART CHEMICALS EBP 2411776006</t>
  </si>
  <si>
    <t>BY HC GREEN LAND EBP 2411776177</t>
  </si>
  <si>
    <t>BY HC SABEANAT EBP 2411776091</t>
  </si>
  <si>
    <t>BY HC SABEANAT EBP 2411776109</t>
  </si>
  <si>
    <t>BY HC SABEANAT EBP 2411776113</t>
  </si>
  <si>
    <t>BY HC SABEANAT EBP 2411776114</t>
  </si>
  <si>
    <t>BY HC HAWK TRADING EBP 2411776460</t>
  </si>
  <si>
    <t>635/PPC/VIII/25</t>
  </si>
  <si>
    <t>636/PPC/VIII/25</t>
  </si>
  <si>
    <t>646/PPC/VIII/25</t>
  </si>
  <si>
    <t>BY HC NESTLE GHANA ETP 2411776471</t>
  </si>
  <si>
    <t>BY HC NESTLE PNG ETP 2411776588</t>
  </si>
  <si>
    <t>BY HC NESTLE PNG ETP 2411776589</t>
  </si>
  <si>
    <t>647/PPC/VIII/25</t>
  </si>
  <si>
    <t>BY KONSUMSI KUNJUNGAN TAMU PT ESM</t>
  </si>
  <si>
    <t>648/PPC/VIII/25</t>
  </si>
  <si>
    <t>BY FOTOCOPY &amp; JILID LAP.RKL RPL RUNGKUT PERAK</t>
  </si>
  <si>
    <t>650/PPC/VIII/25</t>
  </si>
  <si>
    <t>BY HC GENAS GLOBAL EBP 2411776575</t>
  </si>
  <si>
    <t>BY HC GENAS GLOBAL EBP 2411776667</t>
  </si>
  <si>
    <t>651/PPC/VIII/25</t>
  </si>
  <si>
    <t>BY PEMB ENERGIZER, AFUR BAK CUCI, SEALANT, DLL</t>
  </si>
  <si>
    <t>652/PPC/VIII/25</t>
  </si>
  <si>
    <t>BY TRANSPORTASI BBM 05-08/08/2025</t>
  </si>
  <si>
    <t>653/PPC/VIII/25</t>
  </si>
  <si>
    <t>BY HC NESTLE GHANA ETP 2411776471 - REPROSES</t>
  </si>
  <si>
    <t>BY HC RAM FOOD EBP 2411776539</t>
  </si>
  <si>
    <t>BY HC RAM FOOD EBP 2411776540</t>
  </si>
  <si>
    <t>649/PPC/VIII/25</t>
  </si>
  <si>
    <t>BY OLAHRAGA 08/08/2025</t>
  </si>
  <si>
    <t>658/PPC/VIII/25</t>
  </si>
  <si>
    <t>BY HC HOCHEE EBP 2411776769</t>
  </si>
  <si>
    <t>BY HC RAM FOOD EBP 2411776769</t>
  </si>
  <si>
    <t>660/PPC/VIII/25</t>
  </si>
  <si>
    <t>BY PEMB BOTOL SAMPLE DURAN</t>
  </si>
  <si>
    <t>661/PPC/VIII/25</t>
  </si>
  <si>
    <t>BY PEMB BOTOL SAMPLE DURAN 500mL &amp; 1L</t>
  </si>
  <si>
    <t>662/PPC/VIII/25</t>
  </si>
  <si>
    <t>BY PEMB BOTOL SAMPLE DURAN 500mL</t>
  </si>
  <si>
    <t>663/PPC/VIII/25</t>
  </si>
  <si>
    <t>KIRIM DOKUMEN/SURAT</t>
  </si>
  <si>
    <t>BY ONGKIR SAMPLE KE DANONE 15/07, 29/07</t>
  </si>
  <si>
    <t>BY MKN DNS LUAR PERAK AUDIT PRP</t>
  </si>
  <si>
    <t>BY PEMB PUSH ON SENTER, KAPI</t>
  </si>
  <si>
    <t>664/PPC/VIII/25</t>
  </si>
  <si>
    <t>665/PPC/VIII/25</t>
  </si>
  <si>
    <t>666/PPC/VIII/25</t>
  </si>
  <si>
    <t>BY PEMB CONVERTER VGA TO HDMI, TALI TIANG BENDERA</t>
  </si>
  <si>
    <t>668/PPC/VIII/25</t>
  </si>
  <si>
    <t>BY TRANSPORTASI BBM 08-11/08/2025</t>
  </si>
  <si>
    <t>659/PPC/VIII/25</t>
  </si>
  <si>
    <t>BY PDAM MESS AGUSTUS 2025</t>
  </si>
  <si>
    <t>654/PPC/VIII/25</t>
  </si>
  <si>
    <t>BY ADM, DOC ART CHEMICALS EBP 2411776577</t>
  </si>
  <si>
    <t>669/PPC/VIII/25</t>
  </si>
  <si>
    <t>BY HC RAM FOOD EBP 2411776538</t>
  </si>
  <si>
    <t>670/PPC/VIII/25</t>
  </si>
  <si>
    <t>BY HC XIAMEN AOZHI EBP 2411776696</t>
  </si>
  <si>
    <t>BY HC SG OILSEED EBP 2411776719</t>
  </si>
  <si>
    <t>BY HC NESTLE SENEGAL ETP 2411776742, 776743</t>
  </si>
  <si>
    <t>BY HC FUJIAN NANAN EBP 2411776774</t>
  </si>
  <si>
    <t>BY HC FUJIAN NANAN EBP 2411776822</t>
  </si>
  <si>
    <t>BY HC FUJIAN NANAN EBP 2411776821</t>
  </si>
  <si>
    <t>656/PPC/VIII/25</t>
  </si>
  <si>
    <t>BY PEMB WM 1 BS</t>
  </si>
  <si>
    <t>14.08.2025</t>
  </si>
  <si>
    <t>671/PPC/VIII/25</t>
  </si>
  <si>
    <t>BY HC SG OILSEED EBP 2411776583</t>
  </si>
  <si>
    <t>BY HC SG OILSEED EBP 2411776694</t>
  </si>
  <si>
    <t>BY HC SG OILSEED EBP 2411776672</t>
  </si>
  <si>
    <t>BY HC SG OILSEED EBP 2411776695</t>
  </si>
  <si>
    <t>BY HC SUICHANGLONG EBP 2411776461</t>
  </si>
  <si>
    <t>BY HC SG OILSEED EBP 2411776505</t>
  </si>
  <si>
    <t>BY HC SG OILSEED EBP 2411776610</t>
  </si>
  <si>
    <t>BY HC SUICHANGLONG EBP 2411776585</t>
  </si>
  <si>
    <t>BY HC SG OILSEED EBP 2411776584</t>
  </si>
  <si>
    <t>BY HC SG OILSEED EBP 2411776507</t>
  </si>
  <si>
    <t>BY HC SG OILSEED EBP 2411776453</t>
  </si>
  <si>
    <t>BY HC SAMPLE FILMA SHT 39-43 GOLDEN ARCHES</t>
  </si>
  <si>
    <t>BY LEVY &amp; BK SAMPLE KE GERMAN &amp; VIETNAM</t>
  </si>
  <si>
    <t>672/PPC/VIII/25</t>
  </si>
  <si>
    <t>BY PEMB KUNCI LOKER, CUSTOM MAP, SARUNG TANGAN,DLL</t>
  </si>
  <si>
    <t>657/PPC/VIII/25</t>
  </si>
  <si>
    <t>BY HC NESTLE PAKISTAN ETP 2411776713</t>
  </si>
  <si>
    <t>BY HC SG OILSEED EBP 2411776776</t>
  </si>
  <si>
    <t>BY HC SG OILSEED EBP 2411776797,798</t>
  </si>
  <si>
    <t>BY HC SG OILSEED EBP 2411776820</t>
  </si>
  <si>
    <t>15.08.2025</t>
  </si>
  <si>
    <t>676/PPC/VIII/25</t>
  </si>
  <si>
    <t>BY USR CONVERTER KOMP, KABLEL LAS U/ LAS LISTRIK</t>
  </si>
  <si>
    <t>677/PPC/VIII/25</t>
  </si>
  <si>
    <t>BY TRANSPORTASI BBM 11-14/08/2025</t>
  </si>
  <si>
    <t>655/PPC/VIII/25</t>
  </si>
  <si>
    <t>BY COO KADIN &amp; HC GREENS L EBP 2411776571</t>
  </si>
  <si>
    <t>BY COO KADIN &amp; HC AL JAZIRA EBP 2411776576</t>
  </si>
  <si>
    <t>BY COO KADIN &amp; HC ASSUDAMAL EBP 2411776652</t>
  </si>
  <si>
    <t>673/PPC/VIII/25</t>
  </si>
  <si>
    <t>BY PEMB PIPA AIR U/ RAILING AREA WWTP</t>
  </si>
  <si>
    <t>674/PPC/VIII/25</t>
  </si>
  <si>
    <t>BY HC NESTLE GHANA ETP 2411776860</t>
  </si>
  <si>
    <t>BY HC NESTLE PNG ETP 2411776839</t>
  </si>
  <si>
    <t>BY HC NESTLE PNG ETP 2411776840</t>
  </si>
  <si>
    <t>675/PPC/VIII/25</t>
  </si>
  <si>
    <t>BY IURAN RT MESS PONDOK TJANDRA AGUSTUS 2025</t>
  </si>
  <si>
    <t>19.08.2025</t>
  </si>
  <si>
    <t>679/PPC/VIII/25</t>
  </si>
  <si>
    <t>BY TRANSPORTASI BBM 14-15/08/2025</t>
  </si>
  <si>
    <t>681/PPC/VIII/25</t>
  </si>
  <si>
    <t>BY PEMB OIL SEAL PERBAIKAN CHILLING CHEMTECH</t>
  </si>
  <si>
    <t>682/PPC/VIII/25</t>
  </si>
  <si>
    <t>BY CETAK TAGGING PRP</t>
  </si>
  <si>
    <t>20.08.2025</t>
  </si>
  <si>
    <t>684/PPC/VIII/25</t>
  </si>
  <si>
    <t>BY TRANSPORTASI BBM 15-19/08/2025</t>
  </si>
  <si>
    <t>685/PPC/VIII/25</t>
  </si>
  <si>
    <t>BY KONSUMSI INDIVIDUAL PRESENT.BMDP FINANCE 12/08</t>
  </si>
  <si>
    <t>645/PPC/VIII/25</t>
  </si>
  <si>
    <t>BY PEMB SKUN, CONNECTOR LIGHT, NIPLE DRAT,DLL</t>
  </si>
  <si>
    <t>BY STRAINER VALVE AMARTA T FP:04002500243246107</t>
  </si>
  <si>
    <t>667/PPC/VIII/25</t>
  </si>
  <si>
    <t>BY CHECK VALVE AMARTA T FP:04002500243246108</t>
  </si>
  <si>
    <t>PETTY CASH RUNGKUT SURABAYA PERIODE 01-20 AGUST 25</t>
  </si>
  <si>
    <t>31.08.2025</t>
  </si>
  <si>
    <t>10000001 - Valuation on 20250831</t>
  </si>
  <si>
    <t>01.09.2025</t>
  </si>
  <si>
    <t>10000001 - Valuation on 20250831 Reversal</t>
  </si>
  <si>
    <t>03.09.2025</t>
  </si>
  <si>
    <t>02.09.2025</t>
  </si>
  <si>
    <t>678/PPC/VIII/25</t>
  </si>
  <si>
    <t>BY Olahraga cardio boxing 15 Agustus'25</t>
  </si>
  <si>
    <t>690/PPC/VIII/25</t>
  </si>
  <si>
    <t>BY HC SG OILSEED EBP/0825/0596-241177690</t>
  </si>
  <si>
    <t>BY HC XIAMEN AOZHI EBP/0825/0436-2411776918</t>
  </si>
  <si>
    <t>BY HC HORGOS EBP/0825/0588-2411776862</t>
  </si>
  <si>
    <t>BY HC FUJIAN NANAN EBP/0825/0580-2411776818</t>
  </si>
  <si>
    <t>BY HC HORGOS EBP/0825/0620-2411776989</t>
  </si>
  <si>
    <t>692/PPC/VIII/25</t>
  </si>
  <si>
    <t>BY HC HORGOS BAIPENG 2411776885</t>
  </si>
  <si>
    <t>BY HC HORGOS BAIPENG 2411776884</t>
  </si>
  <si>
    <t>BY HC SG OIL SEED 2411776891</t>
  </si>
  <si>
    <t>BY HC HORGOS BAIPENG 2411776863</t>
  </si>
  <si>
    <t>BY HC GUANGDONG SHENGRONG 2411776775</t>
  </si>
  <si>
    <t>BY HC SG OILSEED 2411776838</t>
  </si>
  <si>
    <t>BY HC SUPER POWER 2411776684</t>
  </si>
  <si>
    <t>BY HC SHENGRONG 2411776810</t>
  </si>
  <si>
    <t>BY HC GUANGDONG SHENGRONG 2411776513</t>
  </si>
  <si>
    <t>BY LEVY &amp; BK SAMPLE VIETNAM &amp; GERMAN</t>
  </si>
  <si>
    <t>BY PEMB. MAP</t>
  </si>
  <si>
    <t>693/PPC/VIII/25</t>
  </si>
  <si>
    <t>BY PEMB. BAHAN BAKAR</t>
  </si>
  <si>
    <t>BY PARKIR DAN TOL</t>
  </si>
  <si>
    <t>688/PPC/VIII/25</t>
  </si>
  <si>
    <t>BY HC HORGOS BAIPENG 2411776901</t>
  </si>
  <si>
    <t>BY HC HORGOS BAIPENG 2411776902</t>
  </si>
  <si>
    <t>BY HC HORGOS BAIPENG 2411776861</t>
  </si>
  <si>
    <t>BY HC HORGOS BAIPENG 2411776867</t>
  </si>
  <si>
    <t>689/PPC/VIII/25</t>
  </si>
  <si>
    <t>BY HC L BIODIVERSITY 2411776631</t>
  </si>
  <si>
    <t>BY HC SHENGRONG-AROMA BAY 2411776294, 95</t>
  </si>
  <si>
    <t>BY HC BEST BASE 2411776812</t>
  </si>
  <si>
    <t>BY HC GOLD VIET 2411776813</t>
  </si>
  <si>
    <t>BY HC HOME CHAIN 2411776296</t>
  </si>
  <si>
    <t>BY HC HOCHEE 2411776767</t>
  </si>
  <si>
    <t>BY HC SHENGRONG-AROMA BAY 2411776809</t>
  </si>
  <si>
    <t>BY HC PIKKO DOOEL 2411776669</t>
  </si>
  <si>
    <t>696/PPC/VIII/25</t>
  </si>
  <si>
    <t>BY PEMB. KONSUMSI MEETING BULKING PERAK</t>
  </si>
  <si>
    <t>695/PPC/VIII/25</t>
  </si>
  <si>
    <t>BY HC SG OILSEED 2411776944</t>
  </si>
  <si>
    <t>BY HC ART CHEMICALS 2411776896</t>
  </si>
  <si>
    <t>BY HC AL ISLAM 2411776987</t>
  </si>
  <si>
    <t>BY COO AL ISLAM 2411776987</t>
  </si>
  <si>
    <t>698/PPC/VIII/25</t>
  </si>
  <si>
    <t>BY BAHAN BAKAR PERIODE 21-25 AGST 25</t>
  </si>
  <si>
    <t>BY TOL DAN PARKIR PERIODE 21-25 AGST 25</t>
  </si>
  <si>
    <t>700/PPC/VIII/25</t>
  </si>
  <si>
    <t>BY PARKIR DAN FOTOCOPY PERIODE 01-25 AGST 25</t>
  </si>
  <si>
    <t>704/PPC/VIII/25</t>
  </si>
  <si>
    <t>BY HC FUJIAN NANAN 2411776818</t>
  </si>
  <si>
    <t>BY HC HORGOS 2411776998</t>
  </si>
  <si>
    <t>BY HC HORGOS 2411777036</t>
  </si>
  <si>
    <t>705/PPC/VIII/25</t>
  </si>
  <si>
    <t>BY HC HOME CHAIN 2411777007</t>
  </si>
  <si>
    <t>707/PPC/VIII/25</t>
  </si>
  <si>
    <t>BY PARKIR &amp; FOTOCOPY PERIODE 29 JUL-25 AGS 25</t>
  </si>
  <si>
    <t>706/PPC/VIII/25</t>
  </si>
  <si>
    <t>BY HC SHENGRONG ISUN 2411776976</t>
  </si>
  <si>
    <t>BY HC FALCON 2411776833</t>
  </si>
  <si>
    <t>BY HC HOME CHAIN 2411776923</t>
  </si>
  <si>
    <t>BY HC SHENGRONG SANLIAN 2411776816</t>
  </si>
  <si>
    <t>BY HC SHENGRONG GENIE 2411776817</t>
  </si>
  <si>
    <t>BY HC CSH BEVERAGES 2411776921</t>
  </si>
  <si>
    <t>BY HC HOCHEE 2411776967</t>
  </si>
  <si>
    <t>BY HC HOCHEE 2411776968</t>
  </si>
  <si>
    <t>715/PPC/IX/25</t>
  </si>
  <si>
    <t>BY MAKAN SIANG ENGINEER MESIN THIMONNIER</t>
  </si>
  <si>
    <t>716/PPC/IX/25</t>
  </si>
  <si>
    <t>BY PEMB. BAHAN BAKAR PERIODE 25-29 AGST 25</t>
  </si>
  <si>
    <t>BY PARKIR DAN TOL PERIODE 25-29 AGST 25</t>
  </si>
  <si>
    <t>717/PPC/IX/25</t>
  </si>
  <si>
    <t>BY PEMB. MAKAN SIANG 28/08/25 2 ORANG</t>
  </si>
  <si>
    <t>712/PPC/VIII/25</t>
  </si>
  <si>
    <t>BY HC NESTLE AUSTRALIA 2411777097</t>
  </si>
  <si>
    <t>686/PPC/VIII/25</t>
  </si>
  <si>
    <t>BY PEMB. TUTUP CLOSET TOILET LAB LT3</t>
  </si>
  <si>
    <t>687/PPC/VIII/25</t>
  </si>
  <si>
    <t>BY PEMB. CAT ZEBRA CROSS, ALUMUNIUM FOIL</t>
  </si>
  <si>
    <t>691/PPC/VIII/25</t>
  </si>
  <si>
    <t>PEMB. STEMPEL OPER PACK, POTENTIO, KUAS HOME</t>
  </si>
  <si>
    <t>680/PPC/VIII/25</t>
  </si>
  <si>
    <t>BY PEMBELIAN KUNCI L 3/8 DAN STOP KRAN WASTAFEL R3</t>
  </si>
  <si>
    <t>683/PPC/VIII/25</t>
  </si>
  <si>
    <t>BY PEMB. STOPLER MOLLAR, TC OVAL, DUCTING LUBANG</t>
  </si>
  <si>
    <t>702/PPC/VIII/25</t>
  </si>
  <si>
    <t>BY PEMB. PIPA, L BOW, T1, LEM PVC, WATER MUR, SOK</t>
  </si>
  <si>
    <t>708/PPC/VIII/25</t>
  </si>
  <si>
    <t>BY PEMB. SASUMA KACAMAT LAS OTOMATIS AUTO DARK</t>
  </si>
  <si>
    <t>709/PPC/VIII/25</t>
  </si>
  <si>
    <t>BY PEMB. CONVERTER R485, BATERAI, PERB. PARTISI</t>
  </si>
  <si>
    <t>710/PPC/VIII/25</t>
  </si>
  <si>
    <t>BY PEMB. KUNCI LOKER UTK PENGGATI YG RUSAK</t>
  </si>
  <si>
    <t>711/PPC/VIII/25</t>
  </si>
  <si>
    <t>BY PEMB. DRILLING 75MM, PARAGON, AGA, PAKU</t>
  </si>
  <si>
    <t>714/PPC/VIII/25</t>
  </si>
  <si>
    <t>BY TRANSPORTASI DAN TOL PERIODE 06-19/08/25</t>
  </si>
  <si>
    <t>BY MAKANAN DAN MINUMAN PERIODE 06-19/08/25</t>
  </si>
  <si>
    <t>BY PEMB. BUBBLE WARP, COTTON SWAB, STOP KONTAK</t>
  </si>
  <si>
    <t>701/PPC/VIII/25</t>
  </si>
  <si>
    <t>BY DOUBLE TAPE CLEAN, KUNCI LOKER</t>
  </si>
  <si>
    <t>04.09.2025</t>
  </si>
  <si>
    <t>703/PPC/VIII/25</t>
  </si>
  <si>
    <t>BY HC POLIVA 2411776581</t>
  </si>
  <si>
    <t>BY HC POLIVA 2411776832</t>
  </si>
  <si>
    <t>BY HC POLIVA 2411776962</t>
  </si>
  <si>
    <t>BY HC SABEANAT 2411776609</t>
  </si>
  <si>
    <t>BY HC SABEANAT 2411777026</t>
  </si>
  <si>
    <t>BY HC SABEANAT 2411777027</t>
  </si>
  <si>
    <t>BY HC SABEANAT 2411777071</t>
  </si>
  <si>
    <t>BY HC SABEANAT 2411776893</t>
  </si>
  <si>
    <t>713/PPC/VIII/25</t>
  </si>
  <si>
    <t>BY OLAHRAGA CARDIO BOXING 29/08/25</t>
  </si>
  <si>
    <t>721/PPC/IX/25</t>
  </si>
  <si>
    <t>BY MAKANAN DAN MINUMAN 40 ORG 29/08/25</t>
  </si>
  <si>
    <t>722/PPC/IX/25</t>
  </si>
  <si>
    <t>BY PEMB. V-BELT GIGI DAN SEALENT CLEAR</t>
  </si>
  <si>
    <t>08.09.2025</t>
  </si>
  <si>
    <t>728/PPC/IX/25</t>
  </si>
  <si>
    <t>BY HC HORGOS BAIPENG 2411777119</t>
  </si>
  <si>
    <t>BY HC HORGOS BAIPENG 2411777120</t>
  </si>
  <si>
    <t>BY HC GUANGDONG SHENGRONG 2411776819</t>
  </si>
  <si>
    <t>BY HC FUJIAN NAN'AN 2411777114</t>
  </si>
  <si>
    <t>BY HC HORGOS BAIPENG 2411776992</t>
  </si>
  <si>
    <t>BY HC HORGOS BAIPENG 2411777035</t>
  </si>
  <si>
    <t>BY HC SG OILSEED 2411776991</t>
  </si>
  <si>
    <t>BY PEMB. MAP HC 03/09/25</t>
  </si>
  <si>
    <t>724/PPC/IX/25</t>
  </si>
  <si>
    <t>BY HC SUICHANGLONG 2411777115</t>
  </si>
  <si>
    <t>BY HC SUICHANGLONG 2411777118</t>
  </si>
  <si>
    <t>BY HC SG OILSEED 2411777113</t>
  </si>
  <si>
    <t>BY HC SG OILSEED 2411777111</t>
  </si>
  <si>
    <t>718/PPC/IX/25</t>
  </si>
  <si>
    <t>BY HC HORGOS BAIPENG 2411776997</t>
  </si>
  <si>
    <t>BY HC SG OILSEED 2411777033</t>
  </si>
  <si>
    <t>BY HC SG OILSEED 2411777034</t>
  </si>
  <si>
    <t>BY HC NESTLE PAKISTAN 2411777124</t>
  </si>
  <si>
    <t>BY HC NESTLE PAKISTAN 2411777164</t>
  </si>
  <si>
    <t>727/PPC/IX/25</t>
  </si>
  <si>
    <t>BY BAHAN BAKAR PERIODE 29/08-03/09 2025</t>
  </si>
  <si>
    <t>BY PARKIR DAN TOL PERIODE 29/08-03/09 2025</t>
  </si>
  <si>
    <t>725/PPC/IX/25</t>
  </si>
  <si>
    <t>BY OLAHRAGA ZUMBA 3 SEPTEMBER 2025</t>
  </si>
  <si>
    <t>719/PPC/IX/25</t>
  </si>
  <si>
    <t>BY COO KADIN 2411776893</t>
  </si>
  <si>
    <t>BY LEVY DAN BEA KELUAR KE USA DAN GERMAN</t>
  </si>
  <si>
    <t>09.09.2025</t>
  </si>
  <si>
    <t>729/PPC/IX/25</t>
  </si>
  <si>
    <t>BY Pemb.lem fox, tang las, sink mixer</t>
  </si>
  <si>
    <t>732/PPC/IX/25</t>
  </si>
  <si>
    <t>BY Pemb. PPJ Genset 1 &amp; 2 - Pemakaian Agustus</t>
  </si>
  <si>
    <t>730/PPC/IX/25</t>
  </si>
  <si>
    <t>BY HC NESTLE GHANA 2411777082</t>
  </si>
  <si>
    <t>BY HC NESTLE AUSTRALIA 2411777174</t>
  </si>
  <si>
    <t>BY HC NESTLE AUSTRALIA 2411777172</t>
  </si>
  <si>
    <t>731/PPC/IX/25</t>
  </si>
  <si>
    <t>BY Pemb. Wallsocket dan duplikat kunci</t>
  </si>
  <si>
    <t>733/PPC/IX/25</t>
  </si>
  <si>
    <t>BY BAHAN BAKAR PERIODE 03-08/09/2025</t>
  </si>
  <si>
    <t>BY PARKIR DAN TOL PERIODE 03-08/09/2025</t>
  </si>
  <si>
    <t>10.09.2025</t>
  </si>
  <si>
    <t>735/PPC/IX/25</t>
  </si>
  <si>
    <t>BY PEMB. REDUCER SS SANITARY DAN BAUT L SS 304</t>
  </si>
  <si>
    <t>736/PPC/IX/25</t>
  </si>
  <si>
    <t>BY PARKIR DAN TOL PERIODE 08-09/09/2025</t>
  </si>
  <si>
    <t>BY BAHAN BAKAR PERIODE 08-09/09/2025</t>
  </si>
  <si>
    <t>739/PPC/IX/25</t>
  </si>
  <si>
    <t>BY HC NESTLE PNG 2411777216</t>
  </si>
  <si>
    <t>BY HC NESTLE PNG 2411777220</t>
  </si>
  <si>
    <t>11.09.2025</t>
  </si>
  <si>
    <t>742/PPC/IX/25</t>
  </si>
  <si>
    <t>BY PEMB. KUNCI DUPLIKAT RUANGAN KANTOR BELAKANG 2P</t>
  </si>
  <si>
    <t>743/PPC/IX/25</t>
  </si>
  <si>
    <t>BY KONSUMSI P2K3 MEETING BULAN SEPTEMBER 25</t>
  </si>
  <si>
    <t>744/PPC/IX/25</t>
  </si>
  <si>
    <t>BY HC SG OILSEED 2411777160</t>
  </si>
  <si>
    <t>BY HC GENAS 2411777192</t>
  </si>
  <si>
    <t>BY HC SG OILSEED 2411777270</t>
  </si>
  <si>
    <t>BY HC HAWK TRADING 2411777289</t>
  </si>
  <si>
    <t>745/PPC/IX/25</t>
  </si>
  <si>
    <t>BY PEMB. DOUBLE TAPE</t>
  </si>
  <si>
    <t>12.09.2025</t>
  </si>
  <si>
    <t>734/PPC/IX/25</t>
  </si>
  <si>
    <t>BY HC SG OILSEED 2411777252</t>
  </si>
  <si>
    <t>BY HC NESTLE PAKISTAN 2411777236</t>
  </si>
  <si>
    <t>BY HC SUICHANGLONG 2411777267</t>
  </si>
  <si>
    <t>BY HC GUANDONG SHENGRONG 2411777266</t>
  </si>
  <si>
    <t>BY HC SG OILSEED 2411777274</t>
  </si>
  <si>
    <t>748/PPC/IX/25</t>
  </si>
  <si>
    <t>BY HC SUICHANGLONG 2411777253</t>
  </si>
  <si>
    <t>BY HC SUICHANGLONG 2411777269</t>
  </si>
  <si>
    <t>BY HC HORGOS 2411777277</t>
  </si>
  <si>
    <t>749/PPC/IX/25</t>
  </si>
  <si>
    <t>BY BAHAN BAKAR PERIODE 09-12/09/25</t>
  </si>
  <si>
    <t>BY PARKIR DAN TOL PERIODE 09-12/09/25</t>
  </si>
  <si>
    <t>750/PPC/IX/25</t>
  </si>
  <si>
    <t>BY PEMB. MATERAI DI KANTOR POS</t>
  </si>
  <si>
    <t>751/PPC/IX/25</t>
  </si>
  <si>
    <t>BY PEMB. KOPI UNTUK KEPENTINGAN MEETING 10/09/25</t>
  </si>
  <si>
    <t>BY PEMB. GELAS, BRAVIA, GARPU,DLL</t>
  </si>
  <si>
    <t>752/PPC/IX/25</t>
  </si>
  <si>
    <t>BY KONSUMSI KUNJUNGAN KPP PAJAK 11/09/25</t>
  </si>
  <si>
    <t>753/PPC/IX/25</t>
  </si>
  <si>
    <t>BY PEMB. APINDO JAWA TIMUR BULAN JULI 25</t>
  </si>
  <si>
    <t>BY PEMB. APINDO JAWA TIMUR BULAN AGUSTUS 25</t>
  </si>
  <si>
    <t>15.09.2025</t>
  </si>
  <si>
    <t>755/PPC/IX/25</t>
  </si>
  <si>
    <t>BY PEMB BATERAI A2, KABEL HDMI, SILENT CLEAR</t>
  </si>
  <si>
    <t>738/PPC/IX/25</t>
  </si>
  <si>
    <t>BY PEMB. Bearing Fan BAC</t>
  </si>
  <si>
    <t>694/PPC/VIII/25</t>
  </si>
  <si>
    <t>BY PEMB.PRESSR SWITCH HYDRANT FP04002500244949528</t>
  </si>
  <si>
    <t>699/PPC/VIII/25</t>
  </si>
  <si>
    <t>BY PEMBELIAN DOUBLE NIPLE FP 04002500260289183</t>
  </si>
  <si>
    <t>726/PPC/IX/25</t>
  </si>
  <si>
    <t>BY PEMB. DUNLOP P.430&amp; 5/16 NB FP04002500262634254</t>
  </si>
  <si>
    <t>697/PPC/VIII/25</t>
  </si>
  <si>
    <t>BY PEMB. STRAIGHT MALE FP04002500259735097</t>
  </si>
  <si>
    <t>BY PEMB. SUNLIGHT 5PCS</t>
  </si>
  <si>
    <t>741/PPC/IX/25</t>
  </si>
  <si>
    <t>BY PERBAIKAN MOTOR POMPA KMSC &amp; TANKI P10</t>
  </si>
  <si>
    <t>737/PPC/IX/25</t>
  </si>
  <si>
    <t>BY PDAM BULANAN MESS PT SMART PTI SEPT 25</t>
  </si>
  <si>
    <t>723/PPC/IX/25</t>
  </si>
  <si>
    <t>BY PERAWATAN BERKALA KENDARAAN NOPOL L2167FT</t>
  </si>
  <si>
    <t>720/PPC/IX/25</t>
  </si>
  <si>
    <t>BY PERAWATAN BERKALA KENDARAAN NOPOL L2057EK</t>
  </si>
  <si>
    <t>PETTY CASH RUNGKUT SURABAYA PERIODE 01-15 SEPT 25</t>
  </si>
  <si>
    <t>30.09.2025</t>
  </si>
  <si>
    <t>10000001 - Valuation on 20250930</t>
  </si>
  <si>
    <t>01.10.2025</t>
  </si>
  <si>
    <t>10000001 - Valuation on 20250930 Reversal</t>
  </si>
  <si>
    <t>03.10.2025</t>
  </si>
  <si>
    <t>746/PPC/IX/2025</t>
  </si>
  <si>
    <t>BY PEMB SIKA GROUT U/ PERBAIKAN JALAN PARKIR SPD M</t>
  </si>
  <si>
    <t>02.10.2025</t>
  </si>
  <si>
    <t>747/PPC/IX/2025</t>
  </si>
  <si>
    <t>BY PEMB MATERAI U/ ADM EXPORT</t>
  </si>
  <si>
    <t>757/PPC/IX/2025</t>
  </si>
  <si>
    <t>BY OLAHRAGA 12/09/2025</t>
  </si>
  <si>
    <t>758/PPC/IX/2025</t>
  </si>
  <si>
    <t>BY PEMB RODA SELING IBC</t>
  </si>
  <si>
    <t>759/PPC/IX/2025</t>
  </si>
  <si>
    <t>BY PEMB SIKA GROUT U/ PERBAIKAN JALAN UMUM</t>
  </si>
  <si>
    <t>760/PPC/IX/2025</t>
  </si>
  <si>
    <t>BY PEMB DUCTING PSD U/ PENGRAPIAN KABEL KANTOR LOG</t>
  </si>
  <si>
    <t>754/PPC/IX/2025</t>
  </si>
  <si>
    <t>BY HC DINKES POLIVA ETP 2411777074</t>
  </si>
  <si>
    <t>BY COO KADIN ASSUDAMAL EBP 2411777285</t>
  </si>
  <si>
    <t>BY COO KADIN AL JAZIRA EBP 2411777288</t>
  </si>
  <si>
    <t>762/PPC/IX/2025</t>
  </si>
  <si>
    <t>BY HC SG OILSEED EBP 2411777314</t>
  </si>
  <si>
    <t>BY HC FUJIAN NANAN EBP 2411777254</t>
  </si>
  <si>
    <t>BY HC FUJIAN NANAN EBP 2411777221</t>
  </si>
  <si>
    <t>BY HC HORGOS BAIPENG EBP 2411777370</t>
  </si>
  <si>
    <t>BY HC SG OILSEED EBP 2411777273</t>
  </si>
  <si>
    <t>BY LEVY &amp; BK SAMPLE SIN &amp; GERMAN</t>
  </si>
  <si>
    <t>BY PEMB MAP U/ ADM EXPORT</t>
  </si>
  <si>
    <t>763/PPC/IX/2025</t>
  </si>
  <si>
    <t>BY HC &amp; FREE SALE CERTIFICATE ASIA FOODS2411777315</t>
  </si>
  <si>
    <t>764/PPC/IX/2025</t>
  </si>
  <si>
    <t>BY TRANSPORTASI BBM 12/09/2025</t>
  </si>
  <si>
    <t>761/PPC/IX/2025</t>
  </si>
  <si>
    <t>BY HC SUICHANGLONG EBP 2411777276</t>
  </si>
  <si>
    <t>BY HC SG OILSEED EBP 2411777373</t>
  </si>
  <si>
    <t>BY HC NESTLE PAKISTAN ETP 2411777415</t>
  </si>
  <si>
    <t>BY HC AST PVT EBP 2411777448</t>
  </si>
  <si>
    <t>BY HC AL ISLAM EBP 2411777449</t>
  </si>
  <si>
    <t>BY COO KADIN AST PVT EBP 2411777448</t>
  </si>
  <si>
    <t>BY COO KADIN AL ISLAM EBP 2411777449</t>
  </si>
  <si>
    <t>766/PPC/IX/2025</t>
  </si>
  <si>
    <t>BY HC SUICHANGLONG EBP 2411777275</t>
  </si>
  <si>
    <t>BY HC SG OILSEED EBP 2411777342</t>
  </si>
  <si>
    <t>BY HC SUICHANGLONG EBP 2411777268</t>
  </si>
  <si>
    <t>BY HC GUANGGDONG SHENGRONG EBP 2411777429</t>
  </si>
  <si>
    <t>767/PPC/IX/2025</t>
  </si>
  <si>
    <t>BY HC NESTLE AUSTRALIA ETP 2411777403</t>
  </si>
  <si>
    <t>BY HC NESTLE PNG ETP 2411777371</t>
  </si>
  <si>
    <t>BY HC NESTLE PNG ETP 2411777372</t>
  </si>
  <si>
    <t>768/PPC/IX/2025</t>
  </si>
  <si>
    <t>BY HC KENDO L EBP 2411777301</t>
  </si>
  <si>
    <t>770/PPC/IX/2025</t>
  </si>
  <si>
    <t>BY IURAN RT MESS PONDOK TJANDRA SEPT 2025</t>
  </si>
  <si>
    <t>771/PPC/IX/2025</t>
  </si>
  <si>
    <t>BY HC GREIXOS EBP 2411777168</t>
  </si>
  <si>
    <t>756/PPC/IX/2025</t>
  </si>
  <si>
    <t>BY PEMB ADAPTOR, SENTER KEPALA, TANG CATUT,TOOLBOX</t>
  </si>
  <si>
    <t>773/PPC/IX/2025</t>
  </si>
  <si>
    <t>BY HC NESTLE PNG ETP 2411777216 - REPROSES</t>
  </si>
  <si>
    <t>BY HC NESTLE PNG ETP 2411777220 - REPROSES</t>
  </si>
  <si>
    <t>BY HC NESTLE PNG ETP 2411777371 - REPROSES</t>
  </si>
  <si>
    <t>BY HC NESTLE PNG ETP 2411777372 - REPROSES</t>
  </si>
  <si>
    <t>776/PPC/IX/2025</t>
  </si>
  <si>
    <t>BY TRANSPORTASI BBM 16-18/09/2025</t>
  </si>
  <si>
    <t>777/PPC/IX/2025</t>
  </si>
  <si>
    <t>BY PEMB SENSORY KFC, McD, SPIRITUS LAB, SPON</t>
  </si>
  <si>
    <t>BY ONGKIR SAMPEL SGS</t>
  </si>
  <si>
    <t>778/PPC/IX/2025</t>
  </si>
  <si>
    <t>BY KONSUMSI MR MEETING EHFS SEMESTER II 2025</t>
  </si>
  <si>
    <t>779/PPC/IX/2025</t>
  </si>
  <si>
    <t>BY KONSUMSI SC MEETING 18/09/2025</t>
  </si>
  <si>
    <t>765/PPC/IX/2025</t>
  </si>
  <si>
    <t>BY PEMB FORM KADIN</t>
  </si>
  <si>
    <t>769/PPC/IX/2025</t>
  </si>
  <si>
    <t>BY HC ASSUDAMAL EBP 2411777285</t>
  </si>
  <si>
    <t>BY HC ASSUDAMAL EBP 2411777286</t>
  </si>
  <si>
    <t>BY HC ASSUDAMAL EBP 2411777287</t>
  </si>
  <si>
    <t>BY HC AL JAZIRA EBP 2411777288</t>
  </si>
  <si>
    <t>772/PPC/IX/2025</t>
  </si>
  <si>
    <t>BY PEMB PISAU TOHO, GUNTING HOLO, OBENG,STEKER,DLL</t>
  </si>
  <si>
    <t>780/PPC/IX/2025</t>
  </si>
  <si>
    <t>BY OLAHRAGA 19/09/2025</t>
  </si>
  <si>
    <t>783/PPC/IX/2025</t>
  </si>
  <si>
    <t>BY MKN DNS PRK 19/09/2025 - 1ORG</t>
  </si>
  <si>
    <t>784/PPC/IX/2025</t>
  </si>
  <si>
    <t>BY HC &amp; FREE SALE CERTIFICATE ASIA FOOD 2411777368</t>
  </si>
  <si>
    <t>785/PPC/IX/2025</t>
  </si>
  <si>
    <t>BY TRANSPORTASI BBM 18-22/09/2025</t>
  </si>
  <si>
    <t>786/PPC/IX/2025</t>
  </si>
  <si>
    <t>BY HC NESTLE PNG ETP 2411777517</t>
  </si>
  <si>
    <t>BY HC NESTLE PNG ETP 2411777518</t>
  </si>
  <si>
    <t>775/PPC/IX/2025</t>
  </si>
  <si>
    <t>BY PEMB HANDLLE PINTU R.PANEL CHILLER&amp;R.FRAKSINASI</t>
  </si>
  <si>
    <t>787/PPC/IX/2025</t>
  </si>
  <si>
    <t>BY PEMB KAWAT ANTI NYAMUK, BETEL BETON</t>
  </si>
  <si>
    <t>782/PPC/IX/2025</t>
  </si>
  <si>
    <t>BY HC SG OILSEED EBP 2411777447</t>
  </si>
  <si>
    <t>BY HC HORGOS BAIPENG EBP 2411777477</t>
  </si>
  <si>
    <t>BY HC NESTLE BANGLADESH ETP 2411777500</t>
  </si>
  <si>
    <t>BY HC NESTLE PAKISTAN ETP 2411777542</t>
  </si>
  <si>
    <t>BY COO KADIN NESTLE BANGLADESH EBP 2411777500</t>
  </si>
  <si>
    <t>789/PPC/IX/2025</t>
  </si>
  <si>
    <t>BY PEMBUATAN TAGGING ACRYLIC</t>
  </si>
  <si>
    <t>790/PPC/IX/2025</t>
  </si>
  <si>
    <t>BY KONSUMSI TRAINING LIFELINE SYSTEM SRL</t>
  </si>
  <si>
    <t>791/PPC/IX/2025</t>
  </si>
  <si>
    <t>BY PARKIR SPD MTR L 2167 FT BAG. EKSP.27/08-23/09</t>
  </si>
  <si>
    <t>BY FOTOCOPY &amp; PRINT BAG. EKSPORT 27/08-23/09/2025</t>
  </si>
  <si>
    <t>792/PPC/IX/2025</t>
  </si>
  <si>
    <t>BY HC NESTLE AUSTRALIA ETP 2411777514</t>
  </si>
  <si>
    <t>794/PPC/IX/2025</t>
  </si>
  <si>
    <t>BY TRANSPORTASI BBM 23-25/09/2025</t>
  </si>
  <si>
    <t>BY HC SG OILSEED EBP 2411777373 - REVISI</t>
  </si>
  <si>
    <t>795/PPC/IX/2025</t>
  </si>
  <si>
    <t>BY HC GUANGDONG SHENGRONG EBP 2411777479</t>
  </si>
  <si>
    <t>BY HC SG OILSEED EBP 2411777486</t>
  </si>
  <si>
    <t>BY HC FUJIAN NANAN EBP 2411777433</t>
  </si>
  <si>
    <t>BY HC SG OILSEED EBP 2411777489</t>
  </si>
  <si>
    <t>BY HC SG OILSEED EBP 2411777460</t>
  </si>
  <si>
    <t>BY LEVY &amp; BK SAMPEL PHILIPPINES</t>
  </si>
  <si>
    <t>797/PPC/IX/2025</t>
  </si>
  <si>
    <t>BY PEMB KUNCI TUBE U/ PERBAIKAN LACI</t>
  </si>
  <si>
    <t>798/PPC/IX/2025</t>
  </si>
  <si>
    <t>BY PEMB DINABOLT U/ PERBAIKAN RAK</t>
  </si>
  <si>
    <t>800/PPC/IX/2025</t>
  </si>
  <si>
    <t>BY PARKIR SPD MTR BAG.EKSP. L 2057 EK 01-24/09/25</t>
  </si>
  <si>
    <t>801/PPC/IX/2025</t>
  </si>
  <si>
    <t>BY HC HORGOS EBP 2411777482</t>
  </si>
  <si>
    <t>BY HC HORGOS EBP 2411777480</t>
  </si>
  <si>
    <t>BY HC HORGOS EBP 2411777484</t>
  </si>
  <si>
    <t>BY HC HORGOS EBP 2411777594</t>
  </si>
  <si>
    <t>802/PPC/IX/2025</t>
  </si>
  <si>
    <t>BY HC SG OILSEED EBP 2411777478</t>
  </si>
  <si>
    <t>BY FREE SALE CERTIFICATE EBP 2411777554</t>
  </si>
  <si>
    <t>788/PPC/IX/2025</t>
  </si>
  <si>
    <t>BY PEMB CONNECTOR, SELANG, DLL</t>
  </si>
  <si>
    <t>793/PPC/IX/2025</t>
  </si>
  <si>
    <t>BY KONSUMSI 551 26/09/2025</t>
  </si>
  <si>
    <t>799/PPC/IX/2025</t>
  </si>
  <si>
    <t>BY OLAHRAGA 26/09/2025</t>
  </si>
  <si>
    <t>803/PPC/IX/2025</t>
  </si>
  <si>
    <t>BY HC GREIXOS OLIVELLA 2411777543</t>
  </si>
  <si>
    <t>808/PPC/IX/2025</t>
  </si>
  <si>
    <t>BY PEMB SPRING HOSE, KLEM SELANG, STEKER, DLL</t>
  </si>
  <si>
    <t>809/PPC/IX/2025</t>
  </si>
  <si>
    <t>BY PEMB KUAS ROLL, REFILL LEM G, TIBOX</t>
  </si>
  <si>
    <t>815/PPC/X/2025</t>
  </si>
  <si>
    <t>BY HC NESTLE AUSTRALIA ETP 2411777684</t>
  </si>
  <si>
    <t>BY HC NESTLE PNG ETP 2411777602</t>
  </si>
  <si>
    <t>BY HC NESTLE GHANA ETP 2411777690</t>
  </si>
  <si>
    <t>816/PPC/X/2025</t>
  </si>
  <si>
    <t>BY TRANSPORTASI BBM 25/09-01/10/2025</t>
  </si>
  <si>
    <t>817/PPC/X/2025</t>
  </si>
  <si>
    <t>BY KONSUMSI TRAINING RCC BNSP ENMS</t>
  </si>
  <si>
    <t>819/PPC/X/2025</t>
  </si>
  <si>
    <t>BY PRESS BAN DRIVE WHEEL MHE EFG-G</t>
  </si>
  <si>
    <t>820/PPC/X/2025</t>
  </si>
  <si>
    <t>BY PEMB SENSORY KFC, SYRINGE, COTTON SWAB</t>
  </si>
  <si>
    <t>BY PEMB KRAN SHOWER, SKRUP U/ DISPLAY LIFT</t>
  </si>
  <si>
    <t>BY KONSUMSI METROLOGI CEK BDKT</t>
  </si>
  <si>
    <t>821/PPC/X/2025</t>
  </si>
  <si>
    <t>BY PEMB ENGSEL PINTU LAB R.SENSORY</t>
  </si>
  <si>
    <t>804/PPC/IX/2025</t>
  </si>
  <si>
    <t>BY HC SABEANAT EBP 2411777555</t>
  </si>
  <si>
    <t>BY HC AL ISLAM EBP 2411777585</t>
  </si>
  <si>
    <t>BY HC GREENS LIMITED EBP 2411777606</t>
  </si>
  <si>
    <t>BY HC SHANGHAI DOILLY EBP 2411777601</t>
  </si>
  <si>
    <t>BY HC HORGOS EBP 2411777591</t>
  </si>
  <si>
    <t>BY HC NESTLE PAKISTAN ETP 2411777666</t>
  </si>
  <si>
    <t>BY COO KADIN AL ISLAM EBP 2411777585</t>
  </si>
  <si>
    <t>806/PPC/IX/2025</t>
  </si>
  <si>
    <t>BY PEMB ELBOW 4", FLANGE 4"</t>
  </si>
  <si>
    <t>807/PPC/IX/2025</t>
  </si>
  <si>
    <t>BY ELBOW, FLANGE 4"</t>
  </si>
  <si>
    <t>826/PPC/X/2025</t>
  </si>
  <si>
    <t>BY HC HORGOS EBP 2411777487</t>
  </si>
  <si>
    <t>BY HC HORGOS EBP 2411777488</t>
  </si>
  <si>
    <t>BY HC NESTLE SENEGAL ETP 2411777669</t>
  </si>
  <si>
    <t>BY HC NESTLE SENEGAL ETP 2411777670</t>
  </si>
  <si>
    <t>827/PPC/X/2025</t>
  </si>
  <si>
    <t>BY KONSUMSI MEETING EVALUASI TREND TB</t>
  </si>
  <si>
    <t>828/PPC/X/2025</t>
  </si>
  <si>
    <t>BY PEMB BOSTEL 4", TANG</t>
  </si>
  <si>
    <t>829/PPC/X/2025</t>
  </si>
  <si>
    <t>BY PEMB SELTIP DOUBLE, KABEL TIES, DLL</t>
  </si>
  <si>
    <t>805/PPC/IX/2025</t>
  </si>
  <si>
    <t>BY COO KADIN ASSUDAMAL EBP 2411777503</t>
  </si>
  <si>
    <t>BY HC ASSUDAMAL EBP 2411777503</t>
  </si>
  <si>
    <t>BY HC DINKES POLIVA ETP 2411777265</t>
  </si>
  <si>
    <t>BY HC DINKES POLIVA ETP 2411777418</t>
  </si>
  <si>
    <t>BY HC DINKES POLIVA ETP 2411777420</t>
  </si>
  <si>
    <t>830/PPC/X/2025</t>
  </si>
  <si>
    <t>BY HC NESTLE PNG ETP 2411777603</t>
  </si>
  <si>
    <t>774/PPC/IX/2025</t>
  </si>
  <si>
    <t>BY HC FALCON T EBP 2411777103</t>
  </si>
  <si>
    <t>BY HC HOME CHAIN EBP 2411777185</t>
  </si>
  <si>
    <t>BY HC HOME CHAIN EBP 2411777186</t>
  </si>
  <si>
    <t>BY HC SHENGRONG EBP 2411777117</t>
  </si>
  <si>
    <t>BY HC SHENGRONG EBP 2411777226</t>
  </si>
  <si>
    <t>BY HC TALENT FAREAST EBP 2411777305</t>
  </si>
  <si>
    <t>BY TELEX FRNAKIE PACIFIC I FP:04002500293417593</t>
  </si>
  <si>
    <t>781/PPC/IX/2025</t>
  </si>
  <si>
    <t>BY R2 1/4 DUNLOP SDA G FP:04002500279083808</t>
  </si>
  <si>
    <t>740/PPC/IX/2025</t>
  </si>
  <si>
    <t>BY BEARING SENTRAL L FP:04002500283362509</t>
  </si>
  <si>
    <t>814/PPC/X/2025</t>
  </si>
  <si>
    <t>BY RESIN SET PUTRA MAS FP:04002500302257622</t>
  </si>
  <si>
    <t>06.10.2025</t>
  </si>
  <si>
    <t>PETTY CASH RUNGKUT SURABAYA PERIODE 01-06 OKT 25</t>
  </si>
  <si>
    <t>14.10.2025</t>
  </si>
  <si>
    <t>796/PPC/IX/2025</t>
  </si>
  <si>
    <t>BY PEMB SEAL, ORING VITON, DCV, KAWAT,DLL</t>
  </si>
  <si>
    <t>810/PPC/X/2025</t>
  </si>
  <si>
    <t>BY PEMB DISCO CHECK VALVE POMPA DEAERATOR</t>
  </si>
  <si>
    <t>818/PPC/X/2025</t>
  </si>
  <si>
    <t>BY PEMB HANDLE, CYLINDER DEKSON PINTU R.FILTER PRS</t>
  </si>
  <si>
    <t>811/PPC/X/2025</t>
  </si>
  <si>
    <t>BY PEMB PRESKONEKTOR, SELANG BAKAR, MUR, ASDRAT</t>
  </si>
  <si>
    <t>812/PPC/X/2025</t>
  </si>
  <si>
    <t>813/PPC/X/2025</t>
  </si>
  <si>
    <t>BY MKN MLM TEKNISI JOHNSON CONTROL 03-05 OKT 2025</t>
  </si>
  <si>
    <t>823/PPC/X/2025</t>
  </si>
  <si>
    <t>BY PEMB SKUN, BOLT FLANGE PHE PFAD</t>
  </si>
  <si>
    <t>825/PPC/X/2025</t>
  </si>
  <si>
    <t>BY PEMB ELBOW, REDUCER SGP</t>
  </si>
  <si>
    <t>831/PPC/X/2025</t>
  </si>
  <si>
    <t>BY PEMBAYARAN PPJ GENSET 1 &amp; 2 SEPTEMBER 2025</t>
  </si>
  <si>
    <t>832/PPC/X/2025</t>
  </si>
  <si>
    <t>BY TRANSPORTASI BBM 01-03/10/2025</t>
  </si>
  <si>
    <t>833/PPC/X/2025</t>
  </si>
  <si>
    <t>BY HC SG OILSEED EBP 2411777598</t>
  </si>
  <si>
    <t>BY HC HORGOS EBP 2411777770</t>
  </si>
  <si>
    <t>834/PPC/X/2025</t>
  </si>
  <si>
    <t>BY HC SG OILSEED EBP 2411777600</t>
  </si>
  <si>
    <t>BY HC DINKES POLIVA ETP 2411777512</t>
  </si>
  <si>
    <t>835/PPC/X/2025</t>
  </si>
  <si>
    <t>BY HC BEST BASE ETP 2411777706</t>
  </si>
  <si>
    <t>BY HC BEST BASE ETP 2411777699</t>
  </si>
  <si>
    <t>15.10.2025</t>
  </si>
  <si>
    <t>837/PPC/X/2025</t>
  </si>
  <si>
    <t>BY HC SG OILSEED EBP 2411777764</t>
  </si>
  <si>
    <t>BY HC HORGOS EBP 2411777596</t>
  </si>
  <si>
    <t>BY HC SG OILSEED EBP 2411777597</t>
  </si>
  <si>
    <t>BY HC HORGOS EBP 2411777599</t>
  </si>
  <si>
    <t>BY HC HENAN ZHENGTON EBP 2411777592</t>
  </si>
  <si>
    <t>BY HC HORGOS EBP 2411777593</t>
  </si>
  <si>
    <t>BY HC HORGOS EBP 2411777595</t>
  </si>
  <si>
    <t>BY HC HORGOS EBP 2411777717</t>
  </si>
  <si>
    <t>BY HC SG OILSEED EBP 2411777762</t>
  </si>
  <si>
    <t>BY LEVY &amp; BK SAMPEL OLEIN AUSTRALIA DAN JERMAN</t>
  </si>
  <si>
    <t>838/PPC/X/2025</t>
  </si>
  <si>
    <t>BY MKN DNS PRK 2-5 OKT 2025</t>
  </si>
  <si>
    <t>BY PEMB RODA GEROBAK BOILER 6", SEKRING MINI,DLL</t>
  </si>
  <si>
    <t>839/PPC/X/2025</t>
  </si>
  <si>
    <t>BY TRANSPORT GRAB RKT-PRK PP 02-5 OKT 2025</t>
  </si>
  <si>
    <t>840/PPC/X/2025</t>
  </si>
  <si>
    <t>BY TRANSPORTASI BBM 03-07/10/2025</t>
  </si>
  <si>
    <t>822/PPC/X/2025</t>
  </si>
  <si>
    <t>841/PPC/X/2025</t>
  </si>
  <si>
    <t>BY PERAWATAN SPD MTR KURIR</t>
  </si>
  <si>
    <t>842/PPC/X/2025</t>
  </si>
  <si>
    <t>BY TRANSPORTASI BBM 07/10/2025</t>
  </si>
  <si>
    <t>843/PPC/X/2025</t>
  </si>
  <si>
    <t>BY COO KADIN GREENS L EBP 2411777733</t>
  </si>
  <si>
    <t>BY COO KADIN GREENS L EBP 2411777734</t>
  </si>
  <si>
    <t>848/PPC/X/2025</t>
  </si>
  <si>
    <t>BY MKN DNS PRK 03/10/2025 3 ORG</t>
  </si>
  <si>
    <t>849/PPC/X/2025</t>
  </si>
  <si>
    <t>BY MKN DNS PRK 06/10/2025 2 ORG</t>
  </si>
  <si>
    <t>BY TRANSPORT GRAB PRK-RKT 6 OKT 2025</t>
  </si>
  <si>
    <t>850/PPC/X/2025</t>
  </si>
  <si>
    <t>BY MKN DNS PRK 02/10/2025</t>
  </si>
  <si>
    <t>824/PPC/X/2025</t>
  </si>
  <si>
    <t>BY PEMB MB SS, PER TEKAN SS</t>
  </si>
  <si>
    <t>851/PPC/X/2025</t>
  </si>
  <si>
    <t>BY PEMB CLAPBOARD, FLANGE, DRAWING PEN, DLL</t>
  </si>
  <si>
    <t>852/PPC/X/2025</t>
  </si>
  <si>
    <t>BY MKN DNS PRK 04/10/2025</t>
  </si>
  <si>
    <t>844/PPC/X/2025</t>
  </si>
  <si>
    <t>BY PEMB BATERAI AA6, VENTION USB, BOR, DLL</t>
  </si>
  <si>
    <t>846/PPC/X/2025</t>
  </si>
  <si>
    <t>BY HC HORGOS EBP 2411777768</t>
  </si>
  <si>
    <t>BY HC SG OILSEED EBP 2411777766</t>
  </si>
  <si>
    <t>BY HC NESTLE PAKISTAN ETP 2411777832</t>
  </si>
  <si>
    <t>BY HC SG OILSEED EBP 2411777798</t>
  </si>
  <si>
    <t>BY COO KADIN GREENS L EBP 2411777606</t>
  </si>
  <si>
    <t>16.10.2025</t>
  </si>
  <si>
    <t>853/PPC/X/2025</t>
  </si>
  <si>
    <t>BY PDAM MESS POKTJAND OKT 2025</t>
  </si>
  <si>
    <t>854/PPC/X/2025</t>
  </si>
  <si>
    <t>BY HC HORGOS EBP 2411777795</t>
  </si>
  <si>
    <t>BY HC SG OILSEED EBP 2411777852</t>
  </si>
  <si>
    <t>BY HC SG OILSEED EBP 2411777797</t>
  </si>
  <si>
    <t>855/PPC/X/2025</t>
  </si>
  <si>
    <t>BY HC TALENT FAREAST EBP 2411777705</t>
  </si>
  <si>
    <t>856/PPC/X/2025</t>
  </si>
  <si>
    <t>BY PEMB LEM TEMBAK U/ MAINT. SEPARATOR</t>
  </si>
  <si>
    <t>857/PPC/X/2025</t>
  </si>
  <si>
    <t>BY TRANSPORTASI BBM 07-10/10/2025</t>
  </si>
  <si>
    <t>858/PPC/X/2025</t>
  </si>
  <si>
    <t>BY SUMBANGAN SUKACITA NIKAH ARDHY TRI CAHYO</t>
  </si>
  <si>
    <t>836/PPC/X/2025</t>
  </si>
  <si>
    <t>BY MKN MLM TEKNISI JOHNSON CONTROL 07-09 OKT 2025</t>
  </si>
  <si>
    <t>860/PPC/X/2025</t>
  </si>
  <si>
    <t>BIAYA SERTIFIKASI HALAL</t>
  </si>
  <si>
    <t>BY KONSUMSI AUDIT CUSTOMER PT UNITED WARU BISCUIT</t>
  </si>
  <si>
    <t>862/PPC/X/2025</t>
  </si>
  <si>
    <t>BY TRANSPORTASI BBM 10-13/10/2025</t>
  </si>
  <si>
    <t>863/PPC/X/2025</t>
  </si>
  <si>
    <t>BY OLAHRAGA 10/10/2025</t>
  </si>
  <si>
    <t>864/PPC/X/2025</t>
  </si>
  <si>
    <t>BY OLAHRAGA 13/10/2025</t>
  </si>
  <si>
    <t>17.10.2025</t>
  </si>
  <si>
    <t>847/PPC/X/2025</t>
  </si>
  <si>
    <t>BY COO KADIN GOLDEN PRIMA EBP 2411777713</t>
  </si>
  <si>
    <t>BY HC HAWK TRADING EBP 2411777578</t>
  </si>
  <si>
    <t>BY HC DINKES POLIVA ETP 2411777509</t>
  </si>
  <si>
    <t>BY HC DINKES POLIVA ETP 2411777511</t>
  </si>
  <si>
    <t>BY HC DINKES POLIVA ETP 2411777575</t>
  </si>
  <si>
    <t>BY HC DINKES POLIVA ETP 2411777676</t>
  </si>
  <si>
    <t>866/PPC/X/2025</t>
  </si>
  <si>
    <t>BY PEMB SIKU PVC, KENI, PLAP DISK, BEARING, DLL</t>
  </si>
  <si>
    <t>867/PPC/X/2025</t>
  </si>
  <si>
    <t>BY KONSUMSI BMDP FINANCE INDIVIDUAL PRESENTATION</t>
  </si>
  <si>
    <t>868/PPC/X/2025</t>
  </si>
  <si>
    <t>BY TRANSPORTASI BBM 13-16/10/2025</t>
  </si>
  <si>
    <t>869/PPC/X/2025</t>
  </si>
  <si>
    <t>BY PEMB LOWER PRINT, FUSER FILM, PIPA SCH</t>
  </si>
  <si>
    <t>870/PPC/X/2025</t>
  </si>
  <si>
    <t>BY IURAN RT MESS PONDOK TJANDRA OKT 2025</t>
  </si>
  <si>
    <t>20.10.2025</t>
  </si>
  <si>
    <t>845/PPC/X/2025</t>
  </si>
  <si>
    <t>BY PEMB. REDUCER, L BOW, STOOD, LUBRICAN DLL.</t>
  </si>
  <si>
    <t>865/PPC/X/2025</t>
  </si>
  <si>
    <t>BY COO KADIN ASSUDAMAL 2411777774</t>
  </si>
  <si>
    <t>BY COO KADIN ASSUDAMAL 2411777775</t>
  </si>
  <si>
    <t>BY HC ASSUMDAL 2411777774</t>
  </si>
  <si>
    <t>BY HC ASSUMDAL 2411777775</t>
  </si>
  <si>
    <t>BY HC NESTLE COTE 2411777576</t>
  </si>
  <si>
    <t>BY HC GOLDEN PRIMA 2411777713</t>
  </si>
  <si>
    <t>BY HC MISUI 2411777550</t>
  </si>
  <si>
    <t>875/PPC/X/2025</t>
  </si>
  <si>
    <t>BY SNACK SC MEETING 16/10/25</t>
  </si>
  <si>
    <t>876/PPC/X/2025</t>
  </si>
  <si>
    <t>BY HC NESTLE AUSTRALIA 2411777925</t>
  </si>
  <si>
    <t>BY HC NESTLE GHANA 2411777902</t>
  </si>
  <si>
    <t>BY HC NN-TEL LTD 2411777716</t>
  </si>
  <si>
    <t>21.10.2025</t>
  </si>
  <si>
    <t>877/PPC/X/2025</t>
  </si>
  <si>
    <t>BY PEMB MODERN MESIN JIGSAW, ID CARD</t>
  </si>
  <si>
    <t>880/PPC/X/2025</t>
  </si>
  <si>
    <t>PELATIHAN INTERNAL-KANTOR</t>
  </si>
  <si>
    <t>BY BANNER BINTALFISDIS BMDP MANUFACTURING XXVI</t>
  </si>
  <si>
    <t>879/PPC/X/2025</t>
  </si>
  <si>
    <t>BY PEMB POSTER AKRILIK, BANNER SELAMAT DTG</t>
  </si>
  <si>
    <t>878/PPC/X/2025</t>
  </si>
  <si>
    <t>BY PEMB POSTER AKRILIK FERO LILIAN, KEBIASAAN BARU</t>
  </si>
  <si>
    <t>881/PPC/X/2025</t>
  </si>
  <si>
    <t>BY TRANSPORTASI BBM 16-17/10/2025</t>
  </si>
  <si>
    <t>859/PPC/X/2025</t>
  </si>
  <si>
    <t>BY MKN MLM TEKNISI JOHNSON CONTROL 11 &amp;14 OKT 2025</t>
  </si>
  <si>
    <t>886/PPC/X/2025</t>
  </si>
  <si>
    <t>BY HC HORGOS 2411777909</t>
  </si>
  <si>
    <t>BY HC HORGOS 2411777856</t>
  </si>
  <si>
    <t>BY HC HORGOS 2411777905</t>
  </si>
  <si>
    <t>BY HC SG OILSEED 2411777929</t>
  </si>
  <si>
    <t>BY HC HORGOS 2411777932</t>
  </si>
  <si>
    <t>861/PPC/X/2025</t>
  </si>
  <si>
    <t>BY FORT KUNCI FP: 04002500309859310</t>
  </si>
  <si>
    <t>BY FORT KUNCI FP: 04002500309845801</t>
  </si>
  <si>
    <t>PETTY CASH RUNGKUT SURABAYA PERIODE 08-21 OKT 25</t>
  </si>
  <si>
    <t>31.10.2025</t>
  </si>
  <si>
    <t>10000001 - Valuation on 20251031</t>
  </si>
  <si>
    <t>01.11.2025</t>
  </si>
  <si>
    <t>10000001 - Valuation on 20251031 Reversal</t>
  </si>
  <si>
    <t>05.11.2025</t>
  </si>
  <si>
    <t>03.11.2025</t>
  </si>
  <si>
    <t>903/PPC/X/2025</t>
  </si>
  <si>
    <t>BY BBM PERIODE 29/10/2025</t>
  </si>
  <si>
    <t>BY PARKIR DAN TOLL PERIODE 29/10/25</t>
  </si>
  <si>
    <t>925/PPC/X/2025</t>
  </si>
  <si>
    <t>BY MAKAN DINAS LUAR PERAK 28/10/25</t>
  </si>
  <si>
    <t>926/PPC/X/2025</t>
  </si>
  <si>
    <t>BY PERJALANAN KE RKT 26/10/25</t>
  </si>
  <si>
    <t>BY MAKAN DINAS LUAR PERAK 18-26/10/25</t>
  </si>
  <si>
    <t>BY PEMB. KLEM ACCU LOADER</t>
  </si>
  <si>
    <t>927/PPC/X/2025</t>
  </si>
  <si>
    <t>BY BBM PERIODE 28-29/10/2025</t>
  </si>
  <si>
    <t>BY TRANSPORTASI PARKIR TOL 28-29/10/2025</t>
  </si>
  <si>
    <t>928/PPC/X/2025</t>
  </si>
  <si>
    <t>BY TRANSPORTASI PARKIR TOL 29/10/2025</t>
  </si>
  <si>
    <t>04.11.2025</t>
  </si>
  <si>
    <t>887/PPC/X/2025</t>
  </si>
  <si>
    <t>BY KOTAK SNACK U/ KICK OFF BMDP MANUFACTURING 26</t>
  </si>
  <si>
    <t>888/PPC/X/2025</t>
  </si>
  <si>
    <t>PELATIHAN EXTERNAL-PIHAK3</t>
  </si>
  <si>
    <t>BY SEMINAR SPSI KEBIJAKAN POLITIK &amp; HIERARKI HUKUM</t>
  </si>
  <si>
    <t>889/PPC/X/2025</t>
  </si>
  <si>
    <t>BY TRANSPORTASI BBM 17-21 OKTOBER 2025</t>
  </si>
  <si>
    <t>885/PPC/X/2025</t>
  </si>
  <si>
    <t>BY HC SG OILSEED EBP 2411777854</t>
  </si>
  <si>
    <t>BY HC NESTLE PAKISTAN ETP 2411777901</t>
  </si>
  <si>
    <t>BY HC CHEMI C EBP 2411777939</t>
  </si>
  <si>
    <t>BY HC CHEMI C EBP 2411777940</t>
  </si>
  <si>
    <t>BY HC CHEMI C EBP 2411777866</t>
  </si>
  <si>
    <t>BY HC SUICHANGLONG EBP 2411777908</t>
  </si>
  <si>
    <t>BY HC SG OILSEED EBP 2411777931</t>
  </si>
  <si>
    <t>890/PPC/X/2025</t>
  </si>
  <si>
    <t>BY KONSUMSI BIPARTITE KESEPAKATAN PERPANJANGAN PKB</t>
  </si>
  <si>
    <t>891/PPC/X/2025</t>
  </si>
  <si>
    <t>BY KONSUMSI BMDP MANUFACTURING 26 - 17/10/2025</t>
  </si>
  <si>
    <t>892/PPC/X/2025</t>
  </si>
  <si>
    <t>BY KONSUMSI BMDP MANUFACTURING 26 - 16/10/2025</t>
  </si>
  <si>
    <t>893/PPC/X/2025</t>
  </si>
  <si>
    <t>BY KONSUMSI KICK OFF GRADING ALIGNMENT QFS 2025</t>
  </si>
  <si>
    <t>894/PPC/X/2025</t>
  </si>
  <si>
    <t>BY TRANSPORTASI BBM 21-22 OKTOBER 2025</t>
  </si>
  <si>
    <t>895/PPC/X/2025</t>
  </si>
  <si>
    <t>BY KONSUMSI 551 17/10/2025</t>
  </si>
  <si>
    <t>896/PPC/X/2025</t>
  </si>
  <si>
    <t>BY HC NESTLE AUSTRALIA ETP 2411777941</t>
  </si>
  <si>
    <t>897/PPC/X/2025</t>
  </si>
  <si>
    <t>BY HC AGRI RESINDO ETP 2411777605</t>
  </si>
  <si>
    <t>BY HC AGRI RESINDO ETP 2411777523</t>
  </si>
  <si>
    <t>BY HC AGRI RESINDO ETP 2411777708, 710</t>
  </si>
  <si>
    <t>BY HC FALCON EBP 2411777709</t>
  </si>
  <si>
    <t>BY HC HOME CHAIN EBP 2411777664</t>
  </si>
  <si>
    <t>BY HC THAI GLICO EBP 2411777502</t>
  </si>
  <si>
    <t>BY HC HOME CHAIN EBP 2411777401</t>
  </si>
  <si>
    <t>BY HC L-BIO EBP 2411777405</t>
  </si>
  <si>
    <t>BY HC SHENGRONG EBP 2411777407</t>
  </si>
  <si>
    <t>BY HC SHENGRONG EBP 2411777408</t>
  </si>
  <si>
    <t>BY HC NESTLE SENEGAL ETP 2411777668</t>
  </si>
  <si>
    <t>BY HC SHENGRONG EBP 2411777831</t>
  </si>
  <si>
    <t>BY HC CSH EBP 2411777609</t>
  </si>
  <si>
    <t>BY HC SHENGRONG EBP 2411777867</t>
  </si>
  <si>
    <t>BY HC HOME CHAIN EBP 2411777818</t>
  </si>
  <si>
    <t>901/PPC/X/2025</t>
  </si>
  <si>
    <t>BY HC SG OILSEED EBP 2411777930</t>
  </si>
  <si>
    <t>BY HC SUICHANGLONG EBP 2411777906</t>
  </si>
  <si>
    <t>BY HC SG OILSEED EBP 2411777903</t>
  </si>
  <si>
    <t>BY HC SG OILSEED EBP 2411777933</t>
  </si>
  <si>
    <t>BY HC SG OILSEED EBP 2411777959</t>
  </si>
  <si>
    <t>BY HC HORGOS B EBP 2411777910</t>
  </si>
  <si>
    <t>BY HC SG OILSEED EBP 2411777853</t>
  </si>
  <si>
    <t>BY HC SG OILSEED EBP 2411777857</t>
  </si>
  <si>
    <t>BY HC SG OILSEED EBP 2411777796</t>
  </si>
  <si>
    <t>BY LEVY &amp; BK SAMPLE KE GERMANY</t>
  </si>
  <si>
    <t>882/PPC/X/2025</t>
  </si>
  <si>
    <t>BY TRANSPORT RUNGKUT-PERAK PP 18-21/10/2025</t>
  </si>
  <si>
    <t>883/PPC/X/2025</t>
  </si>
  <si>
    <t>BY PEMB PASIR, SEMEN, AVIAN BROWN U/ LANTAI KANTIN</t>
  </si>
  <si>
    <t>871/PPC/X/2025</t>
  </si>
  <si>
    <t>BY PEMB ADAPTOR BATERAI, SOLDER, TIMAH, KABEL, DLL</t>
  </si>
  <si>
    <t>898/PPC/X/2025</t>
  </si>
  <si>
    <t>BY PEMB MATERAI BAG. ADM EXPORT</t>
  </si>
  <si>
    <t>902/PPC/X/2025</t>
  </si>
  <si>
    <t>BY TRANSPORTASI BBM 22-23/10/2025</t>
  </si>
  <si>
    <t>904/PPC/X/2025</t>
  </si>
  <si>
    <t>BY PARKIR SPD MTR L 2057 EK BAG. EKSP.01-22/10/25</t>
  </si>
  <si>
    <t>905/PPC/X/2025</t>
  </si>
  <si>
    <t>BY TRANSPORTASI BBM 23-24/10/2025</t>
  </si>
  <si>
    <t>906/PPC/X/2025</t>
  </si>
  <si>
    <t>BY PEMB DROP BOLT ELECTRIC PINTU LOBY LAB</t>
  </si>
  <si>
    <t>BY PEMB SENSORY KFC</t>
  </si>
  <si>
    <t>910/PPC/X/2025</t>
  </si>
  <si>
    <t>BY PEMB SKUN KONEKSI MOTOR KABEL</t>
  </si>
  <si>
    <t>911/PPC/X/2025</t>
  </si>
  <si>
    <t>BY PEMBUATAN BANNER SUSTAINABLE</t>
  </si>
  <si>
    <t>912/PPC/X/2025</t>
  </si>
  <si>
    <t>BY PEMB BOX STYROFOAM U/ KIRIM SAMPLE PRODUK</t>
  </si>
  <si>
    <t>913/PPC/X/2025</t>
  </si>
  <si>
    <t>BY HC HORGOS B EBP 2411778052</t>
  </si>
  <si>
    <t>BY HC HORGOS B EBP 2411777904</t>
  </si>
  <si>
    <t>BY HC HORGOS B EBP 2411777272</t>
  </si>
  <si>
    <t>884/PPC/X/2025</t>
  </si>
  <si>
    <t>BY MAKAN TEKNISI GEA 20-23/10/2025</t>
  </si>
  <si>
    <t>907/PPC/X/2025</t>
  </si>
  <si>
    <t>BY OLAHRAGA 24/10/2025</t>
  </si>
  <si>
    <t>914/PPC/X/2025</t>
  </si>
  <si>
    <t>BY PARKIR SPD MTR L 2067 FT BAG. EKSP. 24/09-25/10</t>
  </si>
  <si>
    <t>BY FOTOCOPY &amp; PRINT BAG. EKSPORT 24/09-25/10</t>
  </si>
  <si>
    <t>915/PPC/X/2025</t>
  </si>
  <si>
    <t>BY TRANSPORTASI BBM 24-27/10/2025</t>
  </si>
  <si>
    <t>908/PPC/X/2025</t>
  </si>
  <si>
    <t>BY TRANSPORTASI RUNGKUT-PRK PP 22-26/10/2025 OH</t>
  </si>
  <si>
    <t>917/PPC/X/2025</t>
  </si>
  <si>
    <t>BY PEMB PAKU RIVET, KUAS, KUAS ROLL, STICKER VINYL</t>
  </si>
  <si>
    <t>918/PPC/X/2025</t>
  </si>
  <si>
    <t>BY TRANSPORTASI BBM 27-28/10/2025</t>
  </si>
  <si>
    <t>899/PPC/X/2025</t>
  </si>
  <si>
    <t>BY HC DINKES POLIVA ETP 2411777820</t>
  </si>
  <si>
    <t>BY HC DINKES POLIVA ETP 2411777821</t>
  </si>
  <si>
    <t>BY HC ASSUDAMAL EBP 2411777984</t>
  </si>
  <si>
    <t>BY HC ASSUDAMAL EBP 2411777985</t>
  </si>
  <si>
    <t>BY HC AL JAZIRA EBP 2411777974</t>
  </si>
  <si>
    <t>BY HC SABEANAT EBP 2411778046</t>
  </si>
  <si>
    <t>919/PPC/X/2025</t>
  </si>
  <si>
    <t>BY MKN DNS PRK 27/10/2025 - 2 ORG</t>
  </si>
  <si>
    <t>BY MKN DNS PRK 25/10/2025 - 2 ORG</t>
  </si>
  <si>
    <t>921/PPC/X/2025</t>
  </si>
  <si>
    <t>BY COO KADIN ASSUDAMAL 2411777984, 985, 986</t>
  </si>
  <si>
    <t>BY COO KADIN AL JAZIRA 2411777974</t>
  </si>
  <si>
    <t>BY HC COWN ROYAL MARG U/ REGISTRASI PRODUK NIGERIA</t>
  </si>
  <si>
    <t>929/PPC/XI/2025</t>
  </si>
  <si>
    <t>BY TRANSPORTASI BBM 29/10-03/11/2025</t>
  </si>
  <si>
    <t>932/PPC/XI/2025</t>
  </si>
  <si>
    <t>BY HC HAWK TRADING EBP 2411778129</t>
  </si>
  <si>
    <t>933/PPC/XI/2025</t>
  </si>
  <si>
    <t>BY PEMB ISI ROLL PUTIH U/ CAT JALUR PEJALAN KAKI</t>
  </si>
  <si>
    <t>935/PPC/XI/2025</t>
  </si>
  <si>
    <t>BY OLAHRAGA 27/10/2025</t>
  </si>
  <si>
    <t>936/PPC/XI/2025</t>
  </si>
  <si>
    <t>BY KONSUMSI P2K3 MEETING</t>
  </si>
  <si>
    <t>937/PPC/XI/2025</t>
  </si>
  <si>
    <t>BY MKN DNS PRK 31/10/2025 - 3 ORG</t>
  </si>
  <si>
    <t>938/PPC/XI/2025</t>
  </si>
  <si>
    <t>BY MKN DNS PRK 30/10/2025 - 3 ORG</t>
  </si>
  <si>
    <t>939/PPC/XI/2025</t>
  </si>
  <si>
    <t>BY MKN DNS PRK 29/10/2025 - 2 ORG</t>
  </si>
  <si>
    <t>916/PPC/X/2025</t>
  </si>
  <si>
    <t>BY HC NESTLE PAKISTAN ETP 2411777953</t>
  </si>
  <si>
    <t>BY HC NESTLE PAKISTAN ETP 2411778005</t>
  </si>
  <si>
    <t>BY HC GLOBAL TRANSIT EBP 2411778017</t>
  </si>
  <si>
    <t>BY HC SABEANAT EBP 2411778043</t>
  </si>
  <si>
    <t>BY HC SABEANAT EBP 2411778044</t>
  </si>
  <si>
    <t>BY HC HORGOS B EBP 2411778009</t>
  </si>
  <si>
    <t>BY HC SUICHANGLONG EBP 2411778012</t>
  </si>
  <si>
    <t>BY HC NESTLE PAKISTAN ETP 2411778139</t>
  </si>
  <si>
    <t>BY HC SUICHANGLONG EBP 2411778055</t>
  </si>
  <si>
    <t>941/PPC/XI/2025</t>
  </si>
  <si>
    <t>BY HC SG OILSEED EBP 2411778050</t>
  </si>
  <si>
    <t>BY HC SUICHANGLONG EBP 2411778011</t>
  </si>
  <si>
    <t>BY HC GUANGDONG SHENGRONG EBP 2411778014</t>
  </si>
  <si>
    <t>BY HC SG OILSEED EBP 2411778053</t>
  </si>
  <si>
    <t>BY HC SG OILSEED EBP 2411778013</t>
  </si>
  <si>
    <t>BY HC HORGOS B EBP 2411777432</t>
  </si>
  <si>
    <t>942/PPC/XI/2025</t>
  </si>
  <si>
    <t>BY HC MONDELEZ EBP 2411778072</t>
  </si>
  <si>
    <t>BY HC MONDELEZ EBP 2411778072 - REPROSES</t>
  </si>
  <si>
    <t>BY HC SUICHANGLONG EBP 2411778152</t>
  </si>
  <si>
    <t>BY HC HORGOS B EBP 2411777271</t>
  </si>
  <si>
    <t>922/PPC/XI/2025</t>
  </si>
  <si>
    <t>BY KONSUMSI &amp;POST IT BMDP MFG 26:LEAN SIX SIGMA YB</t>
  </si>
  <si>
    <t>923/PPC/XI/2025</t>
  </si>
  <si>
    <t>BY KONSUMSI BMDP MFG 26:LEAN SIX SIGMA YB 27/10/25</t>
  </si>
  <si>
    <t>924/PPC/XI/2025</t>
  </si>
  <si>
    <t>BY KONSUMSI &amp;POST IT BMDP MFG 26:BASIC LK3 29/10</t>
  </si>
  <si>
    <t>874/PPC/X/2025</t>
  </si>
  <si>
    <t>BY PEMB STOOD GALV, PYLOX, MUR, WP, DLL</t>
  </si>
  <si>
    <t>BY BLIND FLANGE ABIE PRIMA FP:04002500340128902</t>
  </si>
  <si>
    <t>873/PPC/X/2025</t>
  </si>
  <si>
    <t>BY SKUN 10mm, STOOD GALV MR, SELANG BAKAR</t>
  </si>
  <si>
    <t>BY CW CON B LIGHT TIARA ABADI FP:04002500338562131</t>
  </si>
  <si>
    <t>BY GAE SKUN ANUGERAH TAMA FP:04002500341359030</t>
  </si>
  <si>
    <t>872/PPC/X/2025</t>
  </si>
  <si>
    <t>BY CW CON B LIGHT TIARA ABADI FP:04002500338562117</t>
  </si>
  <si>
    <t>940/PPC/XI/2025</t>
  </si>
  <si>
    <t>BY SNACK MEETING REVIEW KPI VENDOR LOKAL BRANDED</t>
  </si>
  <si>
    <t>06.11.2025</t>
  </si>
  <si>
    <t>PETTY CASH RUNGKUT SURABAYA PERIODE 01-06 NOV 25</t>
  </si>
  <si>
    <t>10.11.2025</t>
  </si>
  <si>
    <t>943/PPC/XI/2025</t>
  </si>
  <si>
    <t>BY OLAHRAGA 03/11/2025</t>
  </si>
  <si>
    <t>944/PPC/XI/2025</t>
  </si>
  <si>
    <t>BY PEMB MATA BOR BESI NACHI, MATA BOR BETON</t>
  </si>
  <si>
    <t>945/PPC/XI/2025</t>
  </si>
  <si>
    <t>BY PEMBAYARAN PPJ GENSET 1 &amp; 2 OKTOBER 2025</t>
  </si>
  <si>
    <t>946/PPC/XI/2025</t>
  </si>
  <si>
    <t>BY HC SG OILSEED EBP 2411778142</t>
  </si>
  <si>
    <t>BY HC HORGOS B EBP 2411778147</t>
  </si>
  <si>
    <t>949/PPC/XI/2025</t>
  </si>
  <si>
    <t>BY KONSUMSI BMDP MFG 26:EFFECTIVE PRESENTATION</t>
  </si>
  <si>
    <t>950/PPC/XI/2025</t>
  </si>
  <si>
    <t>BY TRANSPORTASI BBM 05-06/11/2025</t>
  </si>
  <si>
    <t>951/PPC/XI/2025</t>
  </si>
  <si>
    <t>BY TRANSPORTASI BBM 03-05/11/2025</t>
  </si>
  <si>
    <t>900/PPC/X/2025</t>
  </si>
  <si>
    <t>BY MKN TEKNISI GEA 24-28/10/2025</t>
  </si>
  <si>
    <t>952/PPC/XI/2025</t>
  </si>
  <si>
    <t>BY KONSUMSI BMDP MFG 26:INDIVIDUAL CONTRIBUTOR</t>
  </si>
  <si>
    <t>953/PPC/XI/2025</t>
  </si>
  <si>
    <t>BY PEMB MATERAI U/ ADM HRD</t>
  </si>
  <si>
    <t>954/PPC/XI/2025</t>
  </si>
  <si>
    <t>BY TRANSPORTASI GRAB RGKT-PRK 30/10/2025</t>
  </si>
  <si>
    <t>BY MKN DNS PRK 30/10/2025 - 2 ORG</t>
  </si>
  <si>
    <t>958/PPC/XI/2025</t>
  </si>
  <si>
    <t>BY MKN DNS PRK 3 ORG</t>
  </si>
  <si>
    <t>BY PEMB LAMPU LED FUMEHOOD, SENTER KEPALA</t>
  </si>
  <si>
    <t>BY PEMB SENSORY KFC 27/10, McD 20/10</t>
  </si>
  <si>
    <t>BY PEMB COOLER BOX U/ PRE SHIPMENT DANONE</t>
  </si>
  <si>
    <t>930/PPC/XI/2025</t>
  </si>
  <si>
    <t>931/PPC/XI/2025</t>
  </si>
  <si>
    <t>947/PPC/XI/2025</t>
  </si>
  <si>
    <t>BY HC HORGOS B EBP 2411778140</t>
  </si>
  <si>
    <t>BY HC HORGOS B EBP 2411778141</t>
  </si>
  <si>
    <t>BY HC HORGOS B EBP 2411778143</t>
  </si>
  <si>
    <t>BY HC AL ISLAM EBP 2411778259</t>
  </si>
  <si>
    <t>BY HC AL ISLAM EBP 2411778260</t>
  </si>
  <si>
    <t>BY COO KADIN AL ISLAM EBP 2411778259</t>
  </si>
  <si>
    <t>BY COO KADIN AL ISLAM EBP 2411778260</t>
  </si>
  <si>
    <t>948/PPC/XI/2025</t>
  </si>
  <si>
    <t>BY TELEX GREENS LIMITED EBP 2411777606</t>
  </si>
  <si>
    <t>BY TELEX GREENS LIMITED EBP 2411777733</t>
  </si>
  <si>
    <t>959/PPC/XI/2025</t>
  </si>
  <si>
    <t>BY HC HORGOS B EBP 2411778150</t>
  </si>
  <si>
    <t>961/PPC/XI/2025</t>
  </si>
  <si>
    <t>BY MKN DNS PRK 25/10/2025 - 1 ORG</t>
  </si>
  <si>
    <t>962/PPC/XI/2025</t>
  </si>
  <si>
    <t>BY KONSUMSI TRAINING BMDP MFG 26 BGD 03-07/11/2025</t>
  </si>
  <si>
    <t>13.11.2025</t>
  </si>
  <si>
    <t>957/PPC/XI/2025</t>
  </si>
  <si>
    <t>BY MKN MLM TEKNISI ALFA LAVAL 7-10/11/2025</t>
  </si>
  <si>
    <t>964/PPC/XI/2025</t>
  </si>
  <si>
    <t>BY LEVY &amp; BK SAMPLE RBDOLN KE GERMAN</t>
  </si>
  <si>
    <t>965/PPC/XI/2025</t>
  </si>
  <si>
    <t>BY TRANSPORTASI BBM 06-10/11/2025</t>
  </si>
  <si>
    <t>966/PPC/XI/2025</t>
  </si>
  <si>
    <t>BY PDAM MESS PKTJAND NOV 2025</t>
  </si>
  <si>
    <t>967/PPC/XI/2025</t>
  </si>
  <si>
    <t>BY TRANSPORTASI BBM 10-11/11/2025</t>
  </si>
  <si>
    <t>968/PPC/XI/2025</t>
  </si>
  <si>
    <t>BY HC SUICHANGLONG EBP 2411778151</t>
  </si>
  <si>
    <t>BY HC HORGOS B EBP 2411778279</t>
  </si>
  <si>
    <t>BY HC FREE SAMPLE JUBI MARGARINE 15KG U/ REG</t>
  </si>
  <si>
    <t>971/PPC/XI/2025</t>
  </si>
  <si>
    <t>BY PEMB TEE, KENI, SOK, LEM U/ PERBAIKAN JALUR AIR</t>
  </si>
  <si>
    <t>BY PEMB MEMORY CARD KAMERA</t>
  </si>
  <si>
    <t>972/PPC/XI/2025</t>
  </si>
  <si>
    <t>BY TRANSPORTASI BBM 11-13/11/2025</t>
  </si>
  <si>
    <t>18.11.2025</t>
  </si>
  <si>
    <t>973/PPC/XI/2025</t>
  </si>
  <si>
    <t>BY IURAN MESS POKTJAND 8 RMH NOV 2025</t>
  </si>
  <si>
    <t>963/PPC/XI/2025</t>
  </si>
  <si>
    <t>BY MKN MLM TEKNISI ALFA LAVAL</t>
  </si>
  <si>
    <t>BY PEMB ACRYLIC STICK ROUND PIPE, NO DROP TAPE,DLL</t>
  </si>
  <si>
    <t>974/PPC/XI/2025</t>
  </si>
  <si>
    <t>BY PEMB MATA BOR , HANDLE, SILINDER PINTU,GEMBOK</t>
  </si>
  <si>
    <t>PAJAK KENDARAAN BERMOTOR</t>
  </si>
  <si>
    <t>BY PERPANJ. STNK MOBIL MERCEDEZ BENZ L 1604 ADW</t>
  </si>
  <si>
    <t>977/PPC/XI/2025</t>
  </si>
  <si>
    <t>BY MKN DNS PRK 11/11/2025 - 2 ORG</t>
  </si>
  <si>
    <t>978/PPC/XI/2025</t>
  </si>
  <si>
    <t>BY MKN DNS PRK 12/11/2025 - 2 ORG</t>
  </si>
  <si>
    <t>979/PPC/XI/2025</t>
  </si>
  <si>
    <t>BY TRANSPORTASI BBM 13-14/11/2025</t>
  </si>
  <si>
    <t>980/PPC/XI/2025</t>
  </si>
  <si>
    <t>BY IURAN ANGGOTA APINDO JATIM SEPTEMBER &amp; OKT 2025</t>
  </si>
  <si>
    <t>981/PPC/XI/2025</t>
  </si>
  <si>
    <t>BY IURAN PEMBERSIHAN GOT MESS POKTJAND</t>
  </si>
  <si>
    <t>982/PPC/XI/2025</t>
  </si>
  <si>
    <t>BY HC SG OILSEED EBP 2411778325</t>
  </si>
  <si>
    <t>BY LEVY &amp; BEA KELUAR SAMPLE RBDOLN KE VIETNAM</t>
  </si>
  <si>
    <t>983/PPC/XI/2025</t>
  </si>
  <si>
    <t>BY TRANSPORTASI BBM 14-17/11/2025</t>
  </si>
  <si>
    <t>984/PPC/XI/2025</t>
  </si>
  <si>
    <t>BY OLAHRAGA 14/11/2025</t>
  </si>
  <si>
    <t>986/PPC/XI/2025</t>
  </si>
  <si>
    <t>BY MKN DNS PRK 13/11/2025 - 2 ORG</t>
  </si>
  <si>
    <t>20.11.2025</t>
  </si>
  <si>
    <t>969/PPC/XI/2025</t>
  </si>
  <si>
    <t>BY HC NESTLE BANGLADESH ETP 2411778257</t>
  </si>
  <si>
    <t>BY HC DINKES POLIVA ETP 2411778229</t>
  </si>
  <si>
    <t>BY HC DINKES POLIVA ETP 2411778091</t>
  </si>
  <si>
    <t>BY COO KADIN NESTLE BANGLADESH ETP 2411778257</t>
  </si>
  <si>
    <t>985/PPC/XI/2025</t>
  </si>
  <si>
    <t>BY OLAHRAGA 17/11/2025</t>
  </si>
  <si>
    <t>976/PPC/XI/2025</t>
  </si>
  <si>
    <t>BY PEMB CONNECTOR SELANG SQUEEZING</t>
  </si>
  <si>
    <t>987/PPC/XI/2025</t>
  </si>
  <si>
    <t>BY TRANSPORTASI BBM 17/11/2025</t>
  </si>
  <si>
    <t>992/PPC/XI/2025</t>
  </si>
  <si>
    <t>BY KONSUMSI SC MEETING 18/11/2025</t>
  </si>
  <si>
    <t>993/PPC/XI/2025</t>
  </si>
  <si>
    <t>BY PEMB BATERAI ALAT GDA PPKK</t>
  </si>
  <si>
    <t>994/PPC/XI/2025</t>
  </si>
  <si>
    <t>BY PEMB HEADSET LOGITECH</t>
  </si>
  <si>
    <t>995/PPC/XI/2025</t>
  </si>
  <si>
    <t>BY TRANSPORTASI BBM 18-19/11/2025</t>
  </si>
  <si>
    <t>996/PPC/XI/2025</t>
  </si>
  <si>
    <t>BY PEMB ALAT CLOSET TOTO OFFICE LT.2</t>
  </si>
  <si>
    <t>997/PPC/XI/2025</t>
  </si>
  <si>
    <t>BY PEMB MIC WIRELESS</t>
  </si>
  <si>
    <t>999/PPC/XI/2025</t>
  </si>
  <si>
    <t>BY PEMB KUAS ROLL, REFILL ROLL KECIL, CAT</t>
  </si>
  <si>
    <t>21.11.2025</t>
  </si>
  <si>
    <t>1000/PPC/XI/2025</t>
  </si>
  <si>
    <t>BY HC NESTLE EGYPT EBP 2411778242</t>
  </si>
  <si>
    <t>1001/PPC/XI/2025</t>
  </si>
  <si>
    <t>BY HC GUANGDONG SHENGRONG EBP 2411778328</t>
  </si>
  <si>
    <t>BY HC HORGOS EBP 2411778149</t>
  </si>
  <si>
    <t>BY HC HORGOS EBP 2411778461</t>
  </si>
  <si>
    <t>BY HC HORGOS EBP 2411778322</t>
  </si>
  <si>
    <t>BY HC SUICHANGLONG EBP 2411778433</t>
  </si>
  <si>
    <t>1002/PPC/XI/2025</t>
  </si>
  <si>
    <t>BY HC GUANGDONG SHENGRONG EBP 2411778381</t>
  </si>
  <si>
    <t>BY HC SG OILSEED EBP 2411778308</t>
  </si>
  <si>
    <t>BY HC HORGOS EBP 2411778410</t>
  </si>
  <si>
    <t>BY HC GUANGDONG SHENGRONG EBP 2411778275</t>
  </si>
  <si>
    <t>BY HC HORGOS EBP 2411778015</t>
  </si>
  <si>
    <t>BY HC SG OILSEED EBP 2411778277</t>
  </si>
  <si>
    <t>24.11.2025</t>
  </si>
  <si>
    <t>998/PPC/XI/2025</t>
  </si>
  <si>
    <t>BY HC SG OILSEED EBP 2411778307</t>
  </si>
  <si>
    <t>BY HC SUICHANGLONG EBP 2411778382</t>
  </si>
  <si>
    <t>BY HC HORGOS EBP 2411778411</t>
  </si>
  <si>
    <t>BY HC SABEANAT EBP 2411778415</t>
  </si>
  <si>
    <t>BY HC SABEANAT EBP 2411778419</t>
  </si>
  <si>
    <t>BY HC SABEANAT EBP 2411778420</t>
  </si>
  <si>
    <t>960/PPC/XI/2025</t>
  </si>
  <si>
    <t>BY PEMB SEAL, RING SPRING, MUR BAUT</t>
  </si>
  <si>
    <t>BY ORING LIMPAH MAS FP 04002500357809175</t>
  </si>
  <si>
    <t>934/PPC/XI/2025</t>
  </si>
  <si>
    <t>BY PEMB EPE, EPC</t>
  </si>
  <si>
    <t>BY AIR FILTER R ABIE PRIMA FP:04012500358906960</t>
  </si>
  <si>
    <t>955/PPC/XI/2025</t>
  </si>
  <si>
    <t>BY MKN TEKNISI ALVA LAFAL 29/10/2025</t>
  </si>
  <si>
    <t>BY REG. PNEUMATIC ABIE PRIMA FP 04002500361771296</t>
  </si>
  <si>
    <t>956/PPC/XI/2025</t>
  </si>
  <si>
    <t>BY POWER SUPPLY LIMA LIMA D FP 04002500358024575</t>
  </si>
  <si>
    <t>970/PPC/XI/2025</t>
  </si>
  <si>
    <t>BY BEA MASUK SAMPLE BIROTIKA FP 04002500363620176</t>
  </si>
  <si>
    <t>1004/PPC/XI/2025</t>
  </si>
  <si>
    <t>BY MEDICAL CHECK UP A.N YOSSY D E-TIRTA M - PPh 23</t>
  </si>
  <si>
    <t>PETTY CASH RUNGKUT SURABAYA PERIODE 10-24 NOV 25</t>
  </si>
  <si>
    <t>30.11.2025</t>
  </si>
  <si>
    <t>10000001 - Valuation on 20251130</t>
  </si>
  <si>
    <t>01.12.2025</t>
  </si>
  <si>
    <t>10000001 - Valuation on 20251130 Reversal</t>
  </si>
  <si>
    <t>03.12.2025</t>
  </si>
  <si>
    <t>02.12.2025</t>
  </si>
  <si>
    <t>988/PPC/XI/2025</t>
  </si>
  <si>
    <t>BY PEMB NEEDLE VALVE HPB</t>
  </si>
  <si>
    <t>990/PPC/XI/2025</t>
  </si>
  <si>
    <t>BY PEMB DOUBLE UNION SUS</t>
  </si>
  <si>
    <t>1005/PPC/XI/2025</t>
  </si>
  <si>
    <t>BY KONSUMSI TRAINING BMDP MFG 26 BGD 14,21/11/2025</t>
  </si>
  <si>
    <t>1006/PPC/XI/2025</t>
  </si>
  <si>
    <t>BY KONSUMSI TRAINING SERTIFIKASI PETUGAS K3 KIMIA</t>
  </si>
  <si>
    <t>991/PPC/XI/2025</t>
  </si>
  <si>
    <t>BY MKN TEKNISI ALVA LAFAL 19-21/11/2025</t>
  </si>
  <si>
    <t>BY PEMB SELOTIP FOAM, BUBBLE WRAP</t>
  </si>
  <si>
    <t>1003/PPC/XI/2025</t>
  </si>
  <si>
    <t>BY OLAHRAGA 21/11/2025</t>
  </si>
  <si>
    <t>1007/PPC/XI/2025</t>
  </si>
  <si>
    <t>BY PEMB KAWAT TEMBAGA U/ MOTOR POMPA SLOPE TANK</t>
  </si>
  <si>
    <t>1008/PPC/XI/2025</t>
  </si>
  <si>
    <t>BY PEMB STEMPEL QC</t>
  </si>
  <si>
    <t>BY PEMB COOLER BOX U/ PRE SHIPMENT SAMPLE DANONE</t>
  </si>
  <si>
    <t>BY ATCQ McD 19/11/2025</t>
  </si>
  <si>
    <t>1009/PPC/XI/2025</t>
  </si>
  <si>
    <t>BY PEMB GEMBOK U/ BAK MAJUN</t>
  </si>
  <si>
    <t>BY PEMB PAYUNG &amp; JAS HUJAN U/ HELPER</t>
  </si>
  <si>
    <t>BY KIRIM SAMPLE</t>
  </si>
  <si>
    <t>BY PEMB KARMANTEL STATIS, TALI SAMPLER, SPIRITUS</t>
  </si>
  <si>
    <t>1010/PPC/XI/2025</t>
  </si>
  <si>
    <t>BY PEMB LOOP HANDLE POT U/ PENIMBANGAN BTP</t>
  </si>
  <si>
    <t>1011/PPC/XI/2025</t>
  </si>
  <si>
    <t>BY TRANSPORTASI BBM 19-21/11/2025</t>
  </si>
  <si>
    <t>1012/PPC/XI/2025</t>
  </si>
  <si>
    <t>BY TRANSPORTASI BBM 21-24/11/2025</t>
  </si>
  <si>
    <t>1013/PPC/XI/2025</t>
  </si>
  <si>
    <t>BY MKN DNS PRK 22/11/2025 - 2 ORG</t>
  </si>
  <si>
    <t>1014/PPC/XI/2025</t>
  </si>
  <si>
    <t>05.12.2025</t>
  </si>
  <si>
    <t>1017/PPC/XI/2025</t>
  </si>
  <si>
    <t>BY HC HORGOS EBP 2411778326</t>
  </si>
  <si>
    <t>BY HC SG OILSEED EBP 2411778516</t>
  </si>
  <si>
    <t>1019/PPC/XI/2025</t>
  </si>
  <si>
    <t>BY TRANSPORTASI BBM 24-26/11/2025</t>
  </si>
  <si>
    <t>1021/PPC/XI/2025</t>
  </si>
  <si>
    <t>BY KONSUMSI TRAINING BASIC OP. TEAM KOBEX</t>
  </si>
  <si>
    <t>1022/PPC/XI/2025</t>
  </si>
  <si>
    <t>BY PEMB MOUSE WIRELESS, TP LINK BLUETOOTH USB</t>
  </si>
  <si>
    <t>BY PEMB BEARING, COVER MOTOR BIB</t>
  </si>
  <si>
    <t>1023/PPC/XI/2025</t>
  </si>
  <si>
    <t>BY PEMB RESISTANCE BAND PILATES</t>
  </si>
  <si>
    <t>1024/PPC/XI/2025</t>
  </si>
  <si>
    <t>BY TRANSPORTASI BBM 26-27/11/2025</t>
  </si>
  <si>
    <t>1025/PPC/XI/2025</t>
  </si>
  <si>
    <t>BY TRANSPORTASI BBM 27/11/2025</t>
  </si>
  <si>
    <t>1026/PPC/XI/2025</t>
  </si>
  <si>
    <t>BY LOOP HANDLE POT U/ MIXING AP LIQUID &amp;LECITHIN</t>
  </si>
  <si>
    <t>1027/PPC/XI/2025</t>
  </si>
  <si>
    <t>BY LOOP HANDLE POT U/ MIXING PLA TOCO</t>
  </si>
  <si>
    <t>1015/PPC/XI/2025</t>
  </si>
  <si>
    <t>BY HC SUICHANGLONG EBP 2411778514</t>
  </si>
  <si>
    <t>BY HC GLOBAL TRANSIT EBP 2411778578</t>
  </si>
  <si>
    <t>BY HC GLOBAL TRANSIT EBP 2411778579</t>
  </si>
  <si>
    <t>BY HC FUJIAN NANAN EBP 2411778569</t>
  </si>
  <si>
    <t>BY HC NESTLE PAKISTAN ETP 2411778258</t>
  </si>
  <si>
    <t>BY HC NESTLE PAKISTAN ETP 2411778590</t>
  </si>
  <si>
    <t>BY HC DINKES POLIVA ETP 2411778243</t>
  </si>
  <si>
    <t>BY HC DINKES POLIVA ETP 2411778244</t>
  </si>
  <si>
    <t>1016/PPC/XI/2025</t>
  </si>
  <si>
    <t>BY PEMB PUPUK, BATU TAMAN, SANSIVERA, POT TANAMAN</t>
  </si>
  <si>
    <t>1029/PPC/XI/2025</t>
  </si>
  <si>
    <t>BY PARKIR SPD MTR L 2057 EK BAG. EKSP.22/10-26/11</t>
  </si>
  <si>
    <t>1028/PPC/XI/2025</t>
  </si>
  <si>
    <t>BY HC HORGOS EBP 2411778540</t>
  </si>
  <si>
    <t>1030/PPC/XI/2025</t>
  </si>
  <si>
    <t>BY HC SG OILSEED EBP 2411778517</t>
  </si>
  <si>
    <t>BY HC NESTLE GHANA ETP 2411778469</t>
  </si>
  <si>
    <t>BY HC NESTLE PNG ETP 2411778477</t>
  </si>
  <si>
    <t>BY HC NESTLE PNG ETP 2411778480</t>
  </si>
  <si>
    <t>BY HC NESTLE PNG ETP 2411778470</t>
  </si>
  <si>
    <t>BY HC NESTLE AUSTRALIA ETP 2411778486</t>
  </si>
  <si>
    <t>BY HC NESTLE AUSTRALIA ETP 2411778594</t>
  </si>
  <si>
    <t>BY HC GLOBAL TRANSIT EBP 2411778581</t>
  </si>
  <si>
    <t>BY HC GLOBAL TRANSIT EBP 2411778576</t>
  </si>
  <si>
    <t>BY HC GLOBAL TRANSIT EBP 2411778577</t>
  </si>
  <si>
    <t>BY LEVY &amp; BK SAMPLE RBDOLN</t>
  </si>
  <si>
    <t>1031/PPC/XI/2025</t>
  </si>
  <si>
    <t>BY HC GUANGDONG SHENGRONG EBP 2411778318</t>
  </si>
  <si>
    <t>BY HC HORGOS EBP 2411778520</t>
  </si>
  <si>
    <t>BY HC HORGOS EBP 2411778515</t>
  </si>
  <si>
    <t>BY HC HORGOS EBP 2411778320</t>
  </si>
  <si>
    <t>BY HC HORGOS EBP 2411778571</t>
  </si>
  <si>
    <t>BY HC HORGOS EBP 2411778622</t>
  </si>
  <si>
    <t>BY HC HORGOS EBP 2411778624</t>
  </si>
  <si>
    <t>BY HC HORGOS EBP 2411778570</t>
  </si>
  <si>
    <t>BY HC HORGOS EBP 2411778462</t>
  </si>
  <si>
    <t>BY HC HORGOS EBP 2411778434</t>
  </si>
  <si>
    <t>BY HC HORGOS EBP 2411778625</t>
  </si>
  <si>
    <t>BY HC HORGOS EBP 2411778518</t>
  </si>
  <si>
    <t>1033/PPC/XI/2025</t>
  </si>
  <si>
    <t>BY PEMB MATERAI U/ SURAT KUASA IMPORT PROCUREMENT</t>
  </si>
  <si>
    <t>1034/PPC/XI/2025</t>
  </si>
  <si>
    <t>BY LOOP HANDLE POT U/ BTP, WATER JUG U/ SAMPLING</t>
  </si>
  <si>
    <t>1037/PPC/XII/25</t>
  </si>
  <si>
    <t>BY KONSUMSI TRAINING INTERNAL AUDITOR ISO 25/11/25</t>
  </si>
  <si>
    <t>1038/PPC/XII/25</t>
  </si>
  <si>
    <t>BY KONSUMSI TRAINING INTERNAL AUDITOR ISO 27/11/25</t>
  </si>
  <si>
    <t>1039/PPC/XII/25</t>
  </si>
  <si>
    <t>BY KONSUMSI TRAINING INTERNAL AUDITOR ISO 26/11/25</t>
  </si>
  <si>
    <t>1040/PPC/XII/25</t>
  </si>
  <si>
    <t>BY TRANSPORTASI BBM 27-28/11/2025</t>
  </si>
  <si>
    <t>1041/PPC/XII/25</t>
  </si>
  <si>
    <t>BY KONSUMSI 551 28/11/2025</t>
  </si>
  <si>
    <t>1032/PPC/XI/25</t>
  </si>
  <si>
    <t>BY HC GOLD VIET EBP 2411778226</t>
  </si>
  <si>
    <t>BY HC GLOBAL TRANSIT EBP 2411778019</t>
  </si>
  <si>
    <t>BY HC GLOBAL TRANSIT EBP 2411778020</t>
  </si>
  <si>
    <t>BY HC GLOBAL TRANSIT EBP 2411778018</t>
  </si>
  <si>
    <t>BY HC TALENT FAREAST EBP 2411777977</t>
  </si>
  <si>
    <t>BY HC HOME CHAIN EBP 2411777983</t>
  </si>
  <si>
    <t>BY HC PICCO KOSOSVO EBP 2411777885</t>
  </si>
  <si>
    <t>BY HC AGRI RESINDO EBP 2411778031</t>
  </si>
  <si>
    <t>BY HC SHENGRONG EBP 2411777982</t>
  </si>
  <si>
    <t>BY HC HOME CHAIN EBP 2411777975</t>
  </si>
  <si>
    <t>BY HC THAI GLICO EBP 2411778148</t>
  </si>
  <si>
    <t>BY HC KWUNG AROMA EBP 2411778175</t>
  </si>
  <si>
    <t>BY HC SHENGRONG EBP 2411777637</t>
  </si>
  <si>
    <t>BY HC FALCON EBP 2411778227</t>
  </si>
  <si>
    <t>BY HC AGRI RESINDO EBP 2411778333</t>
  </si>
  <si>
    <t>BY HC HOME CHAIN EBP 2411778329</t>
  </si>
  <si>
    <t>BY HC NN TEL EBP 2411778357</t>
  </si>
  <si>
    <t>BY HC THAI GLICO EBP 2411778456</t>
  </si>
  <si>
    <t>BY PEMB TAS PLASTIK U/ SAMPLING EXPORT</t>
  </si>
  <si>
    <t>1047/PPC/XII/25</t>
  </si>
  <si>
    <t>BY TRANSPORTASI BBM 28/11-03/12/2025</t>
  </si>
  <si>
    <t>1035/PPC/XII/25</t>
  </si>
  <si>
    <t>1036/PPC/XII/25</t>
  </si>
  <si>
    <t>1044/PPC/XII/25</t>
  </si>
  <si>
    <t>BY HC NESTLE PAKISTAN ETP 2411778591</t>
  </si>
  <si>
    <t>BY HC SUICHANGLONG EBP 2411778568</t>
  </si>
  <si>
    <t>BY HC GUANGDONG SHENGRONG EBP 2411778628</t>
  </si>
  <si>
    <t>BY HC CHEMI EBP 2411778632</t>
  </si>
  <si>
    <t>BY HC HORGOS EBP 2411778627</t>
  </si>
  <si>
    <t>1048/PPC/XII/25</t>
  </si>
  <si>
    <t>BY PEMBAYARAN PPJ GENSET 1 &amp; 2 NOVEMBER 2025</t>
  </si>
  <si>
    <t>1049/PPC/XII/25</t>
  </si>
  <si>
    <t>BY PEMB MODUL PRX U/ COMPRESSOR AMONIA</t>
  </si>
  <si>
    <t>1043/PPC/XII/25</t>
  </si>
  <si>
    <t>BY COO KADIN &amp; HC ASSUDAMAL EBP 2411778654</t>
  </si>
  <si>
    <t>BY COO KADIN &amp; HC ASSUDAMAL EBP 2411778658</t>
  </si>
  <si>
    <t>BY COO KADIN &amp; HC ASSUDAMAL EBP 2411778659</t>
  </si>
  <si>
    <t>1050/PPC/XII/25</t>
  </si>
  <si>
    <t>BY PARKIR SPD MTR L 2167 FT BAG. EKSP.24/10-2/12</t>
  </si>
  <si>
    <t>BY FOTOCOPY &amp; PRINT BAG. EKSPORT 24/10-02/12</t>
  </si>
  <si>
    <t>1052/PPC/XII/25</t>
  </si>
  <si>
    <t>BY HC GUANGDONG SHENGRONG EBP 2411778626</t>
  </si>
  <si>
    <t>BY HC HORGOS EBP 2411778623</t>
  </si>
  <si>
    <t>BY HC TOP ROAD EBP 2411778666</t>
  </si>
  <si>
    <t>1053/PPC/XII/25</t>
  </si>
  <si>
    <t>BY HC HORGOS EBP 2411778691</t>
  </si>
  <si>
    <t>BY HC SINOCHEM EBP 2411778682</t>
  </si>
  <si>
    <t>BY HC GREENLAND EBP 2411778442</t>
  </si>
  <si>
    <t>1054/PPC/XII/25</t>
  </si>
  <si>
    <t>BY HC HORGOS EBP 2411778697</t>
  </si>
  <si>
    <t>BY HC GLOBAL TRANSIT EBP 2411778041</t>
  </si>
  <si>
    <t>08.12.2025</t>
  </si>
  <si>
    <t>1045/PPC/XII/25</t>
  </si>
  <si>
    <t>BY HC CSH BEVERAGES EBP 2411778463</t>
  </si>
  <si>
    <t>BY HC CSH BEVERAGES EBP 2411778464</t>
  </si>
  <si>
    <t>BY HC CSH BEVERAGES EBP 2411778465</t>
  </si>
  <si>
    <t>BY HC CSH BEVERAGES EBP 2411778466</t>
  </si>
  <si>
    <t>BY HC CSH BEVERAGES EBP 2411778467</t>
  </si>
  <si>
    <t>BY HC CSH BEVERAGES EBP 2411778468</t>
  </si>
  <si>
    <t>BY HC CSH BEVERAGES EBP 2411778265</t>
  </si>
  <si>
    <t>BY HC CSH BEVERAGES EBP 2411778266</t>
  </si>
  <si>
    <t>BY HC CSH BEVERAGES EBP 2411778267</t>
  </si>
  <si>
    <t>1056/PPC/XII/25</t>
  </si>
  <si>
    <t>BY PERBAIKAN KENDARAAN KURIR</t>
  </si>
  <si>
    <t>1057/PPC/XII/25</t>
  </si>
  <si>
    <t>BY PERPANJANGAN STNK AMBULANCE L 1855 GT</t>
  </si>
  <si>
    <t>1018/PPC/XI/25</t>
  </si>
  <si>
    <t>BY PEMB CLAM SELANG, DN SS, SH 40, NS SS, SPCF</t>
  </si>
  <si>
    <t>BY PEMB CORONG SS RESTOMART FP:04002500396177886</t>
  </si>
  <si>
    <t>1020/PPC/XI/25</t>
  </si>
  <si>
    <t>BY R1 DUNLOP&amp;SLIVE SDA GLOBAL FP:04002500379416637</t>
  </si>
  <si>
    <t>989/PPC/XI/2025</t>
  </si>
  <si>
    <t>BY PEMB MALE CONECTOR SUS</t>
  </si>
  <si>
    <t>BY REGULATOR ABIE P FP 04002500383850444</t>
  </si>
  <si>
    <t>1042/PPC/XII/25</t>
  </si>
  <si>
    <t>BY TELEX RLS ANL FP 04002500345376644 - PPh</t>
  </si>
  <si>
    <t>PETTY CASH RUNGKUT SURABAYA PERIODE 01-08 DES 25</t>
  </si>
  <si>
    <t>16.12.2025</t>
  </si>
  <si>
    <t>1059/PPC/XII/25</t>
  </si>
  <si>
    <t>BY OLAHRAGA 05/12/2025</t>
  </si>
  <si>
    <t>1060/PPC/XII/25</t>
  </si>
  <si>
    <t>BY PEMB STAIN REMOVER, KISPRAY, KAMPER, DLL</t>
  </si>
  <si>
    <t>1061/PPC/XII/25</t>
  </si>
  <si>
    <t>BY TRANSPORTASI BBM 05-08/12/2025</t>
  </si>
  <si>
    <t>1062/PPC/XII/25</t>
  </si>
  <si>
    <t>BY TRANSPORTASI BBM 03-05/12/2025</t>
  </si>
  <si>
    <t>1063/PPC/XII/25</t>
  </si>
  <si>
    <t>BY KONSUMSI PRESENTATION BMDP FINANCE PHASE 3</t>
  </si>
  <si>
    <t>1064/PPC/XII/25</t>
  </si>
  <si>
    <t>BY KONSUMSI TRAINING BMDP MFG BGD 26 28/11/2025</t>
  </si>
  <si>
    <t>1051/PPC/XII/25</t>
  </si>
  <si>
    <t>BY HC HORGOS EBP 2411778692</t>
  </si>
  <si>
    <t>BY HC HORGOS EBP 2411778693</t>
  </si>
  <si>
    <t>BY HC AL ISLAM EBP 2411778634</t>
  </si>
  <si>
    <t>BY COO KADIN AL ISLAM EBP 2411778634</t>
  </si>
  <si>
    <t>1055/PPC/XII/25</t>
  </si>
  <si>
    <t>BY PEMB MATERAI U/ ADMIN EXPORT</t>
  </si>
  <si>
    <t>1058/PPC/XII/25</t>
  </si>
  <si>
    <t>BY PEMB PELAMPUNG TOTO, FLUSH TOILET, KABEL PRINTR</t>
  </si>
  <si>
    <t>1065/PPC/XII/25</t>
  </si>
  <si>
    <t>BY TRANSPORTASI BBM 08-09/12/2025</t>
  </si>
  <si>
    <t>1066/PPC/XII/25</t>
  </si>
  <si>
    <t>BY PEMB TOTO FLUSH, PYLOX</t>
  </si>
  <si>
    <t>1067/PPC/XII/25</t>
  </si>
  <si>
    <t>BY PEMB TEEPOL U/ CUCI TALI SAMPLER</t>
  </si>
  <si>
    <t>1068/PPC/XII/25</t>
  </si>
  <si>
    <t>BY IURAN RT MESS PONDOK TJANDRA DES 2025</t>
  </si>
  <si>
    <t>1069/PPC/XII/25</t>
  </si>
  <si>
    <t>BY COOLER BOX, BOTOL KACA SAMPLE</t>
  </si>
  <si>
    <t>BY PEMB POWERTEC CARABINER U/ TALI SAMPLER</t>
  </si>
  <si>
    <t>1070/PPC/XII/25</t>
  </si>
  <si>
    <t>BY PEMB TALI KARMANTEL, BATERAI TERMOLOGGER</t>
  </si>
  <si>
    <t>BY KIRIM SAMPLE SGS</t>
  </si>
  <si>
    <t>BY ATCQ McD</t>
  </si>
  <si>
    <t>BY PEMB SPIDOL, GLUE STICK</t>
  </si>
  <si>
    <t>1072/PPC/XII/25</t>
  </si>
  <si>
    <t>BY SUKACITA NIKAH A.N UJANG EKO P</t>
  </si>
  <si>
    <t>1073/PPC/XII/25</t>
  </si>
  <si>
    <t>BY SUKACITA NIKAH A.N MUH. SULTON</t>
  </si>
  <si>
    <t>1074/PPC/XII/25</t>
  </si>
  <si>
    <t>BY SUKACITA NIKAH A.N ORIENTASI P</t>
  </si>
  <si>
    <t>1075/PPC/XII/25</t>
  </si>
  <si>
    <t>BY HC NESTLE SENEGAL ETP 2411778781</t>
  </si>
  <si>
    <t>BY HC HORGOS EBP 2411778783</t>
  </si>
  <si>
    <t>BY HC SUICHANGLONG EBP 2411778696</t>
  </si>
  <si>
    <t>1076/PPC/XII/25</t>
  </si>
  <si>
    <t>BY PEMB WIPER, CAT NO DROP, SERAT FIBER, PAKU, DLL</t>
  </si>
  <si>
    <t>1077/PPC/XII/25</t>
  </si>
  <si>
    <t>BY PDAM MESS PKTJAND DES 2025</t>
  </si>
  <si>
    <t>1078/PPC/XII/25</t>
  </si>
  <si>
    <t>BY KONSUMSI P2K3 MEETING, EHFS AWARD 2025</t>
  </si>
  <si>
    <t>1080/PPC/XII/25</t>
  </si>
  <si>
    <t>BY TRANSPORTASI BBM 09-11/12/2025</t>
  </si>
  <si>
    <t>1081/PPC/XII/25</t>
  </si>
  <si>
    <t>BY HC SMART SHAHULA EBP 2411778644</t>
  </si>
  <si>
    <t>BY HC NESTLE GHANA ETP 2411778704</t>
  </si>
  <si>
    <t>BY HC NESTLE PNG ETP 2411778753</t>
  </si>
  <si>
    <t>BY HC NESTLE PNG ETP 2411778752</t>
  </si>
  <si>
    <t>BY HC NESTLE AUSTRALIA ETP 2411778620</t>
  </si>
  <si>
    <t>BY HC NESTLE AUSTRALIA ETP 2411778705</t>
  </si>
  <si>
    <t>1082/PPC/XII/25</t>
  </si>
  <si>
    <t>BY OLAHRAGA 12/12/2025</t>
  </si>
  <si>
    <t>1083/PPC/XII/25</t>
  </si>
  <si>
    <t>BY TRANSPORTASI BBM 11-15/12/2025</t>
  </si>
  <si>
    <t>1084/PPC/XII/25</t>
  </si>
  <si>
    <t>BY PEMB BOTOL DURAN 1 L U/ SAMPLE</t>
  </si>
  <si>
    <t>1085/PPC/XII/25</t>
  </si>
  <si>
    <t>BY PEMB INK PAD (STEMPEL)</t>
  </si>
  <si>
    <t>1086/PPC/XII/25</t>
  </si>
  <si>
    <t>BY HC NESTLE GHANA ETP 2411778871</t>
  </si>
  <si>
    <t>BY HC SG OILSEED EBP 2411778822</t>
  </si>
  <si>
    <t>BY HC AZ CORP EBP 2411778487</t>
  </si>
  <si>
    <t>22.12.2025</t>
  </si>
  <si>
    <t>1088/PPC/XII/25</t>
  </si>
  <si>
    <t>BY HC GUANGDONG SHENGRONG EBP 2411778626-REPROSES</t>
  </si>
  <si>
    <t>BY HC NESTLE SENEGAL ETP 2411778934</t>
  </si>
  <si>
    <t>BY HC SUICHANGLONG EBP 2411778923</t>
  </si>
  <si>
    <t>BY HC BELTEK EBP 2411778895</t>
  </si>
  <si>
    <t>BY HC DAZHI EBP 2411778872</t>
  </si>
  <si>
    <t>1089/PPC/XII/25</t>
  </si>
  <si>
    <t>BY PEMB LOOP HANDLE POT U/ MIXING PLA TOCO</t>
  </si>
  <si>
    <t>1090/PPC/XII/25</t>
  </si>
  <si>
    <t>BY PEMB LOOP HANDLE POT U/ MIXING AP LIQUID&amp;LECIT</t>
  </si>
  <si>
    <t>1093/PPC/XII/25</t>
  </si>
  <si>
    <t>BY PEMB RESIN MERAH, KATALIS, SAMBUNGAN RANTAI</t>
  </si>
  <si>
    <t>1091/PPC/XII/25</t>
  </si>
  <si>
    <t>BY PEMB TUTUP CLOSED TOILET, ADAPTOR GERINDA, LEM,</t>
  </si>
  <si>
    <t>1079/PPC/XII/25</t>
  </si>
  <si>
    <t>BY HC AST PVT EBP 2411778764</t>
  </si>
  <si>
    <t>BY HC SUICHANGLONG EBP 2411778804</t>
  </si>
  <si>
    <t>BY HC AL ISLAM EBP 2411778841</t>
  </si>
  <si>
    <t>BY HC HORGOS BAIPENG EBP 2411778873</t>
  </si>
  <si>
    <t>BY HC FUJIAN EBP 2411778569</t>
  </si>
  <si>
    <t>BY COO KADIN AST PVT EBP 2411778764</t>
  </si>
  <si>
    <t>BY COO KADIN AL ISLAM EBP 2411778841</t>
  </si>
  <si>
    <t>1095/PPC/XII/25</t>
  </si>
  <si>
    <t>BY KONSUMSI DRILL SIMULASI KEBAKARAN</t>
  </si>
  <si>
    <t>1096/PPC/XII/25</t>
  </si>
  <si>
    <t>BY HC HORGOS BAIPENG EBP 2411778799</t>
  </si>
  <si>
    <t>BY HC SG OILSEED EBP 2411779009</t>
  </si>
  <si>
    <t>BY HC HORGOS BAIPENG EBP 2411778925</t>
  </si>
  <si>
    <t>BY HC GUANGDONG SHENGRONG EBP 2411778893</t>
  </si>
  <si>
    <t>BY HC SUICHANGLONG EBP 2411778924</t>
  </si>
  <si>
    <t>BY HC HORGOS BAIPENG EBP 2411778695</t>
  </si>
  <si>
    <t>BY HC HORGOS BAIPENG EBP 2411778785</t>
  </si>
  <si>
    <t>BY HC GUANGDONG SHENGRONG EBP 2411778802</t>
  </si>
  <si>
    <t>BY HC SG OILSEED EBP 2411778801</t>
  </si>
  <si>
    <t>BY HC HORGOS BAIPENG EBP 2411778515 - REPROSES</t>
  </si>
  <si>
    <t>BY HC SG OILSEED EBP 2411778726</t>
  </si>
  <si>
    <t>BY HC HORGOS BAIPENG EBP 2411778327</t>
  </si>
  <si>
    <t>BY HC SG OILSEED EBP 2411778680</t>
  </si>
  <si>
    <t>1098/PPC/XII/25</t>
  </si>
  <si>
    <t>BY KONSUMSI SC MEETING 16/12/2025</t>
  </si>
  <si>
    <t>1101/PPC/XII/25</t>
  </si>
  <si>
    <t>BY TRANSPORTASI BBM 15-18/12/2025</t>
  </si>
  <si>
    <t>23.12.2025</t>
  </si>
  <si>
    <t>1103/PPC/XII/25</t>
  </si>
  <si>
    <t>BY PEMBUATAN MAKET PROJECT SDA NATIONAL OLYMPICS</t>
  </si>
  <si>
    <t>1104/PPC/XII/25</t>
  </si>
  <si>
    <t>BY PEMB RIPET, SKRUP GYPSUM, KAPI U/ PARTISI</t>
  </si>
  <si>
    <t>1105/PPC/XII/25</t>
  </si>
  <si>
    <t>BY PEMBUATAN MAKET PROJECT JDI NATIONAL OLYMPICS</t>
  </si>
  <si>
    <t>1106/PPC/XII/25</t>
  </si>
  <si>
    <t>BY PORTABLE MESIN CUCI U/ TALI SAMPLER</t>
  </si>
  <si>
    <t>1107/PPC/XII/25</t>
  </si>
  <si>
    <t>BY PEMB TALI PRUSIK U/ SAMPLER</t>
  </si>
  <si>
    <t>1108/PPC/XII/25</t>
  </si>
  <si>
    <t>1109/PPC/XII/25</t>
  </si>
  <si>
    <t>BY PEMB PELAMPUNG TOTO U/ TOILET LAB</t>
  </si>
  <si>
    <t>BY TRANSPORTASI TOL RUNGKUT PERAK</t>
  </si>
  <si>
    <t>BY PEMB FIRE BLANKET</t>
  </si>
  <si>
    <t>BY KIRIM SAMPLE DANONE &amp; SANTOS</t>
  </si>
  <si>
    <t>1110/PPC/XII/25</t>
  </si>
  <si>
    <t>BY TRANSPORTASI BBM 18-22/12/2025</t>
  </si>
  <si>
    <t>1092/PPC/XII/25</t>
  </si>
  <si>
    <t>BY KONSUMSI MEETING STOP PLANT</t>
  </si>
  <si>
    <t>1111/PPC/XII/25</t>
  </si>
  <si>
    <t>BY PEMB MUR BAUT REGASKERING CHILLER</t>
  </si>
  <si>
    <t>1099/PPC/XII/25</t>
  </si>
  <si>
    <t>BY OLAHRAGA 19/12/2025</t>
  </si>
  <si>
    <t>1100/PPC/XII/25</t>
  </si>
  <si>
    <t>BY KONSUMSI 551 19/12/2025</t>
  </si>
  <si>
    <t>1071/PPC/XII/25</t>
  </si>
  <si>
    <t>BY PEMB STOOD SS, SIKAT TEMBAGA, FERRULE SANITARY</t>
  </si>
  <si>
    <t>BY REGULATOR PNEUMATIC ABIE P FP:04002500414205806</t>
  </si>
  <si>
    <t>1046/PPC/XII/25</t>
  </si>
  <si>
    <t>BY DN SDA LOBAL FP :04002500397046167</t>
  </si>
  <si>
    <t>PETTY CASH RUNGKUT SURABAYA PERIODE 10-23 DES 25</t>
  </si>
  <si>
    <t>RCSFD/DSI/202512/00159-1</t>
  </si>
  <si>
    <t>*</t>
  </si>
  <si>
    <t>**</t>
  </si>
  <si>
    <t>***</t>
  </si>
  <si>
    <t>PT SMART Tbk. (Downstream</t>
  </si>
  <si>
    <t>CASH JOURNAL</t>
  </si>
  <si>
    <t>Jakarta</t>
  </si>
  <si>
    <t>R124:KAS BESAR</t>
  </si>
  <si>
    <t>Rupiah</t>
  </si>
  <si>
    <t>-</t>
  </si>
  <si>
    <t>Business Trans.</t>
  </si>
  <si>
    <t xml:space="preserve">     Expenses</t>
  </si>
  <si>
    <t>Receipt recipient</t>
  </si>
  <si>
    <t>Rev.Doc.No</t>
  </si>
  <si>
    <t>G/L acct</t>
  </si>
  <si>
    <t>Text for item</t>
  </si>
  <si>
    <t>DEWI PRIYANTI</t>
  </si>
  <si>
    <t>R124D1HRDV</t>
  </si>
  <si>
    <t>ORIENTASI</t>
  </si>
  <si>
    <t>P206D1SLSS</t>
  </si>
  <si>
    <t>C206D1SLSS</t>
  </si>
  <si>
    <t>HADI SUPENO</t>
  </si>
  <si>
    <t>R124NSS</t>
  </si>
  <si>
    <t>NUR HUDA</t>
  </si>
  <si>
    <t>R124MMP</t>
  </si>
  <si>
    <t>LILA</t>
  </si>
  <si>
    <t>R124QMR</t>
  </si>
  <si>
    <t>ALDI JAYA I</t>
  </si>
  <si>
    <t>ARDHIAN YANUAR</t>
  </si>
  <si>
    <t>R124TCP</t>
  </si>
  <si>
    <t>ANJAS A</t>
  </si>
  <si>
    <t>R124WHRS</t>
  </si>
  <si>
    <t>RIZKY R</t>
  </si>
  <si>
    <t>CHRISTIE ADRIAN P</t>
  </si>
  <si>
    <t>M204D1COMM</t>
  </si>
  <si>
    <t>FEBRINA R.H.A.S</t>
  </si>
  <si>
    <t>FEBRINA R</t>
  </si>
  <si>
    <t>CHRISTIE ADRIAN</t>
  </si>
  <si>
    <t>MOH.ALAMSYAH</t>
  </si>
  <si>
    <t>R124D1HRGA</t>
  </si>
  <si>
    <t>FENDI K</t>
  </si>
  <si>
    <t>R124MIN</t>
  </si>
  <si>
    <t>ACH.ALFIAN</t>
  </si>
  <si>
    <t>FELISIA</t>
  </si>
  <si>
    <t>R124WHFSB</t>
  </si>
  <si>
    <t>IFAN SAFRIANTO</t>
  </si>
  <si>
    <t>TRI SUMARNO</t>
  </si>
  <si>
    <t>R124REF</t>
  </si>
  <si>
    <t>MIFTAKHUL HUDA</t>
  </si>
  <si>
    <t>R124MNT</t>
  </si>
  <si>
    <t>JACKO M</t>
  </si>
  <si>
    <t>R124WHP</t>
  </si>
  <si>
    <t>ARDHIAN Y</t>
  </si>
  <si>
    <t>IWAN K</t>
  </si>
  <si>
    <t>MEGAWATI</t>
  </si>
  <si>
    <t>R124QCA</t>
  </si>
  <si>
    <t>ARIELLA K</t>
  </si>
  <si>
    <t>R124D1EHFS</t>
  </si>
  <si>
    <t>R124LOG</t>
  </si>
  <si>
    <t>SARWANTI</t>
  </si>
  <si>
    <t>ALDI JAYA</t>
  </si>
  <si>
    <t>FANDI P</t>
  </si>
  <si>
    <t>ABIMANYU HW</t>
  </si>
  <si>
    <t>P206D1SLSC</t>
  </si>
  <si>
    <t>SANTI</t>
  </si>
  <si>
    <t>PT. SMART Tbk</t>
  </si>
  <si>
    <t>M. NUR HUDA</t>
  </si>
  <si>
    <t>R124REF3</t>
  </si>
  <si>
    <t>ANTONIUS L</t>
  </si>
  <si>
    <t>R124D1PRCN</t>
  </si>
  <si>
    <t>KARMELIA J</t>
  </si>
  <si>
    <t>R124D1MGMT</t>
  </si>
  <si>
    <t>SUGIANTORO</t>
  </si>
  <si>
    <t>R124WTT</t>
  </si>
  <si>
    <t>BAGUS SUTOTO</t>
  </si>
  <si>
    <t>R124D1FRCO</t>
  </si>
  <si>
    <t>MOH. HADI</t>
  </si>
  <si>
    <t>CRISTINE HUTANIA</t>
  </si>
  <si>
    <t>ALDI JAYA IBRAHIM</t>
  </si>
  <si>
    <t>ACHMAD ALFIAN</t>
  </si>
  <si>
    <t>ORIENTASI MANIHURUK</t>
  </si>
  <si>
    <t>FELLY</t>
  </si>
  <si>
    <t>ACHWAN FACHRUDIN</t>
  </si>
  <si>
    <t>EKO P.</t>
  </si>
  <si>
    <t>ANJAS A.</t>
  </si>
  <si>
    <t>DEWI SETYOWATI</t>
  </si>
  <si>
    <t>FANDI PRATAMA</t>
  </si>
  <si>
    <t>BUDI GUNARTO</t>
  </si>
  <si>
    <t>R124FPO</t>
  </si>
  <si>
    <t>FELISIA M</t>
  </si>
  <si>
    <t>MOH. BAIDOWI</t>
  </si>
  <si>
    <t>R124REF2</t>
  </si>
  <si>
    <t>LILLA</t>
  </si>
  <si>
    <t>FEBRINA RIZKIKA</t>
  </si>
  <si>
    <t>M. ALAMSYAH</t>
  </si>
  <si>
    <t>RIZKY RUWANDINI</t>
  </si>
  <si>
    <t>ANJAS ASMAWAN</t>
  </si>
  <si>
    <t>FENDI KUNCORO</t>
  </si>
  <si>
    <t xml:space="preserve"> DEWI PRIYANTI</t>
  </si>
  <si>
    <t xml:space="preserve"> FEBRIANA RIZKIKA</t>
  </si>
  <si>
    <t>KARMELIA JT</t>
  </si>
  <si>
    <t>MOCH. TEKAD</t>
  </si>
  <si>
    <t>AKHMAD NIZAR</t>
  </si>
  <si>
    <t>R124FRA</t>
  </si>
  <si>
    <t>R124STTRK</t>
  </si>
  <si>
    <t>ACH. ALFIAN</t>
  </si>
  <si>
    <t>FANDI</t>
  </si>
  <si>
    <t>VIVI L</t>
  </si>
  <si>
    <t>R124REF4</t>
  </si>
  <si>
    <t>R124FRA3</t>
  </si>
  <si>
    <t>R124BLR</t>
  </si>
  <si>
    <t>NURMA SUBANGKIT</t>
  </si>
  <si>
    <t>MUSLIKAN FAUZI</t>
  </si>
  <si>
    <t>MOCH NURHUDA</t>
  </si>
  <si>
    <t>FRISCA FW</t>
  </si>
  <si>
    <t>H200D1MMDP</t>
  </si>
  <si>
    <t>ZAINAL M.</t>
  </si>
  <si>
    <t>FEBRINA</t>
  </si>
  <si>
    <t>HARY DWI W</t>
  </si>
  <si>
    <t>R124D1TPDU</t>
  </si>
  <si>
    <t>ANDIKA Y</t>
  </si>
  <si>
    <t>ADI PURWANTO</t>
  </si>
  <si>
    <t>DODIT KRISWAHYUDI</t>
  </si>
  <si>
    <t>HENDRA DWI S</t>
  </si>
  <si>
    <t>R124M09</t>
  </si>
  <si>
    <t>HERA CH</t>
  </si>
  <si>
    <t>DEASY CHRISNAWATI</t>
  </si>
  <si>
    <t>R124FAM</t>
  </si>
  <si>
    <t>GL Account</t>
  </si>
  <si>
    <t>Cost Center</t>
  </si>
  <si>
    <t>Nama GL Account</t>
  </si>
  <si>
    <t>Biaya Ekspor lainnya</t>
  </si>
  <si>
    <t>Biaya Survey dan Analisa</t>
  </si>
  <si>
    <t>By Perbaikan &amp; Perawatan Perabot Material Pihak3</t>
  </si>
  <si>
    <t>By Pemeliharaan Kend,ABerat,Mesin-Material Pihak3</t>
  </si>
  <si>
    <t>Biaya Lainnya Yang Dibayar Di Muka</t>
  </si>
  <si>
    <t>By Pemeliharaan BgnanPrasarana Material Pihak3</t>
  </si>
  <si>
    <t>Biaya Perizinan Pemerintah</t>
  </si>
  <si>
    <t>Biaya Transportasi Lokal</t>
  </si>
  <si>
    <t>Biaya Bahan Bakar</t>
  </si>
  <si>
    <t>Biaya Mess</t>
  </si>
  <si>
    <t>Biaya Olahraga Dan Permainan</t>
  </si>
  <si>
    <t>Biaya Sumbangan Sosial</t>
  </si>
  <si>
    <t>Biaya Konsumsi Kantor</t>
  </si>
  <si>
    <t>Biaya Peralatan Dan Perabot Kantor</t>
  </si>
  <si>
    <t>Biaya  Fotocopy</t>
  </si>
  <si>
    <t>Biaya Riset, Pengembangan, dan Laboratorium</t>
  </si>
  <si>
    <t>Biaya Umum dan Administrasi</t>
  </si>
  <si>
    <t>Biaya Organisasi Professional Nasional</t>
  </si>
  <si>
    <t>Pemakaian Sparepart Kend &amp; A.Berat</t>
  </si>
  <si>
    <t>Biaya Pelatihan External Pihak ke-3</t>
  </si>
  <si>
    <t>By Sertifikasi Non Quality Food Safety (Non QFS)</t>
  </si>
  <si>
    <t>Biaya Pajak Kendaraan Bermotor &amp; Alat Berat</t>
  </si>
  <si>
    <t>Biaya Poliklinik</t>
  </si>
  <si>
    <t>Biaya Transportasi Barang - Pihak Ketiga</t>
  </si>
  <si>
    <t>Biaya Langganan Buku, Jurnal, Koran, dan Lainnya</t>
  </si>
  <si>
    <t>Row Labels</t>
  </si>
  <si>
    <t>(blank)</t>
  </si>
  <si>
    <t>Grand Total</t>
  </si>
  <si>
    <t>Sum of Amount in doc. curr.</t>
  </si>
  <si>
    <t>Column Labels</t>
  </si>
  <si>
    <t>Month</t>
  </si>
  <si>
    <t>07</t>
  </si>
  <si>
    <t>08</t>
  </si>
  <si>
    <t>09</t>
  </si>
  <si>
    <t>10</t>
  </si>
  <si>
    <t>11</t>
  </si>
  <si>
    <t>12</t>
  </si>
  <si>
    <t>Total</t>
  </si>
  <si>
    <t>Juli 2025</t>
  </si>
  <si>
    <t>Bulan</t>
  </si>
  <si>
    <t>Agust 2025</t>
  </si>
  <si>
    <t>Sept 2025</t>
  </si>
  <si>
    <t>Okt 2025</t>
  </si>
  <si>
    <t>Nov 2025</t>
  </si>
  <si>
    <t>Des 2025</t>
  </si>
  <si>
    <t>Pengeluaran Petty Cash Juli - Desember 2025</t>
  </si>
  <si>
    <t>Total Jul-Des 2025</t>
  </si>
  <si>
    <r>
      <t xml:space="preserve">Rata-rata pengeluaran Petty Cash per bulan </t>
    </r>
    <r>
      <rPr>
        <b/>
        <sz val="11"/>
        <color theme="1"/>
        <rFont val="Calibri"/>
        <family val="2"/>
        <scheme val="minor"/>
      </rPr>
      <t>Rp 53.285.669</t>
    </r>
  </si>
  <si>
    <t>Pengeluaran Petty Cash 10 Cost Center tertinggi bulan Juli - Desember 2025</t>
  </si>
  <si>
    <r>
      <t xml:space="preserve">Cost Center tertinggi pemakai Petty Cash bulan Juli - Desember 2025 adalah Cost Center </t>
    </r>
    <r>
      <rPr>
        <b/>
        <sz val="11"/>
        <color theme="1"/>
        <rFont val="Calibri"/>
        <family val="2"/>
        <scheme val="minor"/>
      </rPr>
      <t>R124D1HRGA</t>
    </r>
  </si>
  <si>
    <r>
      <t xml:space="preserve">Rata-rata penggunaan petty cash setiap bulannya </t>
    </r>
    <r>
      <rPr>
        <b/>
        <sz val="11"/>
        <color theme="1"/>
        <rFont val="Calibri"/>
        <family val="2"/>
        <scheme val="minor"/>
      </rPr>
      <t>Rp 17.936.631</t>
    </r>
  </si>
  <si>
    <t>Sep 2025</t>
  </si>
  <si>
    <t>Total R124D1HRGA</t>
  </si>
  <si>
    <t>Pengeluaran Petty Cash Cost Center R124D1HRGA per GL Account</t>
  </si>
  <si>
    <t>%</t>
  </si>
  <si>
    <r>
      <t xml:space="preserve">Dari rata-rata pengunaan Cost Center R124D1HRGA setiap bulan sebesar Rp 17.936.631, terdapat Biaya Bahan Bakar BBM, Parkir, dan Tol kendaraan operasional sekitar </t>
    </r>
    <r>
      <rPr>
        <b/>
        <sz val="11"/>
        <color theme="1"/>
        <rFont val="Calibri"/>
        <family val="2"/>
        <scheme val="minor"/>
      </rPr>
      <t>Rp 11.824.383</t>
    </r>
  </si>
  <si>
    <t>Sekitar 22% dari Total pemakaian Petty cash merupakan by operasional kendaraan GA.</t>
  </si>
  <si>
    <t>Saran :</t>
  </si>
  <si>
    <t>Untuk mengurangi pemakaian Petty Cash, Biaya Operasional Kendaraan GA bisa diusulkan untuk menggunakan PAM, dengan sistem UM Karyawan @ Rp 5.000.000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</si>
</sst>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2" tint="-0.49998474074526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1">
    <xf numFmtId="0" fontId="0" fillId="0" borderId="0" xfId="0"/>
    <xf numFmtId="3" fontId="0" fillId="0" borderId="0" xfId="0" applyNumberFormat="1"/>
    <xf numFmtId="0" fontId="0" fillId="0" borderId="0" xfId="0" applyFill="1"/>
    <xf numFmtId="3" fontId="0" fillId="0" borderId="0" xfId="0" applyNumberFormat="1" applyFill="1"/>
    <xf numFmtId="0" fontId="0" fillId="33" borderId="0" xfId="0" applyFill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41" fontId="0" fillId="0" borderId="0" xfId="42" applyFont="1"/>
    <xf numFmtId="41" fontId="0" fillId="0" borderId="0" xfId="0" applyNumberFormat="1"/>
    <xf numFmtId="0" fontId="0" fillId="0" borderId="0" xfId="0" applyAlignment="1">
      <alignment horizontal="center"/>
    </xf>
    <xf numFmtId="41" fontId="16" fillId="0" borderId="0" xfId="0" applyNumberFormat="1" applyFont="1"/>
    <xf numFmtId="41" fontId="16" fillId="0" borderId="0" xfId="42" quotePrefix="1" applyFont="1" applyAlignment="1">
      <alignment horizontal="center"/>
    </xf>
    <xf numFmtId="0" fontId="16" fillId="0" borderId="0" xfId="0" quotePrefix="1" applyFont="1" applyAlignment="1">
      <alignment horizontal="center"/>
    </xf>
    <xf numFmtId="0" fontId="16" fillId="0" borderId="0" xfId="0" applyFont="1" applyAlignment="1">
      <alignment horizontal="center"/>
    </xf>
    <xf numFmtId="0" fontId="16" fillId="0" borderId="0" xfId="0" applyFont="1"/>
    <xf numFmtId="0" fontId="16" fillId="0" borderId="10" xfId="0" applyFont="1" applyBorder="1" applyAlignment="1">
      <alignment horizontal="center" vertical="center"/>
    </xf>
    <xf numFmtId="0" fontId="0" fillId="0" borderId="10" xfId="0" applyBorder="1"/>
    <xf numFmtId="41" fontId="0" fillId="0" borderId="10" xfId="0" applyNumberFormat="1" applyBorder="1"/>
    <xf numFmtId="0" fontId="0" fillId="0" borderId="10" xfId="0" quotePrefix="1" applyNumberFormat="1" applyBorder="1"/>
    <xf numFmtId="17" fontId="0" fillId="0" borderId="10" xfId="0" quotePrefix="1" applyNumberFormat="1" applyBorder="1"/>
    <xf numFmtId="0" fontId="0" fillId="0" borderId="10" xfId="0" quotePrefix="1" applyBorder="1"/>
    <xf numFmtId="0" fontId="13" fillId="34" borderId="10" xfId="0" applyFont="1" applyFill="1" applyBorder="1" applyAlignment="1">
      <alignment horizontal="center" vertical="center"/>
    </xf>
    <xf numFmtId="0" fontId="13" fillId="35" borderId="10" xfId="0" applyFont="1" applyFill="1" applyBorder="1"/>
    <xf numFmtId="41" fontId="13" fillId="35" borderId="10" xfId="0" applyNumberFormat="1" applyFont="1" applyFill="1" applyBorder="1"/>
    <xf numFmtId="0" fontId="13" fillId="34" borderId="10" xfId="0" applyFont="1" applyFill="1" applyBorder="1" applyAlignment="1">
      <alignment horizontal="center"/>
    </xf>
    <xf numFmtId="41" fontId="0" fillId="0" borderId="10" xfId="42" applyFont="1" applyBorder="1"/>
    <xf numFmtId="9" fontId="0" fillId="0" borderId="0" xfId="43" applyFont="1"/>
    <xf numFmtId="0" fontId="0" fillId="36" borderId="10" xfId="0" applyFill="1" applyBorder="1"/>
    <xf numFmtId="41" fontId="0" fillId="36" borderId="10" xfId="42" applyFont="1" applyFill="1" applyBorder="1"/>
    <xf numFmtId="41" fontId="0" fillId="36" borderId="10" xfId="0" applyNumberFormat="1" applyFill="1" applyBorder="1"/>
    <xf numFmtId="41" fontId="13" fillId="37" borderId="10" xfId="42" applyFont="1" applyFill="1" applyBorder="1" applyAlignment="1">
      <alignment horizontal="center" vertical="center"/>
    </xf>
    <xf numFmtId="17" fontId="13" fillId="37" borderId="10" xfId="42" quotePrefix="1" applyNumberFormat="1" applyFont="1" applyFill="1" applyBorder="1" applyAlignment="1">
      <alignment horizontal="center" vertical="center"/>
    </xf>
    <xf numFmtId="41" fontId="13" fillId="37" borderId="10" xfId="42" quotePrefix="1" applyFont="1" applyFill="1" applyBorder="1" applyAlignment="1">
      <alignment horizontal="center" vertical="center"/>
    </xf>
    <xf numFmtId="0" fontId="13" fillId="37" borderId="10" xfId="0" applyFont="1" applyFill="1" applyBorder="1" applyAlignment="1">
      <alignment horizontal="center" vertical="center"/>
    </xf>
    <xf numFmtId="0" fontId="13" fillId="38" borderId="10" xfId="0" applyFont="1" applyFill="1" applyBorder="1"/>
    <xf numFmtId="41" fontId="13" fillId="38" borderId="10" xfId="0" applyNumberFormat="1" applyFont="1" applyFill="1" applyBorder="1"/>
    <xf numFmtId="9" fontId="0" fillId="0" borderId="10" xfId="43" applyFont="1" applyBorder="1"/>
    <xf numFmtId="9" fontId="0" fillId="36" borderId="10" xfId="43" applyFont="1" applyFill="1" applyBorder="1"/>
    <xf numFmtId="41" fontId="16" fillId="0" borderId="0" xfId="42" applyFont="1"/>
    <xf numFmtId="0" fontId="13" fillId="37" borderId="10" xfId="0" applyFont="1" applyFill="1" applyBorder="1" applyAlignment="1">
      <alignment horizontal="center" vertical="center"/>
    </xf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 [0]" xfId="42" builtinId="6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3" builtinId="5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alignment horizontal="center"/>
    </dxf>
    <dxf>
      <numFmt numFmtId="33" formatCode="_-* #,##0_-;\-* #,##0_-;_-* &quot;-&quot;_-;_-@_-"/>
    </dxf>
  </dxfs>
  <tableStyles count="0" defaultTableStyle="TableStyleMedium2" defaultPivotStyle="PivotStyleLight16"/>
  <colors>
    <mruColors>
      <color rgb="FFCC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Petty</a:t>
            </a:r>
            <a:r>
              <a:rPr lang="en-US" baseline="0"/>
              <a:t> Cash by Cost Center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5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 w="25400">
          <a:noFill/>
        </a:ln>
        <a:effectLst/>
        <a:sp3d/>
      </c:spPr>
    </c:sideWall>
    <c:backWall>
      <c:thickness val="0"/>
      <c:spPr>
        <a:noFill/>
        <a:ln w="25400"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Sheet1!$AL$1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FD44-4651-B830-8B325221C14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FD44-4651-B830-8B325221C14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5-FD44-4651-B830-8B325221C14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7-FD44-4651-B830-8B325221C14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9-FD44-4651-B830-8B325221C143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Sheet1!$AK$2:$AK$6</c:f>
              <c:strCache>
                <c:ptCount val="5"/>
                <c:pt idx="0">
                  <c:v>R124D1HRGA</c:v>
                </c:pt>
                <c:pt idx="1">
                  <c:v>P206D1SLSS</c:v>
                </c:pt>
                <c:pt idx="2">
                  <c:v>R124D1HRDV</c:v>
                </c:pt>
                <c:pt idx="3">
                  <c:v>R124QCA</c:v>
                </c:pt>
                <c:pt idx="4">
                  <c:v>M204D1COMM</c:v>
                </c:pt>
              </c:strCache>
            </c:strRef>
          </c:cat>
          <c:val>
            <c:numRef>
              <c:f>Sheet1!$AL$2:$AL$6</c:f>
              <c:numCache>
                <c:formatCode>_(* #,##0_);_(* \(#,##0\);_(* "-"_);_(@_)</c:formatCode>
                <c:ptCount val="5"/>
                <c:pt idx="0">
                  <c:v>107619783</c:v>
                </c:pt>
                <c:pt idx="1">
                  <c:v>33069100</c:v>
                </c:pt>
                <c:pt idx="2">
                  <c:v>22378764</c:v>
                </c:pt>
                <c:pt idx="3">
                  <c:v>19964591</c:v>
                </c:pt>
                <c:pt idx="4">
                  <c:v>15782300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AD5-497B-8D70-C8F5CA8CD769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Petty</a:t>
            </a:r>
            <a:r>
              <a:rPr lang="en-US" baseline="0"/>
              <a:t> Cash by Cost Center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Sheet1!$AL$1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>
              <a:outerShdw blurRad="254000" sx="102000" sy="102000" algn="ctr" rotWithShape="0">
                <a:prstClr val="black">
                  <a:alpha val="20000"/>
                </a:prstClr>
              </a:outerShdw>
            </a:effectLst>
          </c:spPr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300A-4184-BC49-90B3EC29C9E0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300A-4184-BC49-90B3EC29C9E0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300A-4184-BC49-90B3EC29C9E0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300A-4184-BC49-90B3EC29C9E0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300A-4184-BC49-90B3EC29C9E0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Sheet1!$AK$2:$AK$6</c:f>
              <c:strCache>
                <c:ptCount val="5"/>
                <c:pt idx="0">
                  <c:v>R124D1HRGA</c:v>
                </c:pt>
                <c:pt idx="1">
                  <c:v>P206D1SLSS</c:v>
                </c:pt>
                <c:pt idx="2">
                  <c:v>R124D1HRDV</c:v>
                </c:pt>
                <c:pt idx="3">
                  <c:v>R124QCA</c:v>
                </c:pt>
                <c:pt idx="4">
                  <c:v>M204D1COMM</c:v>
                </c:pt>
              </c:strCache>
            </c:strRef>
          </c:cat>
          <c:val>
            <c:numRef>
              <c:f>Sheet1!$AL$2:$AL$6</c:f>
              <c:numCache>
                <c:formatCode>_(* #,##0_);_(* \(#,##0\);_(* "-"_);_(@_)</c:formatCode>
                <c:ptCount val="5"/>
                <c:pt idx="0">
                  <c:v>107619783</c:v>
                </c:pt>
                <c:pt idx="1">
                  <c:v>33069100</c:v>
                </c:pt>
                <c:pt idx="2">
                  <c:v>22378764</c:v>
                </c:pt>
                <c:pt idx="3">
                  <c:v>19964591</c:v>
                </c:pt>
                <c:pt idx="4">
                  <c:v>15782300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300A-4184-BC49-90B3EC29C9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969699199"/>
        <c:axId val="1759078991"/>
      </c:barChart>
      <c:catAx>
        <c:axId val="196969919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9078991"/>
        <c:crosses val="autoZero"/>
        <c:auto val="1"/>
        <c:lblAlgn val="ctr"/>
        <c:lblOffset val="100"/>
        <c:noMultiLvlLbl val="0"/>
      </c:catAx>
      <c:valAx>
        <c:axId val="1759078991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_(* #,##0_);_(* \(#,##0\);_(* &quot;-&quot;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9699199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Sheet1!$AL$12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6103-4CE1-AAF7-0B411456A879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1093-4EB3-ABC1-7B72414B0786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5-1093-4EB3-ABC1-7B72414B0786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7-1093-4EB3-ABC1-7B72414B0786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9-1093-4EB3-ABC1-7B72414B0786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B-1093-4EB3-ABC1-7B72414B0786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D-1093-4EB3-ABC1-7B72414B078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Sheet1!$AK$13:$AK$19</c:f>
              <c:strCache>
                <c:ptCount val="7"/>
                <c:pt idx="0">
                  <c:v>R124D1HRGA</c:v>
                </c:pt>
                <c:pt idx="1">
                  <c:v>P206D1SLSS</c:v>
                </c:pt>
                <c:pt idx="2">
                  <c:v>R124D1HRDV</c:v>
                </c:pt>
                <c:pt idx="3">
                  <c:v>R124QCA</c:v>
                </c:pt>
                <c:pt idx="4">
                  <c:v>M204D1COMM</c:v>
                </c:pt>
                <c:pt idx="5">
                  <c:v>C206D1SLSS</c:v>
                </c:pt>
                <c:pt idx="6">
                  <c:v>H200D1MMDP</c:v>
                </c:pt>
              </c:strCache>
            </c:strRef>
          </c:cat>
          <c:val>
            <c:numRef>
              <c:f>Sheet1!$AL$13:$AL$19</c:f>
              <c:numCache>
                <c:formatCode>_(* #,##0_);_(* \(#,##0\);_(* "-"_);_(@_)</c:formatCode>
                <c:ptCount val="7"/>
                <c:pt idx="0">
                  <c:v>107619783</c:v>
                </c:pt>
                <c:pt idx="1">
                  <c:v>33069100</c:v>
                </c:pt>
                <c:pt idx="2">
                  <c:v>22378764</c:v>
                </c:pt>
                <c:pt idx="3">
                  <c:v>19964591</c:v>
                </c:pt>
                <c:pt idx="4">
                  <c:v>15782300</c:v>
                </c:pt>
                <c:pt idx="5">
                  <c:v>10153000</c:v>
                </c:pt>
                <c:pt idx="6">
                  <c:v>8948800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103-4CE1-AAF7-0B411456A879}"/>
            </c:ext>
          </c:extLst>
        </c:ser>
        <c:dLbls>
          <c:dLblPos val="outEnd"/>
          <c:showLegendKey val="0"/>
          <c:showVal val="0"/>
          <c:showCatName val="1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Pengeluaran Petty Cash per Bulan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Sheet1!$T$42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Sheet1!$S$43:$S$48</c:f>
              <c:strCache>
                <c:ptCount val="6"/>
                <c:pt idx="0">
                  <c:v>Juli 2025</c:v>
                </c:pt>
                <c:pt idx="1">
                  <c:v>Agust 2025</c:v>
                </c:pt>
                <c:pt idx="2">
                  <c:v>Sept 2025</c:v>
                </c:pt>
                <c:pt idx="3">
                  <c:v>Okt 2025</c:v>
                </c:pt>
                <c:pt idx="4">
                  <c:v>Nov 2025</c:v>
                </c:pt>
                <c:pt idx="5">
                  <c:v>Des 2025</c:v>
                </c:pt>
              </c:strCache>
            </c:strRef>
          </c:cat>
          <c:val>
            <c:numRef>
              <c:f>Sheet1!$T$43:$T$48</c:f>
              <c:numCache>
                <c:formatCode>_(* #,##0_);_(* \(#,##0\);_(* "-"_);_(@_)</c:formatCode>
                <c:ptCount val="6"/>
                <c:pt idx="0">
                  <c:v>58589163</c:v>
                </c:pt>
                <c:pt idx="1">
                  <c:v>34438078</c:v>
                </c:pt>
                <c:pt idx="2">
                  <c:v>30159697</c:v>
                </c:pt>
                <c:pt idx="3">
                  <c:v>63465821</c:v>
                </c:pt>
                <c:pt idx="4">
                  <c:v>66145918</c:v>
                </c:pt>
                <c:pt idx="5">
                  <c:v>66915336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255-45A2-B4F5-0D21FDAD5B21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999341215"/>
        <c:axId val="2002600479"/>
      </c:lineChart>
      <c:catAx>
        <c:axId val="19993412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2600479"/>
        <c:crosses val="autoZero"/>
        <c:auto val="1"/>
        <c:lblAlgn val="ctr"/>
        <c:lblOffset val="100"/>
        <c:noMultiLvlLbl val="0"/>
      </c:catAx>
      <c:valAx>
        <c:axId val="20026004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93412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Pengeluaran Petty Cash per Bulan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Sheet1!$T$42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Sheet1!$S$43:$S$48</c:f>
              <c:strCache>
                <c:ptCount val="6"/>
                <c:pt idx="0">
                  <c:v>Juli 2025</c:v>
                </c:pt>
                <c:pt idx="1">
                  <c:v>Agust 2025</c:v>
                </c:pt>
                <c:pt idx="2">
                  <c:v>Sept 2025</c:v>
                </c:pt>
                <c:pt idx="3">
                  <c:v>Okt 2025</c:v>
                </c:pt>
                <c:pt idx="4">
                  <c:v>Nov 2025</c:v>
                </c:pt>
                <c:pt idx="5">
                  <c:v>Des 2025</c:v>
                </c:pt>
              </c:strCache>
            </c:strRef>
          </c:cat>
          <c:val>
            <c:numRef>
              <c:f>Sheet1!$T$43:$T$48</c:f>
              <c:numCache>
                <c:formatCode>_(* #,##0_);_(* \(#,##0\);_(* "-"_);_(@_)</c:formatCode>
                <c:ptCount val="6"/>
                <c:pt idx="0">
                  <c:v>58589163</c:v>
                </c:pt>
                <c:pt idx="1">
                  <c:v>34438078</c:v>
                </c:pt>
                <c:pt idx="2">
                  <c:v>30159697</c:v>
                </c:pt>
                <c:pt idx="3">
                  <c:v>63465821</c:v>
                </c:pt>
                <c:pt idx="4">
                  <c:v>66145918</c:v>
                </c:pt>
                <c:pt idx="5">
                  <c:v>66915336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A99-403A-B0E1-84BEAA078A63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999341215"/>
        <c:axId val="2002600479"/>
      </c:lineChart>
      <c:catAx>
        <c:axId val="19993412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2600479"/>
        <c:crosses val="autoZero"/>
        <c:auto val="1"/>
        <c:lblAlgn val="ctr"/>
        <c:lblOffset val="100"/>
        <c:noMultiLvlLbl val="0"/>
      </c:catAx>
      <c:valAx>
        <c:axId val="20026004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93412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Sheet3!$D$24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0D04-4A2A-B983-EE319D33ED0D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6391-4237-85E5-73B93D6F57F3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5-6391-4237-85E5-73B93D6F57F3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7-6391-4237-85E5-73B93D6F57F3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9-6391-4237-85E5-73B93D6F57F3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6-0D04-4A2A-B983-EE319D33ED0D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5-0D04-4A2A-B983-EE319D33ED0D}"/>
              </c:ext>
            </c:extLst>
          </c:dPt>
          <c:dPt>
            <c:idx val="7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4-0D04-4A2A-B983-EE319D33ED0D}"/>
              </c:ext>
            </c:extLst>
          </c:dPt>
          <c:dPt>
            <c:idx val="8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0D04-4A2A-B983-EE319D33ED0D}"/>
              </c:ext>
            </c:extLst>
          </c:dPt>
          <c:dPt>
            <c:idx val="9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2-0D04-4A2A-B983-EE319D33ED0D}"/>
              </c:ext>
            </c:extLst>
          </c:dPt>
          <c:dLbls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0D04-4A2A-B983-EE319D33ED0D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0D04-4A2A-B983-EE319D33ED0D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0D04-4A2A-B983-EE319D33ED0D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D04-4A2A-B983-EE319D33ED0D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0D04-4A2A-B983-EE319D33ED0D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Sheet3!$C$25:$C$34</c:f>
              <c:strCache>
                <c:ptCount val="10"/>
                <c:pt idx="0">
                  <c:v>R124D1HRGA</c:v>
                </c:pt>
                <c:pt idx="1">
                  <c:v>P206D1SLSS</c:v>
                </c:pt>
                <c:pt idx="2">
                  <c:v>R124D1HRDV</c:v>
                </c:pt>
                <c:pt idx="3">
                  <c:v>R124QCA</c:v>
                </c:pt>
                <c:pt idx="4">
                  <c:v>M204D1COMM</c:v>
                </c:pt>
                <c:pt idx="5">
                  <c:v>C206D1SLSS</c:v>
                </c:pt>
                <c:pt idx="6">
                  <c:v>H200D1MMDP</c:v>
                </c:pt>
                <c:pt idx="7">
                  <c:v>R124REF</c:v>
                </c:pt>
                <c:pt idx="8">
                  <c:v>R124MIN</c:v>
                </c:pt>
                <c:pt idx="9">
                  <c:v>R124REF3</c:v>
                </c:pt>
              </c:strCache>
            </c:strRef>
          </c:cat>
          <c:val>
            <c:numRef>
              <c:f>Sheet3!$D$25:$D$34</c:f>
              <c:numCache>
                <c:formatCode>_(* #,##0_);_(* \(#,##0\);_(* "-"_);_(@_)</c:formatCode>
                <c:ptCount val="10"/>
                <c:pt idx="0">
                  <c:v>107619783</c:v>
                </c:pt>
                <c:pt idx="1">
                  <c:v>33069100</c:v>
                </c:pt>
                <c:pt idx="2">
                  <c:v>22378764</c:v>
                </c:pt>
                <c:pt idx="3">
                  <c:v>19964591</c:v>
                </c:pt>
                <c:pt idx="4">
                  <c:v>15782300</c:v>
                </c:pt>
                <c:pt idx="5">
                  <c:v>10153000</c:v>
                </c:pt>
                <c:pt idx="6">
                  <c:v>8948800</c:v>
                </c:pt>
                <c:pt idx="7">
                  <c:v>7294000</c:v>
                </c:pt>
                <c:pt idx="8">
                  <c:v>6649980</c:v>
                </c:pt>
                <c:pt idx="9">
                  <c:v>6084036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D04-4A2A-B983-EE319D33ED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4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34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6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4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30</xdr:col>
      <xdr:colOff>443346</xdr:colOff>
      <xdr:row>17</xdr:row>
      <xdr:rowOff>176212</xdr:rowOff>
    </xdr:from>
    <xdr:to>
      <xdr:col>33</xdr:col>
      <xdr:colOff>58882</xdr:colOff>
      <xdr:row>32</xdr:row>
      <xdr:rowOff>61912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EFAD9A9-0C66-4816-ABD9-E7B10942E58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30</xdr:col>
      <xdr:colOff>0</xdr:colOff>
      <xdr:row>37</xdr:row>
      <xdr:rowOff>0</xdr:rowOff>
    </xdr:from>
    <xdr:to>
      <xdr:col>32</xdr:col>
      <xdr:colOff>446809</xdr:colOff>
      <xdr:row>51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E4E5DBE-2745-4031-89BF-2B55E6563A2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34</xdr:col>
      <xdr:colOff>336177</xdr:colOff>
      <xdr:row>23</xdr:row>
      <xdr:rowOff>23533</xdr:rowOff>
    </xdr:from>
    <xdr:to>
      <xdr:col>41</xdr:col>
      <xdr:colOff>100854</xdr:colOff>
      <xdr:row>37</xdr:row>
      <xdr:rowOff>99733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E117298-3CFE-4E67-9AF9-50B7944F83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20</xdr:col>
      <xdr:colOff>638734</xdr:colOff>
      <xdr:row>41</xdr:row>
      <xdr:rowOff>146797</xdr:rowOff>
    </xdr:from>
    <xdr:to>
      <xdr:col>28</xdr:col>
      <xdr:colOff>470646</xdr:colOff>
      <xdr:row>58</xdr:row>
      <xdr:rowOff>89647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3B2CF73-9318-4387-8221-EFB37C68C20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3</xdr:row>
      <xdr:rowOff>0</xdr:rowOff>
    </xdr:from>
    <xdr:to>
      <xdr:col>14</xdr:col>
      <xdr:colOff>200025</xdr:colOff>
      <xdr:row>18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3E5566A-C53D-4703-8475-FE7211AEF3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109537</xdr:colOff>
      <xdr:row>23</xdr:row>
      <xdr:rowOff>109537</xdr:rowOff>
    </xdr:from>
    <xdr:to>
      <xdr:col>13</xdr:col>
      <xdr:colOff>414337</xdr:colOff>
      <xdr:row>37</xdr:row>
      <xdr:rowOff>185737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1E8777D-E2D0-4F99-BFDA-71177455E99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era Christanti" refreshedDate="46064.397810069444" createdVersion="6" refreshedVersion="6" minRefreshableVersion="3" recordCount="1290" xr:uid="{C4233AFE-034C-4E21-9868-9A07B5EBFA09}">
  <cacheSource type="worksheet">
    <worksheetSource ref="H6:AA1296" sheet="List Petty Cash Jul-Des 25"/>
  </cacheSource>
  <cacheFields count="20">
    <cacheField name="Pstng Date" numFmtId="0">
      <sharedItems containsBlank="1"/>
    </cacheField>
    <cacheField name="Month" numFmtId="0">
      <sharedItems containsBlank="1" count="7">
        <s v="07"/>
        <s v="08"/>
        <s v="09"/>
        <s v="10"/>
        <s v="11"/>
        <s v="12"/>
        <m/>
      </sharedItems>
    </cacheField>
    <cacheField name="PK" numFmtId="0">
      <sharedItems containsString="0" containsBlank="1" containsNumber="1" containsInteger="1" minValue="40" maxValue="50"/>
    </cacheField>
    <cacheField name="Amount in doc. curr." numFmtId="3">
      <sharedItems containsSemiMixedTypes="0" containsString="0" containsNumber="1" containsInteger="1" minValue="-1000000" maxValue="35051945"/>
    </cacheField>
    <cacheField name="Curr." numFmtId="0">
      <sharedItems containsBlank="1"/>
    </cacheField>
    <cacheField name="Amount in local cur." numFmtId="3">
      <sharedItems containsSemiMixedTypes="0" containsString="0" containsNumber="1" containsInteger="1" minValue="-1000000" maxValue="35051945"/>
    </cacheField>
    <cacheField name="LCurr" numFmtId="0">
      <sharedItems containsBlank="1"/>
    </cacheField>
    <cacheField name="         Quantity" numFmtId="0">
      <sharedItems containsNonDate="0" containsString="0" containsBlank="1"/>
    </cacheField>
    <cacheField name="BUn" numFmtId="0">
      <sharedItems containsNonDate="0" containsString="0" containsBlank="1"/>
    </cacheField>
    <cacheField name="Cost Ctr" numFmtId="0">
      <sharedItems containsNonDate="0" containsString="0" containsBlank="1"/>
    </cacheField>
    <cacheField name="Profit Ctr" numFmtId="0">
      <sharedItems containsBlank="1"/>
    </cacheField>
    <cacheField name="Reference" numFmtId="0">
      <sharedItems containsBlank="1"/>
    </cacheField>
    <cacheField name="Document Header Text" numFmtId="0">
      <sharedItems containsBlank="1"/>
    </cacheField>
    <cacheField name="Text" numFmtId="0">
      <sharedItems containsBlank="1"/>
    </cacheField>
    <cacheField name="GL Account" numFmtId="0">
      <sharedItems containsString="0" containsBlank="1" containsNumber="1" containsInteger="1" minValue="15000900" maxValue="70119300" count="25">
        <n v="70107300"/>
        <n v="70009110"/>
        <n v="70101202"/>
        <n v="70101114"/>
        <n v="70108110"/>
        <n v="70106100"/>
        <n v="70106400"/>
        <n v="70107600"/>
        <n v="70101102"/>
        <n v="70115100"/>
        <n v="70102300"/>
        <n v="70101230"/>
        <n v="70105300"/>
        <m/>
        <n v="70107100"/>
        <n v="70119300"/>
        <n v="70108100"/>
        <n v="70110110"/>
        <n v="70001110"/>
        <n v="15000900"/>
        <n v="70107500"/>
        <n v="70105321"/>
        <n v="70110210"/>
        <n v="70110200"/>
        <n v="70105210"/>
      </sharedItems>
    </cacheField>
    <cacheField name="Nama GL Account" numFmtId="0">
      <sharedItems containsBlank="1" count="25">
        <s v="Biaya Olahraga Dan Permainan"/>
        <s v="Biaya Survey dan Analisa"/>
        <s v="By Pemeliharaan Kend,ABerat,Mesin-Material Pihak3"/>
        <s v="By Perbaikan &amp; Perawatan Perabot Material Pihak3"/>
        <s v="Biaya  Fotocopy"/>
        <s v="Biaya Transportasi Lokal"/>
        <s v="Biaya Bahan Bakar"/>
        <s v="Biaya Konsumsi Kantor"/>
        <s v="By Pemeliharaan BgnanPrasarana Material Pihak3"/>
        <s v="Biaya Riset, Pengembangan, dan Laboratorium"/>
        <s v="Biaya Poliklinik"/>
        <s v="Pemakaian Sparepart Kend &amp; A.Berat"/>
        <s v="Biaya Perizinan Pemerintah"/>
        <m/>
        <s v="Biaya Mess"/>
        <s v="Biaya Umum dan Administrasi"/>
        <s v="Biaya Peralatan Dan Perabot Kantor"/>
        <s v="Biaya Organisasi Professional Nasional"/>
        <s v="Biaya Ekspor lainnya"/>
        <s v="Biaya Lainnya Yang Dibayar Di Muka"/>
        <s v="Biaya Sumbangan Sosial"/>
        <s v="By Sertifikasi Non Quality Food Safety (Non QFS)"/>
        <e v="#N/A"/>
        <s v="Biaya Pelatihan External Pihak ke-3"/>
        <s v="Biaya Pajak Kendaraan Bermotor &amp; Alat Berat"/>
      </sharedItems>
    </cacheField>
    <cacheField name="Cost Center" numFmtId="0">
      <sharedItems containsBlank="1" count="37">
        <s v="R124D1HRDV"/>
        <s v="P206D1SLSS"/>
        <s v="C206D1SLSS"/>
        <s v="R124NSS"/>
        <s v="R124MMP"/>
        <s v="R124QMR"/>
        <s v="R124TCP"/>
        <s v="R124WHRS"/>
        <s v="M204D1COMM"/>
        <s v="R124D1HRGA"/>
        <s v="R124MIN"/>
        <s v="R124WHFSB"/>
        <s v="R124REF"/>
        <s v="R124MNT"/>
        <s v="R124WHP"/>
        <s v="R124QCA"/>
        <s v="R124D1EHFS"/>
        <s v="R124LOG"/>
        <s v="P206D1SLSC"/>
        <m/>
        <s v="R124REF3"/>
        <s v="R124D1PRCN"/>
        <s v="R124D1MGMT"/>
        <s v="R124WTT"/>
        <s v="R124D1FRCO"/>
        <s v="-"/>
        <s v="R124FPO"/>
        <s v="R124REF2"/>
        <s v="R124FRA"/>
        <s v="R124STTRK"/>
        <s v="R124REF4"/>
        <s v="R124FRA3"/>
        <s v="R124BLR"/>
        <s v="H200D1MMDP"/>
        <s v="R124D1TPDU"/>
        <s v="R124M09"/>
        <s v="R124FAM"/>
      </sharedItems>
    </cacheField>
    <cacheField name="Type" numFmtId="0">
      <sharedItems containsBlank="1"/>
    </cacheField>
    <cacheField name="Clrng doc." numFmtId="0">
      <sharedItems containsString="0" containsBlank="1" containsNumber="1" containsInteger="1" minValue="1495275" maxValue="12010649"/>
    </cacheField>
    <cacheField name="Assignment" numFmtId="0">
      <sharedItems containsString="0" containsBlank="1" containsNumber="1" containsInteger="1" minValue="20250707" maxValue="2025122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90">
  <r>
    <s v="07.07.2025"/>
    <x v="0"/>
    <n v="50"/>
    <n v="-400000"/>
    <s v="IDR"/>
    <n v="-400000"/>
    <s v="IDR"/>
    <m/>
    <m/>
    <m/>
    <s v="R124"/>
    <s v="510/PPC/VI/2025"/>
    <s v="OLAHRAGA DAN PERMAINAN"/>
    <s v="BY OLAHRAGA 20/06/2025"/>
    <x v="0"/>
    <x v="0"/>
    <x v="0"/>
    <s v="SP"/>
    <n v="1495275"/>
    <n v="20250707"/>
  </r>
  <r>
    <s v="07.07.2025"/>
    <x v="0"/>
    <n v="50"/>
    <n v="-100000"/>
    <s v="IDR"/>
    <n v="-100000"/>
    <s v="IDR"/>
    <m/>
    <m/>
    <m/>
    <s v="R124"/>
    <s v="498/PPC/VI/2025"/>
    <s v="SURVEY DAN ANALISA"/>
    <s v="BY COO KADIN ASSUDAMAL EBP 2411775352"/>
    <x v="1"/>
    <x v="1"/>
    <x v="1"/>
    <s v="SP"/>
    <n v="1495275"/>
    <n v="20250707"/>
  </r>
  <r>
    <s v="07.07.2025"/>
    <x v="0"/>
    <n v="50"/>
    <n v="-100000"/>
    <s v="IDR"/>
    <n v="-100000"/>
    <s v="IDR"/>
    <m/>
    <m/>
    <m/>
    <s v="R124"/>
    <s v="498/PPC/VI/2025"/>
    <s v="SURVEY DAN ANALISA"/>
    <s v="BY COO KADIN ASSUDAMAL EBP 2411775353"/>
    <x v="1"/>
    <x v="1"/>
    <x v="1"/>
    <s v="SP"/>
    <n v="1495275"/>
    <n v="20250707"/>
  </r>
  <r>
    <s v="07.07.2025"/>
    <x v="0"/>
    <n v="50"/>
    <n v="-150000"/>
    <s v="IDR"/>
    <n v="-150000"/>
    <s v="IDR"/>
    <m/>
    <m/>
    <m/>
    <s v="R124"/>
    <s v="498/PPC/VI/2025"/>
    <s v="SURVEY DAN ANALISA"/>
    <s v="BY COO KADIN ASSUDAMAL EBP 2411775354"/>
    <x v="1"/>
    <x v="1"/>
    <x v="1"/>
    <s v="SP"/>
    <n v="1495275"/>
    <n v="20250707"/>
  </r>
  <r>
    <s v="07.07.2025"/>
    <x v="0"/>
    <n v="50"/>
    <n v="-100000"/>
    <s v="IDR"/>
    <n v="-100000"/>
    <s v="IDR"/>
    <m/>
    <m/>
    <m/>
    <s v="R124"/>
    <s v="498/PPC/VI/2025"/>
    <s v="SURVEY DAN ANALISA"/>
    <s v="BY COO KADIN ASSUDAMAL EBP 2411775666"/>
    <x v="1"/>
    <x v="1"/>
    <x v="2"/>
    <s v="SP"/>
    <n v="1495275"/>
    <n v="20250707"/>
  </r>
  <r>
    <s v="07.07.2025"/>
    <x v="0"/>
    <n v="50"/>
    <n v="-100000"/>
    <s v="IDR"/>
    <n v="-100000"/>
    <s v="IDR"/>
    <m/>
    <m/>
    <m/>
    <s v="R124"/>
    <s v="498/PPC/VI/2025"/>
    <s v="SURVEY DAN ANALISA"/>
    <s v="BY COO KADIN ASSUDAMAL EBP 2411775667"/>
    <x v="1"/>
    <x v="1"/>
    <x v="1"/>
    <s v="SP"/>
    <n v="1495275"/>
    <n v="20250707"/>
  </r>
  <r>
    <s v="07.07.2025"/>
    <x v="0"/>
    <n v="50"/>
    <n v="-100000"/>
    <s v="IDR"/>
    <n v="-100000"/>
    <s v="IDR"/>
    <m/>
    <m/>
    <m/>
    <s v="R124"/>
    <s v="498/PPC/VI/2025"/>
    <s v="SURVEY DAN ANALISA"/>
    <s v="BY COO KADIN ASSUDAMAL EBP 2411775668"/>
    <x v="1"/>
    <x v="1"/>
    <x v="1"/>
    <s v="SP"/>
    <n v="1495275"/>
    <n v="20250707"/>
  </r>
  <r>
    <s v="07.07.2025"/>
    <x v="0"/>
    <n v="50"/>
    <n v="-100000"/>
    <s v="IDR"/>
    <n v="-100000"/>
    <s v="IDR"/>
    <m/>
    <m/>
    <m/>
    <s v="R124"/>
    <s v="498/PPC/VI/2025"/>
    <s v="SURVEY DAN ANALISA"/>
    <s v="BY COO KADIN ASSUDAMAL EBP 2411775669"/>
    <x v="1"/>
    <x v="1"/>
    <x v="2"/>
    <s v="SP"/>
    <n v="1495275"/>
    <n v="20250707"/>
  </r>
  <r>
    <s v="07.07.2025"/>
    <x v="0"/>
    <n v="50"/>
    <n v="-100000"/>
    <s v="IDR"/>
    <n v="-100000"/>
    <s v="IDR"/>
    <m/>
    <m/>
    <m/>
    <s v="R124"/>
    <s v="498/PPC/VI/2025"/>
    <s v="SURVEY DAN ANALISA"/>
    <s v="BY COO KADIN ASSUDAMAL EBP 2411775670"/>
    <x v="1"/>
    <x v="1"/>
    <x v="1"/>
    <s v="SP"/>
    <n v="1495275"/>
    <n v="20250707"/>
  </r>
  <r>
    <s v="07.07.2025"/>
    <x v="0"/>
    <n v="50"/>
    <n v="-100000"/>
    <s v="IDR"/>
    <n v="-100000"/>
    <s v="IDR"/>
    <m/>
    <m/>
    <m/>
    <s v="R124"/>
    <s v="498/PPC/VI/2025"/>
    <s v="SURVEY DAN ANALISA"/>
    <s v="BY COO KADIN ASSUDAMAL EBP 2411775671"/>
    <x v="1"/>
    <x v="1"/>
    <x v="1"/>
    <s v="SP"/>
    <n v="1495275"/>
    <n v="20250707"/>
  </r>
  <r>
    <s v="07.07.2025"/>
    <x v="0"/>
    <n v="50"/>
    <n v="-50000"/>
    <s v="IDR"/>
    <n v="-50000"/>
    <s v="IDR"/>
    <m/>
    <m/>
    <m/>
    <s v="R124"/>
    <s v="498/PPC/VI/2025"/>
    <s v="SURVEY DAN ANALISA"/>
    <s v="BY HC BPOM AL JAZIRA EBP 2411775754"/>
    <x v="1"/>
    <x v="1"/>
    <x v="1"/>
    <s v="SP"/>
    <n v="1495275"/>
    <n v="20250707"/>
  </r>
  <r>
    <s v="07.07.2025"/>
    <x v="0"/>
    <n v="50"/>
    <n v="-940000"/>
    <s v="IDR"/>
    <n v="-940000"/>
    <s v="IDR"/>
    <m/>
    <m/>
    <m/>
    <s v="R124"/>
    <s v="504/PPC/VI/2025"/>
    <s v="PEMEL.KEND&amp;A.BERAT MATRL"/>
    <s v="BY PEMBELIAN CAIRAN PENETRANT DAN CLEANER"/>
    <x v="2"/>
    <x v="2"/>
    <x v="3"/>
    <s v="SP"/>
    <n v="1495275"/>
    <n v="20250707"/>
  </r>
  <r>
    <s v="07.07.2025"/>
    <x v="0"/>
    <n v="50"/>
    <n v="-50000"/>
    <s v="IDR"/>
    <n v="-50000"/>
    <s v="IDR"/>
    <m/>
    <m/>
    <m/>
    <s v="R124"/>
    <s v="504/PPC/VI/2025"/>
    <s v="PBAIKN&amp;PRAWATN PRABT MATR"/>
    <s v="BY PEMBELIAN SEMPROTAN AIR KNG"/>
    <x v="3"/>
    <x v="3"/>
    <x v="3"/>
    <s v="SP"/>
    <n v="1495275"/>
    <n v="20250707"/>
  </r>
  <r>
    <s v="07.07.2025"/>
    <x v="0"/>
    <n v="50"/>
    <n v="-110008"/>
    <s v="IDR"/>
    <n v="-110008"/>
    <s v="IDR"/>
    <m/>
    <m/>
    <m/>
    <s v="R124"/>
    <s v="511/PPC/VI/2025"/>
    <s v="PEMEL.KEND&amp;A.BERAT MATRL"/>
    <s v="BY PEMBELIAN SELECTOR &amp; SKUN MOTOR AHU"/>
    <x v="2"/>
    <x v="2"/>
    <x v="4"/>
    <s v="SP"/>
    <n v="1495275"/>
    <n v="20250707"/>
  </r>
  <r>
    <s v="07.07.2025"/>
    <x v="0"/>
    <n v="50"/>
    <n v="-72000"/>
    <s v="IDR"/>
    <n v="-72000"/>
    <s v="IDR"/>
    <m/>
    <m/>
    <m/>
    <s v="R124"/>
    <s v="513/PPC/VI/2025"/>
    <s v="PERLENGKAPAN FOTOCOPY"/>
    <s v="BY PEMBELIAN KERTAS UNTUK COPY SERTIFIKAT"/>
    <x v="4"/>
    <x v="4"/>
    <x v="5"/>
    <s v="SP"/>
    <n v="1495275"/>
    <n v="20250707"/>
  </r>
  <r>
    <s v="07.07.2025"/>
    <x v="0"/>
    <n v="50"/>
    <n v="-210000"/>
    <s v="IDR"/>
    <n v="-210000"/>
    <s v="IDR"/>
    <m/>
    <m/>
    <m/>
    <s v="R124"/>
    <s v="514/PPC/VI/2025"/>
    <s v="TRANSPORTASI LOKAL"/>
    <s v="BY PARKIR KENDARAAN  L 2167 FT (27 MEI-24JUNI 25)"/>
    <x v="5"/>
    <x v="5"/>
    <x v="1"/>
    <s v="SP"/>
    <n v="1495275"/>
    <n v="20250707"/>
  </r>
  <r>
    <s v="07.07.2025"/>
    <x v="0"/>
    <n v="50"/>
    <n v="-22000"/>
    <s v="IDR"/>
    <n v="-22000"/>
    <s v="IDR"/>
    <m/>
    <m/>
    <m/>
    <s v="R124"/>
    <s v="514/PPC/VI/2025"/>
    <s v="PERLENGKAPAN FOTOCOPY"/>
    <s v="BY FOTOCOPY"/>
    <x v="4"/>
    <x v="4"/>
    <x v="1"/>
    <s v="SP"/>
    <n v="1495275"/>
    <n v="20250707"/>
  </r>
  <r>
    <s v="07.07.2025"/>
    <x v="0"/>
    <n v="50"/>
    <n v="-980000"/>
    <s v="IDR"/>
    <n v="-980000"/>
    <s v="IDR"/>
    <m/>
    <m/>
    <m/>
    <s v="R124"/>
    <s v="505/PPC/VI/2025"/>
    <s v="PBAIKN&amp;PRAWATN PRABT MATR"/>
    <s v="BY PEMBELIAN BUKET 6 LT"/>
    <x v="3"/>
    <x v="3"/>
    <x v="6"/>
    <s v="SP"/>
    <n v="1495275"/>
    <n v="20250707"/>
  </r>
  <r>
    <s v="07.07.2025"/>
    <x v="0"/>
    <n v="50"/>
    <n v="-243910"/>
    <s v="IDR"/>
    <n v="-243910"/>
    <s v="IDR"/>
    <m/>
    <m/>
    <m/>
    <s v="R124"/>
    <s v="516/PPC/VI/2025"/>
    <s v="PBAIKN&amp;PRAWATN PRABT MATR"/>
    <s v="BY PEMBELIAN KEBUTUHAN INSTALASI LISTRIK"/>
    <x v="3"/>
    <x v="3"/>
    <x v="7"/>
    <s v="SP"/>
    <n v="1495275"/>
    <n v="20250707"/>
  </r>
  <r>
    <s v="07.07.2025"/>
    <x v="0"/>
    <n v="50"/>
    <n v="-50000"/>
    <s v="IDR"/>
    <n v="-50000"/>
    <s v="IDR"/>
    <m/>
    <m/>
    <m/>
    <s v="R124"/>
    <s v="512/PPC/VI/2025"/>
    <s v="SURVEY DAN ANALISA"/>
    <s v="BY HC BPOM SG OILSEED EBP 2411775931"/>
    <x v="1"/>
    <x v="1"/>
    <x v="1"/>
    <s v="SP"/>
    <n v="1495275"/>
    <n v="20250707"/>
  </r>
  <r>
    <s v="07.07.2025"/>
    <x v="0"/>
    <n v="50"/>
    <n v="-50000"/>
    <s v="IDR"/>
    <n v="-50000"/>
    <s v="IDR"/>
    <m/>
    <m/>
    <m/>
    <s v="R124"/>
    <s v="512/PPC/VI/2025"/>
    <s v="SURVEY DAN ANALISA"/>
    <s v="BY HC BPOM DONGXIAO NORTH AMERICA EBP 24117755932"/>
    <x v="1"/>
    <x v="1"/>
    <x v="1"/>
    <s v="SP"/>
    <n v="1495275"/>
    <n v="20250707"/>
  </r>
  <r>
    <s v="07.07.2025"/>
    <x v="0"/>
    <n v="50"/>
    <n v="-50000"/>
    <s v="IDR"/>
    <n v="-50000"/>
    <s v="IDR"/>
    <m/>
    <m/>
    <m/>
    <s v="R124"/>
    <s v="512/PPC/VI/2025"/>
    <s v="SURVEY DAN ANALISA"/>
    <s v="BY HC BPOM SG OILSEED EBP 2411775933"/>
    <x v="1"/>
    <x v="1"/>
    <x v="1"/>
    <s v="SP"/>
    <n v="1495275"/>
    <n v="20250707"/>
  </r>
  <r>
    <s v="07.07.2025"/>
    <x v="0"/>
    <n v="50"/>
    <n v="-50000"/>
    <s v="IDR"/>
    <n v="-50000"/>
    <s v="IDR"/>
    <m/>
    <m/>
    <m/>
    <s v="R124"/>
    <s v="512/PPC/VI/2025"/>
    <s v="SURVEY DAN ANALISA"/>
    <s v="BY HC BPOM CHEMI EBP 2411775816"/>
    <x v="1"/>
    <x v="1"/>
    <x v="1"/>
    <s v="SP"/>
    <n v="1495275"/>
    <n v="20250707"/>
  </r>
  <r>
    <s v="07.07.2025"/>
    <x v="0"/>
    <n v="50"/>
    <n v="-50000"/>
    <s v="IDR"/>
    <n v="-50000"/>
    <s v="IDR"/>
    <m/>
    <m/>
    <m/>
    <s v="R124"/>
    <s v="518/PPC/VI/2025"/>
    <s v="SURVEY DAN ANALISA"/>
    <s v="BY HC BPOM NESTLE GHANA EBP 2411775768"/>
    <x v="1"/>
    <x v="1"/>
    <x v="8"/>
    <s v="SP"/>
    <n v="1495275"/>
    <n v="20250707"/>
  </r>
  <r>
    <s v="07.07.2025"/>
    <x v="0"/>
    <n v="50"/>
    <n v="-50000"/>
    <s v="IDR"/>
    <n v="-50000"/>
    <s v="IDR"/>
    <m/>
    <m/>
    <m/>
    <s v="R124"/>
    <s v="518/PPC/VI/2025"/>
    <s v="SURVEY DAN ANALISA"/>
    <s v="BY HC BPOM NESTLE PNG EBP 2411775857"/>
    <x v="1"/>
    <x v="1"/>
    <x v="8"/>
    <s v="SP"/>
    <n v="1495275"/>
    <n v="20250707"/>
  </r>
  <r>
    <s v="07.07.2025"/>
    <x v="0"/>
    <n v="50"/>
    <n v="-50000"/>
    <s v="IDR"/>
    <n v="-50000"/>
    <s v="IDR"/>
    <m/>
    <m/>
    <m/>
    <s v="R124"/>
    <s v="519/PPC/VI/2025"/>
    <s v="SURVEY DAN ANALISA"/>
    <s v="BY HC BPOM SG OILSEED EBP 2411775828"/>
    <x v="1"/>
    <x v="1"/>
    <x v="1"/>
    <s v="SP"/>
    <n v="1495275"/>
    <n v="20250707"/>
  </r>
  <r>
    <s v="07.07.2025"/>
    <x v="0"/>
    <n v="50"/>
    <n v="-50000"/>
    <s v="IDR"/>
    <n v="-50000"/>
    <s v="IDR"/>
    <m/>
    <m/>
    <m/>
    <s v="R124"/>
    <s v="519/PPC/VI/2025"/>
    <s v="SURVEY DAN ANALISA"/>
    <s v="BY HC BPOM SG OILSEED EBP 2411775735"/>
    <x v="1"/>
    <x v="1"/>
    <x v="1"/>
    <s v="SP"/>
    <n v="1495275"/>
    <n v="20250707"/>
  </r>
  <r>
    <s v="08.07.2025"/>
    <x v="0"/>
    <n v="50"/>
    <n v="-50000"/>
    <s v="IDR"/>
    <n v="-50000"/>
    <s v="IDR"/>
    <m/>
    <m/>
    <m/>
    <s v="R124"/>
    <s v="519/PPC/VI/2025"/>
    <s v="SURVEY DAN ANALISA"/>
    <s v="BY HC SG OILSEED EBP 2411775763"/>
    <x v="1"/>
    <x v="1"/>
    <x v="1"/>
    <s v="SP"/>
    <n v="1495275"/>
    <n v="20250708"/>
  </r>
  <r>
    <s v="08.07.2025"/>
    <x v="0"/>
    <n v="50"/>
    <n v="-50000"/>
    <s v="IDR"/>
    <n v="-50000"/>
    <s v="IDR"/>
    <m/>
    <m/>
    <m/>
    <s v="R124"/>
    <s v="519/PPC/VI/2025"/>
    <s v="SURVEY DAN ANALISA"/>
    <s v="BY HC SG OILSEED EBP 2411775779"/>
    <x v="1"/>
    <x v="1"/>
    <x v="1"/>
    <s v="SP"/>
    <n v="1495275"/>
    <n v="20250708"/>
  </r>
  <r>
    <s v="08.07.2025"/>
    <x v="0"/>
    <n v="50"/>
    <n v="-50000"/>
    <s v="IDR"/>
    <n v="-50000"/>
    <s v="IDR"/>
    <m/>
    <m/>
    <m/>
    <s v="R124"/>
    <s v="519/PPC/VI/2025"/>
    <s v="SURVEY DAN ANALISA"/>
    <s v="BY HC SG OILSEED EBP 2411775812"/>
    <x v="1"/>
    <x v="1"/>
    <x v="1"/>
    <s v="SP"/>
    <n v="1495275"/>
    <n v="20250708"/>
  </r>
  <r>
    <s v="08.07.2025"/>
    <x v="0"/>
    <n v="50"/>
    <n v="-50000"/>
    <s v="IDR"/>
    <n v="-50000"/>
    <s v="IDR"/>
    <m/>
    <m/>
    <m/>
    <s v="R124"/>
    <s v="519/PPC/VI/2025"/>
    <s v="SURVEY DAN ANALISA"/>
    <s v="BY HC SG OILSEED EBP 2411775814"/>
    <x v="1"/>
    <x v="1"/>
    <x v="1"/>
    <s v="SP"/>
    <n v="1495275"/>
    <n v="20250708"/>
  </r>
  <r>
    <s v="08.07.2025"/>
    <x v="0"/>
    <n v="50"/>
    <n v="-50000"/>
    <s v="IDR"/>
    <n v="-50000"/>
    <s v="IDR"/>
    <m/>
    <m/>
    <m/>
    <s v="R124"/>
    <s v="519/PPC/VI/2025"/>
    <s v="SURVEY DAN ANALISA"/>
    <s v="BY HC SG OILSEED EBP 2411775736"/>
    <x v="1"/>
    <x v="1"/>
    <x v="1"/>
    <s v="SP"/>
    <n v="1495275"/>
    <n v="20250708"/>
  </r>
  <r>
    <s v="08.07.2025"/>
    <x v="0"/>
    <n v="50"/>
    <n v="-50000"/>
    <s v="IDR"/>
    <n v="-50000"/>
    <s v="IDR"/>
    <m/>
    <m/>
    <m/>
    <s v="R124"/>
    <s v="519/PPC/VI/2025"/>
    <s v="SURVEY DAN ANALISA"/>
    <s v="BY HC SG OILSEED EBP 2411775714"/>
    <x v="1"/>
    <x v="1"/>
    <x v="1"/>
    <s v="SP"/>
    <n v="1495275"/>
    <n v="20250708"/>
  </r>
  <r>
    <s v="08.07.2025"/>
    <x v="0"/>
    <n v="50"/>
    <n v="-50000"/>
    <s v="IDR"/>
    <n v="-50000"/>
    <s v="IDR"/>
    <m/>
    <m/>
    <m/>
    <s v="R124"/>
    <s v="517/PPC/VI/2025"/>
    <s v="SURVEY DAN ANALISA"/>
    <s v="BY HC HOME CHAIN EBP 2411775823"/>
    <x v="1"/>
    <x v="1"/>
    <x v="1"/>
    <s v="SP"/>
    <n v="1495275"/>
    <n v="20250708"/>
  </r>
  <r>
    <s v="08.07.2025"/>
    <x v="0"/>
    <n v="50"/>
    <n v="-50000"/>
    <s v="IDR"/>
    <n v="-50000"/>
    <s v="IDR"/>
    <m/>
    <m/>
    <m/>
    <s v="R124"/>
    <s v="517/PPC/VI/2025"/>
    <s v="SURVEY DAN ANALISA"/>
    <s v="BY HC NESTLE PNG ETP 2411775858"/>
    <x v="1"/>
    <x v="1"/>
    <x v="8"/>
    <s v="SP"/>
    <n v="1495275"/>
    <n v="20250708"/>
  </r>
  <r>
    <s v="08.07.2025"/>
    <x v="0"/>
    <n v="50"/>
    <n v="-630000"/>
    <s v="IDR"/>
    <n v="-630000"/>
    <s v="IDR"/>
    <m/>
    <m/>
    <m/>
    <s v="R124"/>
    <s v="520/PPC/VI/2025"/>
    <s v="BAHAN BAKAR"/>
    <s v="BY TRANSPORTASI BBM 23-26/06/2025"/>
    <x v="6"/>
    <x v="6"/>
    <x v="9"/>
    <s v="SP"/>
    <n v="1495275"/>
    <n v="20250708"/>
  </r>
  <r>
    <s v="08.07.2025"/>
    <x v="0"/>
    <n v="50"/>
    <n v="-369000"/>
    <s v="IDR"/>
    <n v="-369000"/>
    <s v="IDR"/>
    <m/>
    <m/>
    <m/>
    <s v="R124"/>
    <s v="520/PPC/VI/2025"/>
    <s v="TRANSPORTASI LOKAL"/>
    <s v="BY TRANSPORTASI PARKIR TOL"/>
    <x v="5"/>
    <x v="5"/>
    <x v="9"/>
    <s v="SP"/>
    <n v="1495275"/>
    <n v="20250708"/>
  </r>
  <r>
    <s v="08.07.2025"/>
    <x v="0"/>
    <n v="50"/>
    <n v="-502640"/>
    <s v="IDR"/>
    <n v="-502640"/>
    <s v="IDR"/>
    <m/>
    <m/>
    <m/>
    <s v="R124"/>
    <s v="521/PPC/VI/2025"/>
    <s v="PEMEL.KEND&amp;A.BERAT MATRL"/>
    <s v="BY PEMB D NEPLE, RING, SOCKET, N SOK, DLL"/>
    <x v="2"/>
    <x v="2"/>
    <x v="10"/>
    <s v="SP"/>
    <n v="1495275"/>
    <n v="20250708"/>
  </r>
  <r>
    <s v="08.07.2025"/>
    <x v="0"/>
    <n v="50"/>
    <n v="-184000"/>
    <s v="IDR"/>
    <n v="-184000"/>
    <s v="IDR"/>
    <m/>
    <m/>
    <m/>
    <s v="R124"/>
    <s v="523/PPC/VI/2025"/>
    <s v="TRANSPORTASI LOKAL"/>
    <s v="BY PARKIR SPD MTR L 2057 EK BAG. EKSP.01-25/06/25"/>
    <x v="5"/>
    <x v="5"/>
    <x v="1"/>
    <s v="SP"/>
    <n v="1495275"/>
    <n v="20250708"/>
  </r>
  <r>
    <s v="08.07.2025"/>
    <x v="0"/>
    <n v="50"/>
    <n v="-50000"/>
    <s v="IDR"/>
    <n v="-50000"/>
    <s v="IDR"/>
    <m/>
    <m/>
    <m/>
    <s v="R124"/>
    <s v="524/PPC/VI/2025"/>
    <s v="SURVEY DAN ANALISA"/>
    <s v="BY HC SG OILSEED EBP 2411775826"/>
    <x v="1"/>
    <x v="1"/>
    <x v="1"/>
    <s v="SP"/>
    <n v="1495275"/>
    <n v="20250708"/>
  </r>
  <r>
    <s v="08.07.2025"/>
    <x v="0"/>
    <n v="50"/>
    <n v="-50000"/>
    <s v="IDR"/>
    <n v="-50000"/>
    <s v="IDR"/>
    <m/>
    <m/>
    <m/>
    <s v="R124"/>
    <s v="524/PPC/VI/2025"/>
    <s v="SURVEY DAN ANALISA"/>
    <s v="BY HC SG OILSEED EBP 2411775934"/>
    <x v="1"/>
    <x v="1"/>
    <x v="1"/>
    <s v="SP"/>
    <n v="1495275"/>
    <n v="20250708"/>
  </r>
  <r>
    <s v="08.07.2025"/>
    <x v="0"/>
    <n v="50"/>
    <n v="-50000"/>
    <s v="IDR"/>
    <n v="-50000"/>
    <s v="IDR"/>
    <m/>
    <m/>
    <m/>
    <s v="R124"/>
    <s v="524/PPC/VI/2025"/>
    <s v="SURVEY DAN ANALISA"/>
    <s v="BY HC SG OILSEED EBP 2411775813"/>
    <x v="1"/>
    <x v="1"/>
    <x v="1"/>
    <s v="SP"/>
    <n v="1495275"/>
    <n v="20250708"/>
  </r>
  <r>
    <s v="08.07.2025"/>
    <x v="0"/>
    <n v="50"/>
    <n v="-50000"/>
    <s v="IDR"/>
    <n v="-50000"/>
    <s v="IDR"/>
    <m/>
    <m/>
    <m/>
    <s v="R124"/>
    <s v="525/PPC/VI/2025"/>
    <s v="SURVEY DAN ANALISA"/>
    <s v="BY HC NESTLE GHANA ETP 2411775939"/>
    <x v="1"/>
    <x v="1"/>
    <x v="8"/>
    <s v="SP"/>
    <n v="1495275"/>
    <n v="20250708"/>
  </r>
  <r>
    <s v="08.07.2025"/>
    <x v="0"/>
    <n v="50"/>
    <n v="-50000"/>
    <s v="IDR"/>
    <n v="-50000"/>
    <s v="IDR"/>
    <m/>
    <m/>
    <m/>
    <s v="R124"/>
    <s v="525/PPC/VI/2025"/>
    <s v="SURVEY DAN ANALISA"/>
    <s v="BY HC NESTLE AUSTRALIA ETP 2411775984"/>
    <x v="1"/>
    <x v="1"/>
    <x v="8"/>
    <s v="SP"/>
    <n v="1495275"/>
    <n v="20250708"/>
  </r>
  <r>
    <s v="08.07.2025"/>
    <x v="0"/>
    <n v="50"/>
    <n v="-50000"/>
    <s v="IDR"/>
    <n v="-50000"/>
    <s v="IDR"/>
    <m/>
    <m/>
    <m/>
    <s v="R124"/>
    <s v="525/PPC/VI/2025"/>
    <s v="SURVEY DAN ANALISA"/>
    <s v="BY HC NESTLE AUSTRALIA ETP 2411775985"/>
    <x v="1"/>
    <x v="1"/>
    <x v="8"/>
    <s v="SP"/>
    <n v="1495275"/>
    <n v="20250708"/>
  </r>
  <r>
    <s v="08.07.2025"/>
    <x v="0"/>
    <n v="50"/>
    <n v="-200000"/>
    <s v="IDR"/>
    <n v="-200000"/>
    <s v="IDR"/>
    <m/>
    <m/>
    <m/>
    <s v="R124"/>
    <s v="502/PPC/VI/2025"/>
    <s v="SURVEY DAN ANALISA"/>
    <s v="BY COO KADIN AL JAZIRA EBP 2411775754"/>
    <x v="1"/>
    <x v="1"/>
    <x v="1"/>
    <s v="SP"/>
    <n v="1495275"/>
    <n v="20250708"/>
  </r>
  <r>
    <s v="08.07.2025"/>
    <x v="0"/>
    <n v="50"/>
    <n v="-100000"/>
    <s v="IDR"/>
    <n v="-100000"/>
    <s v="IDR"/>
    <m/>
    <m/>
    <m/>
    <s v="R124"/>
    <s v="502/PPC/VI/2025"/>
    <s v="SURVEY DAN ANALISA"/>
    <s v="BY HC DINKES POLIVA ETP 2411775688"/>
    <x v="1"/>
    <x v="1"/>
    <x v="8"/>
    <s v="SP"/>
    <n v="1495275"/>
    <n v="20250708"/>
  </r>
  <r>
    <s v="08.07.2025"/>
    <x v="0"/>
    <n v="50"/>
    <n v="-50000"/>
    <s v="IDR"/>
    <n v="-50000"/>
    <s v="IDR"/>
    <m/>
    <m/>
    <m/>
    <s v="R124"/>
    <s v="502/PPC/VI/2025"/>
    <s v="SURVEY DAN ANALISA"/>
    <s v="BY HC ASSUDAMAL EBP 2411775352"/>
    <x v="1"/>
    <x v="1"/>
    <x v="2"/>
    <s v="SP"/>
    <n v="1495275"/>
    <n v="20250708"/>
  </r>
  <r>
    <s v="08.07.2025"/>
    <x v="0"/>
    <n v="50"/>
    <n v="-50000"/>
    <s v="IDR"/>
    <n v="-50000"/>
    <s v="IDR"/>
    <m/>
    <m/>
    <m/>
    <s v="R124"/>
    <s v="502/PPC/VI/2025"/>
    <s v="SURVEY DAN ANALISA"/>
    <s v="BY HC ASSUDAMAL EBP 2411775353"/>
    <x v="1"/>
    <x v="1"/>
    <x v="1"/>
    <s v="SP"/>
    <n v="1495275"/>
    <n v="20250708"/>
  </r>
  <r>
    <s v="08.07.2025"/>
    <x v="0"/>
    <n v="50"/>
    <n v="-50000"/>
    <s v="IDR"/>
    <n v="-50000"/>
    <s v="IDR"/>
    <m/>
    <m/>
    <m/>
    <s v="R124"/>
    <s v="502/PPC/VI/2025"/>
    <s v="SURVEY DAN ANALISA"/>
    <s v="BY HC ASSUDAMAL EBP 2411775354"/>
    <x v="1"/>
    <x v="1"/>
    <x v="1"/>
    <s v="SP"/>
    <n v="1495275"/>
    <n v="20250708"/>
  </r>
  <r>
    <s v="08.07.2025"/>
    <x v="0"/>
    <n v="50"/>
    <n v="-50000"/>
    <s v="IDR"/>
    <n v="-50000"/>
    <s v="IDR"/>
    <m/>
    <m/>
    <m/>
    <s v="R124"/>
    <s v="502/PPC/VI/2025"/>
    <s v="SURVEY DAN ANALISA"/>
    <s v="BY HC ASSUDAMAL EBP 2411775666"/>
    <x v="1"/>
    <x v="1"/>
    <x v="2"/>
    <s v="SP"/>
    <n v="1495275"/>
    <n v="20250708"/>
  </r>
  <r>
    <s v="08.07.2025"/>
    <x v="0"/>
    <n v="50"/>
    <n v="-50000"/>
    <s v="IDR"/>
    <n v="-50000"/>
    <s v="IDR"/>
    <m/>
    <m/>
    <m/>
    <s v="R124"/>
    <s v="502/PPC/VI/2025"/>
    <s v="SURVEY DAN ANALISA"/>
    <s v="BY HC ASSUDAMAL EBP 2411775667"/>
    <x v="1"/>
    <x v="1"/>
    <x v="1"/>
    <s v="SP"/>
    <n v="1495275"/>
    <n v="20250708"/>
  </r>
  <r>
    <s v="08.07.2025"/>
    <x v="0"/>
    <n v="50"/>
    <n v="-50000"/>
    <s v="IDR"/>
    <n v="-50000"/>
    <s v="IDR"/>
    <m/>
    <m/>
    <m/>
    <s v="R124"/>
    <s v="502/PPC/VI/2025"/>
    <s v="SURVEY DAN ANALISA"/>
    <s v="BY HC ASSUDAMAL EBP 2411775668"/>
    <x v="1"/>
    <x v="1"/>
    <x v="1"/>
    <s v="SP"/>
    <n v="1495275"/>
    <n v="20250708"/>
  </r>
  <r>
    <s v="08.07.2025"/>
    <x v="0"/>
    <n v="50"/>
    <n v="-50000"/>
    <s v="IDR"/>
    <n v="-50000"/>
    <s v="IDR"/>
    <m/>
    <m/>
    <m/>
    <s v="R124"/>
    <s v="502/PPC/VI/2025"/>
    <s v="SURVEY DAN ANALISA"/>
    <s v="BY HC ASSUDAMAL EBP 2411775669"/>
    <x v="1"/>
    <x v="1"/>
    <x v="2"/>
    <s v="SP"/>
    <n v="1495275"/>
    <n v="20250708"/>
  </r>
  <r>
    <s v="08.07.2025"/>
    <x v="0"/>
    <n v="50"/>
    <n v="-50000"/>
    <s v="IDR"/>
    <n v="-50000"/>
    <s v="IDR"/>
    <m/>
    <m/>
    <m/>
    <s v="R124"/>
    <s v="502/PPC/VI/2025"/>
    <s v="SURVEY DAN ANALISA"/>
    <s v="BY HC ASSUDAMAL EBP 2411775670"/>
    <x v="1"/>
    <x v="1"/>
    <x v="1"/>
    <s v="SP"/>
    <n v="1495275"/>
    <n v="20250708"/>
  </r>
  <r>
    <s v="08.07.2025"/>
    <x v="0"/>
    <n v="50"/>
    <n v="-50000"/>
    <s v="IDR"/>
    <n v="-50000"/>
    <s v="IDR"/>
    <m/>
    <m/>
    <m/>
    <s v="R124"/>
    <s v="502/PPC/VI/2025"/>
    <s v="SURVEY DAN ANALISA"/>
    <s v="BY HC ASSUDAMAL EBP 2411775671"/>
    <x v="1"/>
    <x v="1"/>
    <x v="1"/>
    <s v="SP"/>
    <n v="1495275"/>
    <n v="20250708"/>
  </r>
  <r>
    <s v="08.07.2025"/>
    <x v="0"/>
    <n v="50"/>
    <n v="-93000"/>
    <s v="IDR"/>
    <n v="-93000"/>
    <s v="IDR"/>
    <m/>
    <m/>
    <m/>
    <s v="R124"/>
    <s v="526/PPC/VI/2025"/>
    <s v="PEMEL.KEND&amp;A.BERAT MATRL"/>
    <s v="BY PEMB BUTON, WL, C13 U/ VNA &amp; HDS SHUTTLE"/>
    <x v="2"/>
    <x v="2"/>
    <x v="11"/>
    <s v="SP"/>
    <n v="1495275"/>
    <n v="20250708"/>
  </r>
  <r>
    <s v="08.07.2025"/>
    <x v="0"/>
    <n v="50"/>
    <n v="-973200"/>
    <s v="IDR"/>
    <n v="-973200"/>
    <s v="IDR"/>
    <m/>
    <m/>
    <m/>
    <s v="R124"/>
    <s v="529/PPC/VI/2025"/>
    <s v="MAKANAN DAN MINUMAN"/>
    <s v="BY KONSUMSI 551 20/06/2025"/>
    <x v="7"/>
    <x v="7"/>
    <x v="9"/>
    <s v="SP"/>
    <n v="1495275"/>
    <n v="20250708"/>
  </r>
  <r>
    <s v="08.07.2025"/>
    <x v="0"/>
    <n v="50"/>
    <n v="-990000"/>
    <s v="IDR"/>
    <n v="-990000"/>
    <s v="IDR"/>
    <m/>
    <m/>
    <m/>
    <s v="R124"/>
    <s v="515/PPC/VI/2025"/>
    <s v="PEMEL.BNGAN&amp;PSARANA MATRL"/>
    <s v="BY PEMB PIPA GAS U/ PEMBUATAN TANGGA DISABILITAS"/>
    <x v="8"/>
    <x v="8"/>
    <x v="9"/>
    <s v="SP"/>
    <n v="1495275"/>
    <n v="20250708"/>
  </r>
  <r>
    <s v="08.07.2025"/>
    <x v="0"/>
    <n v="50"/>
    <n v="-825000"/>
    <s v="IDR"/>
    <n v="-825000"/>
    <s v="IDR"/>
    <m/>
    <m/>
    <m/>
    <s v="R124"/>
    <s v="522/PPC/VI/2025"/>
    <s v="PBAIKN&amp;PRAWATN PRABT MATR"/>
    <s v="BY PEMB BESI LUBANG, BAUT SIKU LUBANG U/RAK SAMPLE"/>
    <x v="3"/>
    <x v="3"/>
    <x v="12"/>
    <s v="SP"/>
    <n v="1495275"/>
    <n v="20250708"/>
  </r>
  <r>
    <s v="08.07.2025"/>
    <x v="0"/>
    <n v="50"/>
    <n v="-685420"/>
    <s v="IDR"/>
    <n v="-685420"/>
    <s v="IDR"/>
    <m/>
    <m/>
    <m/>
    <s v="R124"/>
    <s v="530/PPC/VII/2025"/>
    <s v="PEMEL.BNGAN&amp;PSARANA MATRL"/>
    <s v="BY PEMB HANDLE PEGANGAN CLOSED KMR MANDI, GRAB BAR"/>
    <x v="8"/>
    <x v="8"/>
    <x v="9"/>
    <s v="SP"/>
    <n v="1495275"/>
    <n v="20250708"/>
  </r>
  <r>
    <s v="08.07.2025"/>
    <x v="0"/>
    <n v="50"/>
    <n v="-460060"/>
    <s v="IDR"/>
    <n v="-460060"/>
    <s v="IDR"/>
    <m/>
    <m/>
    <m/>
    <s v="R124"/>
    <s v="531/PPC/VII/2025"/>
    <s v="PEMEL.KEND&amp;A.BERAT MATRL"/>
    <s v="BY PEMB OIL SEAL, NAPEL SPC, DOUBLE NEPEL SS"/>
    <x v="2"/>
    <x v="2"/>
    <x v="10"/>
    <s v="SP"/>
    <n v="1495275"/>
    <n v="20250708"/>
  </r>
  <r>
    <s v="08.07.2025"/>
    <x v="0"/>
    <n v="50"/>
    <n v="-186599"/>
    <s v="IDR"/>
    <n v="-186599"/>
    <s v="IDR"/>
    <m/>
    <m/>
    <m/>
    <s v="R124"/>
    <s v="535/PPC/VII/2025"/>
    <s v="OLAHRAGA DAN PERMAINAN"/>
    <s v="BY PERLENGKAPAN OLAHRAGA: MATRAS YOGA"/>
    <x v="0"/>
    <x v="0"/>
    <x v="0"/>
    <s v="SP"/>
    <n v="1495275"/>
    <n v="20250708"/>
  </r>
  <r>
    <s v="08.07.2025"/>
    <x v="0"/>
    <n v="50"/>
    <n v="-143900"/>
    <s v="IDR"/>
    <n v="-143900"/>
    <s v="IDR"/>
    <m/>
    <m/>
    <m/>
    <s v="R124"/>
    <s v="536/PPC/VII/2025"/>
    <s v="PBAIKN&amp;PRAWATN PRABT MATR"/>
    <s v="BY PEMB LASER SCANNER HP LASERJET"/>
    <x v="3"/>
    <x v="3"/>
    <x v="13"/>
    <s v="SP"/>
    <n v="1495275"/>
    <n v="20250708"/>
  </r>
  <r>
    <s v="08.07.2025"/>
    <x v="0"/>
    <n v="50"/>
    <n v="-504050"/>
    <s v="IDR"/>
    <n v="-504050"/>
    <s v="IDR"/>
    <m/>
    <m/>
    <m/>
    <s v="R124"/>
    <s v="537/PPC/VII/2025"/>
    <s v="PBAIKN&amp;PRAWATN PRABT MATR"/>
    <s v="BY PEMB DUST SEAL, OIL SEAL, ORING U/ MHE, FUSE"/>
    <x v="3"/>
    <x v="3"/>
    <x v="14"/>
    <s v="SP"/>
    <n v="1495275"/>
    <n v="20250708"/>
  </r>
  <r>
    <s v="08.07.2025"/>
    <x v="0"/>
    <n v="50"/>
    <n v="-210000"/>
    <s v="IDR"/>
    <n v="-210000"/>
    <s v="IDR"/>
    <m/>
    <m/>
    <m/>
    <s v="R124"/>
    <s v="538/PPC/VII/2025"/>
    <s v="PEMEL.KEND&amp;A.BERAT MATRL"/>
    <s v="BY PEMB KOPLING SET, NAPLE KOPLING, DRAT NAPLE"/>
    <x v="2"/>
    <x v="2"/>
    <x v="6"/>
    <s v="SP"/>
    <n v="1495275"/>
    <n v="20250708"/>
  </r>
  <r>
    <s v="08.07.2025"/>
    <x v="0"/>
    <n v="50"/>
    <n v="-863500"/>
    <s v="IDR"/>
    <n v="-863500"/>
    <s v="IDR"/>
    <m/>
    <m/>
    <m/>
    <s v="R124"/>
    <s v="539/PPC/VII/2025"/>
    <s v="RISET/PENGEMBANGAN PRODUK"/>
    <s v="BY PEMB BOTOL DURAN 1L &amp; 500ml U/ SAMPLE"/>
    <x v="9"/>
    <x v="9"/>
    <x v="8"/>
    <s v="SP"/>
    <n v="1495275"/>
    <n v="20250708"/>
  </r>
  <r>
    <s v="08.07.2025"/>
    <x v="0"/>
    <n v="50"/>
    <n v="-50000"/>
    <s v="IDR"/>
    <n v="-50000"/>
    <s v="IDR"/>
    <m/>
    <m/>
    <m/>
    <s v="R124"/>
    <s v="540/PPC/VII/2025"/>
    <s v="MAKANAN DAN MINUMAN"/>
    <s v="BY MKN DNS PRK 30/06/2025 - 2ORG"/>
    <x v="7"/>
    <x v="7"/>
    <x v="13"/>
    <s v="SP"/>
    <n v="1495275"/>
    <n v="20250708"/>
  </r>
  <r>
    <s v="08.07.2025"/>
    <x v="0"/>
    <n v="50"/>
    <n v="-680000"/>
    <s v="IDR"/>
    <n v="-680000"/>
    <s v="IDR"/>
    <m/>
    <m/>
    <m/>
    <s v="R124"/>
    <s v="541/PPC/VII/2025"/>
    <s v="RISET/PENGEMBANGAN PRODUK"/>
    <s v="BY BOTOL JAR+TUTUP SAMPLE RETAIN MOSH MOAH NESTLE"/>
    <x v="9"/>
    <x v="9"/>
    <x v="15"/>
    <s v="SP"/>
    <n v="1495275"/>
    <n v="20250708"/>
  </r>
  <r>
    <s v="08.07.2025"/>
    <x v="0"/>
    <n v="50"/>
    <n v="-144900"/>
    <s v="IDR"/>
    <n v="-144900"/>
    <s v="IDR"/>
    <m/>
    <m/>
    <m/>
    <s v="R124"/>
    <s v="541/PPC/VII/2025"/>
    <s v="PBAIKN&amp;PRAWATN PRABT MATR"/>
    <s v="BY PEMB SENTER U/ CEK ROADTANKER"/>
    <x v="3"/>
    <x v="3"/>
    <x v="15"/>
    <s v="SP"/>
    <n v="1495275"/>
    <n v="20250708"/>
  </r>
  <r>
    <s v="08.07.2025"/>
    <x v="0"/>
    <n v="50"/>
    <n v="-680000"/>
    <s v="IDR"/>
    <n v="-680000"/>
    <s v="IDR"/>
    <m/>
    <m/>
    <m/>
    <s v="R124"/>
    <s v="542/PPC/VII/2025"/>
    <s v="RISET/PENGEMBANGAN PRODUK"/>
    <s v="BY BOTOL JAR+TUTUP SAMPLE RETAIN MOSH MOAH NESTLE"/>
    <x v="9"/>
    <x v="9"/>
    <x v="15"/>
    <s v="SP"/>
    <n v="1495275"/>
    <n v="20250708"/>
  </r>
  <r>
    <s v="08.07.2025"/>
    <x v="0"/>
    <n v="50"/>
    <n v="-217000"/>
    <s v="IDR"/>
    <n v="-217000"/>
    <s v="IDR"/>
    <m/>
    <m/>
    <m/>
    <s v="R124"/>
    <s v="542/PPC/VII/2025"/>
    <s v="TRANSPORTASI LOKAL"/>
    <s v="BY GRAB RUNGKUT-PRK PP+ TOL"/>
    <x v="5"/>
    <x v="5"/>
    <x v="15"/>
    <s v="SP"/>
    <n v="1495275"/>
    <n v="20250708"/>
  </r>
  <r>
    <s v="08.07.2025"/>
    <x v="0"/>
    <n v="50"/>
    <n v="-48000"/>
    <s v="IDR"/>
    <n v="-48000"/>
    <s v="IDR"/>
    <m/>
    <m/>
    <m/>
    <s v="R124"/>
    <s v="543/PPC/VII/2025"/>
    <s v="PBAIKN&amp;PRAWATN PRABT MATR"/>
    <s v="BY PEMB BATTERAI, LEM G, DOUBLE TAPE"/>
    <x v="3"/>
    <x v="3"/>
    <x v="11"/>
    <s v="SP"/>
    <n v="1495275"/>
    <n v="20250708"/>
  </r>
  <r>
    <s v="08.07.2025"/>
    <x v="0"/>
    <n v="50"/>
    <n v="-50000"/>
    <s v="IDR"/>
    <n v="-50000"/>
    <s v="IDR"/>
    <m/>
    <m/>
    <m/>
    <s v="R124"/>
    <s v="534/PPC/VII/2025"/>
    <s v="SURVEY DAN ANALISA"/>
    <s v="BY HC NESTLE PAKISTAN ETP 2411776013"/>
    <x v="1"/>
    <x v="1"/>
    <x v="8"/>
    <s v="SP"/>
    <n v="1495275"/>
    <n v="20250708"/>
  </r>
  <r>
    <s v="08.07.2025"/>
    <x v="0"/>
    <n v="50"/>
    <n v="-50000"/>
    <s v="IDR"/>
    <n v="-50000"/>
    <s v="IDR"/>
    <m/>
    <m/>
    <m/>
    <s v="R124"/>
    <s v="534/PPC/VII/2025"/>
    <s v="SURVEY DAN ANALISA"/>
    <s v="BY HC SG OILSEED EBP 2411776022"/>
    <x v="1"/>
    <x v="1"/>
    <x v="1"/>
    <s v="SP"/>
    <n v="1495275"/>
    <n v="20250708"/>
  </r>
  <r>
    <s v="08.07.2025"/>
    <x v="0"/>
    <n v="50"/>
    <n v="-50000"/>
    <s v="IDR"/>
    <n v="-50000"/>
    <s v="IDR"/>
    <m/>
    <m/>
    <m/>
    <s v="R124"/>
    <s v="534/PPC/VII/2025"/>
    <s v="SURVEY DAN ANALISA"/>
    <s v="BY HC SG OILSEED EBP 2411776030"/>
    <x v="1"/>
    <x v="1"/>
    <x v="1"/>
    <s v="SP"/>
    <n v="1495275"/>
    <n v="20250708"/>
  </r>
  <r>
    <s v="08.07.2025"/>
    <x v="0"/>
    <n v="50"/>
    <n v="-286400"/>
    <s v="IDR"/>
    <n v="-286400"/>
    <s v="IDR"/>
    <m/>
    <m/>
    <m/>
    <s v="R124"/>
    <s v="544/PPC/VII/2025"/>
    <s v="BIAYA POLIKLINIK"/>
    <s v="BY PEMB TENSIMETER DIGITAL &amp; REFILL OKSIGEN MEDIS"/>
    <x v="10"/>
    <x v="10"/>
    <x v="16"/>
    <s v="SP"/>
    <n v="1495275"/>
    <n v="20250708"/>
  </r>
  <r>
    <s v="08.07.2025"/>
    <x v="0"/>
    <n v="50"/>
    <n v="-156280"/>
    <s v="IDR"/>
    <n v="-156280"/>
    <s v="IDR"/>
    <m/>
    <m/>
    <m/>
    <s v="R124"/>
    <s v="544/PPC/VII/2025"/>
    <s v="MAKANAN DAN MINUMAN"/>
    <s v="BY KONSUMSI MEETING P2K3"/>
    <x v="7"/>
    <x v="7"/>
    <x v="16"/>
    <s v="SP"/>
    <n v="1495275"/>
    <n v="20250708"/>
  </r>
  <r>
    <s v="08.07.2025"/>
    <x v="0"/>
    <n v="50"/>
    <n v="-172150"/>
    <s v="IDR"/>
    <n v="-172150"/>
    <s v="IDR"/>
    <m/>
    <m/>
    <m/>
    <s v="R124"/>
    <s v="545/PPC/VII/2025"/>
    <s v="PBAIKN&amp;PRAWATN PRABT MATR"/>
    <s v="BY PEMB COVER PELINDUNG SELANG INFUS TINTA PRINTER"/>
    <x v="3"/>
    <x v="3"/>
    <x v="17"/>
    <s v="SP"/>
    <n v="1495275"/>
    <n v="20250708"/>
  </r>
  <r>
    <s v="08.07.2025"/>
    <x v="0"/>
    <n v="50"/>
    <n v="-830000"/>
    <s v="IDR"/>
    <n v="-830000"/>
    <s v="IDR"/>
    <m/>
    <m/>
    <m/>
    <s v="R124"/>
    <s v="546/PPC/VII/2025"/>
    <s v="BAHAN BAKAR"/>
    <s v="BY TRANSPORTASI BBM 26/06-02/07/2025"/>
    <x v="6"/>
    <x v="6"/>
    <x v="9"/>
    <s v="SP"/>
    <n v="1495275"/>
    <n v="20250708"/>
  </r>
  <r>
    <s v="08.07.2025"/>
    <x v="0"/>
    <n v="50"/>
    <n v="-168900"/>
    <s v="IDR"/>
    <n v="-168900"/>
    <s v="IDR"/>
    <m/>
    <m/>
    <m/>
    <s v="R124"/>
    <s v="546/PPC/VII/2025"/>
    <s v="TRANSPORTASI LOKAL"/>
    <s v="BY TRANSPORTASI PARKIR TOL"/>
    <x v="5"/>
    <x v="5"/>
    <x v="9"/>
    <s v="SP"/>
    <n v="1495275"/>
    <n v="20250708"/>
  </r>
  <r>
    <s v="08.07.2025"/>
    <x v="0"/>
    <n v="50"/>
    <n v="-325000"/>
    <s v="IDR"/>
    <n v="-325000"/>
    <s v="IDR"/>
    <m/>
    <m/>
    <m/>
    <s v="R124"/>
    <s v="547/PPC/VII/2025"/>
    <s v="MAKANAN DAN MINUMAN"/>
    <s v="BY KONSUMSI MEETING QFS SAFETY TALK LOGISTIK"/>
    <x v="7"/>
    <x v="7"/>
    <x v="17"/>
    <s v="SP"/>
    <n v="1495275"/>
    <n v="20250708"/>
  </r>
  <r>
    <s v="08.07.2025"/>
    <x v="0"/>
    <n v="50"/>
    <n v="-900000"/>
    <s v="IDR"/>
    <n v="-900000"/>
    <s v="IDR"/>
    <m/>
    <m/>
    <m/>
    <s v="R124"/>
    <s v="548/PPC/VII/2025"/>
    <s v="SPAREPART KEND &amp; A.BERAT"/>
    <s v="BY PEMB BEARING LOAD WHEEL REACHTRUCK JUNGHEINRICH"/>
    <x v="11"/>
    <x v="11"/>
    <x v="11"/>
    <s v="SP"/>
    <n v="1495275"/>
    <n v="20250708"/>
  </r>
  <r>
    <s v="08.07.2025"/>
    <x v="0"/>
    <n v="50"/>
    <n v="-900000"/>
    <s v="IDR"/>
    <n v="-900000"/>
    <s v="IDR"/>
    <m/>
    <m/>
    <m/>
    <s v="R124"/>
    <s v="549/PPC/VII/2025"/>
    <s v="SPAREPART KEND &amp; A.BERAT"/>
    <s v="BY PEMB BEARING LOAD WHEEL REACHTRUCK JUNGHEINRICH"/>
    <x v="11"/>
    <x v="11"/>
    <x v="11"/>
    <s v="SP"/>
    <n v="1495275"/>
    <n v="20250708"/>
  </r>
  <r>
    <s v="08.07.2025"/>
    <x v="0"/>
    <n v="50"/>
    <n v="-76000"/>
    <s v="IDR"/>
    <n v="-76000"/>
    <s v="IDR"/>
    <m/>
    <m/>
    <m/>
    <s v="R124"/>
    <s v="549/PPC/VII/2025"/>
    <s v="PBAIKN&amp;PRAWATN PRABT MATR"/>
    <s v="BY PEMB SOLDER DEKKO, TIMAH, ARPUS"/>
    <x v="3"/>
    <x v="3"/>
    <x v="11"/>
    <s v="SP"/>
    <n v="1495275"/>
    <n v="20250708"/>
  </r>
  <r>
    <s v="08.07.2025"/>
    <x v="0"/>
    <n v="50"/>
    <n v="-915600"/>
    <s v="IDR"/>
    <n v="-915600"/>
    <s v="IDR"/>
    <m/>
    <m/>
    <m/>
    <s v="R124"/>
    <s v="527/PPC/VI/2025"/>
    <s v="MAKANAN DAN MINUMAN"/>
    <s v="BY KONSUMSI REFRESHING INTERNAL AUDIT"/>
    <x v="7"/>
    <x v="7"/>
    <x v="5"/>
    <s v="SP"/>
    <n v="1495275"/>
    <n v="20250708"/>
  </r>
  <r>
    <s v="08.07.2025"/>
    <x v="0"/>
    <n v="50"/>
    <n v="-420000"/>
    <s v="IDR"/>
    <n v="-420000"/>
    <s v="IDR"/>
    <m/>
    <m/>
    <m/>
    <s v="R124"/>
    <s v="532/PPC/VII/2025"/>
    <s v="PEMEL.KEND&amp;A.BERAT MATRL"/>
    <s v="BY PERAWATAN SPD MTR BAG.EKSP. L 2167 FT (VIXION)"/>
    <x v="2"/>
    <x v="2"/>
    <x v="2"/>
    <s v="SP"/>
    <n v="1495275"/>
    <n v="20250708"/>
  </r>
  <r>
    <s v="08.07.2025"/>
    <x v="0"/>
    <n v="50"/>
    <n v="-328000"/>
    <s v="IDR"/>
    <n v="-328000"/>
    <s v="IDR"/>
    <m/>
    <m/>
    <m/>
    <s v="R124"/>
    <s v="533/PPC/VII/2025"/>
    <s v="PEMEL.KEND&amp;A.BERAT MATRL"/>
    <s v="BY PERAWATAN SPD MTR BAG.EKSP. L 2057 EK (VEGA R)"/>
    <x v="2"/>
    <x v="2"/>
    <x v="1"/>
    <s v="SP"/>
    <n v="1495275"/>
    <n v="20250708"/>
  </r>
  <r>
    <s v="08.07.2025"/>
    <x v="0"/>
    <n v="50"/>
    <n v="-50000"/>
    <s v="IDR"/>
    <n v="-50000"/>
    <s v="IDR"/>
    <m/>
    <m/>
    <m/>
    <s v="R124"/>
    <s v="551/PPC/VII/2025"/>
    <s v="SURVEY DAN ANALISA"/>
    <s v="BY HC NESTLE GHANA ETP 2411776084"/>
    <x v="1"/>
    <x v="1"/>
    <x v="8"/>
    <s v="SP"/>
    <n v="1495275"/>
    <n v="20250708"/>
  </r>
  <r>
    <s v="08.07.2025"/>
    <x v="0"/>
    <n v="50"/>
    <n v="-50000"/>
    <s v="IDR"/>
    <n v="-50000"/>
    <s v="IDR"/>
    <m/>
    <m/>
    <m/>
    <s v="R124"/>
    <s v="552/PPC/VII/2025"/>
    <s v="SURVEY DAN ANALISA"/>
    <s v="BY HC SG OILSEED EBP 2411776020"/>
    <x v="1"/>
    <x v="1"/>
    <x v="1"/>
    <s v="SP"/>
    <n v="1495275"/>
    <n v="20250708"/>
  </r>
  <r>
    <s v="08.07.2025"/>
    <x v="0"/>
    <n v="50"/>
    <n v="-50000"/>
    <s v="IDR"/>
    <n v="-50000"/>
    <s v="IDR"/>
    <m/>
    <m/>
    <m/>
    <s v="R124"/>
    <s v="552/PPC/VII/2025"/>
    <s v="SURVEY DAN ANALISA"/>
    <s v="BY HC SG OILSEED EBP 2411776024"/>
    <x v="1"/>
    <x v="1"/>
    <x v="1"/>
    <s v="SP"/>
    <n v="1495275"/>
    <n v="20250708"/>
  </r>
  <r>
    <s v="08.07.2025"/>
    <x v="0"/>
    <n v="50"/>
    <n v="-50000"/>
    <s v="IDR"/>
    <n v="-50000"/>
    <s v="IDR"/>
    <m/>
    <m/>
    <m/>
    <s v="R124"/>
    <s v="552/PPC/VII/2025"/>
    <s v="SURVEY DAN ANALISA"/>
    <s v="BY HC SG OILSEED EBP 2411776026"/>
    <x v="1"/>
    <x v="1"/>
    <x v="1"/>
    <s v="SP"/>
    <n v="1495275"/>
    <n v="20250708"/>
  </r>
  <r>
    <s v="08.07.2025"/>
    <x v="0"/>
    <n v="50"/>
    <n v="-809000"/>
    <s v="IDR"/>
    <n v="-809000"/>
    <s v="IDR"/>
    <m/>
    <m/>
    <m/>
    <s v="R124"/>
    <s v="553/PPC/VII/2025"/>
    <s v="PBAIKN&amp;PRAWATN PRABT MATR"/>
    <s v="BY PEMB KARPET ANTI SLIP, PEGANGAN KMR MANDI"/>
    <x v="3"/>
    <x v="3"/>
    <x v="9"/>
    <s v="SP"/>
    <n v="1495275"/>
    <n v="20250708"/>
  </r>
  <r>
    <s v="08.07.2025"/>
    <x v="0"/>
    <n v="50"/>
    <n v="-500000"/>
    <s v="IDR"/>
    <n v="-500000"/>
    <s v="IDR"/>
    <m/>
    <m/>
    <m/>
    <s v="R124"/>
    <s v="554/PPC/VII/2025"/>
    <s v="BAHAN BAKAR"/>
    <s v="BY TRANSPORTASI BBM 02-03/07/2025"/>
    <x v="6"/>
    <x v="6"/>
    <x v="9"/>
    <s v="SP"/>
    <n v="1495275"/>
    <n v="20250708"/>
  </r>
  <r>
    <s v="08.07.2025"/>
    <x v="0"/>
    <n v="50"/>
    <n v="-499500"/>
    <s v="IDR"/>
    <n v="-499500"/>
    <s v="IDR"/>
    <m/>
    <m/>
    <m/>
    <s v="R124"/>
    <s v="554/PPC/VII/2025"/>
    <s v="TRANSPORTASI LOKAL"/>
    <s v="BY TRANSPORTASI PARKIR TOL"/>
    <x v="5"/>
    <x v="5"/>
    <x v="9"/>
    <s v="SP"/>
    <n v="1495275"/>
    <n v="20250708"/>
  </r>
  <r>
    <s v="08.07.2025"/>
    <x v="0"/>
    <n v="50"/>
    <n v="-57800"/>
    <s v="IDR"/>
    <n v="-57800"/>
    <s v="IDR"/>
    <m/>
    <m/>
    <m/>
    <s v="R124"/>
    <s v="555/PPC/VII/2025"/>
    <s v="PERIZINAN PEMERINTAH"/>
    <s v="BY PEMBAYARAN PPJ GENSET 1 &amp; 2 JUNI 2025"/>
    <x v="12"/>
    <x v="12"/>
    <x v="9"/>
    <s v="SP"/>
    <n v="1495275"/>
    <n v="20250708"/>
  </r>
  <r>
    <s v="08.07.2025"/>
    <x v="0"/>
    <n v="50"/>
    <n v="-600000"/>
    <s v="IDR"/>
    <n v="-600000"/>
    <s v="IDR"/>
    <m/>
    <m/>
    <m/>
    <s v="R124"/>
    <s v="556/PPC/VII/2025"/>
    <s v="OLAHRAGA DAN PERMAINAN"/>
    <s v="BY OLAHRAGA 04/07/2025"/>
    <x v="0"/>
    <x v="0"/>
    <x v="0"/>
    <s v="SP"/>
    <n v="1495275"/>
    <n v="20250708"/>
  </r>
  <r>
    <s v="08.07.2025"/>
    <x v="0"/>
    <n v="50"/>
    <n v="-770000"/>
    <s v="IDR"/>
    <n v="-770000"/>
    <s v="IDR"/>
    <m/>
    <m/>
    <m/>
    <s v="R124"/>
    <s v="560/PPC/VII/2025"/>
    <s v="BAHAN BAKAR"/>
    <s v="BY TRANSPORTASI BBM 03-07/07/2025"/>
    <x v="6"/>
    <x v="6"/>
    <x v="9"/>
    <s v="SP"/>
    <n v="1495275"/>
    <n v="20250708"/>
  </r>
  <r>
    <s v="08.07.2025"/>
    <x v="0"/>
    <n v="50"/>
    <n v="-229500"/>
    <s v="IDR"/>
    <n v="-229500"/>
    <s v="IDR"/>
    <m/>
    <m/>
    <m/>
    <s v="R124"/>
    <s v="560/PPC/VII/2025"/>
    <s v="TRANSPORTASI LOKAL"/>
    <s v="BY TRANSPORTASI PARKIR TOL"/>
    <x v="5"/>
    <x v="5"/>
    <x v="9"/>
    <s v="SP"/>
    <n v="1495275"/>
    <n v="20250708"/>
  </r>
  <r>
    <s v="10.07.2025"/>
    <x v="0"/>
    <n v="50"/>
    <n v="-856000"/>
    <s v="IDR"/>
    <n v="-856000"/>
    <s v="IDR"/>
    <m/>
    <m/>
    <m/>
    <s v="R124"/>
    <s v="550/PPC/VII/2025"/>
    <s v="PEMEL.BNGAN&amp;PSARANA MATRL"/>
    <s v="BY PEMB CAT BODELAC"/>
    <x v="8"/>
    <x v="8"/>
    <x v="12"/>
    <s v="SP"/>
    <n v="1495275"/>
    <n v="20250710"/>
  </r>
  <r>
    <s v="10.07.2025"/>
    <x v="0"/>
    <n v="50"/>
    <n v="-945000"/>
    <s v="IDR"/>
    <n v="-945000"/>
    <s v="IDR"/>
    <m/>
    <m/>
    <m/>
    <s v="R124"/>
    <s v="557/PPC/VII/2025"/>
    <s v="MAKANAN DAN MINUMAN"/>
    <s v="BY KONSUMSI AUDIT SMETA INTERTEK"/>
    <x v="7"/>
    <x v="7"/>
    <x v="8"/>
    <s v="SP"/>
    <n v="1495275"/>
    <n v="20250710"/>
  </r>
  <r>
    <s v="10.07.2025"/>
    <x v="0"/>
    <n v="50"/>
    <n v="-300000"/>
    <s v="IDR"/>
    <n v="-300000"/>
    <s v="IDR"/>
    <m/>
    <m/>
    <m/>
    <s v="R124"/>
    <s v="562/PPC/VII/2025"/>
    <s v="BAHAN BAKAR"/>
    <s v="BY TRANSPORTASI BBM 07/07/2025"/>
    <x v="6"/>
    <x v="6"/>
    <x v="9"/>
    <s v="SP"/>
    <n v="1495275"/>
    <n v="20250710"/>
  </r>
  <r>
    <s v="10.07.2025"/>
    <x v="0"/>
    <n v="50"/>
    <n v="-700000"/>
    <s v="IDR"/>
    <n v="-700000"/>
    <s v="IDR"/>
    <m/>
    <m/>
    <m/>
    <s v="R124"/>
    <s v="562/PPC/VII/2025"/>
    <s v="TRANSPORTASI LOKAL"/>
    <s v="BY TRANSPORTASI PARKIR TOL"/>
    <x v="5"/>
    <x v="5"/>
    <x v="9"/>
    <s v="SP"/>
    <n v="1495275"/>
    <n v="20250710"/>
  </r>
  <r>
    <s v="10.07.2025"/>
    <x v="0"/>
    <n v="50"/>
    <n v="-50000"/>
    <s v="IDR"/>
    <n v="-50000"/>
    <s v="IDR"/>
    <m/>
    <m/>
    <m/>
    <s v="R124"/>
    <s v="563/PPC/VII/2025"/>
    <s v="SURVEY DAN ANALISA"/>
    <s v="BY HC SG OILSEED EBP 2411776056"/>
    <x v="1"/>
    <x v="1"/>
    <x v="1"/>
    <s v="SP"/>
    <n v="1495275"/>
    <n v="20250710"/>
  </r>
  <r>
    <s v="10.07.2025"/>
    <x v="0"/>
    <n v="50"/>
    <n v="-50000"/>
    <s v="IDR"/>
    <n v="-50000"/>
    <s v="IDR"/>
    <m/>
    <m/>
    <m/>
    <s v="R124"/>
    <s v="563/PPC/VII/2025"/>
    <s v="SURVEY DAN ANALISA"/>
    <s v="BY HC TOP ROAD EBP 2411776132"/>
    <x v="1"/>
    <x v="1"/>
    <x v="1"/>
    <s v="SP"/>
    <n v="1495275"/>
    <n v="20250710"/>
  </r>
  <r>
    <s v="10.07.2025"/>
    <x v="0"/>
    <n v="50"/>
    <n v="-991458"/>
    <s v="IDR"/>
    <n v="-991458"/>
    <s v="IDR"/>
    <m/>
    <m/>
    <m/>
    <s v="R124"/>
    <s v="564/PPC/VII/2025"/>
    <s v="PBAIKN&amp;PRAWATN PRABT MATR"/>
    <s v="BY PEMB 2 CHAIN BLOCK 1 TON, PLASTIK SAMPAH, DLL"/>
    <x v="3"/>
    <x v="3"/>
    <x v="9"/>
    <s v="SP"/>
    <n v="1495275"/>
    <n v="20250710"/>
  </r>
  <r>
    <s v="10.07.2025"/>
    <x v="0"/>
    <n v="50"/>
    <n v="-50000"/>
    <s v="IDR"/>
    <n v="-50000"/>
    <s v="IDR"/>
    <m/>
    <m/>
    <m/>
    <s v="R124"/>
    <s v="559/PPC/VII/2025"/>
    <s v="SURVEY DAN ANALISA"/>
    <s v="BY HC SG OILSEED EBP 2411776090"/>
    <x v="1"/>
    <x v="1"/>
    <x v="1"/>
    <s v="SP"/>
    <n v="1495275"/>
    <n v="20250710"/>
  </r>
  <r>
    <s v="10.07.2025"/>
    <x v="0"/>
    <n v="50"/>
    <n v="-50000"/>
    <s v="IDR"/>
    <n v="-50000"/>
    <s v="IDR"/>
    <m/>
    <m/>
    <m/>
    <s v="R124"/>
    <s v="559/PPC/VII/2025"/>
    <s v="SURVEY DAN ANALISA"/>
    <s v="BY HC SG OILSEED EBP 2411776097"/>
    <x v="1"/>
    <x v="1"/>
    <x v="1"/>
    <s v="SP"/>
    <n v="1495275"/>
    <n v="20250710"/>
  </r>
  <r>
    <s v="10.07.2025"/>
    <x v="0"/>
    <n v="50"/>
    <n v="-50000"/>
    <s v="IDR"/>
    <n v="-50000"/>
    <s v="IDR"/>
    <m/>
    <m/>
    <m/>
    <s v="R124"/>
    <s v="559/PPC/VII/2025"/>
    <s v="SURVEY DAN ANALISA"/>
    <s v="BY HC SG OILSEED EBP 2411776094, 2411776095"/>
    <x v="1"/>
    <x v="1"/>
    <x v="1"/>
    <s v="SP"/>
    <n v="1495275"/>
    <n v="20250710"/>
  </r>
  <r>
    <s v="10.07.2025"/>
    <x v="0"/>
    <n v="50"/>
    <n v="-50000"/>
    <s v="IDR"/>
    <n v="-50000"/>
    <s v="IDR"/>
    <m/>
    <m/>
    <m/>
    <s v="R124"/>
    <s v="566/PPC/VII/2025"/>
    <s v="SURVEY DAN ANALISA"/>
    <s v="BY HC ACHIEVERS EBP 2411776197"/>
    <x v="1"/>
    <x v="1"/>
    <x v="1"/>
    <s v="SP"/>
    <n v="1495275"/>
    <n v="20250710"/>
  </r>
  <r>
    <s v="10.07.2025"/>
    <x v="0"/>
    <n v="50"/>
    <n v="-50000"/>
    <s v="IDR"/>
    <n v="-50000"/>
    <s v="IDR"/>
    <m/>
    <m/>
    <m/>
    <s v="R124"/>
    <s v="566/PPC/VII/2025"/>
    <s v="SURVEY DAN ANALISA"/>
    <s v="BY HC ACHIEVERS EBP 2411776197"/>
    <x v="1"/>
    <x v="1"/>
    <x v="1"/>
    <s v="SP"/>
    <n v="1495275"/>
    <n v="20250710"/>
  </r>
  <r>
    <s v="10.07.2025"/>
    <x v="0"/>
    <n v="50"/>
    <n v="-952000"/>
    <s v="IDR"/>
    <n v="-952000"/>
    <s v="IDR"/>
    <m/>
    <m/>
    <m/>
    <s v="R124"/>
    <s v="567/PPC/VII/2025"/>
    <s v="MAKANAN DAN MINUMAN"/>
    <s v="BY KONSUMSI TRAINING INTERNAL QFS, GHG-LCA"/>
    <x v="7"/>
    <x v="7"/>
    <x v="0"/>
    <s v="SP"/>
    <n v="1495275"/>
    <n v="20250710"/>
  </r>
  <r>
    <s v="10.07.2025"/>
    <x v="0"/>
    <n v="50"/>
    <n v="-580000"/>
    <s v="IDR"/>
    <n v="-580000"/>
    <s v="IDR"/>
    <m/>
    <m/>
    <m/>
    <s v="R124"/>
    <s v="568/PPC/VII/2025"/>
    <s v="BAHAN BAKAR"/>
    <s v="BY TRANSPORTASI BBM 09-10/07/2025"/>
    <x v="6"/>
    <x v="6"/>
    <x v="9"/>
    <s v="SP"/>
    <n v="1495275"/>
    <n v="20250710"/>
  </r>
  <r>
    <s v="10.07.2025"/>
    <x v="0"/>
    <n v="50"/>
    <n v="-420000"/>
    <s v="IDR"/>
    <n v="-420000"/>
    <s v="IDR"/>
    <m/>
    <m/>
    <m/>
    <s v="R124"/>
    <s v="568/PPC/VII/2025"/>
    <s v="TRANSPORTASI LOKAL"/>
    <s v="BY TRANSPORTASI PARKIR TOL"/>
    <x v="5"/>
    <x v="5"/>
    <x v="9"/>
    <s v="SP"/>
    <n v="1495275"/>
    <n v="20250710"/>
  </r>
  <r>
    <s v="11.07.2025"/>
    <x v="0"/>
    <n v="50"/>
    <n v="-50000"/>
    <s v="IDR"/>
    <n v="-50000"/>
    <s v="IDR"/>
    <m/>
    <m/>
    <m/>
    <s v="R124"/>
    <s v="565/PPC/VII/2025"/>
    <s v="SURVEY DAN ANALISA"/>
    <s v="BY HC GUANGDONG SHENGRONG EBP 2411776093"/>
    <x v="1"/>
    <x v="1"/>
    <x v="18"/>
    <s v="SP"/>
    <n v="1495275"/>
    <n v="20250711"/>
  </r>
  <r>
    <s v="11.07.2025"/>
    <x v="0"/>
    <n v="50"/>
    <n v="-50000"/>
    <s v="IDR"/>
    <n v="-50000"/>
    <s v="IDR"/>
    <m/>
    <m/>
    <m/>
    <s v="R124"/>
    <s v="565/PPC/VII/2025"/>
    <s v="SURVEY DAN ANALISA"/>
    <s v="BY HC SG OILSEED EBP 2411776027"/>
    <x v="1"/>
    <x v="1"/>
    <x v="1"/>
    <s v="SP"/>
    <n v="1495275"/>
    <n v="20250711"/>
  </r>
  <r>
    <s v="11.07.2025"/>
    <x v="0"/>
    <n v="50"/>
    <n v="-50000"/>
    <s v="IDR"/>
    <n v="-50000"/>
    <s v="IDR"/>
    <m/>
    <m/>
    <m/>
    <s v="R124"/>
    <s v="565/PPC/VII/2025"/>
    <s v="SURVEY DAN ANALISA"/>
    <s v="BY HC SG OILSEED EBP 2411776028"/>
    <x v="1"/>
    <x v="1"/>
    <x v="1"/>
    <s v="SP"/>
    <n v="1495275"/>
    <n v="20250711"/>
  </r>
  <r>
    <s v="11.07.2025"/>
    <x v="0"/>
    <n v="50"/>
    <n v="-50000"/>
    <s v="IDR"/>
    <n v="-50000"/>
    <s v="IDR"/>
    <m/>
    <m/>
    <m/>
    <s v="R124"/>
    <s v="565/PPC/VII/2025"/>
    <s v="SURVEY DAN ANALISA"/>
    <s v="BY HC GUANGDONG SHENGRONG EBP 2411776021"/>
    <x v="1"/>
    <x v="1"/>
    <x v="18"/>
    <s v="SP"/>
    <n v="1495275"/>
    <n v="20250711"/>
  </r>
  <r>
    <s v="11.07.2025"/>
    <x v="0"/>
    <n v="50"/>
    <n v="-50000"/>
    <s v="IDR"/>
    <n v="-50000"/>
    <s v="IDR"/>
    <m/>
    <m/>
    <m/>
    <s v="R124"/>
    <s v="565/PPC/VII/2025"/>
    <s v="SURVEY DAN ANALISA"/>
    <s v="BY HC SG OILSEED EBP 2411776019"/>
    <x v="1"/>
    <x v="1"/>
    <x v="1"/>
    <s v="SP"/>
    <n v="1495275"/>
    <n v="20250711"/>
  </r>
  <r>
    <s v="11.07.2025"/>
    <x v="0"/>
    <n v="50"/>
    <n v="-50000"/>
    <s v="IDR"/>
    <n v="-50000"/>
    <s v="IDR"/>
    <m/>
    <m/>
    <m/>
    <s v="R124"/>
    <s v="565/PPC/VII/2025"/>
    <s v="SURVEY DAN ANALISA"/>
    <s v="BY HC GUANGDONG SHENGRONG EBP 2411775941"/>
    <x v="1"/>
    <x v="1"/>
    <x v="18"/>
    <s v="SP"/>
    <n v="1495275"/>
    <n v="20250711"/>
  </r>
  <r>
    <s v="11.07.2025"/>
    <x v="0"/>
    <n v="50"/>
    <n v="-50000"/>
    <s v="IDR"/>
    <n v="-50000"/>
    <s v="IDR"/>
    <m/>
    <m/>
    <m/>
    <s v="R124"/>
    <s v="565/PPC/VII/2025"/>
    <s v="SURVEY DAN ANALISA"/>
    <s v="BY HC SG OILSEED EBP 2411775935, 775938"/>
    <x v="1"/>
    <x v="1"/>
    <x v="1"/>
    <s v="SP"/>
    <n v="1495275"/>
    <n v="20250711"/>
  </r>
  <r>
    <s v="11.07.2025"/>
    <x v="0"/>
    <n v="50"/>
    <n v="-50000"/>
    <s v="IDR"/>
    <n v="-50000"/>
    <s v="IDR"/>
    <m/>
    <m/>
    <m/>
    <s v="R124"/>
    <s v="565/PPC/VII/2025"/>
    <s v="SURVEY DAN ANALISA"/>
    <s v="BY HC SG OILSEED EBP 2411775940"/>
    <x v="1"/>
    <x v="1"/>
    <x v="1"/>
    <s v="SP"/>
    <n v="1495275"/>
    <n v="20250711"/>
  </r>
  <r>
    <s v="11.07.2025"/>
    <x v="0"/>
    <n v="50"/>
    <n v="-50000"/>
    <s v="IDR"/>
    <n v="-50000"/>
    <s v="IDR"/>
    <m/>
    <m/>
    <m/>
    <s v="R124"/>
    <s v="558/PPC/VII/2025"/>
    <s v="SURVEY DAN ANALISA"/>
    <s v="BY HC NESTLE SENEGAL ETP 2411775686"/>
    <x v="1"/>
    <x v="1"/>
    <x v="8"/>
    <s v="SP"/>
    <n v="1495275"/>
    <n v="20250711"/>
  </r>
  <r>
    <s v="11.07.2025"/>
    <x v="0"/>
    <n v="50"/>
    <n v="-50000"/>
    <s v="IDR"/>
    <n v="-50000"/>
    <s v="IDR"/>
    <m/>
    <m/>
    <m/>
    <s v="R124"/>
    <s v="558/PPC/VII/2025"/>
    <s v="SURVEY DAN ANALISA"/>
    <s v="BY HC AGRIRESINDO ETP 2411775593"/>
    <x v="1"/>
    <x v="1"/>
    <x v="8"/>
    <s v="SP"/>
    <n v="1495275"/>
    <n v="20250711"/>
  </r>
  <r>
    <s v="11.07.2025"/>
    <x v="0"/>
    <n v="50"/>
    <n v="-50000"/>
    <s v="IDR"/>
    <n v="-50000"/>
    <s v="IDR"/>
    <m/>
    <m/>
    <m/>
    <s v="R124"/>
    <s v="558/PPC/VII/2025"/>
    <s v="SURVEY DAN ANALISA"/>
    <s v="BY HC L BIODIVERSITY EBP 2411775692"/>
    <x v="1"/>
    <x v="1"/>
    <x v="2"/>
    <s v="SP"/>
    <n v="1495275"/>
    <n v="20250711"/>
  </r>
  <r>
    <s v="11.07.2025"/>
    <x v="0"/>
    <n v="50"/>
    <n v="-50000"/>
    <s v="IDR"/>
    <n v="-50000"/>
    <s v="IDR"/>
    <m/>
    <m/>
    <m/>
    <s v="R124"/>
    <s v="558/PPC/VII/2025"/>
    <s v="SURVEY DAN ANALISA"/>
    <s v="BY HC HOME CHAIN EBP 2411775685"/>
    <x v="1"/>
    <x v="1"/>
    <x v="1"/>
    <s v="SP"/>
    <n v="1495275"/>
    <n v="20250711"/>
  </r>
  <r>
    <s v="11.07.2025"/>
    <x v="0"/>
    <n v="50"/>
    <n v="-50000"/>
    <s v="IDR"/>
    <n v="-50000"/>
    <s v="IDR"/>
    <m/>
    <m/>
    <m/>
    <s v="R124"/>
    <s v="558/PPC/VII/2025"/>
    <s v="SURVEY DAN ANALISA"/>
    <s v="BY HC TALENT FAREAST EBP 2411775767"/>
    <x v="1"/>
    <x v="1"/>
    <x v="1"/>
    <s v="SP"/>
    <n v="1495275"/>
    <n v="20250711"/>
  </r>
  <r>
    <s v="11.07.2025"/>
    <x v="0"/>
    <n v="50"/>
    <n v="-50000"/>
    <s v="IDR"/>
    <n v="-50000"/>
    <s v="IDR"/>
    <m/>
    <m/>
    <m/>
    <s v="R124"/>
    <s v="558/PPC/VII/2025"/>
    <s v="SURVEY DAN ANALISA"/>
    <s v="BY HC FALCON EBP 2411775580"/>
    <x v="1"/>
    <x v="1"/>
    <x v="1"/>
    <s v="SP"/>
    <n v="1495275"/>
    <n v="20250711"/>
  </r>
  <r>
    <s v="11.07.2025"/>
    <x v="0"/>
    <n v="50"/>
    <n v="-50000"/>
    <s v="IDR"/>
    <n v="-50000"/>
    <s v="IDR"/>
    <m/>
    <m/>
    <m/>
    <s v="R124"/>
    <s v="558/PPC/VII/2025"/>
    <s v="SURVEY DAN ANALISA"/>
    <s v="BY HC SHENGRONG EBP 2411775769"/>
    <x v="1"/>
    <x v="1"/>
    <x v="1"/>
    <s v="SP"/>
    <n v="1495275"/>
    <n v="20250711"/>
  </r>
  <r>
    <s v="11.07.2025"/>
    <x v="0"/>
    <n v="50"/>
    <n v="-100000"/>
    <s v="IDR"/>
    <n v="-100000"/>
    <s v="IDR"/>
    <m/>
    <m/>
    <m/>
    <s v="R124"/>
    <s v="558/PPC/VII/2025"/>
    <s v="SURVEY DAN ANALISA"/>
    <s v="BY HC NESTLE SENEGAL ETP 2411775958"/>
    <x v="1"/>
    <x v="1"/>
    <x v="8"/>
    <s v="SP"/>
    <n v="1495275"/>
    <n v="20250711"/>
  </r>
  <r>
    <s v="11.07.2025"/>
    <x v="0"/>
    <n v="50"/>
    <n v="-50000"/>
    <s v="IDR"/>
    <n v="-50000"/>
    <s v="IDR"/>
    <m/>
    <m/>
    <m/>
    <s v="R124"/>
    <s v="558/PPC/VII/2025"/>
    <s v="SURVEY DAN ANALISA"/>
    <s v="BY HC SHENGRONG EBP 2411775780"/>
    <x v="1"/>
    <x v="1"/>
    <x v="1"/>
    <s v="SP"/>
    <n v="1495275"/>
    <n v="20250711"/>
  </r>
  <r>
    <s v="11.07.2025"/>
    <x v="0"/>
    <n v="50"/>
    <n v="-50000"/>
    <s v="IDR"/>
    <n v="-50000"/>
    <s v="IDR"/>
    <m/>
    <m/>
    <m/>
    <s v="R124"/>
    <s v="558/PPC/VII/2025"/>
    <s v="SURVEY DAN ANALISA"/>
    <s v="BY HC THAI GLICO EBP 2411775960"/>
    <x v="1"/>
    <x v="1"/>
    <x v="1"/>
    <s v="SP"/>
    <n v="1495275"/>
    <n v="20250711"/>
  </r>
  <r>
    <s v="11.07.2025"/>
    <x v="0"/>
    <n v="50"/>
    <n v="-50000"/>
    <s v="IDR"/>
    <n v="-50000"/>
    <s v="IDR"/>
    <m/>
    <m/>
    <m/>
    <s v="R124"/>
    <s v="558/PPC/VII/2025"/>
    <s v="SURVEY DAN ANALISA"/>
    <s v="BY HC TALENT FAREAST EBP 2411775973"/>
    <x v="1"/>
    <x v="1"/>
    <x v="1"/>
    <s v="SP"/>
    <n v="1495275"/>
    <n v="20250711"/>
  </r>
  <r>
    <s v="11.07.2025"/>
    <x v="0"/>
    <n v="50"/>
    <n v="-50000"/>
    <s v="IDR"/>
    <n v="-50000"/>
    <s v="IDR"/>
    <m/>
    <m/>
    <m/>
    <s v="R124"/>
    <s v="558/PPC/VII/2025"/>
    <s v="SURVEY DAN ANALISA"/>
    <s v="BY HC SHENGRONG EBP 2411775963"/>
    <x v="1"/>
    <x v="1"/>
    <x v="1"/>
    <s v="SP"/>
    <n v="1495275"/>
    <n v="20250711"/>
  </r>
  <r>
    <s v="11.07.2025"/>
    <x v="0"/>
    <n v="50"/>
    <n v="-100000"/>
    <s v="IDR"/>
    <n v="-100000"/>
    <s v="IDR"/>
    <m/>
    <m/>
    <m/>
    <s v="R124"/>
    <s v="558/PPC/VII/2025"/>
    <s v="SURVEY DAN ANALISA"/>
    <s v="BY HC NESTLE SENEGAL ETP 2411775969"/>
    <x v="1"/>
    <x v="1"/>
    <x v="8"/>
    <s v="SP"/>
    <n v="1495275"/>
    <n v="20250711"/>
  </r>
  <r>
    <s v="11.07.2025"/>
    <x v="0"/>
    <n v="50"/>
    <n v="-50000"/>
    <s v="IDR"/>
    <n v="-50000"/>
    <s v="IDR"/>
    <m/>
    <m/>
    <m/>
    <s v="R124"/>
    <s v="558/PPC/VII/2025"/>
    <s v="SURVEY DAN ANALISA"/>
    <s v="BY HC PIKKO DOOEL EBP 2411776054"/>
    <x v="1"/>
    <x v="1"/>
    <x v="1"/>
    <s v="SP"/>
    <n v="1495275"/>
    <n v="20250711"/>
  </r>
  <r>
    <s v="11.07.2025"/>
    <x v="0"/>
    <n v="50"/>
    <n v="-50000"/>
    <s v="IDR"/>
    <n v="-50000"/>
    <s v="IDR"/>
    <m/>
    <m/>
    <m/>
    <s v="R124"/>
    <s v="558/PPC/VII/2025"/>
    <s v="SURVEY DAN ANALISA"/>
    <s v="BY HC SHENGRONG EBP 2411775597"/>
    <x v="1"/>
    <x v="1"/>
    <x v="1"/>
    <s v="SP"/>
    <n v="1495275"/>
    <n v="20250711"/>
  </r>
  <r>
    <s v="11.07.2025"/>
    <x v="0"/>
    <n v="50"/>
    <n v="-50000"/>
    <s v="IDR"/>
    <n v="-50000"/>
    <s v="IDR"/>
    <m/>
    <m/>
    <m/>
    <s v="R124"/>
    <s v="558/PPC/VII/2025"/>
    <s v="SURVEY DAN ANALISA"/>
    <s v="BY HC HOME CHAIN EBP 2411775614"/>
    <x v="1"/>
    <x v="1"/>
    <x v="1"/>
    <s v="SP"/>
    <n v="1495275"/>
    <n v="20250711"/>
  </r>
  <r>
    <s v="11.07.2025"/>
    <x v="0"/>
    <n v="50"/>
    <n v="-50000"/>
    <s v="IDR"/>
    <n v="-50000"/>
    <s v="IDR"/>
    <m/>
    <m/>
    <m/>
    <s v="R124"/>
    <s v="558/PPC/VII/2025"/>
    <s v="SURVEY DAN ANALISA"/>
    <s v="BY HC HOME CHAIN EBP 2411775613"/>
    <x v="1"/>
    <x v="1"/>
    <x v="1"/>
    <s v="SP"/>
    <n v="1495275"/>
    <n v="20250711"/>
  </r>
  <r>
    <s v="11.07.2025"/>
    <x v="0"/>
    <n v="40"/>
    <n v="32056775"/>
    <s v="IDR"/>
    <n v="32056775"/>
    <s v="IDR"/>
    <m/>
    <m/>
    <m/>
    <s v="R124"/>
    <m/>
    <s v="BANK IN TRANSIT"/>
    <s v="PETTY CASH RUNGKUT SURABAYA PERIODE 01-11 JULI 25"/>
    <x v="13"/>
    <x v="13"/>
    <x v="19"/>
    <s v="SP"/>
    <n v="1495275"/>
    <n v="20250711"/>
  </r>
  <r>
    <s v="16.07.2025"/>
    <x v="0"/>
    <n v="50"/>
    <n v="-629000"/>
    <s v="IDR"/>
    <n v="-629000"/>
    <s v="IDR"/>
    <m/>
    <m/>
    <m/>
    <s v="R124"/>
    <m/>
    <s v="PBAIKN&amp;PRAWATN PRABT MATR"/>
    <s v="BY PEMB EXHAUST FAN, TIMP FLOOR MARKING"/>
    <x v="3"/>
    <x v="3"/>
    <x v="6"/>
    <s v="SP"/>
    <n v="1495275"/>
    <n v="20250716"/>
  </r>
  <r>
    <s v="16.07.2025"/>
    <x v="0"/>
    <n v="50"/>
    <n v="-303100"/>
    <s v="IDR"/>
    <n v="-303100"/>
    <s v="IDR"/>
    <m/>
    <m/>
    <m/>
    <s v="R124"/>
    <m/>
    <s v="PEMEL.KEND&amp;A.BERAT MATRL"/>
    <s v="BY PEMB WIPER SPRING U/ MOTOR POMPA F204"/>
    <x v="2"/>
    <x v="2"/>
    <x v="20"/>
    <s v="SP"/>
    <n v="1495275"/>
    <n v="20250716"/>
  </r>
  <r>
    <s v="16.07.2025"/>
    <x v="0"/>
    <n v="50"/>
    <n v="-290500"/>
    <s v="IDR"/>
    <n v="-290500"/>
    <s v="IDR"/>
    <m/>
    <m/>
    <m/>
    <s v="R124"/>
    <m/>
    <s v="BIAYA MESS"/>
    <s v="BY PDAM MESS PKTJAND JULI 2025"/>
    <x v="14"/>
    <x v="14"/>
    <x v="9"/>
    <s v="SP"/>
    <n v="1495275"/>
    <n v="20250716"/>
  </r>
  <r>
    <s v="16.07.2025"/>
    <x v="0"/>
    <n v="50"/>
    <n v="-304800"/>
    <s v="IDR"/>
    <n v="-304800"/>
    <s v="IDR"/>
    <m/>
    <m/>
    <m/>
    <s v="R124"/>
    <m/>
    <s v="PERLENGKAPAN FOTOCOPY"/>
    <s v="BY CETAK POSTER, BANNER, TAGGING PRP"/>
    <x v="4"/>
    <x v="4"/>
    <x v="5"/>
    <s v="SP"/>
    <n v="1495275"/>
    <n v="20250716"/>
  </r>
  <r>
    <s v="16.07.2025"/>
    <x v="0"/>
    <n v="50"/>
    <n v="-500000"/>
    <s v="IDR"/>
    <n v="-500000"/>
    <s v="IDR"/>
    <m/>
    <m/>
    <m/>
    <s v="R124"/>
    <m/>
    <s v="OLAHRAGA DAN PERMAINAN"/>
    <s v="BY OLAHRAGA 11/07/2025"/>
    <x v="0"/>
    <x v="0"/>
    <x v="0"/>
    <s v="SP"/>
    <n v="1495275"/>
    <n v="20250716"/>
  </r>
  <r>
    <s v="16.07.2025"/>
    <x v="0"/>
    <n v="50"/>
    <n v="-331500"/>
    <s v="IDR"/>
    <n v="-331500"/>
    <s v="IDR"/>
    <m/>
    <m/>
    <m/>
    <s v="R124"/>
    <m/>
    <s v="MAKANAN DAN MINUMAN"/>
    <s v="BY SNACK KUNJUNGAN SLF"/>
    <x v="7"/>
    <x v="7"/>
    <x v="9"/>
    <s v="SP"/>
    <n v="1495275"/>
    <n v="20250716"/>
  </r>
  <r>
    <s v="16.07.2025"/>
    <x v="0"/>
    <n v="50"/>
    <n v="-1000000"/>
    <s v="IDR"/>
    <n v="-1000000"/>
    <s v="IDR"/>
    <m/>
    <m/>
    <m/>
    <s v="R124"/>
    <m/>
    <s v="UMUM &amp; ADMIN LAIN"/>
    <s v="BY PEMB MATERAI"/>
    <x v="15"/>
    <x v="15"/>
    <x v="21"/>
    <s v="SP"/>
    <n v="1495275"/>
    <n v="20250716"/>
  </r>
  <r>
    <s v="16.07.2025"/>
    <x v="0"/>
    <n v="50"/>
    <n v="-153000"/>
    <s v="IDR"/>
    <n v="-153000"/>
    <s v="IDR"/>
    <m/>
    <m/>
    <m/>
    <s v="R124"/>
    <m/>
    <s v="PEMEL.BNGAN&amp;PSARANA MATRL"/>
    <s v="BY PEMB KUAS U/ CAT"/>
    <x v="8"/>
    <x v="8"/>
    <x v="12"/>
    <s v="SP"/>
    <n v="1495275"/>
    <n v="20250716"/>
  </r>
  <r>
    <s v="16.07.2025"/>
    <x v="0"/>
    <n v="50"/>
    <n v="-50000"/>
    <s v="IDR"/>
    <n v="-50000"/>
    <s v="IDR"/>
    <m/>
    <m/>
    <m/>
    <s v="R124"/>
    <m/>
    <s v="SURVEY DAN ANALISA"/>
    <s v="BY HC SG OILSEED EBP 2411776092"/>
    <x v="1"/>
    <x v="1"/>
    <x v="1"/>
    <s v="SP"/>
    <n v="1495275"/>
    <n v="20250716"/>
  </r>
  <r>
    <s v="16.07.2025"/>
    <x v="0"/>
    <n v="50"/>
    <n v="-50000"/>
    <s v="IDR"/>
    <n v="-50000"/>
    <s v="IDR"/>
    <m/>
    <m/>
    <m/>
    <s v="R124"/>
    <m/>
    <s v="SURVEY DAN ANALISA"/>
    <s v="BY HC SG OILSEED EBP 2411776096"/>
    <x v="1"/>
    <x v="1"/>
    <x v="1"/>
    <s v="SP"/>
    <n v="1495275"/>
    <n v="20250716"/>
  </r>
  <r>
    <s v="16.07.2025"/>
    <x v="0"/>
    <n v="50"/>
    <n v="-50000"/>
    <s v="IDR"/>
    <n v="-50000"/>
    <s v="IDR"/>
    <m/>
    <m/>
    <m/>
    <s v="R124"/>
    <m/>
    <s v="SURVEY DAN ANALISA"/>
    <s v="BY HC MONDELEZ EBP 2411776205"/>
    <x v="1"/>
    <x v="1"/>
    <x v="1"/>
    <s v="SP"/>
    <n v="1495275"/>
    <n v="20250716"/>
  </r>
  <r>
    <s v="16.07.2025"/>
    <x v="0"/>
    <n v="50"/>
    <n v="-50000"/>
    <s v="IDR"/>
    <n v="-50000"/>
    <s v="IDR"/>
    <m/>
    <m/>
    <m/>
    <s v="R124"/>
    <m/>
    <s v="SURVEY DAN ANALISA"/>
    <s v="BY HC THAI GLICO EBP 2411776134"/>
    <x v="1"/>
    <x v="1"/>
    <x v="1"/>
    <s v="SP"/>
    <n v="1495275"/>
    <n v="20250716"/>
  </r>
  <r>
    <s v="16.07.2025"/>
    <x v="0"/>
    <n v="50"/>
    <n v="-60000"/>
    <s v="IDR"/>
    <n v="-60000"/>
    <s v="IDR"/>
    <m/>
    <m/>
    <m/>
    <s v="R124"/>
    <m/>
    <s v="PEMEL.BNGAN&amp;PSARANA MATRL"/>
    <s v="BY PEMB BATA RINGAN"/>
    <x v="8"/>
    <x v="8"/>
    <x v="17"/>
    <s v="SP"/>
    <n v="1495275"/>
    <n v="20250716"/>
  </r>
  <r>
    <s v="16.07.2025"/>
    <x v="0"/>
    <n v="50"/>
    <n v="-770000"/>
    <s v="IDR"/>
    <n v="-770000"/>
    <s v="IDR"/>
    <m/>
    <m/>
    <m/>
    <s v="R124"/>
    <m/>
    <s v="BAHAN BAKAR"/>
    <s v="BY TRANSPORTASI BBM 10-14/07/2025"/>
    <x v="6"/>
    <x v="6"/>
    <x v="9"/>
    <s v="SP"/>
    <n v="1495275"/>
    <n v="20250716"/>
  </r>
  <r>
    <s v="16.07.2025"/>
    <x v="0"/>
    <n v="50"/>
    <n v="-229900"/>
    <s v="IDR"/>
    <n v="-229900"/>
    <s v="IDR"/>
    <m/>
    <m/>
    <m/>
    <s v="R124"/>
    <m/>
    <s v="TRANSPORTASI LOKAL"/>
    <s v="BY TRANSPORTASI PARKIR TOL"/>
    <x v="5"/>
    <x v="5"/>
    <x v="9"/>
    <s v="SP"/>
    <n v="1495275"/>
    <n v="20250716"/>
  </r>
  <r>
    <s v="16.07.2025"/>
    <x v="0"/>
    <n v="50"/>
    <n v="-50000"/>
    <s v="IDR"/>
    <n v="-50000"/>
    <s v="IDR"/>
    <m/>
    <m/>
    <m/>
    <s v="R124"/>
    <m/>
    <s v="SURVEY DAN ANALISA"/>
    <s v="BY HC NESTLE PAKISTAN ETP 2411776191"/>
    <x v="1"/>
    <x v="1"/>
    <x v="8"/>
    <s v="SP"/>
    <n v="1495275"/>
    <n v="20250716"/>
  </r>
  <r>
    <s v="16.07.2025"/>
    <x v="0"/>
    <n v="50"/>
    <n v="-50000"/>
    <s v="IDR"/>
    <n v="-50000"/>
    <s v="IDR"/>
    <m/>
    <m/>
    <m/>
    <s v="R124"/>
    <m/>
    <s v="SURVEY DAN ANALISA"/>
    <s v="BY HC CHEMI C EBP 2411776192"/>
    <x v="1"/>
    <x v="1"/>
    <x v="1"/>
    <s v="SP"/>
    <n v="1495275"/>
    <n v="20250716"/>
  </r>
  <r>
    <s v="16.07.2025"/>
    <x v="0"/>
    <n v="50"/>
    <n v="-50000"/>
    <s v="IDR"/>
    <n v="-50000"/>
    <s v="IDR"/>
    <m/>
    <m/>
    <m/>
    <s v="R124"/>
    <m/>
    <s v="SURVEY DAN ANALISA"/>
    <s v="BY HC CHEMI S EBP 2411776193"/>
    <x v="1"/>
    <x v="1"/>
    <x v="1"/>
    <s v="SP"/>
    <n v="1495275"/>
    <n v="20250716"/>
  </r>
  <r>
    <s v="16.07.2025"/>
    <x v="0"/>
    <n v="50"/>
    <n v="-50000"/>
    <s v="IDR"/>
    <n v="-50000"/>
    <s v="IDR"/>
    <m/>
    <m/>
    <m/>
    <s v="R124"/>
    <m/>
    <s v="SURVEY DAN ANALISA"/>
    <s v="BY HC NESTLE PAKISTAN ETP 2411776206"/>
    <x v="1"/>
    <x v="1"/>
    <x v="8"/>
    <s v="SP"/>
    <n v="1495275"/>
    <n v="20250716"/>
  </r>
  <r>
    <s v="16.07.2025"/>
    <x v="0"/>
    <n v="50"/>
    <n v="-50000"/>
    <s v="IDR"/>
    <n v="-50000"/>
    <s v="IDR"/>
    <m/>
    <m/>
    <m/>
    <s v="R124"/>
    <m/>
    <s v="SURVEY DAN ANALISA"/>
    <s v="BY HC SG OILSEED EBP 2411776231"/>
    <x v="1"/>
    <x v="1"/>
    <x v="1"/>
    <s v="SP"/>
    <n v="1495275"/>
    <n v="20250716"/>
  </r>
  <r>
    <s v="17.07.2025"/>
    <x v="0"/>
    <n v="50"/>
    <n v="-962500"/>
    <s v="IDR"/>
    <n v="-962500"/>
    <s v="IDR"/>
    <m/>
    <m/>
    <m/>
    <s v="R124"/>
    <m/>
    <s v="PERALATAN KANTOR"/>
    <s v="BY PEMB TEMPAT SAMPAH, RAK SEPATU, DOUBLE TAPE"/>
    <x v="16"/>
    <x v="16"/>
    <x v="6"/>
    <s v="SP"/>
    <n v="1495275"/>
    <n v="20250717"/>
  </r>
  <r>
    <s v="17.07.2025"/>
    <x v="0"/>
    <n v="50"/>
    <n v="-590000"/>
    <s v="IDR"/>
    <n v="-590000"/>
    <s v="IDR"/>
    <m/>
    <m/>
    <m/>
    <s v="R124"/>
    <m/>
    <s v="BAHAN BAKAR"/>
    <s v="BY TRANSPORTASI BBM 14-16/07/2025"/>
    <x v="6"/>
    <x v="6"/>
    <x v="9"/>
    <s v="SP"/>
    <n v="1495275"/>
    <n v="20250717"/>
  </r>
  <r>
    <s v="17.07.2025"/>
    <x v="0"/>
    <n v="50"/>
    <n v="-407500"/>
    <s v="IDR"/>
    <n v="-407500"/>
    <s v="IDR"/>
    <m/>
    <m/>
    <m/>
    <s v="R124"/>
    <m/>
    <s v="TRANSPORTASI LOKAL"/>
    <s v="BY TRANSPORTASI PARKIR TOL"/>
    <x v="5"/>
    <x v="5"/>
    <x v="9"/>
    <s v="SP"/>
    <n v="1495275"/>
    <n v="20250717"/>
  </r>
  <r>
    <s v="17.07.2025"/>
    <x v="0"/>
    <n v="50"/>
    <n v="-331727"/>
    <s v="IDR"/>
    <n v="-331727"/>
    <s v="IDR"/>
    <m/>
    <m/>
    <m/>
    <s v="R124"/>
    <m/>
    <s v="PBAIKN&amp;PRAWATN PRABT MATR"/>
    <s v="BY PEMB SEALANT, KERTAS GOSOK, BOLT CUTTER"/>
    <x v="3"/>
    <x v="3"/>
    <x v="14"/>
    <s v="SP"/>
    <n v="1495275"/>
    <n v="20250717"/>
  </r>
  <r>
    <s v="17.07.2025"/>
    <x v="0"/>
    <n v="50"/>
    <n v="-963404"/>
    <s v="IDR"/>
    <n v="-963404"/>
    <s v="IDR"/>
    <m/>
    <m/>
    <m/>
    <s v="R124"/>
    <m/>
    <s v="PBAIKN&amp;PRAWATN PRABT MATR"/>
    <s v="BY PEMB SPRING MOUNTING DUDUK LOCAL U/ AHU"/>
    <x v="3"/>
    <x v="3"/>
    <x v="15"/>
    <s v="SP"/>
    <n v="1495275"/>
    <n v="20250717"/>
  </r>
  <r>
    <s v="17.07.2025"/>
    <x v="0"/>
    <n v="50"/>
    <n v="-714500"/>
    <s v="IDR"/>
    <n v="-714500"/>
    <s v="IDR"/>
    <m/>
    <m/>
    <m/>
    <s v="R124"/>
    <m/>
    <s v="RISET/PENGEMBANGAN PRODUK"/>
    <s v="BY PEMB BOTOL DURAN U/ SAMPLE NESTLE"/>
    <x v="9"/>
    <x v="9"/>
    <x v="8"/>
    <s v="SP"/>
    <n v="1495275"/>
    <n v="20250717"/>
  </r>
  <r>
    <s v="17.07.2025"/>
    <x v="0"/>
    <n v="50"/>
    <n v="-830500"/>
    <s v="IDR"/>
    <n v="-830500"/>
    <s v="IDR"/>
    <m/>
    <m/>
    <m/>
    <s v="R124"/>
    <m/>
    <s v="BIAYA POLIKLINIK"/>
    <s v="BY PEMB BLOOD PRESSURE MONITOR, LIDOCAIN"/>
    <x v="10"/>
    <x v="10"/>
    <x v="16"/>
    <s v="SP"/>
    <n v="1495275"/>
    <n v="20250717"/>
  </r>
  <r>
    <s v="17.07.2025"/>
    <x v="0"/>
    <n v="50"/>
    <n v="-700000"/>
    <s v="IDR"/>
    <n v="-700000"/>
    <s v="IDR"/>
    <m/>
    <m/>
    <m/>
    <s v="R124"/>
    <m/>
    <s v="ORGANISASI PROF. NASIONAL"/>
    <s v="BY IURAN ANGGOTA APINDO JATIM MEI &amp; JUNI 2025"/>
    <x v="17"/>
    <x v="17"/>
    <x v="0"/>
    <s v="SP"/>
    <n v="1495275"/>
    <n v="20250717"/>
  </r>
  <r>
    <s v="17.07.2025"/>
    <x v="0"/>
    <n v="50"/>
    <n v="-500000"/>
    <s v="IDR"/>
    <n v="-500000"/>
    <s v="IDR"/>
    <m/>
    <m/>
    <m/>
    <s v="R124"/>
    <m/>
    <s v="MAKANAN DAN MINUMAN"/>
    <s v="BY KONSUMSI SC MEETING 17/07/2025"/>
    <x v="7"/>
    <x v="7"/>
    <x v="22"/>
    <s v="SP"/>
    <n v="1495275"/>
    <n v="20250717"/>
  </r>
  <r>
    <s v="25.07.2025"/>
    <x v="0"/>
    <n v="50"/>
    <n v="-991000"/>
    <s v="IDR"/>
    <n v="-991000"/>
    <s v="IDR"/>
    <m/>
    <m/>
    <m/>
    <s v="R124"/>
    <s v="571/PPC/VII/2025"/>
    <s v="PEMEL.KEND&amp;A.BERAT MATRL"/>
    <s v="BY PEMB NIPPLE SELANG PVC, ELBOW SS, DLL"/>
    <x v="2"/>
    <x v="2"/>
    <x v="23"/>
    <s v="SP"/>
    <n v="1495275"/>
    <n v="20250725"/>
  </r>
  <r>
    <s v="25.07.2025"/>
    <x v="0"/>
    <n v="50"/>
    <n v="-904127"/>
    <s v="IDR"/>
    <n v="-904127"/>
    <s v="IDR"/>
    <m/>
    <m/>
    <m/>
    <s v="R124"/>
    <s v="577/PPC/VII/2025"/>
    <s v="PBAIKN&amp;PRAWATN PRABT MATR"/>
    <s v="BY PEMB TANGGA LIPAT TELESKOPIK"/>
    <x v="3"/>
    <x v="3"/>
    <x v="3"/>
    <s v="SP"/>
    <n v="1495275"/>
    <n v="20250725"/>
  </r>
  <r>
    <s v="25.07.2025"/>
    <x v="0"/>
    <n v="50"/>
    <n v="-50000"/>
    <s v="IDR"/>
    <n v="-50000"/>
    <s v="IDR"/>
    <m/>
    <m/>
    <m/>
    <s v="R124"/>
    <s v="587/PPC/VII/2025"/>
    <s v="SURVEY DAN ANALISA"/>
    <s v="BY HC AST PVT EBP 2411776266"/>
    <x v="1"/>
    <x v="1"/>
    <x v="1"/>
    <s v="SP"/>
    <n v="1495275"/>
    <n v="20250725"/>
  </r>
  <r>
    <s v="25.07.2025"/>
    <x v="0"/>
    <n v="50"/>
    <n v="-50000"/>
    <s v="IDR"/>
    <n v="-50000"/>
    <s v="IDR"/>
    <m/>
    <m/>
    <m/>
    <s v="R124"/>
    <s v="587/PPC/VII/2025"/>
    <s v="SURVEY DAN ANALISA"/>
    <s v="BY HC SG OILSEED EBP 2411775747"/>
    <x v="1"/>
    <x v="1"/>
    <x v="1"/>
    <s v="SP"/>
    <n v="1495275"/>
    <n v="20250725"/>
  </r>
  <r>
    <s v="25.07.2025"/>
    <x v="0"/>
    <n v="50"/>
    <n v="-50000"/>
    <s v="IDR"/>
    <n v="-50000"/>
    <s v="IDR"/>
    <m/>
    <m/>
    <m/>
    <s v="R124"/>
    <s v="587/PPC/VII/2025"/>
    <s v="SURVEY DAN ANALISA"/>
    <s v="BY HC SG OILSEED EBP 2411776233"/>
    <x v="1"/>
    <x v="1"/>
    <x v="1"/>
    <s v="SP"/>
    <n v="1495275"/>
    <n v="20250725"/>
  </r>
  <r>
    <s v="25.07.2025"/>
    <x v="0"/>
    <n v="50"/>
    <n v="-200000"/>
    <s v="IDR"/>
    <n v="-200000"/>
    <s v="IDR"/>
    <m/>
    <m/>
    <m/>
    <s v="R124"/>
    <s v="587/PPC/VII/2025"/>
    <s v="SURVEY DAN ANALISA"/>
    <s v="BY COO KADIN AST PVT EBP 2411776266"/>
    <x v="1"/>
    <x v="1"/>
    <x v="1"/>
    <s v="SP"/>
    <n v="1495275"/>
    <n v="20250725"/>
  </r>
  <r>
    <s v="25.07.2025"/>
    <x v="0"/>
    <n v="50"/>
    <n v="-301000"/>
    <s v="IDR"/>
    <n v="-301000"/>
    <s v="IDR"/>
    <m/>
    <m/>
    <m/>
    <s v="R124"/>
    <s v="592/PPC/VII/2025"/>
    <s v="RISET/PENGEMBANGAN PRODUK"/>
    <s v="BY SENSORY KFC, McD"/>
    <x v="9"/>
    <x v="9"/>
    <x v="15"/>
    <s v="SP"/>
    <n v="1495275"/>
    <n v="20250725"/>
  </r>
  <r>
    <s v="25.07.2025"/>
    <x v="0"/>
    <n v="50"/>
    <n v="-264000"/>
    <s v="IDR"/>
    <n v="-264000"/>
    <s v="IDR"/>
    <m/>
    <m/>
    <m/>
    <s v="R124"/>
    <s v="592/PPC/VII/2025"/>
    <s v="PBAIKN&amp;PRAWATN PRABT MATR"/>
    <s v="BY PEMB SLING"/>
    <x v="3"/>
    <x v="3"/>
    <x v="15"/>
    <s v="SP"/>
    <n v="1495275"/>
    <n v="20250725"/>
  </r>
  <r>
    <s v="25.07.2025"/>
    <x v="0"/>
    <n v="50"/>
    <n v="-44000"/>
    <s v="IDR"/>
    <n v="-44000"/>
    <s v="IDR"/>
    <m/>
    <m/>
    <m/>
    <s v="R124"/>
    <s v="592/PPC/VII/2025"/>
    <s v="UMUM &amp; ADMIN LAIN"/>
    <s v="BY ONGKIR SAMPLE KE QUALIS"/>
    <x v="15"/>
    <x v="15"/>
    <x v="15"/>
    <s v="SP"/>
    <n v="1495275"/>
    <n v="20250725"/>
  </r>
  <r>
    <s v="25.07.2025"/>
    <x v="0"/>
    <n v="50"/>
    <n v="-50000"/>
    <s v="IDR"/>
    <n v="-50000"/>
    <s v="IDR"/>
    <m/>
    <m/>
    <m/>
    <s v="R124"/>
    <s v="593/PPC/VII/2025"/>
    <s v="SURVEY DAN ANALISA"/>
    <s v="BY HC SG OILSEED EBP 2411775745"/>
    <x v="1"/>
    <x v="1"/>
    <x v="1"/>
    <s v="SP"/>
    <n v="1495275"/>
    <n v="20250725"/>
  </r>
  <r>
    <s v="25.07.2025"/>
    <x v="0"/>
    <n v="50"/>
    <n v="-50000"/>
    <s v="IDR"/>
    <n v="-50000"/>
    <s v="IDR"/>
    <m/>
    <m/>
    <m/>
    <s v="R124"/>
    <s v="593/PPC/VII/2025"/>
    <s v="SURVEY DAN ANALISA"/>
    <s v="BY HC SG OILSEED EBP 2411776321"/>
    <x v="1"/>
    <x v="1"/>
    <x v="1"/>
    <s v="SP"/>
    <n v="1495275"/>
    <n v="20250725"/>
  </r>
  <r>
    <s v="25.07.2025"/>
    <x v="0"/>
    <n v="50"/>
    <n v="-50000"/>
    <s v="IDR"/>
    <n v="-50000"/>
    <s v="IDR"/>
    <m/>
    <m/>
    <m/>
    <s v="R124"/>
    <s v="593/PPC/VII/2025"/>
    <s v="SURVEY DAN ANALISA"/>
    <s v="BY HC SG OILSEED EBP 2411776320"/>
    <x v="1"/>
    <x v="1"/>
    <x v="1"/>
    <s v="SP"/>
    <n v="1495275"/>
    <n v="20250725"/>
  </r>
  <r>
    <s v="25.07.2025"/>
    <x v="0"/>
    <n v="50"/>
    <n v="-727500"/>
    <s v="IDR"/>
    <n v="-727500"/>
    <s v="IDR"/>
    <m/>
    <m/>
    <m/>
    <s v="R124"/>
    <s v="594/PPC/VII/2025"/>
    <s v="RISET/PENGEMBANGAN PRODUK"/>
    <s v="BY ATCQ McD, SENSORY KFC"/>
    <x v="9"/>
    <x v="9"/>
    <x v="15"/>
    <s v="SP"/>
    <n v="1495275"/>
    <n v="20250725"/>
  </r>
  <r>
    <s v="25.07.2025"/>
    <x v="0"/>
    <n v="50"/>
    <n v="-43000"/>
    <s v="IDR"/>
    <n v="-43000"/>
    <s v="IDR"/>
    <m/>
    <m/>
    <m/>
    <s v="R124"/>
    <s v="594/PPC/VII/2025"/>
    <s v="UMUM &amp; ADMIN LAIN"/>
    <s v="BY ONGKIR SAMPLE KE SGS"/>
    <x v="15"/>
    <x v="15"/>
    <x v="15"/>
    <s v="SP"/>
    <n v="1495275"/>
    <n v="20250725"/>
  </r>
  <r>
    <s v="25.07.2025"/>
    <x v="0"/>
    <n v="50"/>
    <n v="-57000"/>
    <s v="IDR"/>
    <n v="-57000"/>
    <s v="IDR"/>
    <m/>
    <m/>
    <m/>
    <s v="R124"/>
    <s v="594/PPC/VII/2025"/>
    <s v="PBAIKN&amp;PRAWATN PRABT MATR"/>
    <s v="BY SIKAT BOTOL GLASSWARE"/>
    <x v="3"/>
    <x v="3"/>
    <x v="15"/>
    <s v="SP"/>
    <n v="1495275"/>
    <n v="20250725"/>
  </r>
  <r>
    <s v="25.07.2025"/>
    <x v="0"/>
    <n v="50"/>
    <n v="-180000"/>
    <s v="IDR"/>
    <n v="-180000"/>
    <s v="IDR"/>
    <m/>
    <m/>
    <m/>
    <s v="R124"/>
    <s v="595/PPC/VII/2025"/>
    <s v="MAKANAN DAN MINUMAN"/>
    <s v="BY KONSUMSI PENANDATANGANAN PERPANJANGAN WAKTU PKB"/>
    <x v="7"/>
    <x v="7"/>
    <x v="0"/>
    <s v="SP"/>
    <n v="1495275"/>
    <n v="20250725"/>
  </r>
  <r>
    <s v="25.07.2025"/>
    <x v="0"/>
    <n v="50"/>
    <n v="-50000"/>
    <s v="IDR"/>
    <n v="-50000"/>
    <s v="IDR"/>
    <m/>
    <m/>
    <m/>
    <s v="R124"/>
    <s v="596/PPC/VII/2025"/>
    <s v="SURVEY DAN ANALISA"/>
    <s v="BY HC SUICHANGLONG EBP 2411776235"/>
    <x v="1"/>
    <x v="1"/>
    <x v="18"/>
    <s v="SP"/>
    <n v="1495275"/>
    <n v="20250725"/>
  </r>
  <r>
    <s v="25.07.2025"/>
    <x v="0"/>
    <n v="50"/>
    <n v="-50000"/>
    <s v="IDR"/>
    <n v="-50000"/>
    <s v="IDR"/>
    <m/>
    <m/>
    <m/>
    <s v="R124"/>
    <s v="596/PPC/VII/2025"/>
    <s v="SURVEY DAN ANALISA"/>
    <s v="BY HC SUICHANGLONG EBP 2411776236"/>
    <x v="1"/>
    <x v="1"/>
    <x v="18"/>
    <s v="SP"/>
    <n v="1495275"/>
    <n v="20250725"/>
  </r>
  <r>
    <s v="25.07.2025"/>
    <x v="0"/>
    <n v="50"/>
    <n v="-50000"/>
    <s v="IDR"/>
    <n v="-50000"/>
    <s v="IDR"/>
    <m/>
    <m/>
    <m/>
    <s v="R124"/>
    <s v="596/PPC/VII/2025"/>
    <s v="SURVEY DAN ANALISA"/>
    <s v="BY HC SG OILSEED EBP 2411776464"/>
    <x v="1"/>
    <x v="1"/>
    <x v="1"/>
    <s v="SP"/>
    <n v="1495275"/>
    <n v="20250725"/>
  </r>
  <r>
    <s v="25.07.2025"/>
    <x v="0"/>
    <n v="50"/>
    <n v="-50000"/>
    <s v="IDR"/>
    <n v="-50000"/>
    <s v="IDR"/>
    <m/>
    <m/>
    <m/>
    <s v="R124"/>
    <s v="596/PPC/VII/2025"/>
    <s v="SURVEY DAN ANALISA"/>
    <s v="BY HC SUICHANGLONG EBP 2411776456"/>
    <x v="1"/>
    <x v="1"/>
    <x v="18"/>
    <s v="SP"/>
    <n v="1495275"/>
    <n v="20250725"/>
  </r>
  <r>
    <s v="25.07.2025"/>
    <x v="0"/>
    <n v="50"/>
    <n v="-50000"/>
    <s v="IDR"/>
    <n v="-50000"/>
    <s v="IDR"/>
    <m/>
    <m/>
    <m/>
    <s v="R124"/>
    <s v="596/PPC/VII/2025"/>
    <s v="SURVEY DAN ANALISA"/>
    <s v="BY HC SG OILSEED EBP 2411776462"/>
    <x v="1"/>
    <x v="1"/>
    <x v="1"/>
    <s v="SP"/>
    <n v="1495275"/>
    <n v="20250725"/>
  </r>
  <r>
    <s v="25.07.2025"/>
    <x v="0"/>
    <n v="50"/>
    <n v="-500000"/>
    <s v="IDR"/>
    <n v="-500000"/>
    <s v="IDR"/>
    <m/>
    <m/>
    <m/>
    <s v="R124"/>
    <s v="597/PPC/VII/2025"/>
    <s v="OLAHRAGA DAN PERMAINAN"/>
    <s v="BY OLAHRAGA 18/07/2025"/>
    <x v="0"/>
    <x v="0"/>
    <x v="0"/>
    <s v="SP"/>
    <n v="1495275"/>
    <n v="20250725"/>
  </r>
  <r>
    <s v="25.07.2025"/>
    <x v="0"/>
    <n v="50"/>
    <n v="-710000"/>
    <s v="IDR"/>
    <n v="-710000"/>
    <s v="IDR"/>
    <m/>
    <m/>
    <m/>
    <s v="R124"/>
    <s v="598/PPC/VII/2025"/>
    <s v="BAHAN BAKAR"/>
    <s v="BY TRANSPORTASI BBM 16-22/07/2025"/>
    <x v="6"/>
    <x v="6"/>
    <x v="9"/>
    <s v="SP"/>
    <n v="1495275"/>
    <n v="20250725"/>
  </r>
  <r>
    <s v="25.07.2025"/>
    <x v="0"/>
    <n v="50"/>
    <n v="-290000"/>
    <s v="IDR"/>
    <n v="-290000"/>
    <s v="IDR"/>
    <m/>
    <m/>
    <m/>
    <s v="R124"/>
    <s v="598/PPC/VII/2025"/>
    <s v="TRANSPORTASI LOKAL"/>
    <s v="BY TRANSPORTASI PARKIR TOL"/>
    <x v="5"/>
    <x v="5"/>
    <x v="9"/>
    <s v="SP"/>
    <n v="1495275"/>
    <n v="20250725"/>
  </r>
  <r>
    <s v="25.07.2025"/>
    <x v="0"/>
    <n v="50"/>
    <n v="-212000"/>
    <s v="IDR"/>
    <n v="-212000"/>
    <s v="IDR"/>
    <m/>
    <m/>
    <m/>
    <s v="R124"/>
    <s v="599/PPC/VII/2025"/>
    <s v="PEMEL.KEND&amp;A.BERAT MATRL"/>
    <s v="BY PEMB OR VITON CHILLING CHEMTECH 3.1"/>
    <x v="2"/>
    <x v="2"/>
    <x v="4"/>
    <s v="SP"/>
    <n v="1495275"/>
    <n v="20250725"/>
  </r>
  <r>
    <s v="25.07.2025"/>
    <x v="0"/>
    <n v="50"/>
    <n v="-50000"/>
    <s v="IDR"/>
    <n v="-50000"/>
    <s v="IDR"/>
    <m/>
    <m/>
    <m/>
    <s v="R124"/>
    <s v="600/PPC/VII/2025"/>
    <s v="SURVEY DAN ANALISA"/>
    <s v="BY HC SG OILSEED EBP 2411776232"/>
    <x v="1"/>
    <x v="1"/>
    <x v="1"/>
    <s v="SP"/>
    <n v="1495275"/>
    <n v="20250725"/>
  </r>
  <r>
    <s v="25.07.2025"/>
    <x v="0"/>
    <n v="50"/>
    <n v="-50000"/>
    <s v="IDR"/>
    <n v="-50000"/>
    <s v="IDR"/>
    <m/>
    <m/>
    <m/>
    <s v="R124"/>
    <s v="600/PPC/VII/2025"/>
    <s v="SURVEY DAN ANALISA"/>
    <s v="BY HC SG OILSEED EBP 2411776366"/>
    <x v="1"/>
    <x v="1"/>
    <x v="1"/>
    <s v="SP"/>
    <n v="1495275"/>
    <n v="20250725"/>
  </r>
  <r>
    <s v="25.07.2025"/>
    <x v="0"/>
    <n v="50"/>
    <n v="-50000"/>
    <s v="IDR"/>
    <n v="-50000"/>
    <s v="IDR"/>
    <m/>
    <m/>
    <m/>
    <s v="R124"/>
    <s v="600/PPC/VII/2025"/>
    <s v="SURVEY DAN ANALISA"/>
    <s v="BY HC SG OILSEED EBP 2411776234"/>
    <x v="1"/>
    <x v="1"/>
    <x v="1"/>
    <s v="SP"/>
    <n v="1495275"/>
    <n v="20250725"/>
  </r>
  <r>
    <s v="25.07.2025"/>
    <x v="0"/>
    <n v="50"/>
    <n v="-50000"/>
    <s v="IDR"/>
    <n v="-50000"/>
    <s v="IDR"/>
    <m/>
    <m/>
    <m/>
    <s v="R124"/>
    <s v="600/PPC/VII/2025"/>
    <s v="SURVEY DAN ANALISA"/>
    <s v="BY HC SG OILSEED EBP 2411776322, 2411776323"/>
    <x v="1"/>
    <x v="1"/>
    <x v="1"/>
    <s v="SP"/>
    <n v="1495275"/>
    <n v="20250725"/>
  </r>
  <r>
    <s v="25.07.2025"/>
    <x v="0"/>
    <n v="50"/>
    <n v="-50000"/>
    <s v="IDR"/>
    <n v="-50000"/>
    <s v="IDR"/>
    <m/>
    <m/>
    <m/>
    <s v="R124"/>
    <s v="600/PPC/VII/2025"/>
    <s v="SURVEY DAN ANALISA"/>
    <s v="BY HC SUICHANGLONG EBP 2411776325"/>
    <x v="1"/>
    <x v="1"/>
    <x v="18"/>
    <s v="SP"/>
    <n v="1495275"/>
    <n v="20250725"/>
  </r>
  <r>
    <s v="25.07.2025"/>
    <x v="0"/>
    <n v="50"/>
    <n v="-50000"/>
    <s v="IDR"/>
    <n v="-50000"/>
    <s v="IDR"/>
    <m/>
    <m/>
    <m/>
    <s v="R124"/>
    <s v="600/PPC/VII/2025"/>
    <s v="SURVEY DAN ANALISA"/>
    <s v="BY HC SG OILSEED EBP 2411776227"/>
    <x v="1"/>
    <x v="1"/>
    <x v="1"/>
    <s v="SP"/>
    <n v="1495275"/>
    <n v="20250725"/>
  </r>
  <r>
    <s v="25.07.2025"/>
    <x v="0"/>
    <n v="50"/>
    <n v="-50000"/>
    <s v="IDR"/>
    <n v="-50000"/>
    <s v="IDR"/>
    <m/>
    <m/>
    <m/>
    <s v="R124"/>
    <s v="600/PPC/VII/2025"/>
    <s v="SURVEY DAN ANALISA"/>
    <s v="BY HC SG OILSEED EBP 2411775748"/>
    <x v="1"/>
    <x v="1"/>
    <x v="1"/>
    <s v="SP"/>
    <n v="1495275"/>
    <n v="20250725"/>
  </r>
  <r>
    <s v="25.07.2025"/>
    <x v="0"/>
    <n v="50"/>
    <n v="-50000"/>
    <s v="IDR"/>
    <n v="-50000"/>
    <s v="IDR"/>
    <m/>
    <m/>
    <m/>
    <s v="R124"/>
    <s v="600/PPC/VII/2025"/>
    <s v="SURVEY DAN ANALISA"/>
    <s v="BY HC SG OILSEED EBP 2411776098"/>
    <x v="1"/>
    <x v="1"/>
    <x v="1"/>
    <s v="SP"/>
    <n v="1495275"/>
    <n v="20250725"/>
  </r>
  <r>
    <s v="25.07.2025"/>
    <x v="0"/>
    <n v="50"/>
    <n v="-50000"/>
    <s v="IDR"/>
    <n v="-50000"/>
    <s v="IDR"/>
    <m/>
    <m/>
    <m/>
    <s v="R124"/>
    <s v="600/PPC/VII/2025"/>
    <s v="SURVEY DAN ANALISA"/>
    <s v="BY HC SG OILSEED EBP 2411776230"/>
    <x v="1"/>
    <x v="1"/>
    <x v="1"/>
    <s v="SP"/>
    <n v="1495275"/>
    <n v="20250725"/>
  </r>
  <r>
    <s v="25.07.2025"/>
    <x v="0"/>
    <n v="50"/>
    <n v="-50000"/>
    <s v="IDR"/>
    <n v="-50000"/>
    <s v="IDR"/>
    <m/>
    <m/>
    <m/>
    <s v="R124"/>
    <s v="601/PPC/VII/2025"/>
    <s v="SURVEY DAN ANALISA"/>
    <s v="BY HC NESTLE AUSTRALIA ETP 2411776271"/>
    <x v="1"/>
    <x v="1"/>
    <x v="8"/>
    <s v="SP"/>
    <n v="1495275"/>
    <n v="20250725"/>
  </r>
  <r>
    <s v="25.07.2025"/>
    <x v="0"/>
    <n v="50"/>
    <n v="-50000"/>
    <s v="IDR"/>
    <n v="-50000"/>
    <s v="IDR"/>
    <m/>
    <m/>
    <m/>
    <s v="R124"/>
    <s v="601/PPC/VII/2025"/>
    <s v="SURVEY DAN ANALISA"/>
    <s v="BY HC NESTLE PNG ETP 2411776276"/>
    <x v="1"/>
    <x v="1"/>
    <x v="8"/>
    <s v="SP"/>
    <n v="1495275"/>
    <n v="20250725"/>
  </r>
  <r>
    <s v="25.07.2025"/>
    <x v="0"/>
    <n v="50"/>
    <n v="-50000"/>
    <s v="IDR"/>
    <n v="-50000"/>
    <s v="IDR"/>
    <m/>
    <m/>
    <m/>
    <s v="R124"/>
    <s v="601/PPC/VII/2025"/>
    <s v="SURVEY DAN ANALISA"/>
    <s v="BY HC NESTLE PNG ETP 2411776277"/>
    <x v="1"/>
    <x v="1"/>
    <x v="8"/>
    <s v="SP"/>
    <n v="1495275"/>
    <n v="20250725"/>
  </r>
  <r>
    <s v="25.07.2025"/>
    <x v="0"/>
    <n v="50"/>
    <n v="-3000"/>
    <s v="IDR"/>
    <n v="-3000"/>
    <s v="IDR"/>
    <m/>
    <m/>
    <m/>
    <s v="R124"/>
    <s v="601/PPC/VII/2025"/>
    <s v="ADMIN &amp; DOKUMEN EKSPOR"/>
    <s v="BY LEVY &amp;BEA KELUAR SAMPLE RBDOLN SINGAPORE"/>
    <x v="18"/>
    <x v="18"/>
    <x v="8"/>
    <s v="SP"/>
    <n v="1495275"/>
    <n v="20250725"/>
  </r>
  <r>
    <s v="25.07.2025"/>
    <x v="0"/>
    <n v="50"/>
    <n v="-286200"/>
    <s v="IDR"/>
    <n v="-286200"/>
    <s v="IDR"/>
    <m/>
    <m/>
    <m/>
    <s v="R124"/>
    <s v="604/PPC/VII/2025"/>
    <s v="PERALATAN KANTOR"/>
    <s v="BY STICKER VINYL, PAPER ALBATROS, DLL"/>
    <x v="16"/>
    <x v="16"/>
    <x v="9"/>
    <s v="SP"/>
    <n v="1495275"/>
    <n v="20250725"/>
  </r>
  <r>
    <s v="25.07.2025"/>
    <x v="0"/>
    <n v="50"/>
    <n v="-183680"/>
    <s v="IDR"/>
    <n v="-183680"/>
    <s v="IDR"/>
    <m/>
    <m/>
    <m/>
    <s v="R124"/>
    <s v="604/PPC/VII/2025"/>
    <s v="PBAIKN&amp;PRAWATN PRABT MATR"/>
    <s v="BY KANTONG PLASTIK SAMPAH HITAM, MUR"/>
    <x v="3"/>
    <x v="3"/>
    <x v="9"/>
    <s v="SP"/>
    <n v="1495275"/>
    <n v="20250725"/>
  </r>
  <r>
    <s v="25.07.2025"/>
    <x v="0"/>
    <n v="50"/>
    <n v="-50000"/>
    <s v="IDR"/>
    <n v="-50000"/>
    <s v="IDR"/>
    <m/>
    <m/>
    <m/>
    <s v="R124"/>
    <s v="605/PPC/VII/2025"/>
    <s v="SURVEY DAN ANALISA"/>
    <s v="BY HC HAWK TRADING EBP 2411776457"/>
    <x v="1"/>
    <x v="1"/>
    <x v="1"/>
    <s v="SP"/>
    <n v="1495275"/>
    <n v="20250725"/>
  </r>
  <r>
    <s v="25.07.2025"/>
    <x v="0"/>
    <n v="50"/>
    <n v="-100000"/>
    <s v="IDR"/>
    <n v="-100000"/>
    <s v="IDR"/>
    <m/>
    <m/>
    <m/>
    <s v="R124"/>
    <s v="606/PPC/VII/2025"/>
    <s v="SURVEY DAN ANALISA"/>
    <s v="BY HC POLIVA ETP 2411776152"/>
    <x v="1"/>
    <x v="1"/>
    <x v="8"/>
    <s v="SP"/>
    <n v="1495275"/>
    <n v="20250725"/>
  </r>
  <r>
    <s v="25.07.2025"/>
    <x v="0"/>
    <n v="50"/>
    <n v="-50000"/>
    <s v="IDR"/>
    <n v="-50000"/>
    <s v="IDR"/>
    <m/>
    <m/>
    <m/>
    <s v="R124"/>
    <s v="607/PPC/VII/2025"/>
    <s v="SURVEY DAN ANALISA"/>
    <s v="BY HC SG OILSEED EBP 2411776237"/>
    <x v="1"/>
    <x v="1"/>
    <x v="1"/>
    <s v="SP"/>
    <n v="1495275"/>
    <n v="20250725"/>
  </r>
  <r>
    <s v="25.07.2025"/>
    <x v="0"/>
    <n v="50"/>
    <n v="-50000"/>
    <s v="IDR"/>
    <n v="-50000"/>
    <s v="IDR"/>
    <m/>
    <m/>
    <m/>
    <s v="R124"/>
    <s v="607/PPC/VII/2025"/>
    <s v="SURVEY DAN ANALISA"/>
    <s v="BY HC SG OILSEED EBP 2411776463"/>
    <x v="1"/>
    <x v="1"/>
    <x v="1"/>
    <s v="SP"/>
    <n v="1495275"/>
    <n v="20250725"/>
  </r>
  <r>
    <s v="25.07.2025"/>
    <x v="0"/>
    <n v="50"/>
    <n v="-50000"/>
    <s v="IDR"/>
    <n v="-50000"/>
    <s v="IDR"/>
    <m/>
    <m/>
    <m/>
    <s v="R124"/>
    <s v="607/PPC/VII/2025"/>
    <s v="SURVEY DAN ANALISA"/>
    <s v="BY HC MONDELEZ EBP 2411776519"/>
    <x v="1"/>
    <x v="1"/>
    <x v="1"/>
    <s v="SP"/>
    <n v="1495275"/>
    <n v="20250725"/>
  </r>
  <r>
    <s v="25.07.2025"/>
    <x v="0"/>
    <n v="50"/>
    <n v="-831000"/>
    <s v="IDR"/>
    <n v="-831000"/>
    <s v="IDR"/>
    <m/>
    <m/>
    <m/>
    <s v="R124"/>
    <s v="608/PPC/VII/2025"/>
    <s v="PEMEL.KEND&amp;A.BERAT MATRL"/>
    <s v="BY PEMB CATRIDGE HEATER, NAPLE DN SS, SELANG"/>
    <x v="2"/>
    <x v="2"/>
    <x v="10"/>
    <s v="SP"/>
    <n v="1495275"/>
    <n v="20250725"/>
  </r>
  <r>
    <s v="25.07.2025"/>
    <x v="0"/>
    <n v="50"/>
    <n v="-790000"/>
    <s v="IDR"/>
    <n v="-790000"/>
    <s v="IDR"/>
    <m/>
    <m/>
    <m/>
    <s v="R124"/>
    <s v="609/PPC/VII/2025"/>
    <s v="BAHAN BAKAR"/>
    <s v="BY TRANSPORTASI BBM 22-24/07/2025"/>
    <x v="6"/>
    <x v="6"/>
    <x v="9"/>
    <s v="SP"/>
    <n v="1495275"/>
    <n v="20250725"/>
  </r>
  <r>
    <s v="25.07.2025"/>
    <x v="0"/>
    <n v="50"/>
    <n v="-209500"/>
    <s v="IDR"/>
    <n v="-209500"/>
    <s v="IDR"/>
    <m/>
    <m/>
    <m/>
    <s v="R124"/>
    <s v="609/PPC/VII/2025"/>
    <s v="TRANSPORTASI LOKAL"/>
    <s v="BY TRANSPORTASI PARKIR TOL"/>
    <x v="5"/>
    <x v="5"/>
    <x v="9"/>
    <s v="SP"/>
    <n v="1495275"/>
    <n v="20250725"/>
  </r>
  <r>
    <s v="25.07.2025"/>
    <x v="0"/>
    <n v="50"/>
    <n v="-383350"/>
    <s v="IDR"/>
    <n v="-383350"/>
    <s v="IDR"/>
    <m/>
    <m/>
    <m/>
    <s v="R124"/>
    <s v="610/PPC/VII/2025"/>
    <s v="PERALATAN KANTOR"/>
    <s v="BY PEMB CASH BOX U/ KASIR"/>
    <x v="16"/>
    <x v="16"/>
    <x v="24"/>
    <s v="SP"/>
    <n v="1495275"/>
    <n v="20250725"/>
  </r>
  <r>
    <s v="25.07.2025"/>
    <x v="0"/>
    <n v="50"/>
    <n v="-889800"/>
    <s v="IDR"/>
    <n v="-889800"/>
    <s v="IDR"/>
    <m/>
    <m/>
    <m/>
    <s v="R124"/>
    <s v="611/PPC/VII/2025"/>
    <s v="MAKANAN DAN MINUMAN"/>
    <s v="BY KONSUMSI KUNJUNGAN KOMISARIS &amp; KOMITE AUDIT"/>
    <x v="7"/>
    <x v="7"/>
    <x v="22"/>
    <s v="SP"/>
    <n v="1495275"/>
    <n v="20250725"/>
  </r>
  <r>
    <s v="25.07.2025"/>
    <x v="0"/>
    <n v="50"/>
    <n v="-275000"/>
    <s v="IDR"/>
    <n v="-275000"/>
    <s v="IDR"/>
    <m/>
    <m/>
    <m/>
    <s v="R124"/>
    <s v="612/PPC/VII/2025"/>
    <s v="PEMEL.KEND&amp;A.BERAT MATRL"/>
    <s v="BY PEMB KACA FILM, DOP REM MOBIL INNOVA PUTIH"/>
    <x v="2"/>
    <x v="2"/>
    <x v="9"/>
    <s v="SP"/>
    <n v="1495275"/>
    <n v="20250725"/>
  </r>
  <r>
    <s v="28.07.2025"/>
    <x v="0"/>
    <n v="50"/>
    <n v="-362500"/>
    <s v="IDR"/>
    <n v="-362500"/>
    <s v="IDR"/>
    <m/>
    <m/>
    <m/>
    <s v="R124"/>
    <s v="614/PPC/VII/2025"/>
    <s v="MAKANAN DAN MINUMAN"/>
    <s v="BY KONSUMSI MEETING 23/07/2025"/>
    <x v="7"/>
    <x v="7"/>
    <x v="17"/>
    <s v="SP"/>
    <n v="1495275"/>
    <n v="20250728"/>
  </r>
  <r>
    <s v="28.07.2025"/>
    <x v="0"/>
    <n v="50"/>
    <n v="-420000"/>
    <s v="IDR"/>
    <n v="-420000"/>
    <s v="IDR"/>
    <m/>
    <m/>
    <m/>
    <s v="R124"/>
    <s v="615/PPC/VII/2025"/>
    <s v="BAHAN BAKAR"/>
    <s v="BY TRANSPORTASI BBM 24-28/07/2025"/>
    <x v="6"/>
    <x v="6"/>
    <x v="9"/>
    <s v="SP"/>
    <n v="1495275"/>
    <n v="20250728"/>
  </r>
  <r>
    <s v="28.07.2025"/>
    <x v="0"/>
    <n v="50"/>
    <n v="-579500"/>
    <s v="IDR"/>
    <n v="-579500"/>
    <s v="IDR"/>
    <m/>
    <m/>
    <m/>
    <s v="R124"/>
    <s v="616/PPC/VII/2025"/>
    <s v="TRANSPORTASI LOKAL"/>
    <s v="BY TRANSPORTASI PARKIR TOL"/>
    <x v="5"/>
    <x v="5"/>
    <x v="9"/>
    <s v="SP"/>
    <n v="1495275"/>
    <n v="20250728"/>
  </r>
  <r>
    <s v="28.07.2025"/>
    <x v="0"/>
    <n v="50"/>
    <n v="-600000"/>
    <s v="IDR"/>
    <n v="-600000"/>
    <s v="IDR"/>
    <m/>
    <m/>
    <m/>
    <s v="R124"/>
    <s v="603/PPC/VII/2025"/>
    <s v="OLAHRAGA DAN PERMAINAN"/>
    <s v="BY OLAHRAGA DANCE FIT 25 JULI 2025"/>
    <x v="0"/>
    <x v="0"/>
    <x v="0"/>
    <s v="SP"/>
    <n v="1495275"/>
    <n v="20250728"/>
  </r>
  <r>
    <s v="28.07.2025"/>
    <x v="0"/>
    <n v="50"/>
    <n v="-900300"/>
    <s v="IDR"/>
    <n v="-900300"/>
    <s v="IDR"/>
    <m/>
    <m/>
    <m/>
    <s v="R124"/>
    <s v="616/PPC/VII/2025"/>
    <s v="MAKANAN DAN MINUMAN"/>
    <s v="BY KONSUMSI 551 25 JUI 2025"/>
    <x v="7"/>
    <x v="7"/>
    <x v="9"/>
    <s v="SP"/>
    <n v="1495275"/>
    <n v="20250728"/>
  </r>
  <r>
    <s v="28.07.2025"/>
    <x v="0"/>
    <n v="50"/>
    <n v="-1000000"/>
    <s v="IDR"/>
    <n v="-1000000"/>
    <s v="IDR"/>
    <m/>
    <m/>
    <m/>
    <s v="R124"/>
    <s v="602/PPC/VII/2025"/>
    <s v="UMUM &amp; ADMIN LAIN"/>
    <s v="BY PEMB MATERAI U/ BAG. ADM EXPORT"/>
    <x v="15"/>
    <x v="15"/>
    <x v="1"/>
    <s v="SP"/>
    <n v="1495275"/>
    <n v="20250728"/>
  </r>
  <r>
    <s v="28.07.2025"/>
    <x v="0"/>
    <n v="50"/>
    <n v="-26000"/>
    <s v="IDR"/>
    <n v="-26000"/>
    <s v="IDR"/>
    <m/>
    <m/>
    <m/>
    <s v="R124"/>
    <s v="573/PPC/VII/2025"/>
    <s v="ADMIN &amp; DOKUMEN EKSPOR"/>
    <s v="BY LEVY &amp; BEA KELUAR SAMPLE"/>
    <x v="18"/>
    <x v="18"/>
    <x v="8"/>
    <s v="SP"/>
    <n v="1495275"/>
    <n v="20250728"/>
  </r>
  <r>
    <s v="29.07.2025"/>
    <x v="0"/>
    <n v="50"/>
    <n v="-421000"/>
    <s v="IDR"/>
    <n v="-421000"/>
    <s v="IDR"/>
    <m/>
    <m/>
    <m/>
    <s v="R124"/>
    <s v="617/PPC/VII/2025"/>
    <s v="PBAIKN&amp;PRAWATN PRABT MATR"/>
    <s v="BY PEMBELIAN TC OVAL, NYM supreme utk kerapian kab"/>
    <x v="3"/>
    <x v="3"/>
    <x v="9"/>
    <s v="SP"/>
    <n v="1495275"/>
    <n v="20250729"/>
  </r>
  <r>
    <s v="29.07.2025"/>
    <x v="0"/>
    <n v="50"/>
    <n v="-345000"/>
    <s v="IDR"/>
    <n v="-345000"/>
    <s v="IDR"/>
    <m/>
    <m/>
    <m/>
    <s v="R124"/>
    <s v="528/PPV/VII/2025"/>
    <s v="PEMEL.KEND&amp;A.BERAT MATRL"/>
    <s v="BY PEMBELIAN B/M TWP SS"/>
    <x v="2"/>
    <x v="2"/>
    <x v="20"/>
    <s v="SP"/>
    <n v="1495275"/>
    <n v="20250729"/>
  </r>
  <r>
    <s v="29.07.2025"/>
    <x v="0"/>
    <n v="50"/>
    <n v="-131000"/>
    <s v="IDR"/>
    <n v="-131000"/>
    <s v="IDR"/>
    <m/>
    <m/>
    <m/>
    <s v="R124"/>
    <s v="528/PPV/VII/2025"/>
    <s v="UANG MUKA BIAYA"/>
    <s v="BY FLANGE BADJA KARYA T FP 04002500197911271"/>
    <x v="19"/>
    <x v="19"/>
    <x v="25"/>
    <s v="SP"/>
    <n v="1495275"/>
    <n v="20250729"/>
  </r>
  <r>
    <s v="29.07.2025"/>
    <x v="0"/>
    <n v="40"/>
    <n v="26532388"/>
    <s v="IDR"/>
    <n v="26532388"/>
    <s v="IDR"/>
    <m/>
    <m/>
    <m/>
    <s v="R124"/>
    <m/>
    <s v="BANK IN TRANSIT"/>
    <s v="PETTY CASH RUNGKUT SURABAYA PERIODE 15-29 JULI 25"/>
    <x v="13"/>
    <x v="13"/>
    <x v="19"/>
    <s v="SP"/>
    <n v="1495275"/>
    <n v="20250729"/>
  </r>
  <r>
    <s v="04.08.2025"/>
    <x v="1"/>
    <n v="50"/>
    <n v="-800000"/>
    <s v="IDR"/>
    <n v="-800000"/>
    <s v="IDR"/>
    <m/>
    <m/>
    <m/>
    <s v="R124"/>
    <s v="620/PPC/VII/2025"/>
    <s v="BIAYA MESS"/>
    <s v="BY IURAN RT BULANAN 8 UNIT, PDK TJANDRA INDAH JUL"/>
    <x v="14"/>
    <x v="14"/>
    <x v="9"/>
    <s v="SP"/>
    <n v="1557224"/>
    <n v="20250804"/>
  </r>
  <r>
    <s v="04.08.2025"/>
    <x v="1"/>
    <n v="50"/>
    <n v="-50000"/>
    <s v="IDR"/>
    <n v="-50000"/>
    <s v="IDR"/>
    <m/>
    <m/>
    <m/>
    <s v="R124"/>
    <s v="613/PPC/VII/2025"/>
    <s v="SURVEY DAN ANALISA"/>
    <s v="BY HC SHENGRONG EBP/0725/0486-2411776274"/>
    <x v="1"/>
    <x v="1"/>
    <x v="1"/>
    <s v="SP"/>
    <n v="1557224"/>
    <n v="20250804"/>
  </r>
  <r>
    <s v="04.08.2025"/>
    <x v="1"/>
    <n v="50"/>
    <n v="-50000"/>
    <s v="IDR"/>
    <n v="-50000"/>
    <s v="IDR"/>
    <m/>
    <m/>
    <m/>
    <s v="R124"/>
    <s v="613/PPC/VII/2025"/>
    <s v="SURVEY DAN ANALISA"/>
    <s v="BY HC HOME CHAIN EBP/0725/0488-2411776293"/>
    <x v="1"/>
    <x v="1"/>
    <x v="1"/>
    <s v="SP"/>
    <n v="1557224"/>
    <n v="20250804"/>
  </r>
  <r>
    <s v="04.08.2025"/>
    <x v="1"/>
    <n v="50"/>
    <n v="-50000"/>
    <s v="IDR"/>
    <n v="-50000"/>
    <s v="IDR"/>
    <m/>
    <m/>
    <m/>
    <s v="R124"/>
    <s v="613/PPC/VII/2025"/>
    <s v="SURVEY DAN ANALISA"/>
    <s v="BY HC NESTLE SENEGAL ETP/0725/0140/2411776136"/>
    <x v="1"/>
    <x v="1"/>
    <x v="8"/>
    <s v="SP"/>
    <n v="1557224"/>
    <n v="20250804"/>
  </r>
  <r>
    <s v="04.08.2025"/>
    <x v="1"/>
    <n v="50"/>
    <n v="-50000"/>
    <s v="IDR"/>
    <n v="-50000"/>
    <s v="IDR"/>
    <m/>
    <m/>
    <m/>
    <s v="R124"/>
    <s v="613/PPC/VII/2025"/>
    <s v="SURVEY DAN ANALISA"/>
    <s v="BY HC NESTLE SENEGAL ETP/0725/0140/2411776137"/>
    <x v="1"/>
    <x v="1"/>
    <x v="8"/>
    <s v="SP"/>
    <n v="1557224"/>
    <n v="20250804"/>
  </r>
  <r>
    <s v="04.08.2025"/>
    <x v="1"/>
    <n v="50"/>
    <n v="-50000"/>
    <s v="IDR"/>
    <n v="-50000"/>
    <s v="IDR"/>
    <m/>
    <m/>
    <m/>
    <s v="R124"/>
    <s v="613/PPC/VII/2025"/>
    <s v="SURVEY DAN ANALISA"/>
    <s v="BY HC HOME CHAIN EBP/0625/0459-2411776133"/>
    <x v="1"/>
    <x v="1"/>
    <x v="1"/>
    <s v="SP"/>
    <n v="1557224"/>
    <n v="20250804"/>
  </r>
  <r>
    <s v="04.08.2025"/>
    <x v="1"/>
    <n v="50"/>
    <n v="-50000"/>
    <s v="IDR"/>
    <n v="-50000"/>
    <s v="IDR"/>
    <m/>
    <m/>
    <m/>
    <s v="R124"/>
    <s v="613/PPC/VII/2025"/>
    <s v="SURVEY DAN ANALISA"/>
    <s v="BY HC HOCHEE EBP/0625/0462-2411776138"/>
    <x v="1"/>
    <x v="1"/>
    <x v="1"/>
    <s v="SP"/>
    <n v="1557224"/>
    <n v="20250804"/>
  </r>
  <r>
    <s v="04.08.2025"/>
    <x v="1"/>
    <n v="50"/>
    <n v="-50000"/>
    <s v="IDR"/>
    <n v="-50000"/>
    <s v="IDR"/>
    <m/>
    <m/>
    <m/>
    <s v="R124"/>
    <s v="613/PPC/VII/2025"/>
    <s v="SURVEY DAN ANALISA"/>
    <s v="BY HC RAMFOOD EBP/0625/0453-2411776116"/>
    <x v="1"/>
    <x v="1"/>
    <x v="2"/>
    <s v="SP"/>
    <n v="1557224"/>
    <n v="20250804"/>
  </r>
  <r>
    <s v="04.08.2025"/>
    <x v="1"/>
    <n v="50"/>
    <n v="-50000"/>
    <s v="IDR"/>
    <n v="-50000"/>
    <s v="IDR"/>
    <m/>
    <m/>
    <m/>
    <s v="R124"/>
    <s v="613/PPC/VII/2025"/>
    <s v="SURVEY DAN ANALISA"/>
    <s v="BY HC RAMFOOD EBP/0625/0454-2411776117"/>
    <x v="1"/>
    <x v="1"/>
    <x v="2"/>
    <s v="SP"/>
    <n v="1557224"/>
    <n v="20250804"/>
  </r>
  <r>
    <s v="04.08.2025"/>
    <x v="1"/>
    <n v="50"/>
    <n v="-50000"/>
    <s v="IDR"/>
    <n v="-50000"/>
    <s v="IDR"/>
    <m/>
    <m/>
    <m/>
    <s v="R124"/>
    <s v="613/PPC/VII/2025"/>
    <s v="SURVEY DAN ANALISA"/>
    <s v="BY REPROSES HC HOME CHAIN EBP/0625/0454-2411776133"/>
    <x v="1"/>
    <x v="1"/>
    <x v="1"/>
    <s v="SP"/>
    <n v="1557224"/>
    <n v="20250804"/>
  </r>
  <r>
    <s v="04.08.2025"/>
    <x v="1"/>
    <n v="50"/>
    <n v="-50000"/>
    <s v="IDR"/>
    <n v="-50000"/>
    <s v="IDR"/>
    <m/>
    <m/>
    <m/>
    <s v="R124"/>
    <s v="613/PPC/VII/2025"/>
    <s v="SURVEY DAN ANALISA"/>
    <s v="BY HC SUNNY EBP/0725/0485-2411776270"/>
    <x v="1"/>
    <x v="1"/>
    <x v="1"/>
    <s v="SP"/>
    <n v="1557224"/>
    <n v="20250804"/>
  </r>
  <r>
    <s v="04.08.2025"/>
    <x v="1"/>
    <n v="50"/>
    <n v="-369000"/>
    <s v="IDR"/>
    <n v="-369000"/>
    <s v="IDR"/>
    <m/>
    <m/>
    <m/>
    <s v="R124"/>
    <s v="622/PPC/VII/2025"/>
    <s v="TRANSPORTASI LOKAL"/>
    <s v="BY TRANSPORTASI LOKAL 300725"/>
    <x v="5"/>
    <x v="5"/>
    <x v="9"/>
    <s v="SP"/>
    <n v="1557224"/>
    <n v="20250804"/>
  </r>
  <r>
    <s v="04.08.2025"/>
    <x v="1"/>
    <n v="50"/>
    <n v="-630000"/>
    <s v="IDR"/>
    <n v="-630000"/>
    <s v="IDR"/>
    <m/>
    <m/>
    <m/>
    <s v="R124"/>
    <s v="622/PPC/VII/2025"/>
    <s v="BAHAN BAKAR"/>
    <s v="BY BAHAN BAKAR 300725"/>
    <x v="6"/>
    <x v="6"/>
    <x v="9"/>
    <s v="SP"/>
    <n v="1557224"/>
    <n v="20250804"/>
  </r>
  <r>
    <s v="04.08.2025"/>
    <x v="1"/>
    <n v="50"/>
    <n v="-75000"/>
    <s v="IDR"/>
    <n v="-75000"/>
    <s v="IDR"/>
    <m/>
    <m/>
    <m/>
    <s v="R124"/>
    <s v="623/PPC/VII/2025"/>
    <s v="MAKANAN DAN MINUMAN"/>
    <s v="BY MAKANAN DAN MINUAN 290725"/>
    <x v="7"/>
    <x v="7"/>
    <x v="24"/>
    <s v="SP"/>
    <n v="1557224"/>
    <n v="20250804"/>
  </r>
  <r>
    <s v="04.08.2025"/>
    <x v="1"/>
    <n v="50"/>
    <n v="-202000"/>
    <s v="IDR"/>
    <n v="-202000"/>
    <s v="IDR"/>
    <m/>
    <m/>
    <m/>
    <s v="R124"/>
    <s v="624/PPC/VII/2025"/>
    <s v="TRANSPORTASI LOKAL"/>
    <s v="BY TRANSPORTASI LOKAL 290725"/>
    <x v="5"/>
    <x v="5"/>
    <x v="1"/>
    <s v="SP"/>
    <n v="1557224"/>
    <n v="20250804"/>
  </r>
  <r>
    <s v="04.08.2025"/>
    <x v="1"/>
    <n v="50"/>
    <n v="-23000"/>
    <s v="IDR"/>
    <n v="-23000"/>
    <s v="IDR"/>
    <m/>
    <m/>
    <m/>
    <s v="R124"/>
    <s v="624/PPC/VII/2025"/>
    <s v="PERLENGKAPAN FOTOCOPY"/>
    <s v="BY FOTOCOPY 290725"/>
    <x v="4"/>
    <x v="4"/>
    <x v="1"/>
    <s v="SP"/>
    <n v="1557224"/>
    <n v="20250804"/>
  </r>
  <r>
    <s v="04.08.2025"/>
    <x v="1"/>
    <n v="50"/>
    <n v="-180000"/>
    <s v="IDR"/>
    <n v="-180000"/>
    <s v="IDR"/>
    <m/>
    <m/>
    <m/>
    <s v="R124"/>
    <s v="625/PPC/VII/2025"/>
    <s v="TRANSPORTASI LOKAL"/>
    <s v="BY TRANSPORTASI LOKAL 280725"/>
    <x v="5"/>
    <x v="5"/>
    <x v="1"/>
    <s v="SP"/>
    <n v="1557224"/>
    <n v="20250804"/>
  </r>
  <r>
    <s v="04.08.2025"/>
    <x v="1"/>
    <n v="50"/>
    <n v="-961000"/>
    <s v="IDR"/>
    <n v="-961000"/>
    <s v="IDR"/>
    <m/>
    <m/>
    <m/>
    <s v="R124"/>
    <s v="618/PPC/VII/2025"/>
    <s v="PERALATAN KANTOR"/>
    <s v="BY PEMBELIAN PERALATAN KANTOR 280725"/>
    <x v="16"/>
    <x v="16"/>
    <x v="9"/>
    <s v="SP"/>
    <n v="1557224"/>
    <n v="20250804"/>
  </r>
  <r>
    <s v="04.08.2025"/>
    <x v="1"/>
    <n v="50"/>
    <n v="-150000"/>
    <s v="IDR"/>
    <n v="-150000"/>
    <s v="IDR"/>
    <m/>
    <m/>
    <m/>
    <s v="R124"/>
    <s v="619/PPC/VII/2025"/>
    <s v="SURVEY DAN ANALISA"/>
    <s v="BY COO KADIN EBP/3324/0725/000506-2411776389"/>
    <x v="1"/>
    <x v="1"/>
    <x v="2"/>
    <s v="SP"/>
    <n v="1557224"/>
    <n v="20250804"/>
  </r>
  <r>
    <s v="04.08.2025"/>
    <x v="1"/>
    <n v="50"/>
    <n v="-100000"/>
    <s v="IDR"/>
    <n v="-100000"/>
    <s v="IDR"/>
    <m/>
    <m/>
    <m/>
    <s v="R124"/>
    <s v="619/PPC/VII/2025"/>
    <s v="SURVEY DAN ANALISA"/>
    <s v="BY COO KADIN EBP/3324/0725/000506-2411776390"/>
    <x v="1"/>
    <x v="1"/>
    <x v="1"/>
    <s v="SP"/>
    <n v="1557224"/>
    <n v="20250804"/>
  </r>
  <r>
    <s v="04.08.2025"/>
    <x v="1"/>
    <n v="50"/>
    <n v="-100000"/>
    <s v="IDR"/>
    <n v="-100000"/>
    <s v="IDR"/>
    <m/>
    <m/>
    <m/>
    <s v="R124"/>
    <s v="619/PPC/VII/2025"/>
    <s v="SURVEY DAN ANALISA"/>
    <s v="BY COO KADIN EBP/3324/0725/000506-2411776391"/>
    <x v="1"/>
    <x v="1"/>
    <x v="1"/>
    <s v="SP"/>
    <n v="1557224"/>
    <n v="20250804"/>
  </r>
  <r>
    <s v="04.08.2025"/>
    <x v="1"/>
    <n v="50"/>
    <n v="-150000"/>
    <s v="IDR"/>
    <n v="-150000"/>
    <s v="IDR"/>
    <m/>
    <m/>
    <m/>
    <s v="R124"/>
    <s v="619/PPC/VII/2025"/>
    <s v="SURVEY DAN ANALISA"/>
    <s v="BY COO KADIN EBP/3324/0725/000509-2411776392"/>
    <x v="1"/>
    <x v="1"/>
    <x v="2"/>
    <s v="SP"/>
    <n v="1557224"/>
    <n v="20250804"/>
  </r>
  <r>
    <s v="04.08.2025"/>
    <x v="1"/>
    <n v="50"/>
    <n v="-100000"/>
    <s v="IDR"/>
    <n v="-100000"/>
    <s v="IDR"/>
    <m/>
    <m/>
    <m/>
    <s v="R124"/>
    <s v="619/PPC/VII/2025"/>
    <s v="SURVEY DAN ANALISA"/>
    <s v="BY COO KADIN EBP/3324/0725/000509-2411776393"/>
    <x v="1"/>
    <x v="1"/>
    <x v="1"/>
    <s v="SP"/>
    <n v="1557224"/>
    <n v="20250804"/>
  </r>
  <r>
    <s v="04.08.2025"/>
    <x v="1"/>
    <n v="50"/>
    <n v="-100000"/>
    <s v="IDR"/>
    <n v="-100000"/>
    <s v="IDR"/>
    <m/>
    <m/>
    <m/>
    <s v="R124"/>
    <s v="619/PPC/VII/2025"/>
    <s v="SURVEY DAN ANALISA"/>
    <s v="BY COO KADIN EBP/3324/0725/000509-2411776394"/>
    <x v="1"/>
    <x v="1"/>
    <x v="1"/>
    <s v="SP"/>
    <n v="1557224"/>
    <n v="20250804"/>
  </r>
  <r>
    <s v="04.08.2025"/>
    <x v="1"/>
    <n v="50"/>
    <n v="-50000"/>
    <s v="IDR"/>
    <n v="-50000"/>
    <s v="IDR"/>
    <m/>
    <m/>
    <m/>
    <s v="R124"/>
    <s v="619/PPC/VII/2025"/>
    <s v="SURVEY DAN ANALISA"/>
    <s v="BY HC BPOM EBP/3324/0725/000506-2411776389"/>
    <x v="1"/>
    <x v="1"/>
    <x v="2"/>
    <s v="SP"/>
    <n v="1557224"/>
    <n v="20250804"/>
  </r>
  <r>
    <s v="04.08.2025"/>
    <x v="1"/>
    <n v="50"/>
    <n v="-50000"/>
    <s v="IDR"/>
    <n v="-50000"/>
    <s v="IDR"/>
    <m/>
    <m/>
    <m/>
    <s v="R124"/>
    <s v="619/PPC/VII/2025"/>
    <s v="SURVEY DAN ANALISA"/>
    <s v="BY HC BPOM EBP/3324/0725/000506-2411776390"/>
    <x v="1"/>
    <x v="1"/>
    <x v="1"/>
    <s v="SP"/>
    <n v="1557224"/>
    <n v="20250804"/>
  </r>
  <r>
    <s v="04.08.2025"/>
    <x v="1"/>
    <n v="50"/>
    <n v="-50000"/>
    <s v="IDR"/>
    <n v="-50000"/>
    <s v="IDR"/>
    <m/>
    <m/>
    <m/>
    <s v="R124"/>
    <s v="619/PPC/VII/2025"/>
    <s v="SURVEY DAN ANALISA"/>
    <s v="BY HC BPOM EBP/3324/0725/000506-2411776391"/>
    <x v="1"/>
    <x v="1"/>
    <x v="1"/>
    <s v="SP"/>
    <n v="1557224"/>
    <n v="20250804"/>
  </r>
  <r>
    <s v="04.08.2025"/>
    <x v="1"/>
    <n v="50"/>
    <n v="-50000"/>
    <s v="IDR"/>
    <n v="-50000"/>
    <s v="IDR"/>
    <m/>
    <m/>
    <m/>
    <s v="R124"/>
    <s v="619/PPC/VII/2025"/>
    <s v="SURVEY DAN ANALISA"/>
    <s v="BY HC BPOM EBP/3324/0725/000509-2411776392"/>
    <x v="1"/>
    <x v="1"/>
    <x v="2"/>
    <s v="SP"/>
    <n v="1557224"/>
    <n v="20250804"/>
  </r>
  <r>
    <s v="04.08.2025"/>
    <x v="1"/>
    <n v="50"/>
    <n v="-50000"/>
    <s v="IDR"/>
    <n v="-50000"/>
    <s v="IDR"/>
    <m/>
    <m/>
    <m/>
    <s v="R124"/>
    <s v="619/PPC/VII/2025"/>
    <s v="SURVEY DAN ANALISA"/>
    <s v="BY HC BPOM EBP/3324/0725/000509-2411776393"/>
    <x v="1"/>
    <x v="1"/>
    <x v="1"/>
    <s v="SP"/>
    <n v="1557224"/>
    <n v="20250804"/>
  </r>
  <r>
    <s v="04.08.2025"/>
    <x v="1"/>
    <n v="50"/>
    <n v="-50000"/>
    <s v="IDR"/>
    <n v="-50000"/>
    <s v="IDR"/>
    <m/>
    <m/>
    <m/>
    <s v="R124"/>
    <s v="619/PPC/VII/2025"/>
    <s v="SURVEY DAN ANALISA"/>
    <s v="BY HC BPOM EBP/3324/0725/000509-2411776394"/>
    <x v="1"/>
    <x v="1"/>
    <x v="1"/>
    <s v="SP"/>
    <n v="1557224"/>
    <n v="20250804"/>
  </r>
  <r>
    <s v="04.08.2025"/>
    <x v="1"/>
    <n v="50"/>
    <n v="-50000"/>
    <s v="IDR"/>
    <n v="-50000"/>
    <s v="IDR"/>
    <m/>
    <m/>
    <m/>
    <s v="R124"/>
    <s v="613/PPC/VII/2025"/>
    <s v="SURVEY DAN ANALISA"/>
    <s v="BY HC EBP/0625/0461-2411776135 HOCHEE"/>
    <x v="1"/>
    <x v="1"/>
    <x v="1"/>
    <s v="SP"/>
    <n v="1557224"/>
    <n v="20250804"/>
  </r>
  <r>
    <s v="04.08.2025"/>
    <x v="1"/>
    <n v="50"/>
    <n v="-50000"/>
    <s v="IDR"/>
    <n v="-50000"/>
    <s v="IDR"/>
    <m/>
    <m/>
    <m/>
    <s v="R124"/>
    <s v="613/PPC/VII/2025"/>
    <s v="SURVEY DAN ANALISA"/>
    <s v="BY HC EBP/0625/0461-2411776135 HOCHEE"/>
    <x v="1"/>
    <x v="1"/>
    <x v="1"/>
    <s v="SP"/>
    <n v="1557224"/>
    <n v="20250804"/>
  </r>
  <r>
    <s v="04.08.2025"/>
    <x v="1"/>
    <n v="50"/>
    <n v="-50000"/>
    <s v="IDR"/>
    <n v="-50000"/>
    <s v="IDR"/>
    <m/>
    <m/>
    <m/>
    <s v="R124"/>
    <s v="621/PPC/VII/2025"/>
    <s v="SURVEY DAN ANALISA"/>
    <s v="BY HC BPOM EBP/000529-2411776511 SUICHANGLONG"/>
    <x v="1"/>
    <x v="1"/>
    <x v="1"/>
    <s v="SP"/>
    <n v="1557224"/>
    <n v="20250804"/>
  </r>
  <r>
    <s v="04.08.2025"/>
    <x v="1"/>
    <n v="50"/>
    <n v="-50000"/>
    <s v="IDR"/>
    <n v="-50000"/>
    <s v="IDR"/>
    <m/>
    <m/>
    <m/>
    <s v="R124"/>
    <s v="621/PPC/VII/2025"/>
    <s v="SURVEY DAN ANALISA"/>
    <s v="BY HC BPOM EBP/000530-2411776512 SHANGHAI DOILLY"/>
    <x v="1"/>
    <x v="1"/>
    <x v="18"/>
    <s v="SP"/>
    <n v="1557224"/>
    <n v="20250804"/>
  </r>
  <r>
    <s v="04.08.2025"/>
    <x v="1"/>
    <n v="50"/>
    <n v="-50000"/>
    <s v="IDR"/>
    <n v="-50000"/>
    <s v="IDR"/>
    <m/>
    <m/>
    <m/>
    <s v="R124"/>
    <s v="621/PPC/VII/2025"/>
    <s v="SURVEY DAN ANALISA"/>
    <s v="BY HC BPOM EBP/000525-2411776506 SG OILSEED"/>
    <x v="1"/>
    <x v="1"/>
    <x v="1"/>
    <s v="SP"/>
    <n v="1557224"/>
    <n v="20250804"/>
  </r>
  <r>
    <s v="04.08.2025"/>
    <x v="1"/>
    <n v="50"/>
    <n v="-50000"/>
    <s v="IDR"/>
    <n v="-50000"/>
    <s v="IDR"/>
    <m/>
    <m/>
    <m/>
    <s v="R124"/>
    <s v="621/PPC/VII/2025"/>
    <s v="SURVEY DAN ANALISA"/>
    <s v="BY HC BPOM EBP/000546-2411776587 SG OILSEED"/>
    <x v="1"/>
    <x v="1"/>
    <x v="1"/>
    <s v="SP"/>
    <n v="1557224"/>
    <n v="20250804"/>
  </r>
  <r>
    <s v="04.08.2025"/>
    <x v="1"/>
    <n v="50"/>
    <n v="-50000"/>
    <s v="IDR"/>
    <n v="-50000"/>
    <s v="IDR"/>
    <m/>
    <m/>
    <m/>
    <s v="R124"/>
    <s v="626/PPC/VIII/25"/>
    <s v="SURVEY DAN ANALISA"/>
    <s v="BY HC BPOM EBP/528-2411776510 SG OILSEED"/>
    <x v="1"/>
    <x v="1"/>
    <x v="1"/>
    <s v="SP"/>
    <n v="1557224"/>
    <n v="20250804"/>
  </r>
  <r>
    <s v="04.08.2025"/>
    <x v="1"/>
    <n v="50"/>
    <n v="-50000"/>
    <s v="IDR"/>
    <n v="-50000"/>
    <s v="IDR"/>
    <m/>
    <m/>
    <m/>
    <s v="R124"/>
    <s v="626/PPC/VIII/25"/>
    <s v="SURVEY DAN ANALISA"/>
    <s v="BY HC BPOM EBP/527-2411776508 SG OILSEED"/>
    <x v="1"/>
    <x v="1"/>
    <x v="1"/>
    <s v="SP"/>
    <n v="1557224"/>
    <n v="20250804"/>
  </r>
  <r>
    <s v="04.08.2025"/>
    <x v="1"/>
    <n v="50"/>
    <n v="-50000"/>
    <s v="IDR"/>
    <n v="-50000"/>
    <s v="IDR"/>
    <m/>
    <m/>
    <m/>
    <s v="R124"/>
    <s v="627/PPC/VIII/25"/>
    <s v="SURVEY DAN ANALISA"/>
    <s v="BY HC ETP/000148-2411776468 NESTLE AUSTRALIA"/>
    <x v="1"/>
    <x v="1"/>
    <x v="8"/>
    <s v="SP"/>
    <n v="1557224"/>
    <n v="20250804"/>
  </r>
  <r>
    <s v="04.08.2025"/>
    <x v="1"/>
    <n v="50"/>
    <n v="-50000"/>
    <s v="IDR"/>
    <n v="-50000"/>
    <s v="IDR"/>
    <m/>
    <m/>
    <m/>
    <s v="R124"/>
    <s v="627/PPC/VIII/25"/>
    <s v="SURVEY DAN ANALISA"/>
    <s v="BY HC ETP/000512-2411776408 NESTLE EGYPT"/>
    <x v="1"/>
    <x v="1"/>
    <x v="1"/>
    <s v="SP"/>
    <n v="1557224"/>
    <n v="20250804"/>
  </r>
  <r>
    <s v="04.08.2025"/>
    <x v="1"/>
    <n v="50"/>
    <n v="-150000"/>
    <s v="IDR"/>
    <n v="-150000"/>
    <s v="IDR"/>
    <m/>
    <m/>
    <m/>
    <s v="R124"/>
    <s v="628/PPC/VIII/25"/>
    <s v="MAKANAN DAN MINUMAN"/>
    <s v="BY PEMBELIAN KONSUMSI MEETING QFS 240725"/>
    <x v="7"/>
    <x v="7"/>
    <x v="17"/>
    <s v="SP"/>
    <n v="1557224"/>
    <n v="20250804"/>
  </r>
  <r>
    <s v="04.08.2025"/>
    <x v="1"/>
    <n v="50"/>
    <n v="-45000"/>
    <s v="IDR"/>
    <n v="-45000"/>
    <s v="IDR"/>
    <m/>
    <m/>
    <m/>
    <s v="R124"/>
    <s v="629/PPC/VIII/25"/>
    <s v="PBAIKN&amp;PRAWATN PRABT MATR"/>
    <s v="BY PEMBELIAN SPRAY CAT GREASE GUN 310725"/>
    <x v="3"/>
    <x v="3"/>
    <x v="13"/>
    <s v="SP"/>
    <n v="1557224"/>
    <n v="20250804"/>
  </r>
  <r>
    <s v="04.08.2025"/>
    <x v="1"/>
    <n v="50"/>
    <n v="-600000"/>
    <s v="IDR"/>
    <n v="-600000"/>
    <s v="IDR"/>
    <m/>
    <m/>
    <m/>
    <s v="R124"/>
    <s v="630/PPC/VIII/25"/>
    <s v="SUMBANGAN SOSIAL"/>
    <s v="BY SUMBANGAN SOSIAL 240725"/>
    <x v="20"/>
    <x v="20"/>
    <x v="21"/>
    <s v="SP"/>
    <n v="1557224"/>
    <n v="20250804"/>
  </r>
  <r>
    <s v="04.08.2025"/>
    <x v="1"/>
    <n v="50"/>
    <n v="-600000"/>
    <s v="IDR"/>
    <n v="-600000"/>
    <s v="IDR"/>
    <m/>
    <m/>
    <m/>
    <s v="R124"/>
    <s v="631/PPC/VIII/25"/>
    <s v="BAHAN BAKAR"/>
    <s v="BY BAHAN BAKAR 010825"/>
    <x v="6"/>
    <x v="6"/>
    <x v="9"/>
    <s v="SP"/>
    <n v="1557224"/>
    <n v="20250804"/>
  </r>
  <r>
    <s v="04.08.2025"/>
    <x v="1"/>
    <n v="50"/>
    <n v="-399000"/>
    <s v="IDR"/>
    <n v="-399000"/>
    <s v="IDR"/>
    <m/>
    <m/>
    <m/>
    <s v="R124"/>
    <s v="631/PPC/VIII/25"/>
    <s v="TRANSPORTASI LOKAL"/>
    <s v="BY TRANSPORT LOKAL 010825"/>
    <x v="5"/>
    <x v="5"/>
    <x v="9"/>
    <s v="SP"/>
    <n v="1557224"/>
    <n v="20250804"/>
  </r>
  <r>
    <s v="04.08.2025"/>
    <x v="1"/>
    <n v="50"/>
    <n v="-269000"/>
    <s v="IDR"/>
    <n v="-269000"/>
    <s v="IDR"/>
    <m/>
    <m/>
    <m/>
    <s v="R124"/>
    <s v="633/PPC/VIII/25"/>
    <s v="PEMEL.KEND&amp;A.BERAT MATRL"/>
    <s v="BY PEMELIHARAAN KENDARAAN 010825"/>
    <x v="2"/>
    <x v="2"/>
    <x v="24"/>
    <s v="SP"/>
    <n v="1557224"/>
    <n v="20250804"/>
  </r>
  <r>
    <s v="04.08.2025"/>
    <x v="1"/>
    <n v="50"/>
    <n v="-25000"/>
    <s v="IDR"/>
    <n v="-25000"/>
    <s v="IDR"/>
    <m/>
    <m/>
    <m/>
    <s v="R124"/>
    <s v="639/PPC/VIII/25"/>
    <s v="MAKANAN DAN MINUMAN"/>
    <s v="BY MAKANAN DAN MINUAN 310725"/>
    <x v="7"/>
    <x v="7"/>
    <x v="13"/>
    <s v="SP"/>
    <n v="1557224"/>
    <n v="20250804"/>
  </r>
  <r>
    <s v="04.08.2025"/>
    <x v="1"/>
    <n v="50"/>
    <n v="-988500"/>
    <s v="IDR"/>
    <n v="-988500"/>
    <s v="IDR"/>
    <m/>
    <m/>
    <m/>
    <s v="R124"/>
    <s v="632/PPC/VIII/25"/>
    <s v="PBAIKN&amp;PRAWATN PRABT MATR"/>
    <s v="BY PEMBELIAN KABEL HDMI 010825"/>
    <x v="3"/>
    <x v="3"/>
    <x v="9"/>
    <s v="SP"/>
    <n v="1557224"/>
    <n v="20250804"/>
  </r>
  <r>
    <s v="05.08.2025"/>
    <x v="1"/>
    <n v="50"/>
    <n v="-166300"/>
    <s v="IDR"/>
    <n v="-166300"/>
    <s v="IDR"/>
    <m/>
    <m/>
    <m/>
    <s v="R124"/>
    <s v="640/PPC/VIII/25"/>
    <s v="PEMEL.BNGAN&amp;PSARANA MATRL"/>
    <s v="BY PYLOX, ISOLASI, S.KONTAK, PASTA SOLDER 310725"/>
    <x v="8"/>
    <x v="8"/>
    <x v="11"/>
    <s v="SP"/>
    <n v="1557224"/>
    <n v="20250805"/>
  </r>
  <r>
    <s v="05.08.2025"/>
    <x v="1"/>
    <n v="50"/>
    <n v="-220000"/>
    <s v="IDR"/>
    <n v="-220000"/>
    <s v="IDR"/>
    <m/>
    <m/>
    <m/>
    <s v="R124"/>
    <s v="640/PPC/VIII/25"/>
    <s v="PBAIKN&amp;PRAWATN PRABT MATR"/>
    <s v="BY BRACKET TV VIPER 32-75 310725"/>
    <x v="3"/>
    <x v="3"/>
    <x v="11"/>
    <s v="SP"/>
    <n v="1557224"/>
    <n v="20250805"/>
  </r>
  <r>
    <s v="06.08.2025"/>
    <x v="1"/>
    <n v="50"/>
    <n v="-50000"/>
    <s v="IDR"/>
    <n v="-50000"/>
    <s v="IDR"/>
    <m/>
    <m/>
    <m/>
    <s v="R124"/>
    <s v="641/PPC/VIII/25"/>
    <s v="SURVEY DAN ANALISA"/>
    <s v="By HC ETP/3324/0725/000146-2411776452 NESTLE PNG"/>
    <x v="1"/>
    <x v="1"/>
    <x v="8"/>
    <s v="SP"/>
    <n v="1557224"/>
    <n v="20250806"/>
  </r>
  <r>
    <s v="06.08.2025"/>
    <x v="1"/>
    <n v="50"/>
    <n v="-50000"/>
    <s v="IDR"/>
    <n v="-50000"/>
    <s v="IDR"/>
    <m/>
    <m/>
    <m/>
    <s v="R124"/>
    <s v="641/PPC/VIII/25"/>
    <s v="SURVEY DAN ANALISA"/>
    <s v="By HC ETP/3324/0725/000149-2411776470 NESTLE PNG"/>
    <x v="1"/>
    <x v="1"/>
    <x v="8"/>
    <s v="SP"/>
    <n v="1557224"/>
    <n v="20250806"/>
  </r>
  <r>
    <s v="06.08.2025"/>
    <x v="1"/>
    <n v="50"/>
    <n v="-2000"/>
    <s v="IDR"/>
    <n v="-2000"/>
    <s v="IDR"/>
    <m/>
    <m/>
    <m/>
    <s v="R124"/>
    <s v="641/PPC/VIII/25"/>
    <s v="ADMIN &amp; DOKUMEN EKSPOR"/>
    <s v="BY BEA SAPLE US 35/QA-QM/0725;640250702476508 levy"/>
    <x v="18"/>
    <x v="18"/>
    <x v="8"/>
    <s v="SP"/>
    <n v="1557224"/>
    <n v="20250806"/>
  </r>
  <r>
    <s v="06.08.2025"/>
    <x v="1"/>
    <n v="50"/>
    <n v="-3000"/>
    <s v="IDR"/>
    <n v="-3000"/>
    <s v="IDR"/>
    <m/>
    <m/>
    <m/>
    <s v="R124"/>
    <s v="641/PPC/VIII/25"/>
    <s v="ADMIN &amp; DOKUMEN EKSPOR"/>
    <s v="BY BEA DAN LEVY 640250702477056;994025072477060"/>
    <x v="18"/>
    <x v="18"/>
    <x v="8"/>
    <s v="SP"/>
    <n v="1557224"/>
    <n v="20250806"/>
  </r>
  <r>
    <s v="06.08.2025"/>
    <x v="1"/>
    <n v="50"/>
    <n v="-500000"/>
    <s v="IDR"/>
    <n v="-500000"/>
    <s v="IDR"/>
    <m/>
    <m/>
    <m/>
    <s v="R124"/>
    <s v="634/PPC/VIII/25"/>
    <s v="OLAHRAGA DAN PERMAINAN"/>
    <s v="BY OLAHRAGA CARDIO BOXING 010825"/>
    <x v="0"/>
    <x v="0"/>
    <x v="0"/>
    <s v="SP"/>
    <n v="1557224"/>
    <n v="20250806"/>
  </r>
  <r>
    <s v="06.08.2025"/>
    <x v="1"/>
    <n v="50"/>
    <n v="-50000"/>
    <s v="IDR"/>
    <n v="-50000"/>
    <s v="IDR"/>
    <m/>
    <m/>
    <m/>
    <s v="R124"/>
    <s v="637/PPC/VIII/25"/>
    <s v="SURVEY DAN ANALISA"/>
    <s v="BY HC BPOM EBP/3324/0725/000550-2411776611 OILSEED"/>
    <x v="1"/>
    <x v="1"/>
    <x v="1"/>
    <s v="SP"/>
    <n v="1557224"/>
    <n v="20250806"/>
  </r>
  <r>
    <s v="06.08.2025"/>
    <x v="1"/>
    <n v="50"/>
    <n v="-50000"/>
    <s v="IDR"/>
    <n v="-50000"/>
    <s v="IDR"/>
    <m/>
    <m/>
    <m/>
    <s v="R124"/>
    <s v="637/PPC/VIII/25"/>
    <s v="SURVEY DAN ANALISA"/>
    <s v="BY HC BPOM EBP/3324/0725/000545-2411776586 OILSEED"/>
    <x v="1"/>
    <x v="1"/>
    <x v="1"/>
    <s v="SP"/>
    <n v="1557224"/>
    <n v="20250806"/>
  </r>
  <r>
    <s v="06.08.2025"/>
    <x v="1"/>
    <n v="50"/>
    <n v="-50000"/>
    <s v="IDR"/>
    <n v="-50000"/>
    <s v="IDR"/>
    <m/>
    <m/>
    <m/>
    <s v="R124"/>
    <s v="637/PPC/VIII/25"/>
    <s v="SURVEY DAN ANALISA"/>
    <s v="BY HC BPOM EBP/3324/0725/000559-2411776633 OILSEED"/>
    <x v="1"/>
    <x v="1"/>
    <x v="1"/>
    <s v="SP"/>
    <n v="1557224"/>
    <n v="20250806"/>
  </r>
  <r>
    <s v="06.08.2025"/>
    <x v="1"/>
    <n v="50"/>
    <n v="-50000"/>
    <s v="IDR"/>
    <n v="-50000"/>
    <s v="IDR"/>
    <m/>
    <m/>
    <m/>
    <s v="R124"/>
    <s v="637/PPC/VIII/25"/>
    <s v="SURVEY DAN ANALISA"/>
    <s v="BY HC BPOM EBP/3324/0725/000559-2411776683 fae"/>
    <x v="1"/>
    <x v="1"/>
    <x v="2"/>
    <s v="SP"/>
    <n v="1557224"/>
    <n v="20250806"/>
  </r>
  <r>
    <s v="06.08.2025"/>
    <x v="1"/>
    <n v="50"/>
    <n v="-50000"/>
    <s v="IDR"/>
    <n v="-50000"/>
    <s v="IDR"/>
    <m/>
    <m/>
    <m/>
    <s v="R124"/>
    <s v="637/PPC/VIII/25"/>
    <s v="SURVEY DAN ANALISA"/>
    <s v="BY HC EBP/3324/0725/000547-2411776593 SABEANAT"/>
    <x v="1"/>
    <x v="1"/>
    <x v="2"/>
    <s v="SP"/>
    <n v="1557224"/>
    <n v="20250806"/>
  </r>
  <r>
    <s v="06.08.2025"/>
    <x v="1"/>
    <n v="50"/>
    <n v="-50000"/>
    <s v="IDR"/>
    <n v="-50000"/>
    <s v="IDR"/>
    <m/>
    <m/>
    <m/>
    <s v="R124"/>
    <s v="637/PPC/VIII/25"/>
    <s v="SURVEY DAN ANALISA"/>
    <s v="BY HC EBP/3324/000540-2411776577 ART CHEMICALS"/>
    <x v="1"/>
    <x v="1"/>
    <x v="1"/>
    <s v="SP"/>
    <n v="1557224"/>
    <n v="20250806"/>
  </r>
  <r>
    <s v="06.08.2025"/>
    <x v="1"/>
    <n v="50"/>
    <n v="-50000"/>
    <s v="IDR"/>
    <n v="-50000"/>
    <s v="IDR"/>
    <m/>
    <m/>
    <m/>
    <s v="R124"/>
    <s v="637/PPC/VIII/25"/>
    <s v="SURVEY DAN ANALISA"/>
    <s v="BY HC EBP/3324/000541-2411776578 ART CHEMICALS"/>
    <x v="1"/>
    <x v="1"/>
    <x v="1"/>
    <s v="SP"/>
    <n v="1557224"/>
    <n v="20250806"/>
  </r>
  <r>
    <s v="06.08.2025"/>
    <x v="1"/>
    <n v="50"/>
    <n v="-890000"/>
    <s v="IDR"/>
    <n v="-890000"/>
    <s v="IDR"/>
    <m/>
    <m/>
    <m/>
    <s v="R124"/>
    <s v="643/PPC/VIII/25"/>
    <s v="PBAIKN&amp;PRAWATN PRABT MATR"/>
    <s v="BY PEMBELIAN LED STRIP, FRONTLITE, LAMPU MERAH 050"/>
    <x v="3"/>
    <x v="3"/>
    <x v="9"/>
    <s v="SP"/>
    <n v="1557224"/>
    <n v="20250806"/>
  </r>
  <r>
    <s v="06.08.2025"/>
    <x v="1"/>
    <n v="50"/>
    <n v="-580000"/>
    <s v="IDR"/>
    <n v="-580000"/>
    <s v="IDR"/>
    <m/>
    <m/>
    <m/>
    <s v="R124"/>
    <s v="642/PPC/VIII/25"/>
    <s v="BAHAN BAKAR"/>
    <s v="BY BAHAN BAKAR 050825"/>
    <x v="6"/>
    <x v="6"/>
    <x v="9"/>
    <s v="SP"/>
    <n v="1557224"/>
    <n v="20250806"/>
  </r>
  <r>
    <s v="06.08.2025"/>
    <x v="1"/>
    <n v="50"/>
    <n v="-415000"/>
    <s v="IDR"/>
    <n v="-415000"/>
    <s v="IDR"/>
    <m/>
    <m/>
    <m/>
    <s v="R124"/>
    <s v="642/PPC/VIII/25"/>
    <s v="TRANSPORTASI LOKAL"/>
    <s v="BY TRANSPORT LOKAL 050825"/>
    <x v="5"/>
    <x v="5"/>
    <x v="9"/>
    <s v="SP"/>
    <n v="1557224"/>
    <n v="20250806"/>
  </r>
  <r>
    <s v="06.08.2025"/>
    <x v="1"/>
    <n v="50"/>
    <n v="-57800"/>
    <s v="IDR"/>
    <n v="-57800"/>
    <s v="IDR"/>
    <m/>
    <m/>
    <m/>
    <s v="R124"/>
    <s v="644/PPC/VIII/25"/>
    <s v="PERIZINAN PEMERINTAH"/>
    <s v="BY PPJ GENSET PEMAKAIAN JUL 25"/>
    <x v="12"/>
    <x v="12"/>
    <x v="9"/>
    <s v="SP"/>
    <n v="1557224"/>
    <n v="20250806"/>
  </r>
  <r>
    <s v="13.08.2025"/>
    <x v="1"/>
    <n v="50"/>
    <n v="-50000"/>
    <s v="IDR"/>
    <n v="-50000"/>
    <s v="IDR"/>
    <m/>
    <m/>
    <m/>
    <s v="R124"/>
    <s v="638/PPC/VIII/25"/>
    <s v="SURVEY DAN ANALISA"/>
    <s v="BY HC ART CHEMICALS EBP 2411776006"/>
    <x v="1"/>
    <x v="1"/>
    <x v="1"/>
    <s v="SP"/>
    <n v="1557224"/>
    <n v="20250813"/>
  </r>
  <r>
    <s v="13.08.2025"/>
    <x v="1"/>
    <n v="50"/>
    <n v="-50000"/>
    <s v="IDR"/>
    <n v="-50000"/>
    <s v="IDR"/>
    <m/>
    <m/>
    <m/>
    <s v="R124"/>
    <s v="638/PPC/VIII/25"/>
    <s v="SURVEY DAN ANALISA"/>
    <s v="BY HC GREEN LAND EBP 2411776177"/>
    <x v="1"/>
    <x v="1"/>
    <x v="1"/>
    <s v="SP"/>
    <n v="1557224"/>
    <n v="20250813"/>
  </r>
  <r>
    <s v="13.08.2025"/>
    <x v="1"/>
    <n v="50"/>
    <n v="-50000"/>
    <s v="IDR"/>
    <n v="-50000"/>
    <s v="IDR"/>
    <m/>
    <m/>
    <m/>
    <s v="R124"/>
    <s v="638/PPC/VIII/25"/>
    <s v="SURVEY DAN ANALISA"/>
    <s v="BY HC SABEANAT EBP 2411776091"/>
    <x v="1"/>
    <x v="1"/>
    <x v="2"/>
    <s v="SP"/>
    <n v="1557224"/>
    <n v="20250813"/>
  </r>
  <r>
    <s v="13.08.2025"/>
    <x v="1"/>
    <n v="50"/>
    <n v="-50000"/>
    <s v="IDR"/>
    <n v="-50000"/>
    <s v="IDR"/>
    <m/>
    <m/>
    <m/>
    <s v="R124"/>
    <s v="638/PPC/VIII/25"/>
    <s v="SURVEY DAN ANALISA"/>
    <s v="BY HC SABEANAT EBP 2411776109"/>
    <x v="1"/>
    <x v="1"/>
    <x v="1"/>
    <s v="SP"/>
    <n v="1557224"/>
    <n v="20250813"/>
  </r>
  <r>
    <s v="13.08.2025"/>
    <x v="1"/>
    <n v="50"/>
    <n v="-50000"/>
    <s v="IDR"/>
    <n v="-50000"/>
    <s v="IDR"/>
    <m/>
    <m/>
    <m/>
    <s v="R124"/>
    <s v="638/PPC/VIII/25"/>
    <s v="SURVEY DAN ANALISA"/>
    <s v="BY HC SABEANAT EBP 2411776113"/>
    <x v="1"/>
    <x v="1"/>
    <x v="1"/>
    <s v="SP"/>
    <n v="1557224"/>
    <n v="20250813"/>
  </r>
  <r>
    <s v="13.08.2025"/>
    <x v="1"/>
    <n v="50"/>
    <n v="-50000"/>
    <s v="IDR"/>
    <n v="-50000"/>
    <s v="IDR"/>
    <m/>
    <m/>
    <m/>
    <s v="R124"/>
    <s v="638/PPC/VIII/25"/>
    <s v="SURVEY DAN ANALISA"/>
    <s v="BY HC SABEANAT EBP 2411776114"/>
    <x v="1"/>
    <x v="1"/>
    <x v="1"/>
    <s v="SP"/>
    <n v="1557224"/>
    <n v="20250813"/>
  </r>
  <r>
    <s v="13.08.2025"/>
    <x v="1"/>
    <n v="50"/>
    <n v="-50000"/>
    <s v="IDR"/>
    <n v="-50000"/>
    <s v="IDR"/>
    <m/>
    <m/>
    <m/>
    <s v="R124"/>
    <s v="638/PPC/VIII/25"/>
    <s v="SURVEY DAN ANALISA"/>
    <s v="BY HC HAWK TRADING EBP 2411776460"/>
    <x v="1"/>
    <x v="1"/>
    <x v="1"/>
    <s v="SP"/>
    <n v="1557224"/>
    <n v="20250813"/>
  </r>
  <r>
    <s v="13.08.2025"/>
    <x v="1"/>
    <n v="50"/>
    <n v="-520000"/>
    <s v="IDR"/>
    <n v="-520000"/>
    <s v="IDR"/>
    <m/>
    <m/>
    <m/>
    <s v="R124"/>
    <s v="635/PPC/VIII/25"/>
    <s v="PEMEL.KEND&amp;A.BERAT MATRL"/>
    <s v="BY PERAWATAN SPD MTR BAG.EKSP. L 2167 FT (VIXION)"/>
    <x v="2"/>
    <x v="2"/>
    <x v="2"/>
    <s v="SP"/>
    <n v="1557224"/>
    <n v="20250813"/>
  </r>
  <r>
    <s v="13.08.2025"/>
    <x v="1"/>
    <n v="50"/>
    <n v="-321000"/>
    <s v="IDR"/>
    <n v="-321000"/>
    <s v="IDR"/>
    <m/>
    <m/>
    <m/>
    <s v="R124"/>
    <s v="636/PPC/VIII/25"/>
    <s v="PEMEL.KEND&amp;A.BERAT MATRL"/>
    <s v="BY PERAWATAN SPD MTR BAG.EKSP. L 2057 EK (VEGA R)"/>
    <x v="2"/>
    <x v="2"/>
    <x v="1"/>
    <s v="SP"/>
    <n v="1557224"/>
    <n v="20250813"/>
  </r>
  <r>
    <s v="13.08.2025"/>
    <x v="1"/>
    <n v="50"/>
    <n v="-50000"/>
    <s v="IDR"/>
    <n v="-50000"/>
    <s v="IDR"/>
    <m/>
    <m/>
    <m/>
    <s v="R124"/>
    <s v="646/PPC/VIII/25"/>
    <s v="SURVEY DAN ANALISA"/>
    <s v="BY HC NESTLE GHANA ETP 2411776471"/>
    <x v="1"/>
    <x v="1"/>
    <x v="8"/>
    <s v="SP"/>
    <n v="1557224"/>
    <n v="20250813"/>
  </r>
  <r>
    <s v="13.08.2025"/>
    <x v="1"/>
    <n v="50"/>
    <n v="-50000"/>
    <s v="IDR"/>
    <n v="-50000"/>
    <s v="IDR"/>
    <m/>
    <m/>
    <m/>
    <s v="R124"/>
    <s v="646/PPC/VIII/25"/>
    <s v="SURVEY DAN ANALISA"/>
    <s v="BY HC NESTLE PNG ETP 2411776588"/>
    <x v="1"/>
    <x v="1"/>
    <x v="8"/>
    <s v="SP"/>
    <n v="1557224"/>
    <n v="20250813"/>
  </r>
  <r>
    <s v="13.08.2025"/>
    <x v="1"/>
    <n v="50"/>
    <n v="-50000"/>
    <s v="IDR"/>
    <n v="-50000"/>
    <s v="IDR"/>
    <m/>
    <m/>
    <m/>
    <s v="R124"/>
    <s v="646/PPC/VIII/25"/>
    <s v="SURVEY DAN ANALISA"/>
    <s v="BY HC NESTLE PNG ETP 2411776589"/>
    <x v="1"/>
    <x v="1"/>
    <x v="8"/>
    <s v="SP"/>
    <n v="1557224"/>
    <n v="20250813"/>
  </r>
  <r>
    <s v="13.08.2025"/>
    <x v="1"/>
    <n v="50"/>
    <n v="-601500"/>
    <s v="IDR"/>
    <n v="-601500"/>
    <s v="IDR"/>
    <m/>
    <m/>
    <m/>
    <s v="R124"/>
    <s v="647/PPC/VIII/25"/>
    <s v="MAKANAN DAN MINUMAN"/>
    <s v="BY KONSUMSI KUNJUNGAN TAMU PT ESM"/>
    <x v="7"/>
    <x v="7"/>
    <x v="16"/>
    <s v="SP"/>
    <n v="1557224"/>
    <n v="20250813"/>
  </r>
  <r>
    <s v="13.08.2025"/>
    <x v="1"/>
    <n v="50"/>
    <n v="-347000"/>
    <s v="IDR"/>
    <n v="-347000"/>
    <s v="IDR"/>
    <m/>
    <m/>
    <m/>
    <s v="R124"/>
    <s v="648/PPC/VIII/25"/>
    <s v="PERLENGKAPAN FOTOCOPY"/>
    <s v="BY FOTOCOPY &amp; JILID LAP.RKL RPL RUNGKUT PERAK"/>
    <x v="4"/>
    <x v="4"/>
    <x v="16"/>
    <s v="SP"/>
    <n v="1557224"/>
    <n v="20250813"/>
  </r>
  <r>
    <s v="13.08.2025"/>
    <x v="1"/>
    <n v="50"/>
    <n v="-165000"/>
    <s v="IDR"/>
    <n v="-165000"/>
    <s v="IDR"/>
    <m/>
    <m/>
    <m/>
    <s v="R124"/>
    <s v="648/PPC/VIII/25"/>
    <s v="MAKANAN DAN MINUMAN"/>
    <s v="BY KONSUMSI MEETING P2K3"/>
    <x v="7"/>
    <x v="7"/>
    <x v="16"/>
    <s v="SP"/>
    <n v="1557224"/>
    <n v="20250813"/>
  </r>
  <r>
    <s v="13.08.2025"/>
    <x v="1"/>
    <n v="50"/>
    <n v="-50000"/>
    <s v="IDR"/>
    <n v="-50000"/>
    <s v="IDR"/>
    <m/>
    <m/>
    <m/>
    <s v="R124"/>
    <s v="650/PPC/VIII/25"/>
    <s v="SURVEY DAN ANALISA"/>
    <s v="BY HC GENAS GLOBAL EBP 2411776575"/>
    <x v="1"/>
    <x v="1"/>
    <x v="1"/>
    <s v="SP"/>
    <n v="1557224"/>
    <n v="20250813"/>
  </r>
  <r>
    <s v="13.08.2025"/>
    <x v="1"/>
    <n v="50"/>
    <n v="-50000"/>
    <s v="IDR"/>
    <n v="-50000"/>
    <s v="IDR"/>
    <m/>
    <m/>
    <m/>
    <s v="R124"/>
    <s v="650/PPC/VIII/25"/>
    <s v="SURVEY DAN ANALISA"/>
    <s v="BY HC GENAS GLOBAL EBP 2411776667"/>
    <x v="1"/>
    <x v="1"/>
    <x v="1"/>
    <s v="SP"/>
    <n v="1557224"/>
    <n v="20250813"/>
  </r>
  <r>
    <s v="13.08.2025"/>
    <x v="1"/>
    <n v="50"/>
    <n v="-145000"/>
    <s v="IDR"/>
    <n v="-145000"/>
    <s v="IDR"/>
    <m/>
    <m/>
    <m/>
    <s v="R124"/>
    <s v="651/PPC/VIII/25"/>
    <s v="PBAIKN&amp;PRAWATN PRABT MATR"/>
    <s v="BY PEMB ENERGIZER, AFUR BAK CUCI, SEALANT, DLL"/>
    <x v="3"/>
    <x v="3"/>
    <x v="26"/>
    <s v="SP"/>
    <n v="1557224"/>
    <n v="20250813"/>
  </r>
  <r>
    <s v="13.08.2025"/>
    <x v="1"/>
    <n v="50"/>
    <n v="-560000"/>
    <s v="IDR"/>
    <n v="-560000"/>
    <s v="IDR"/>
    <m/>
    <m/>
    <m/>
    <s v="R124"/>
    <s v="652/PPC/VIII/25"/>
    <s v="BAHAN BAKAR"/>
    <s v="BY TRANSPORTASI BBM 05-08/08/2025"/>
    <x v="6"/>
    <x v="6"/>
    <x v="9"/>
    <s v="SP"/>
    <n v="1557224"/>
    <n v="20250813"/>
  </r>
  <r>
    <s v="13.08.2025"/>
    <x v="1"/>
    <n v="50"/>
    <n v="-440000"/>
    <s v="IDR"/>
    <n v="-440000"/>
    <s v="IDR"/>
    <m/>
    <m/>
    <m/>
    <s v="R124"/>
    <s v="652/PPC/VIII/25"/>
    <s v="TRANSPORTASI LOKAL"/>
    <s v="BY TRANSPORTASI PARKIR TOL"/>
    <x v="5"/>
    <x v="5"/>
    <x v="9"/>
    <s v="SP"/>
    <n v="1557224"/>
    <n v="20250813"/>
  </r>
  <r>
    <s v="13.08.2025"/>
    <x v="1"/>
    <n v="50"/>
    <n v="-50000"/>
    <s v="IDR"/>
    <n v="-50000"/>
    <s v="IDR"/>
    <m/>
    <m/>
    <m/>
    <s v="R124"/>
    <s v="653/PPC/VIII/25"/>
    <s v="SURVEY DAN ANALISA"/>
    <s v="BY HC NESTLE GHANA ETP 2411776471 - REPROSES"/>
    <x v="1"/>
    <x v="1"/>
    <x v="8"/>
    <s v="SP"/>
    <n v="1557224"/>
    <n v="20250813"/>
  </r>
  <r>
    <s v="13.08.2025"/>
    <x v="1"/>
    <n v="50"/>
    <n v="-50000"/>
    <s v="IDR"/>
    <n v="-50000"/>
    <s v="IDR"/>
    <m/>
    <m/>
    <m/>
    <s v="R124"/>
    <s v="653/PPC/VIII/25"/>
    <s v="SURVEY DAN ANALISA"/>
    <s v="BY HC RAM FOOD EBP 2411776539"/>
    <x v="1"/>
    <x v="1"/>
    <x v="2"/>
    <s v="SP"/>
    <n v="1557224"/>
    <n v="20250813"/>
  </r>
  <r>
    <s v="13.08.2025"/>
    <x v="1"/>
    <n v="50"/>
    <n v="-50000"/>
    <s v="IDR"/>
    <n v="-50000"/>
    <s v="IDR"/>
    <m/>
    <m/>
    <m/>
    <s v="R124"/>
    <s v="653/PPC/VIII/25"/>
    <s v="SURVEY DAN ANALISA"/>
    <s v="BY HC RAM FOOD EBP 2411776540"/>
    <x v="1"/>
    <x v="1"/>
    <x v="2"/>
    <s v="SP"/>
    <n v="1557224"/>
    <n v="20250813"/>
  </r>
  <r>
    <s v="13.08.2025"/>
    <x v="1"/>
    <n v="50"/>
    <n v="-500000"/>
    <s v="IDR"/>
    <n v="-500000"/>
    <s v="IDR"/>
    <m/>
    <m/>
    <m/>
    <s v="R124"/>
    <s v="649/PPC/VIII/25"/>
    <s v="OLAHRAGA DAN PERMAINAN"/>
    <s v="BY OLAHRAGA 08/08/2025"/>
    <x v="0"/>
    <x v="0"/>
    <x v="0"/>
    <s v="SP"/>
    <n v="1557224"/>
    <n v="20250813"/>
  </r>
  <r>
    <s v="13.08.2025"/>
    <x v="1"/>
    <n v="50"/>
    <n v="-50000"/>
    <s v="IDR"/>
    <n v="-50000"/>
    <s v="IDR"/>
    <m/>
    <m/>
    <m/>
    <s v="R124"/>
    <s v="658/PPC/VIII/25"/>
    <s v="SURVEY DAN ANALISA"/>
    <s v="BY HC HOCHEE EBP 2411776769"/>
    <x v="1"/>
    <x v="1"/>
    <x v="1"/>
    <s v="SP"/>
    <n v="1557224"/>
    <n v="20250813"/>
  </r>
  <r>
    <s v="13.08.2025"/>
    <x v="1"/>
    <n v="50"/>
    <n v="-50000"/>
    <s v="IDR"/>
    <n v="-50000"/>
    <s v="IDR"/>
    <m/>
    <m/>
    <m/>
    <s v="R124"/>
    <s v="658/PPC/VIII/25"/>
    <s v="SURVEY DAN ANALISA"/>
    <s v="BY HC HOCHEE EBP 2411776769"/>
    <x v="1"/>
    <x v="1"/>
    <x v="1"/>
    <s v="SP"/>
    <n v="1557224"/>
    <n v="20250813"/>
  </r>
  <r>
    <s v="13.08.2025"/>
    <x v="1"/>
    <n v="50"/>
    <n v="-50000"/>
    <s v="IDR"/>
    <n v="-50000"/>
    <s v="IDR"/>
    <m/>
    <m/>
    <m/>
    <s v="R124"/>
    <s v="658/PPC/VIII/25"/>
    <s v="SURVEY DAN ANALISA"/>
    <s v="BY HC RAM FOOD EBP 2411776769"/>
    <x v="1"/>
    <x v="1"/>
    <x v="2"/>
    <s v="SP"/>
    <n v="1557224"/>
    <n v="20250813"/>
  </r>
  <r>
    <s v="13.08.2025"/>
    <x v="1"/>
    <n v="50"/>
    <n v="-860000"/>
    <s v="IDR"/>
    <n v="-860000"/>
    <s v="IDR"/>
    <m/>
    <m/>
    <m/>
    <s v="R124"/>
    <s v="660/PPC/VIII/25"/>
    <s v="RISET/PENGEMBANGAN PRODUK"/>
    <s v="BY PEMB BOTOL SAMPLE DURAN"/>
    <x v="9"/>
    <x v="9"/>
    <x v="8"/>
    <s v="SP"/>
    <n v="1557224"/>
    <n v="20250813"/>
  </r>
  <r>
    <s v="13.08.2025"/>
    <x v="1"/>
    <n v="50"/>
    <n v="-789000"/>
    <s v="IDR"/>
    <n v="-789000"/>
    <s v="IDR"/>
    <m/>
    <m/>
    <m/>
    <s v="R124"/>
    <s v="661/PPC/VIII/25"/>
    <s v="RISET/PENGEMBANGAN PRODUK"/>
    <s v="BY PEMB BOTOL SAMPLE DURAN 500mL &amp; 1L"/>
    <x v="9"/>
    <x v="9"/>
    <x v="8"/>
    <s v="SP"/>
    <n v="1557224"/>
    <n v="20250813"/>
  </r>
  <r>
    <s v="13.08.2025"/>
    <x v="1"/>
    <n v="50"/>
    <n v="-800000"/>
    <s v="IDR"/>
    <n v="-800000"/>
    <s v="IDR"/>
    <m/>
    <m/>
    <m/>
    <s v="R124"/>
    <s v="662/PPC/VIII/25"/>
    <s v="RISET/PENGEMBANGAN PRODUK"/>
    <s v="BY PEMB BOTOL SAMPLE DURAN 500mL"/>
    <x v="9"/>
    <x v="9"/>
    <x v="8"/>
    <s v="SP"/>
    <n v="1557224"/>
    <n v="20250813"/>
  </r>
  <r>
    <s v="13.08.2025"/>
    <x v="1"/>
    <n v="50"/>
    <n v="-525000"/>
    <s v="IDR"/>
    <n v="-525000"/>
    <s v="IDR"/>
    <m/>
    <m/>
    <m/>
    <s v="R124"/>
    <s v="663/PPC/VIII/25"/>
    <s v="RISET/PENGEMBANGAN PRODUK"/>
    <s v="BY SENSORY KFC, McD"/>
    <x v="9"/>
    <x v="9"/>
    <x v="15"/>
    <s v="SP"/>
    <n v="1557224"/>
    <n v="20250813"/>
  </r>
  <r>
    <s v="13.08.2025"/>
    <x v="1"/>
    <n v="50"/>
    <n v="-90900"/>
    <s v="IDR"/>
    <n v="-90900"/>
    <s v="IDR"/>
    <m/>
    <m/>
    <m/>
    <s v="R124"/>
    <s v="663/PPC/VIII/25"/>
    <s v="KIRIM DOKUMEN/SURAT"/>
    <s v="BY ONGKIR SAMPLE KE DANONE 15/07, 29/07"/>
    <x v="15"/>
    <x v="15"/>
    <x v="15"/>
    <s v="SP"/>
    <n v="1557224"/>
    <n v="20250813"/>
  </r>
  <r>
    <s v="13.08.2025"/>
    <x v="1"/>
    <n v="50"/>
    <n v="-120000"/>
    <s v="IDR"/>
    <n v="-120000"/>
    <s v="IDR"/>
    <m/>
    <m/>
    <m/>
    <s v="R124"/>
    <s v="663/PPC/VIII/25"/>
    <s v="MAKANAN DAN MINUMAN"/>
    <s v="BY MKN DNS LUAR PERAK AUDIT PRP"/>
    <x v="7"/>
    <x v="7"/>
    <x v="15"/>
    <s v="SP"/>
    <n v="1557224"/>
    <n v="20250813"/>
  </r>
  <r>
    <s v="13.08.2025"/>
    <x v="1"/>
    <n v="50"/>
    <n v="-87976"/>
    <s v="IDR"/>
    <n v="-87976"/>
    <s v="IDR"/>
    <m/>
    <m/>
    <m/>
    <s v="R124"/>
    <s v="663/PPC/VIII/25"/>
    <s v="PBAIKN&amp;PRAWATN PRABT MATR"/>
    <s v="BY PEMB PUSH ON SENTER, KAPI"/>
    <x v="3"/>
    <x v="3"/>
    <x v="15"/>
    <s v="SP"/>
    <n v="1557224"/>
    <n v="20250813"/>
  </r>
  <r>
    <s v="13.08.2025"/>
    <x v="1"/>
    <n v="50"/>
    <n v="-800000"/>
    <s v="IDR"/>
    <n v="-800000"/>
    <s v="IDR"/>
    <m/>
    <m/>
    <m/>
    <s v="R124"/>
    <s v="664/PPC/VIII/25"/>
    <s v="RISET/PENGEMBANGAN PRODUK"/>
    <s v="BY PEMB BOTOL SAMPLE DURAN 500mL"/>
    <x v="9"/>
    <x v="9"/>
    <x v="8"/>
    <s v="SP"/>
    <n v="1557224"/>
    <n v="20250813"/>
  </r>
  <r>
    <s v="13.08.2025"/>
    <x v="1"/>
    <n v="50"/>
    <n v="-960000"/>
    <s v="IDR"/>
    <n v="-960000"/>
    <s v="IDR"/>
    <m/>
    <m/>
    <m/>
    <s v="R124"/>
    <s v="665/PPC/VIII/25"/>
    <s v="RISET/PENGEMBANGAN PRODUK"/>
    <s v="BY PEMB BOTOL SAMPLE DURAN 500mL"/>
    <x v="9"/>
    <x v="9"/>
    <x v="8"/>
    <s v="SP"/>
    <n v="1557224"/>
    <n v="20250813"/>
  </r>
  <r>
    <s v="13.08.2025"/>
    <x v="1"/>
    <n v="50"/>
    <n v="-513514"/>
    <s v="IDR"/>
    <n v="-513514"/>
    <s v="IDR"/>
    <m/>
    <m/>
    <m/>
    <s v="R124"/>
    <s v="666/PPC/VIII/25"/>
    <s v="PBAIKN&amp;PRAWATN PRABT MATR"/>
    <s v="BY PEMB CONVERTER VGA TO HDMI, TALI TIANG BENDERA"/>
    <x v="3"/>
    <x v="3"/>
    <x v="9"/>
    <s v="SP"/>
    <n v="1557224"/>
    <n v="20250813"/>
  </r>
  <r>
    <s v="13.08.2025"/>
    <x v="1"/>
    <n v="50"/>
    <n v="-850000"/>
    <s v="IDR"/>
    <n v="-850000"/>
    <s v="IDR"/>
    <m/>
    <m/>
    <m/>
    <s v="R124"/>
    <s v="668/PPC/VIII/25"/>
    <s v="BAHAN BAKAR"/>
    <s v="BY TRANSPORTASI BBM 08-11/08/2025"/>
    <x v="6"/>
    <x v="6"/>
    <x v="9"/>
    <s v="SP"/>
    <n v="1557224"/>
    <n v="20250813"/>
  </r>
  <r>
    <s v="13.08.2025"/>
    <x v="1"/>
    <n v="50"/>
    <n v="-148500"/>
    <s v="IDR"/>
    <n v="-148500"/>
    <s v="IDR"/>
    <m/>
    <m/>
    <m/>
    <s v="R124"/>
    <s v="668/PPC/VIII/25"/>
    <s v="TRANSPORTASI LOKAL"/>
    <s v="BY TRANSPORTASI PARKIR TOL"/>
    <x v="5"/>
    <x v="5"/>
    <x v="9"/>
    <s v="SP"/>
    <n v="1557224"/>
    <n v="20250813"/>
  </r>
  <r>
    <s v="13.08.2025"/>
    <x v="1"/>
    <n v="50"/>
    <n v="-290500"/>
    <s v="IDR"/>
    <n v="-290500"/>
    <s v="IDR"/>
    <m/>
    <m/>
    <m/>
    <s v="R124"/>
    <s v="659/PPC/VIII/25"/>
    <s v="BIAYA MESS"/>
    <s v="BY PDAM MESS AGUSTUS 2025"/>
    <x v="14"/>
    <x v="14"/>
    <x v="9"/>
    <s v="SP"/>
    <n v="1557224"/>
    <n v="20250813"/>
  </r>
  <r>
    <s v="13.08.2025"/>
    <x v="1"/>
    <n v="50"/>
    <n v="-868100"/>
    <s v="IDR"/>
    <n v="-868100"/>
    <s v="IDR"/>
    <m/>
    <m/>
    <m/>
    <s v="R124"/>
    <s v="654/PPC/VIII/25"/>
    <s v="ADMIN &amp; DOKUMEN EKSPOR"/>
    <s v="BY ADM, DOC ART CHEMICALS EBP 2411776577"/>
    <x v="18"/>
    <x v="18"/>
    <x v="1"/>
    <s v="SP"/>
    <n v="1557224"/>
    <n v="20250813"/>
  </r>
  <r>
    <s v="13.08.2025"/>
    <x v="1"/>
    <n v="50"/>
    <n v="-50000"/>
    <s v="IDR"/>
    <n v="-50000"/>
    <s v="IDR"/>
    <m/>
    <m/>
    <m/>
    <s v="R124"/>
    <s v="669/PPC/VIII/25"/>
    <s v="SURVEY DAN ANALISA"/>
    <s v="BY HC RAM FOOD EBP 2411776538"/>
    <x v="1"/>
    <x v="1"/>
    <x v="2"/>
    <s v="SP"/>
    <n v="1557224"/>
    <n v="20250813"/>
  </r>
  <r>
    <s v="13.08.2025"/>
    <x v="1"/>
    <n v="50"/>
    <n v="-50000"/>
    <s v="IDR"/>
    <n v="-50000"/>
    <s v="IDR"/>
    <m/>
    <m/>
    <m/>
    <s v="R124"/>
    <s v="670/PPC/VIII/25"/>
    <s v="SURVEY DAN ANALISA"/>
    <s v="BY HC XIAMEN AOZHI EBP 2411776696"/>
    <x v="1"/>
    <x v="1"/>
    <x v="18"/>
    <s v="SP"/>
    <n v="1557224"/>
    <n v="20250813"/>
  </r>
  <r>
    <s v="13.08.2025"/>
    <x v="1"/>
    <n v="50"/>
    <n v="-50000"/>
    <s v="IDR"/>
    <n v="-50000"/>
    <s v="IDR"/>
    <m/>
    <m/>
    <m/>
    <s v="R124"/>
    <s v="670/PPC/VIII/25"/>
    <s v="SURVEY DAN ANALISA"/>
    <s v="BY HC SG OILSEED EBP 2411776719"/>
    <x v="1"/>
    <x v="1"/>
    <x v="1"/>
    <s v="SP"/>
    <n v="1557224"/>
    <n v="20250813"/>
  </r>
  <r>
    <s v="13.08.2025"/>
    <x v="1"/>
    <n v="50"/>
    <n v="-50000"/>
    <s v="IDR"/>
    <n v="-50000"/>
    <s v="IDR"/>
    <m/>
    <m/>
    <m/>
    <s v="R124"/>
    <s v="670/PPC/VIII/25"/>
    <s v="SURVEY DAN ANALISA"/>
    <s v="BY HC NESTLE SENEGAL ETP 2411776742, 776743"/>
    <x v="1"/>
    <x v="1"/>
    <x v="8"/>
    <s v="SP"/>
    <n v="1557224"/>
    <n v="20250813"/>
  </r>
  <r>
    <s v="13.08.2025"/>
    <x v="1"/>
    <n v="50"/>
    <n v="-50000"/>
    <s v="IDR"/>
    <n v="-50000"/>
    <s v="IDR"/>
    <m/>
    <m/>
    <m/>
    <s v="R124"/>
    <s v="670/PPC/VIII/25"/>
    <s v="SURVEY DAN ANALISA"/>
    <s v="BY HC FUJIAN NANAN EBP 2411776774"/>
    <x v="1"/>
    <x v="1"/>
    <x v="18"/>
    <s v="SP"/>
    <n v="1557224"/>
    <n v="20250813"/>
  </r>
  <r>
    <s v="13.08.2025"/>
    <x v="1"/>
    <n v="50"/>
    <n v="-50000"/>
    <s v="IDR"/>
    <n v="-50000"/>
    <s v="IDR"/>
    <m/>
    <m/>
    <m/>
    <s v="R124"/>
    <s v="670/PPC/VIII/25"/>
    <s v="SURVEY DAN ANALISA"/>
    <s v="BY HC FUJIAN NANAN EBP 2411776822"/>
    <x v="1"/>
    <x v="1"/>
    <x v="18"/>
    <s v="SP"/>
    <n v="1557224"/>
    <n v="20250813"/>
  </r>
  <r>
    <s v="13.08.2025"/>
    <x v="1"/>
    <n v="50"/>
    <n v="-50000"/>
    <s v="IDR"/>
    <n v="-50000"/>
    <s v="IDR"/>
    <m/>
    <m/>
    <m/>
    <s v="R124"/>
    <s v="670/PPC/VIII/25"/>
    <s v="SURVEY DAN ANALISA"/>
    <s v="BY HC FUJIAN NANAN EBP 2411776821"/>
    <x v="1"/>
    <x v="1"/>
    <x v="18"/>
    <s v="SP"/>
    <n v="1557224"/>
    <n v="20250813"/>
  </r>
  <r>
    <s v="13.08.2025"/>
    <x v="1"/>
    <n v="50"/>
    <n v="-310000"/>
    <s v="IDR"/>
    <n v="-310000"/>
    <s v="IDR"/>
    <m/>
    <m/>
    <m/>
    <s v="R124"/>
    <s v="656/PPC/VIII/25"/>
    <s v="PEMEL.KEND&amp;A.BERAT MATRL"/>
    <s v="BY PEMB WM 1 BS"/>
    <x v="2"/>
    <x v="2"/>
    <x v="27"/>
    <s v="SP"/>
    <n v="1557224"/>
    <n v="20250813"/>
  </r>
  <r>
    <s v="14.08.2025"/>
    <x v="1"/>
    <n v="50"/>
    <n v="-50000"/>
    <s v="IDR"/>
    <n v="-50000"/>
    <s v="IDR"/>
    <m/>
    <m/>
    <m/>
    <s v="R124"/>
    <s v="671/PPC/VIII/25"/>
    <s v="SURVEY DAN ANALISA"/>
    <s v="BY HC SG OILSEED EBP 2411776583"/>
    <x v="1"/>
    <x v="1"/>
    <x v="1"/>
    <s v="SP"/>
    <n v="1557224"/>
    <n v="20250814"/>
  </r>
  <r>
    <s v="14.08.2025"/>
    <x v="1"/>
    <n v="50"/>
    <n v="-50000"/>
    <s v="IDR"/>
    <n v="-50000"/>
    <s v="IDR"/>
    <m/>
    <m/>
    <m/>
    <s v="R124"/>
    <s v="671/PPC/VIII/25"/>
    <s v="SURVEY DAN ANALISA"/>
    <s v="BY HC SG OILSEED EBP 2411776694"/>
    <x v="1"/>
    <x v="1"/>
    <x v="1"/>
    <s v="SP"/>
    <n v="1557224"/>
    <n v="20250814"/>
  </r>
  <r>
    <s v="14.08.2025"/>
    <x v="1"/>
    <n v="50"/>
    <n v="-50000"/>
    <s v="IDR"/>
    <n v="-50000"/>
    <s v="IDR"/>
    <m/>
    <m/>
    <m/>
    <s v="R124"/>
    <s v="671/PPC/VIII/25"/>
    <s v="SURVEY DAN ANALISA"/>
    <s v="BY HC SG OILSEED EBP 2411776672"/>
    <x v="1"/>
    <x v="1"/>
    <x v="1"/>
    <s v="SP"/>
    <n v="1557224"/>
    <n v="20250814"/>
  </r>
  <r>
    <s v="14.08.2025"/>
    <x v="1"/>
    <n v="50"/>
    <n v="-50000"/>
    <s v="IDR"/>
    <n v="-50000"/>
    <s v="IDR"/>
    <m/>
    <m/>
    <m/>
    <s v="R124"/>
    <s v="671/PPC/VIII/25"/>
    <s v="SURVEY DAN ANALISA"/>
    <s v="BY HC SG OILSEED EBP 2411776695"/>
    <x v="1"/>
    <x v="1"/>
    <x v="1"/>
    <s v="SP"/>
    <n v="1557224"/>
    <n v="20250814"/>
  </r>
  <r>
    <s v="14.08.2025"/>
    <x v="1"/>
    <n v="50"/>
    <n v="-50000"/>
    <s v="IDR"/>
    <n v="-50000"/>
    <s v="IDR"/>
    <m/>
    <m/>
    <m/>
    <s v="R124"/>
    <s v="671/PPC/VIII/25"/>
    <s v="SURVEY DAN ANALISA"/>
    <s v="BY HC SUICHANGLONG EBP 2411776461"/>
    <x v="1"/>
    <x v="1"/>
    <x v="18"/>
    <s v="SP"/>
    <n v="1557224"/>
    <n v="20250814"/>
  </r>
  <r>
    <s v="14.08.2025"/>
    <x v="1"/>
    <n v="50"/>
    <n v="-50000"/>
    <s v="IDR"/>
    <n v="-50000"/>
    <s v="IDR"/>
    <m/>
    <m/>
    <m/>
    <s v="R124"/>
    <s v="671/PPC/VIII/25"/>
    <s v="SURVEY DAN ANALISA"/>
    <s v="BY HC SG OILSEED EBP 2411776505"/>
    <x v="1"/>
    <x v="1"/>
    <x v="1"/>
    <s v="SP"/>
    <n v="1557224"/>
    <n v="20250814"/>
  </r>
  <r>
    <s v="14.08.2025"/>
    <x v="1"/>
    <n v="50"/>
    <n v="-50000"/>
    <s v="IDR"/>
    <n v="-50000"/>
    <s v="IDR"/>
    <m/>
    <m/>
    <m/>
    <s v="R124"/>
    <s v="671/PPC/VIII/25"/>
    <s v="SURVEY DAN ANALISA"/>
    <s v="BY HC SG OILSEED EBP 2411776610"/>
    <x v="1"/>
    <x v="1"/>
    <x v="1"/>
    <s v="SP"/>
    <n v="1557224"/>
    <n v="20250814"/>
  </r>
  <r>
    <s v="14.08.2025"/>
    <x v="1"/>
    <n v="50"/>
    <n v="-50000"/>
    <s v="IDR"/>
    <n v="-50000"/>
    <s v="IDR"/>
    <m/>
    <m/>
    <m/>
    <s v="R124"/>
    <s v="671/PPC/VIII/25"/>
    <s v="SURVEY DAN ANALISA"/>
    <s v="BY HC SUICHANGLONG EBP 2411776585"/>
    <x v="1"/>
    <x v="1"/>
    <x v="18"/>
    <s v="SP"/>
    <n v="1557224"/>
    <n v="20250814"/>
  </r>
  <r>
    <s v="14.08.2025"/>
    <x v="1"/>
    <n v="50"/>
    <n v="-50000"/>
    <s v="IDR"/>
    <n v="-50000"/>
    <s v="IDR"/>
    <m/>
    <m/>
    <m/>
    <s v="R124"/>
    <s v="671/PPC/VIII/25"/>
    <s v="SURVEY DAN ANALISA"/>
    <s v="BY HC SG OILSEED EBP 2411776584"/>
    <x v="1"/>
    <x v="1"/>
    <x v="1"/>
    <s v="SP"/>
    <n v="1557224"/>
    <n v="20250814"/>
  </r>
  <r>
    <s v="14.08.2025"/>
    <x v="1"/>
    <n v="50"/>
    <n v="-50000"/>
    <s v="IDR"/>
    <n v="-50000"/>
    <s v="IDR"/>
    <m/>
    <m/>
    <m/>
    <s v="R124"/>
    <s v="671/PPC/VIII/25"/>
    <s v="SURVEY DAN ANALISA"/>
    <s v="BY HC SG OILSEED EBP 2411776507"/>
    <x v="1"/>
    <x v="1"/>
    <x v="1"/>
    <s v="SP"/>
    <n v="1557224"/>
    <n v="20250814"/>
  </r>
  <r>
    <s v="14.08.2025"/>
    <x v="1"/>
    <n v="50"/>
    <n v="-50000"/>
    <s v="IDR"/>
    <n v="-50000"/>
    <s v="IDR"/>
    <m/>
    <m/>
    <m/>
    <s v="R124"/>
    <s v="671/PPC/VIII/25"/>
    <s v="SURVEY DAN ANALISA"/>
    <s v="BY HC SG OILSEED EBP 2411776453"/>
    <x v="1"/>
    <x v="1"/>
    <x v="1"/>
    <s v="SP"/>
    <n v="1557224"/>
    <n v="20250814"/>
  </r>
  <r>
    <s v="14.08.2025"/>
    <x v="1"/>
    <n v="50"/>
    <n v="-50000"/>
    <s v="IDR"/>
    <n v="-50000"/>
    <s v="IDR"/>
    <m/>
    <m/>
    <m/>
    <s v="R124"/>
    <s v="671/PPC/VIII/25"/>
    <s v="UMUM &amp; ADMIN LAIN"/>
    <s v="BY HC SAMPLE FILMA SHT 39-43 GOLDEN ARCHES"/>
    <x v="15"/>
    <x v="15"/>
    <x v="1"/>
    <s v="SP"/>
    <n v="1557224"/>
    <n v="20250814"/>
  </r>
  <r>
    <s v="14.08.2025"/>
    <x v="1"/>
    <n v="50"/>
    <n v="-13000"/>
    <s v="IDR"/>
    <n v="-13000"/>
    <s v="IDR"/>
    <m/>
    <m/>
    <m/>
    <s v="R124"/>
    <s v="671/PPC/VIII/25"/>
    <s v="ADMIN &amp; DOKUMEN EKSPOR"/>
    <s v="BY LEVY &amp; BK SAMPLE KE GERMAN &amp; VIETNAM"/>
    <x v="18"/>
    <x v="18"/>
    <x v="8"/>
    <s v="SP"/>
    <n v="1557224"/>
    <n v="20250814"/>
  </r>
  <r>
    <s v="14.08.2025"/>
    <x v="1"/>
    <n v="50"/>
    <n v="-298088"/>
    <s v="IDR"/>
    <n v="-298088"/>
    <s v="IDR"/>
    <m/>
    <m/>
    <m/>
    <s v="R124"/>
    <s v="672/PPC/VIII/25"/>
    <s v="PBAIKN&amp;PRAWATN PRABT MATR"/>
    <s v="BY PEMB KUNCI LOKER, CUSTOM MAP, SARUNG TANGAN,DLL"/>
    <x v="3"/>
    <x v="3"/>
    <x v="9"/>
    <s v="SP"/>
    <n v="1557224"/>
    <n v="20250814"/>
  </r>
  <r>
    <s v="14.08.2025"/>
    <x v="1"/>
    <n v="50"/>
    <n v="-50000"/>
    <s v="IDR"/>
    <n v="-50000"/>
    <s v="IDR"/>
    <m/>
    <m/>
    <m/>
    <s v="R124"/>
    <s v="657/PPC/VIII/25"/>
    <s v="SURVEY DAN ANALISA"/>
    <s v="BY HC NESTLE PAKISTAN ETP 2411776713"/>
    <x v="1"/>
    <x v="1"/>
    <x v="8"/>
    <s v="SP"/>
    <n v="1557224"/>
    <n v="20250814"/>
  </r>
  <r>
    <s v="14.08.2025"/>
    <x v="1"/>
    <n v="50"/>
    <n v="-50000"/>
    <s v="IDR"/>
    <n v="-50000"/>
    <s v="IDR"/>
    <m/>
    <m/>
    <m/>
    <s v="R124"/>
    <s v="657/PPC/VIII/25"/>
    <s v="SURVEY DAN ANALISA"/>
    <s v="BY HC SG OILSEED EBP 2411776776"/>
    <x v="1"/>
    <x v="1"/>
    <x v="1"/>
    <s v="SP"/>
    <n v="1557224"/>
    <n v="20250814"/>
  </r>
  <r>
    <s v="14.08.2025"/>
    <x v="1"/>
    <n v="50"/>
    <n v="-50000"/>
    <s v="IDR"/>
    <n v="-50000"/>
    <s v="IDR"/>
    <m/>
    <m/>
    <m/>
    <s v="R124"/>
    <s v="657/PPC/VIII/25"/>
    <s v="SURVEY DAN ANALISA"/>
    <s v="BY HC SG OILSEED EBP 2411776797,798"/>
    <x v="1"/>
    <x v="1"/>
    <x v="1"/>
    <s v="SP"/>
    <n v="1557224"/>
    <n v="20250814"/>
  </r>
  <r>
    <s v="14.08.2025"/>
    <x v="1"/>
    <n v="50"/>
    <n v="-50000"/>
    <s v="IDR"/>
    <n v="-50000"/>
    <s v="IDR"/>
    <m/>
    <m/>
    <m/>
    <s v="R124"/>
    <s v="657/PPC/VIII/25"/>
    <s v="SURVEY DAN ANALISA"/>
    <s v="BY HC SG OILSEED EBP 2411776820"/>
    <x v="1"/>
    <x v="1"/>
    <x v="1"/>
    <s v="SP"/>
    <n v="1557224"/>
    <n v="20250814"/>
  </r>
  <r>
    <s v="15.08.2025"/>
    <x v="1"/>
    <n v="50"/>
    <n v="-816000"/>
    <s v="IDR"/>
    <n v="-816000"/>
    <s v="IDR"/>
    <m/>
    <m/>
    <m/>
    <s v="R124"/>
    <s v="676/PPC/VIII/25"/>
    <s v="PBAIKN&amp;PRAWATN PRABT MATR"/>
    <s v="BY USR CONVERTER KOMP, KABLEL LAS U/ LAS LISTRIK"/>
    <x v="3"/>
    <x v="3"/>
    <x v="10"/>
    <s v="SP"/>
    <n v="1557224"/>
    <n v="20250815"/>
  </r>
  <r>
    <s v="15.08.2025"/>
    <x v="1"/>
    <n v="50"/>
    <n v="-740000"/>
    <s v="IDR"/>
    <n v="-740000"/>
    <s v="IDR"/>
    <m/>
    <m/>
    <m/>
    <s v="R124"/>
    <s v="677/PPC/VIII/25"/>
    <s v="BAHAN BAKAR"/>
    <s v="BY TRANSPORTASI BBM 11-14/08/2025"/>
    <x v="6"/>
    <x v="6"/>
    <x v="9"/>
    <s v="SP"/>
    <n v="1557224"/>
    <n v="20250815"/>
  </r>
  <r>
    <s v="15.08.2025"/>
    <x v="1"/>
    <n v="50"/>
    <n v="-260000"/>
    <s v="IDR"/>
    <n v="-260000"/>
    <s v="IDR"/>
    <m/>
    <m/>
    <m/>
    <s v="R124"/>
    <s v="677/PPC/VIII/25"/>
    <s v="TRANSPORTASI LOKAL"/>
    <s v="BY TRANSPORTASI PARKIR TOL"/>
    <x v="5"/>
    <x v="5"/>
    <x v="9"/>
    <s v="SP"/>
    <n v="1557224"/>
    <n v="20250815"/>
  </r>
  <r>
    <s v="15.08.2025"/>
    <x v="1"/>
    <n v="50"/>
    <n v="-250000"/>
    <s v="IDR"/>
    <n v="-250000"/>
    <s v="IDR"/>
    <m/>
    <m/>
    <m/>
    <s v="R124"/>
    <s v="655/PPC/VIII/25"/>
    <s v="SURVEY DAN ANALISA"/>
    <s v="BY COO KADIN &amp; HC GREENS L EBP 2411776571"/>
    <x v="1"/>
    <x v="1"/>
    <x v="1"/>
    <s v="SP"/>
    <n v="1557224"/>
    <n v="20250815"/>
  </r>
  <r>
    <s v="15.08.2025"/>
    <x v="1"/>
    <n v="50"/>
    <n v="-250000"/>
    <s v="IDR"/>
    <n v="-250000"/>
    <s v="IDR"/>
    <m/>
    <m/>
    <m/>
    <s v="R124"/>
    <s v="655/PPC/VIII/25"/>
    <s v="SURVEY DAN ANALISA"/>
    <s v="BY COO KADIN &amp; HC AL JAZIRA EBP 2411776576"/>
    <x v="1"/>
    <x v="1"/>
    <x v="1"/>
    <s v="SP"/>
    <n v="1557224"/>
    <n v="20250815"/>
  </r>
  <r>
    <s v="15.08.2025"/>
    <x v="1"/>
    <n v="50"/>
    <n v="-150000"/>
    <s v="IDR"/>
    <n v="-150000"/>
    <s v="IDR"/>
    <m/>
    <m/>
    <m/>
    <s v="R124"/>
    <s v="655/PPC/VIII/25"/>
    <s v="SURVEY DAN ANALISA"/>
    <s v="BY COO KADIN &amp; HC ASSUDAMAL EBP 2411776652"/>
    <x v="1"/>
    <x v="1"/>
    <x v="2"/>
    <s v="SP"/>
    <n v="1557224"/>
    <n v="20250815"/>
  </r>
  <r>
    <s v="15.08.2025"/>
    <x v="1"/>
    <n v="50"/>
    <n v="-200000"/>
    <s v="IDR"/>
    <n v="-200000"/>
    <s v="IDR"/>
    <m/>
    <m/>
    <m/>
    <s v="R124"/>
    <s v="655/PPC/VIII/25"/>
    <s v="SURVEY DAN ANALISA"/>
    <s v="BY COO KADIN &amp; HC ASSUDAMAL EBP 2411776652"/>
    <x v="1"/>
    <x v="1"/>
    <x v="2"/>
    <s v="SP"/>
    <n v="1557224"/>
    <n v="20250815"/>
  </r>
  <r>
    <s v="15.08.2025"/>
    <x v="1"/>
    <n v="50"/>
    <n v="-150000"/>
    <s v="IDR"/>
    <n v="-150000"/>
    <s v="IDR"/>
    <m/>
    <m/>
    <m/>
    <s v="R124"/>
    <s v="655/PPC/VIII/25"/>
    <s v="SURVEY DAN ANALISA"/>
    <s v="BY COO KADIN &amp; HC ASSUDAMAL EBP 2411776652"/>
    <x v="1"/>
    <x v="1"/>
    <x v="2"/>
    <s v="SP"/>
    <n v="1557224"/>
    <n v="20250815"/>
  </r>
  <r>
    <s v="15.08.2025"/>
    <x v="1"/>
    <n v="50"/>
    <n v="-972000"/>
    <s v="IDR"/>
    <n v="-972000"/>
    <s v="IDR"/>
    <m/>
    <m/>
    <m/>
    <s v="R124"/>
    <s v="673/PPC/VIII/25"/>
    <s v="PEMEL.BNGAN&amp;PSARANA MATRL"/>
    <s v="BY PEMB PIPA AIR U/ RAILING AREA WWTP"/>
    <x v="8"/>
    <x v="8"/>
    <x v="9"/>
    <s v="SP"/>
    <n v="1557224"/>
    <n v="20250815"/>
  </r>
  <r>
    <s v="15.08.2025"/>
    <x v="1"/>
    <n v="50"/>
    <n v="-50000"/>
    <s v="IDR"/>
    <n v="-50000"/>
    <s v="IDR"/>
    <m/>
    <m/>
    <m/>
    <s v="R124"/>
    <s v="674/PPC/VIII/25"/>
    <s v="SURVEY DAN ANALISA"/>
    <s v="BY HC NESTLE GHANA ETP 2411776860"/>
    <x v="1"/>
    <x v="1"/>
    <x v="8"/>
    <s v="SP"/>
    <n v="1557224"/>
    <n v="20250815"/>
  </r>
  <r>
    <s v="15.08.2025"/>
    <x v="1"/>
    <n v="50"/>
    <n v="-50000"/>
    <s v="IDR"/>
    <n v="-50000"/>
    <s v="IDR"/>
    <m/>
    <m/>
    <m/>
    <s v="R124"/>
    <s v="674/PPC/VIII/25"/>
    <s v="SURVEY DAN ANALISA"/>
    <s v="BY HC NESTLE PNG ETP 2411776839"/>
    <x v="1"/>
    <x v="1"/>
    <x v="8"/>
    <s v="SP"/>
    <n v="1557224"/>
    <n v="20250815"/>
  </r>
  <r>
    <s v="15.08.2025"/>
    <x v="1"/>
    <n v="50"/>
    <n v="-50000"/>
    <s v="IDR"/>
    <n v="-50000"/>
    <s v="IDR"/>
    <m/>
    <m/>
    <m/>
    <s v="R124"/>
    <s v="674/PPC/VIII/25"/>
    <s v="SURVEY DAN ANALISA"/>
    <s v="BY HC NESTLE PNG ETP 2411776840"/>
    <x v="1"/>
    <x v="1"/>
    <x v="8"/>
    <s v="SP"/>
    <n v="1557224"/>
    <n v="20250815"/>
  </r>
  <r>
    <s v="15.08.2025"/>
    <x v="1"/>
    <n v="50"/>
    <n v="-800000"/>
    <s v="IDR"/>
    <n v="-800000"/>
    <s v="IDR"/>
    <m/>
    <m/>
    <m/>
    <s v="R124"/>
    <s v="675/PPC/VIII/25"/>
    <s v="BIAYA MESS"/>
    <s v="BY IURAN RT MESS PONDOK TJANDRA AGUSTUS 2025"/>
    <x v="14"/>
    <x v="14"/>
    <x v="9"/>
    <s v="SP"/>
    <n v="1557224"/>
    <n v="20250815"/>
  </r>
  <r>
    <s v="19.08.2025"/>
    <x v="1"/>
    <n v="50"/>
    <n v="-750000"/>
    <s v="IDR"/>
    <n v="-750000"/>
    <s v="IDR"/>
    <m/>
    <m/>
    <m/>
    <s v="R124"/>
    <s v="679/PPC/VIII/25"/>
    <s v="BAHAN BAKAR"/>
    <s v="BY TRANSPORTASI BBM 14-15/08/2025"/>
    <x v="6"/>
    <x v="6"/>
    <x v="9"/>
    <s v="SP"/>
    <n v="1557224"/>
    <n v="20250819"/>
  </r>
  <r>
    <s v="19.08.2025"/>
    <x v="1"/>
    <n v="50"/>
    <n v="-248500"/>
    <s v="IDR"/>
    <n v="-248500"/>
    <s v="IDR"/>
    <m/>
    <m/>
    <m/>
    <s v="R124"/>
    <s v="679/PPC/VIII/25"/>
    <s v="TRANSPORTASI LOKAL"/>
    <s v="BY TRANSPORTASI PARKIR TOL"/>
    <x v="5"/>
    <x v="5"/>
    <x v="9"/>
    <s v="SP"/>
    <n v="1557224"/>
    <n v="20250819"/>
  </r>
  <r>
    <s v="19.08.2025"/>
    <x v="1"/>
    <n v="50"/>
    <n v="-428500"/>
    <s v="IDR"/>
    <n v="-428500"/>
    <s v="IDR"/>
    <m/>
    <m/>
    <m/>
    <s v="R124"/>
    <s v="681/PPC/VIII/25"/>
    <s v="PEMEL.KEND&amp;A.BERAT MATRL"/>
    <s v="BY PEMB OIL SEAL PERBAIKAN CHILLING CHEMTECH"/>
    <x v="2"/>
    <x v="2"/>
    <x v="4"/>
    <s v="SP"/>
    <n v="1557224"/>
    <n v="20250819"/>
  </r>
  <r>
    <s v="19.08.2025"/>
    <x v="1"/>
    <n v="50"/>
    <n v="-71400"/>
    <s v="IDR"/>
    <n v="-71400"/>
    <s v="IDR"/>
    <m/>
    <m/>
    <m/>
    <s v="R124"/>
    <s v="682/PPC/VIII/25"/>
    <s v="PERLENGKAPAN FOTOCOPY"/>
    <s v="BY CETAK TAGGING PRP"/>
    <x v="4"/>
    <x v="4"/>
    <x v="5"/>
    <s v="SP"/>
    <n v="1557224"/>
    <n v="20250819"/>
  </r>
  <r>
    <s v="20.08.2025"/>
    <x v="1"/>
    <n v="50"/>
    <n v="-440000"/>
    <s v="IDR"/>
    <n v="-440000"/>
    <s v="IDR"/>
    <m/>
    <m/>
    <m/>
    <s v="R124"/>
    <s v="684/PPC/VIII/25"/>
    <s v="BAHAN BAKAR"/>
    <s v="BY TRANSPORTASI BBM 15-19/08/2025"/>
    <x v="6"/>
    <x v="6"/>
    <x v="9"/>
    <s v="SP"/>
    <n v="1557224"/>
    <n v="20250820"/>
  </r>
  <r>
    <s v="20.08.2025"/>
    <x v="1"/>
    <n v="50"/>
    <n v="-558000"/>
    <s v="IDR"/>
    <n v="-558000"/>
    <s v="IDR"/>
    <m/>
    <m/>
    <m/>
    <s v="R124"/>
    <s v="684/PPC/VIII/25"/>
    <s v="TRANSPORTASI LOKAL"/>
    <s v="BY TRANSPORTASI PARKIR TOL"/>
    <x v="5"/>
    <x v="5"/>
    <x v="9"/>
    <s v="SP"/>
    <n v="1557224"/>
    <n v="20250820"/>
  </r>
  <r>
    <s v="20.08.2025"/>
    <x v="1"/>
    <n v="50"/>
    <n v="-95000"/>
    <s v="IDR"/>
    <n v="-95000"/>
    <s v="IDR"/>
    <m/>
    <m/>
    <m/>
    <s v="R124"/>
    <s v="685/PPC/VIII/25"/>
    <s v="MAKANAN DAN MINUMAN"/>
    <s v="BY KONSUMSI INDIVIDUAL PRESENT.BMDP FINANCE 12/08"/>
    <x v="7"/>
    <x v="7"/>
    <x v="0"/>
    <s v="SP"/>
    <n v="1557224"/>
    <n v="20250820"/>
  </r>
  <r>
    <s v="20.08.2025"/>
    <x v="1"/>
    <n v="50"/>
    <n v="-604000"/>
    <s v="IDR"/>
    <n v="-604000"/>
    <s v="IDR"/>
    <m/>
    <m/>
    <m/>
    <s v="R124"/>
    <s v="645/PPC/VIII/25"/>
    <s v="PEMEL.KEND&amp;A.BERAT MATRL"/>
    <s v="BY PEMB SKUN, CONNECTOR LIGHT, NIPLE DRAT,DLL"/>
    <x v="2"/>
    <x v="2"/>
    <x v="12"/>
    <s v="SP"/>
    <n v="1557224"/>
    <n v="20250820"/>
  </r>
  <r>
    <s v="20.08.2025"/>
    <x v="1"/>
    <n v="50"/>
    <n v="-280000"/>
    <s v="IDR"/>
    <n v="-280000"/>
    <s v="IDR"/>
    <m/>
    <m/>
    <m/>
    <s v="R124"/>
    <s v="645/PPC/VIII/25"/>
    <s v="UANG MUKA BIAYA"/>
    <s v="BY STRAINER VALVE AMARTA T FP:04002500243246107"/>
    <x v="19"/>
    <x v="19"/>
    <x v="25"/>
    <s v="SP"/>
    <n v="1557224"/>
    <n v="20250820"/>
  </r>
  <r>
    <s v="20.08.2025"/>
    <x v="1"/>
    <n v="50"/>
    <n v="-650000"/>
    <s v="IDR"/>
    <n v="-650000"/>
    <s v="IDR"/>
    <m/>
    <m/>
    <m/>
    <s v="R124"/>
    <s v="667/PPC/VIII/25"/>
    <s v="UANG MUKA BIAYA"/>
    <s v="BY CHECK VALVE AMARTA T FP:04002500243246108"/>
    <x v="19"/>
    <x v="19"/>
    <x v="25"/>
    <s v="SP"/>
    <n v="1557224"/>
    <n v="20250820"/>
  </r>
  <r>
    <s v="20.08.2025"/>
    <x v="1"/>
    <n v="40"/>
    <n v="34438078"/>
    <s v="IDR"/>
    <n v="34438078"/>
    <s v="IDR"/>
    <m/>
    <m/>
    <m/>
    <s v="R124"/>
    <m/>
    <s v="BANK IN TRANSIT"/>
    <s v="PETTY CASH RUNGKUT SURABAYA PERIODE 01-20 AGUST 25"/>
    <x v="13"/>
    <x v="13"/>
    <x v="19"/>
    <s v="SP"/>
    <n v="1557224"/>
    <n v="20250820"/>
  </r>
  <r>
    <s v="02.09.2025"/>
    <x v="2"/>
    <n v="50"/>
    <n v="-500000"/>
    <s v="IDR"/>
    <n v="-500000"/>
    <s v="IDR"/>
    <m/>
    <m/>
    <m/>
    <s v="R124"/>
    <s v="678/PPC/VIII/25"/>
    <s v="OLAHRAGA DAN PERMAINAN"/>
    <s v="BY Olahraga cardio boxing 15 Agustus'25"/>
    <x v="0"/>
    <x v="0"/>
    <x v="0"/>
    <s v="SP"/>
    <n v="1631293"/>
    <n v="20250902"/>
  </r>
  <r>
    <s v="02.09.2025"/>
    <x v="2"/>
    <n v="50"/>
    <n v="-50000"/>
    <s v="IDR"/>
    <n v="-50000"/>
    <s v="IDR"/>
    <m/>
    <m/>
    <m/>
    <s v="R124"/>
    <s v="690/PPC/VIII/25"/>
    <s v="SURVEY DAN ANALISA"/>
    <s v="BY HC SG OILSEED EBP/0825/0596-241177690"/>
    <x v="1"/>
    <x v="1"/>
    <x v="18"/>
    <s v="SP"/>
    <n v="1631293"/>
    <n v="20250902"/>
  </r>
  <r>
    <s v="02.09.2025"/>
    <x v="2"/>
    <n v="50"/>
    <n v="-50000"/>
    <s v="IDR"/>
    <n v="-50000"/>
    <s v="IDR"/>
    <m/>
    <m/>
    <m/>
    <s v="R124"/>
    <s v="690/PPC/VIII/25"/>
    <s v="SURVEY DAN ANALISA"/>
    <s v="BY HC XIAMEN AOZHI EBP/0825/0436-2411776918"/>
    <x v="1"/>
    <x v="1"/>
    <x v="18"/>
    <s v="SP"/>
    <n v="1631293"/>
    <n v="20250902"/>
  </r>
  <r>
    <s v="02.09.2025"/>
    <x v="2"/>
    <n v="50"/>
    <n v="-50000"/>
    <s v="IDR"/>
    <n v="-50000"/>
    <s v="IDR"/>
    <m/>
    <m/>
    <m/>
    <s v="R124"/>
    <s v="690/PPC/VIII/25"/>
    <s v="SURVEY DAN ANALISA"/>
    <s v="BY HC HORGOS EBP/0825/0588-2411776862"/>
    <x v="1"/>
    <x v="1"/>
    <x v="18"/>
    <s v="SP"/>
    <n v="1631293"/>
    <n v="20250902"/>
  </r>
  <r>
    <s v="02.09.2025"/>
    <x v="2"/>
    <n v="50"/>
    <n v="-50000"/>
    <s v="IDR"/>
    <n v="-50000"/>
    <s v="IDR"/>
    <m/>
    <m/>
    <m/>
    <s v="R124"/>
    <s v="690/PPC/VIII/25"/>
    <s v="SURVEY DAN ANALISA"/>
    <s v="BY HC FUJIAN NANAN EBP/0825/0580-2411776818"/>
    <x v="1"/>
    <x v="1"/>
    <x v="18"/>
    <s v="SP"/>
    <n v="1631293"/>
    <n v="20250902"/>
  </r>
  <r>
    <s v="02.09.2025"/>
    <x v="2"/>
    <n v="50"/>
    <n v="-50000"/>
    <s v="IDR"/>
    <n v="-50000"/>
    <s v="IDR"/>
    <m/>
    <m/>
    <m/>
    <s v="R124"/>
    <s v="690/PPC/VIII/25"/>
    <s v="SURVEY DAN ANALISA"/>
    <s v="BY HC HORGOS EBP/0825/0620-2411776989"/>
    <x v="1"/>
    <x v="1"/>
    <x v="18"/>
    <s v="SP"/>
    <n v="1631293"/>
    <n v="20250902"/>
  </r>
  <r>
    <s v="02.09.2025"/>
    <x v="2"/>
    <n v="50"/>
    <n v="-50000"/>
    <s v="IDR"/>
    <n v="-50000"/>
    <s v="IDR"/>
    <m/>
    <m/>
    <m/>
    <s v="R124"/>
    <s v="692/PPC/VIII/25"/>
    <s v="SURVEY DAN ANALISA"/>
    <s v="BY HC HORGOS BAIPENG 2411776885"/>
    <x v="1"/>
    <x v="1"/>
    <x v="1"/>
    <s v="SP"/>
    <n v="1631293"/>
    <n v="20250902"/>
  </r>
  <r>
    <s v="02.09.2025"/>
    <x v="2"/>
    <n v="50"/>
    <n v="-50000"/>
    <s v="IDR"/>
    <n v="-50000"/>
    <s v="IDR"/>
    <m/>
    <m/>
    <m/>
    <s v="R124"/>
    <s v="692/PPC/VIII/25"/>
    <s v="SURVEY DAN ANALISA"/>
    <s v="BY HC HORGOS BAIPENG 2411776884"/>
    <x v="1"/>
    <x v="1"/>
    <x v="1"/>
    <s v="SP"/>
    <n v="1631293"/>
    <n v="20250902"/>
  </r>
  <r>
    <s v="02.09.2025"/>
    <x v="2"/>
    <n v="50"/>
    <n v="-50000"/>
    <s v="IDR"/>
    <n v="-50000"/>
    <s v="IDR"/>
    <m/>
    <m/>
    <m/>
    <s v="R124"/>
    <s v="692/PPC/VIII/25"/>
    <s v="SURVEY DAN ANALISA"/>
    <s v="BY HC SG OIL SEED 2411776891"/>
    <x v="1"/>
    <x v="1"/>
    <x v="1"/>
    <s v="SP"/>
    <n v="1631293"/>
    <n v="20250902"/>
  </r>
  <r>
    <s v="02.09.2025"/>
    <x v="2"/>
    <n v="50"/>
    <n v="-50000"/>
    <s v="IDR"/>
    <n v="-50000"/>
    <s v="IDR"/>
    <m/>
    <m/>
    <m/>
    <s v="R124"/>
    <s v="692/PPC/VIII/25"/>
    <s v="SURVEY DAN ANALISA"/>
    <s v="BY HC HORGOS BAIPENG 2411776863"/>
    <x v="1"/>
    <x v="1"/>
    <x v="1"/>
    <s v="SP"/>
    <n v="1631293"/>
    <n v="20250902"/>
  </r>
  <r>
    <s v="02.09.2025"/>
    <x v="2"/>
    <n v="50"/>
    <n v="-50000"/>
    <s v="IDR"/>
    <n v="-50000"/>
    <s v="IDR"/>
    <m/>
    <m/>
    <m/>
    <s v="R124"/>
    <s v="692/PPC/VIII/25"/>
    <s v="SURVEY DAN ANALISA"/>
    <s v="BY HC GUANGDONG SHENGRONG 2411776775"/>
    <x v="1"/>
    <x v="1"/>
    <x v="1"/>
    <s v="SP"/>
    <n v="1631293"/>
    <n v="20250902"/>
  </r>
  <r>
    <s v="02.09.2025"/>
    <x v="2"/>
    <n v="50"/>
    <n v="-50000"/>
    <s v="IDR"/>
    <n v="-50000"/>
    <s v="IDR"/>
    <m/>
    <m/>
    <m/>
    <s v="R124"/>
    <s v="692/PPC/VIII/25"/>
    <s v="SURVEY DAN ANALISA"/>
    <s v="BY HC SG OILSEED 2411776838"/>
    <x v="1"/>
    <x v="1"/>
    <x v="1"/>
    <s v="SP"/>
    <n v="1631293"/>
    <n v="20250902"/>
  </r>
  <r>
    <s v="02.09.2025"/>
    <x v="2"/>
    <n v="50"/>
    <n v="-50000"/>
    <s v="IDR"/>
    <n v="-50000"/>
    <s v="IDR"/>
    <m/>
    <m/>
    <m/>
    <s v="R124"/>
    <s v="692/PPC/VIII/25"/>
    <s v="SURVEY DAN ANALISA"/>
    <s v="BY HC SUPER POWER 2411776684"/>
    <x v="1"/>
    <x v="1"/>
    <x v="2"/>
    <s v="SP"/>
    <n v="1631293"/>
    <n v="20250902"/>
  </r>
  <r>
    <s v="02.09.2025"/>
    <x v="2"/>
    <n v="50"/>
    <n v="-50000"/>
    <s v="IDR"/>
    <n v="-50000"/>
    <s v="IDR"/>
    <m/>
    <m/>
    <m/>
    <s v="R124"/>
    <s v="692/PPC/VIII/25"/>
    <s v="SURVEY DAN ANALISA"/>
    <s v="BY HC SHENGRONG 2411776810"/>
    <x v="1"/>
    <x v="1"/>
    <x v="1"/>
    <s v="SP"/>
    <n v="1631293"/>
    <n v="20250902"/>
  </r>
  <r>
    <s v="02.09.2025"/>
    <x v="2"/>
    <n v="50"/>
    <n v="-50000"/>
    <s v="IDR"/>
    <n v="-50000"/>
    <s v="IDR"/>
    <m/>
    <m/>
    <m/>
    <s v="R124"/>
    <s v="692/PPC/VIII/25"/>
    <s v="SURVEY DAN ANALISA"/>
    <s v="BY HC GUANGDONG SHENGRONG 2411776513"/>
    <x v="1"/>
    <x v="1"/>
    <x v="1"/>
    <s v="SP"/>
    <n v="1631293"/>
    <n v="20250902"/>
  </r>
  <r>
    <s v="02.09.2025"/>
    <x v="2"/>
    <n v="50"/>
    <n v="-9000"/>
    <s v="IDR"/>
    <n v="-9000"/>
    <s v="IDR"/>
    <m/>
    <m/>
    <m/>
    <s v="R124"/>
    <s v="692/PPC/VIII/25"/>
    <s v="ADMIN &amp; DOKUMEN EKSPOR"/>
    <s v="BY LEVY &amp; BK SAMPLE VIETNAM &amp; GERMAN"/>
    <x v="18"/>
    <x v="18"/>
    <x v="8"/>
    <s v="SP"/>
    <n v="1631293"/>
    <n v="20250902"/>
  </r>
  <r>
    <s v="02.09.2025"/>
    <x v="2"/>
    <n v="50"/>
    <n v="-100000"/>
    <s v="IDR"/>
    <n v="-100000"/>
    <s v="IDR"/>
    <m/>
    <m/>
    <m/>
    <s v="R124"/>
    <s v="692/PPC/VIII/25"/>
    <s v="PERALATAN KANTOR"/>
    <s v="BY PEMB. MAP"/>
    <x v="16"/>
    <x v="16"/>
    <x v="17"/>
    <s v="SP"/>
    <n v="1631293"/>
    <n v="20250902"/>
  </r>
  <r>
    <s v="02.09.2025"/>
    <x v="2"/>
    <n v="50"/>
    <n v="-760000"/>
    <s v="IDR"/>
    <n v="-760000"/>
    <s v="IDR"/>
    <m/>
    <m/>
    <m/>
    <s v="R124"/>
    <s v="693/PPC/VIII/25"/>
    <s v="BAHAN BAKAR"/>
    <s v="BY PEMB. BAHAN BAKAR"/>
    <x v="6"/>
    <x v="6"/>
    <x v="9"/>
    <s v="SP"/>
    <n v="1631293"/>
    <n v="20250902"/>
  </r>
  <r>
    <s v="02.09.2025"/>
    <x v="2"/>
    <n v="50"/>
    <n v="-240000"/>
    <s v="IDR"/>
    <n v="-240000"/>
    <s v="IDR"/>
    <m/>
    <m/>
    <m/>
    <s v="R124"/>
    <s v="693/PPC/VIII/25"/>
    <s v="TRANSPORTASI LOKAL"/>
    <s v="BY PARKIR DAN TOL"/>
    <x v="5"/>
    <x v="5"/>
    <x v="9"/>
    <s v="SP"/>
    <n v="1631293"/>
    <n v="20250902"/>
  </r>
  <r>
    <s v="02.09.2025"/>
    <x v="2"/>
    <n v="50"/>
    <n v="-50000"/>
    <s v="IDR"/>
    <n v="-50000"/>
    <s v="IDR"/>
    <m/>
    <m/>
    <m/>
    <s v="R124"/>
    <s v="688/PPC/VIII/25"/>
    <s v="SURVEY DAN ANALISA"/>
    <s v="BY HC HORGOS BAIPENG 2411776901"/>
    <x v="1"/>
    <x v="1"/>
    <x v="1"/>
    <s v="SP"/>
    <n v="1631293"/>
    <n v="20250902"/>
  </r>
  <r>
    <s v="02.09.2025"/>
    <x v="2"/>
    <n v="50"/>
    <n v="-50000"/>
    <s v="IDR"/>
    <n v="-50000"/>
    <s v="IDR"/>
    <m/>
    <m/>
    <m/>
    <s v="R124"/>
    <s v="688/PPC/VIII/25"/>
    <s v="SURVEY DAN ANALISA"/>
    <s v="BY HC HORGOS BAIPENG 2411776902"/>
    <x v="1"/>
    <x v="1"/>
    <x v="1"/>
    <s v="SP"/>
    <n v="1631293"/>
    <n v="20250902"/>
  </r>
  <r>
    <s v="02.09.2025"/>
    <x v="2"/>
    <n v="50"/>
    <n v="-50000"/>
    <s v="IDR"/>
    <n v="-50000"/>
    <s v="IDR"/>
    <m/>
    <m/>
    <m/>
    <s v="R124"/>
    <s v="688/PPC/VIII/25"/>
    <s v="SURVEY DAN ANALISA"/>
    <s v="BY HC HORGOS BAIPENG 2411776861"/>
    <x v="1"/>
    <x v="1"/>
    <x v="1"/>
    <s v="SP"/>
    <n v="1631293"/>
    <n v="20250902"/>
  </r>
  <r>
    <s v="02.09.2025"/>
    <x v="2"/>
    <n v="50"/>
    <n v="-50000"/>
    <s v="IDR"/>
    <n v="-50000"/>
    <s v="IDR"/>
    <m/>
    <m/>
    <m/>
    <s v="R124"/>
    <s v="688/PPC/VIII/25"/>
    <s v="SURVEY DAN ANALISA"/>
    <s v="BY HC HORGOS BAIPENG 2411776867"/>
    <x v="1"/>
    <x v="1"/>
    <x v="1"/>
    <s v="SP"/>
    <n v="1631293"/>
    <n v="20250902"/>
  </r>
  <r>
    <s v="02.09.2025"/>
    <x v="2"/>
    <n v="50"/>
    <n v="-50000"/>
    <s v="IDR"/>
    <n v="-50000"/>
    <s v="IDR"/>
    <m/>
    <m/>
    <m/>
    <s v="R124"/>
    <s v="689/PPC/VIII/25"/>
    <s v="SURVEY DAN ANALISA"/>
    <s v="BY HC L BIODIVERSITY 2411776631"/>
    <x v="1"/>
    <x v="1"/>
    <x v="1"/>
    <s v="SP"/>
    <n v="1631293"/>
    <n v="20250902"/>
  </r>
  <r>
    <s v="02.09.2025"/>
    <x v="2"/>
    <n v="50"/>
    <n v="-50000"/>
    <s v="IDR"/>
    <n v="-50000"/>
    <s v="IDR"/>
    <m/>
    <m/>
    <m/>
    <s v="R124"/>
    <s v="689/PPC/VIII/25"/>
    <s v="SURVEY DAN ANALISA"/>
    <s v="BY HC SHENGRONG-AROMA BAY 2411776294, 95"/>
    <x v="1"/>
    <x v="1"/>
    <x v="1"/>
    <s v="SP"/>
    <n v="1631293"/>
    <n v="20250902"/>
  </r>
  <r>
    <s v="02.09.2025"/>
    <x v="2"/>
    <n v="50"/>
    <n v="-50000"/>
    <s v="IDR"/>
    <n v="-50000"/>
    <s v="IDR"/>
    <m/>
    <m/>
    <m/>
    <s v="R124"/>
    <s v="689/PPC/VIII/25"/>
    <s v="SURVEY DAN ANALISA"/>
    <s v="BY HC BEST BASE 2411776812"/>
    <x v="1"/>
    <x v="1"/>
    <x v="1"/>
    <s v="SP"/>
    <n v="1631293"/>
    <n v="20250902"/>
  </r>
  <r>
    <s v="02.09.2025"/>
    <x v="2"/>
    <n v="50"/>
    <n v="-50000"/>
    <s v="IDR"/>
    <n v="-50000"/>
    <s v="IDR"/>
    <m/>
    <m/>
    <m/>
    <s v="R124"/>
    <s v="689/PPC/VIII/25"/>
    <s v="SURVEY DAN ANALISA"/>
    <s v="BY HC GOLD VIET 2411776813"/>
    <x v="1"/>
    <x v="1"/>
    <x v="1"/>
    <s v="SP"/>
    <n v="1631293"/>
    <n v="20250902"/>
  </r>
  <r>
    <s v="02.09.2025"/>
    <x v="2"/>
    <n v="50"/>
    <n v="-50000"/>
    <s v="IDR"/>
    <n v="-50000"/>
    <s v="IDR"/>
    <m/>
    <m/>
    <m/>
    <s v="R124"/>
    <s v="689/PPC/VIII/25"/>
    <s v="SURVEY DAN ANALISA"/>
    <s v="BY HC HOME CHAIN 2411776296"/>
    <x v="1"/>
    <x v="1"/>
    <x v="1"/>
    <s v="SP"/>
    <n v="1631293"/>
    <n v="20250902"/>
  </r>
  <r>
    <s v="02.09.2025"/>
    <x v="2"/>
    <n v="50"/>
    <n v="-50000"/>
    <s v="IDR"/>
    <n v="-50000"/>
    <s v="IDR"/>
    <m/>
    <m/>
    <m/>
    <s v="R124"/>
    <s v="689/PPC/VIII/25"/>
    <s v="SURVEY DAN ANALISA"/>
    <s v="BY HC HOCHEE 2411776767"/>
    <x v="1"/>
    <x v="1"/>
    <x v="1"/>
    <s v="SP"/>
    <n v="1631293"/>
    <n v="20250902"/>
  </r>
  <r>
    <s v="02.09.2025"/>
    <x v="2"/>
    <n v="50"/>
    <n v="-50000"/>
    <s v="IDR"/>
    <n v="-50000"/>
    <s v="IDR"/>
    <m/>
    <m/>
    <m/>
    <s v="R124"/>
    <s v="689/PPC/VIII/25"/>
    <s v="SURVEY DAN ANALISA"/>
    <s v="BY HC SHENGRONG-AROMA BAY 2411776809"/>
    <x v="1"/>
    <x v="1"/>
    <x v="1"/>
    <s v="SP"/>
    <n v="1631293"/>
    <n v="20250902"/>
  </r>
  <r>
    <s v="02.09.2025"/>
    <x v="2"/>
    <n v="50"/>
    <n v="-50000"/>
    <s v="IDR"/>
    <n v="-50000"/>
    <s v="IDR"/>
    <m/>
    <m/>
    <m/>
    <s v="R124"/>
    <s v="689/PPC/VIII/25"/>
    <s v="SURVEY DAN ANALISA"/>
    <s v="BY HC PIKKO DOOEL 2411776669"/>
    <x v="1"/>
    <x v="1"/>
    <x v="1"/>
    <s v="SP"/>
    <n v="1631293"/>
    <n v="20250902"/>
  </r>
  <r>
    <s v="02.09.2025"/>
    <x v="2"/>
    <n v="50"/>
    <n v="-332000"/>
    <s v="IDR"/>
    <n v="-332000"/>
    <s v="IDR"/>
    <m/>
    <m/>
    <m/>
    <s v="R124"/>
    <s v="696/PPC/VIII/25"/>
    <s v="MAKANAN DAN MINUMAN"/>
    <s v="BY PEMB. KONSUMSI MEETING BULKING PERAK"/>
    <x v="7"/>
    <x v="7"/>
    <x v="17"/>
    <s v="SP"/>
    <n v="1631293"/>
    <n v="20250902"/>
  </r>
  <r>
    <s v="02.09.2025"/>
    <x v="2"/>
    <n v="50"/>
    <n v="-50000"/>
    <s v="IDR"/>
    <n v="-50000"/>
    <s v="IDR"/>
    <m/>
    <m/>
    <m/>
    <s v="R124"/>
    <s v="695/PPC/VIII/25"/>
    <s v="SURVEY DAN ANALISA"/>
    <s v="BY HC SG OILSEED 2411776944"/>
    <x v="1"/>
    <x v="1"/>
    <x v="1"/>
    <s v="SP"/>
    <n v="1631293"/>
    <n v="20250902"/>
  </r>
  <r>
    <s v="02.09.2025"/>
    <x v="2"/>
    <n v="50"/>
    <n v="-50000"/>
    <s v="IDR"/>
    <n v="-50000"/>
    <s v="IDR"/>
    <m/>
    <m/>
    <m/>
    <s v="R124"/>
    <s v="695/PPC/VIII/25"/>
    <s v="SURVEY DAN ANALISA"/>
    <s v="BY HC ART CHEMICALS 2411776896"/>
    <x v="1"/>
    <x v="1"/>
    <x v="1"/>
    <s v="SP"/>
    <n v="1631293"/>
    <n v="20250902"/>
  </r>
  <r>
    <s v="02.09.2025"/>
    <x v="2"/>
    <n v="50"/>
    <n v="-50000"/>
    <s v="IDR"/>
    <n v="-50000"/>
    <s v="IDR"/>
    <m/>
    <m/>
    <m/>
    <s v="R124"/>
    <s v="695/PPC/VIII/25"/>
    <s v="SURVEY DAN ANALISA"/>
    <s v="BY HC AL ISLAM 2411776987"/>
    <x v="1"/>
    <x v="1"/>
    <x v="1"/>
    <s v="SP"/>
    <n v="1631293"/>
    <n v="20250902"/>
  </r>
  <r>
    <s v="02.09.2025"/>
    <x v="2"/>
    <n v="50"/>
    <n v="-200000"/>
    <s v="IDR"/>
    <n v="-200000"/>
    <s v="IDR"/>
    <m/>
    <m/>
    <m/>
    <s v="R124"/>
    <s v="695/PPC/VIII/25"/>
    <s v="SURVEY DAN ANALISA"/>
    <s v="BY COO AL ISLAM 2411776987"/>
    <x v="1"/>
    <x v="1"/>
    <x v="1"/>
    <s v="SP"/>
    <n v="1631293"/>
    <n v="20250902"/>
  </r>
  <r>
    <s v="02.09.2025"/>
    <x v="2"/>
    <n v="50"/>
    <n v="-360000"/>
    <s v="IDR"/>
    <n v="-360000"/>
    <s v="IDR"/>
    <m/>
    <m/>
    <m/>
    <s v="R124"/>
    <s v="698/PPC/VIII/25"/>
    <s v="BAHAN BAKAR"/>
    <s v="BY BAHAN BAKAR PERIODE 21-25 AGST 25"/>
    <x v="6"/>
    <x v="6"/>
    <x v="9"/>
    <s v="SP"/>
    <n v="1631293"/>
    <n v="20250902"/>
  </r>
  <r>
    <s v="02.09.2025"/>
    <x v="2"/>
    <n v="50"/>
    <n v="-640000"/>
    <s v="IDR"/>
    <n v="-640000"/>
    <s v="IDR"/>
    <m/>
    <m/>
    <m/>
    <s v="R124"/>
    <s v="698/PPC/VIII/25"/>
    <s v="TRANSPORTASI LOKAL"/>
    <s v="BY TOL DAN PARKIR PERIODE 21-25 AGST 25"/>
    <x v="5"/>
    <x v="5"/>
    <x v="9"/>
    <s v="SP"/>
    <n v="1631293"/>
    <n v="20250902"/>
  </r>
  <r>
    <s v="02.09.2025"/>
    <x v="2"/>
    <n v="50"/>
    <n v="-200000"/>
    <s v="IDR"/>
    <n v="-200000"/>
    <s v="IDR"/>
    <m/>
    <m/>
    <m/>
    <s v="R124"/>
    <s v="700/PPC/VIII/25"/>
    <s v="TRANSPORTASI LOKAL"/>
    <s v="BY PARKIR DAN FOTOCOPY PERIODE 01-25 AGST 25"/>
    <x v="5"/>
    <x v="5"/>
    <x v="1"/>
    <s v="SP"/>
    <n v="1631293"/>
    <n v="20250902"/>
  </r>
  <r>
    <s v="02.09.2025"/>
    <x v="2"/>
    <n v="50"/>
    <n v="-50000"/>
    <s v="IDR"/>
    <n v="-50000"/>
    <s v="IDR"/>
    <m/>
    <m/>
    <m/>
    <s v="R124"/>
    <s v="704/PPC/VIII/25"/>
    <s v="SURVEY DAN ANALISA"/>
    <s v="BY HC FUJIAN NANAN 2411776818"/>
    <x v="1"/>
    <x v="1"/>
    <x v="18"/>
    <s v="SP"/>
    <n v="1631293"/>
    <n v="20250902"/>
  </r>
  <r>
    <s v="02.09.2025"/>
    <x v="2"/>
    <n v="50"/>
    <n v="-50000"/>
    <s v="IDR"/>
    <n v="-50000"/>
    <s v="IDR"/>
    <m/>
    <m/>
    <m/>
    <s v="R124"/>
    <s v="704/PPC/VIII/25"/>
    <s v="SURVEY DAN ANALISA"/>
    <s v="BY HC HORGOS 2411776998"/>
    <x v="1"/>
    <x v="1"/>
    <x v="1"/>
    <s v="SP"/>
    <n v="1631293"/>
    <n v="20250902"/>
  </r>
  <r>
    <s v="02.09.2025"/>
    <x v="2"/>
    <n v="50"/>
    <n v="-50000"/>
    <s v="IDR"/>
    <n v="-50000"/>
    <s v="IDR"/>
    <m/>
    <m/>
    <m/>
    <s v="R124"/>
    <s v="704/PPC/VIII/25"/>
    <s v="SURVEY DAN ANALISA"/>
    <s v="BY HC HORGOS 2411777036"/>
    <x v="1"/>
    <x v="1"/>
    <x v="1"/>
    <s v="SP"/>
    <n v="1631293"/>
    <n v="20250902"/>
  </r>
  <r>
    <s v="02.09.2025"/>
    <x v="2"/>
    <n v="50"/>
    <n v="-50000"/>
    <s v="IDR"/>
    <n v="-50000"/>
    <s v="IDR"/>
    <m/>
    <m/>
    <m/>
    <s v="R124"/>
    <s v="705/PPC/VIII/25"/>
    <s v="SURVEY DAN ANALISA"/>
    <s v="BY HC HOME CHAIN 2411777007"/>
    <x v="1"/>
    <x v="1"/>
    <x v="1"/>
    <s v="SP"/>
    <n v="1631293"/>
    <n v="20250902"/>
  </r>
  <r>
    <s v="02.09.2025"/>
    <x v="2"/>
    <n v="50"/>
    <n v="-245000"/>
    <s v="IDR"/>
    <n v="-245000"/>
    <s v="IDR"/>
    <m/>
    <m/>
    <m/>
    <s v="R124"/>
    <s v="707/PPC/VIII/25"/>
    <s v="TRANSPORTASI LOKAL"/>
    <s v="BY PARKIR &amp; FOTOCOPY PERIODE 29 JUL-25 AGS 25"/>
    <x v="5"/>
    <x v="5"/>
    <x v="1"/>
    <s v="SP"/>
    <n v="1631293"/>
    <n v="20250902"/>
  </r>
  <r>
    <s v="02.09.2025"/>
    <x v="2"/>
    <n v="50"/>
    <n v="-50000"/>
    <s v="IDR"/>
    <n v="-50000"/>
    <s v="IDR"/>
    <m/>
    <m/>
    <m/>
    <s v="R124"/>
    <s v="706/PPC/VIII/25"/>
    <s v="SURVEY DAN ANALISA"/>
    <s v="BY HC SHENGRONG ISUN 2411776976"/>
    <x v="1"/>
    <x v="1"/>
    <x v="1"/>
    <s v="SP"/>
    <n v="1631293"/>
    <n v="20250902"/>
  </r>
  <r>
    <s v="02.09.2025"/>
    <x v="2"/>
    <n v="50"/>
    <n v="-50000"/>
    <s v="IDR"/>
    <n v="-50000"/>
    <s v="IDR"/>
    <m/>
    <m/>
    <m/>
    <s v="R124"/>
    <s v="706/PPC/VIII/25"/>
    <s v="SURVEY DAN ANALISA"/>
    <s v="BY HC FALCON 2411776833"/>
    <x v="1"/>
    <x v="1"/>
    <x v="1"/>
    <s v="SP"/>
    <n v="1631293"/>
    <n v="20250902"/>
  </r>
  <r>
    <s v="02.09.2025"/>
    <x v="2"/>
    <n v="50"/>
    <n v="-50000"/>
    <s v="IDR"/>
    <n v="-50000"/>
    <s v="IDR"/>
    <m/>
    <m/>
    <m/>
    <s v="R124"/>
    <s v="706/PPC/VIII/25"/>
    <s v="SURVEY DAN ANALISA"/>
    <s v="BY HC HOME CHAIN 2411776923"/>
    <x v="1"/>
    <x v="1"/>
    <x v="1"/>
    <s v="SP"/>
    <n v="1631293"/>
    <n v="20250902"/>
  </r>
  <r>
    <s v="02.09.2025"/>
    <x v="2"/>
    <n v="50"/>
    <n v="-50000"/>
    <s v="IDR"/>
    <n v="-50000"/>
    <s v="IDR"/>
    <m/>
    <m/>
    <m/>
    <s v="R124"/>
    <s v="706/PPC/VIII/25"/>
    <s v="SURVEY DAN ANALISA"/>
    <s v="BY HC SHENGRONG SANLIAN 2411776816"/>
    <x v="1"/>
    <x v="1"/>
    <x v="1"/>
    <s v="SP"/>
    <n v="1631293"/>
    <n v="20250902"/>
  </r>
  <r>
    <s v="02.09.2025"/>
    <x v="2"/>
    <n v="50"/>
    <n v="-50000"/>
    <s v="IDR"/>
    <n v="-50000"/>
    <s v="IDR"/>
    <m/>
    <m/>
    <m/>
    <s v="R124"/>
    <s v="706/PPC/VIII/25"/>
    <s v="SURVEY DAN ANALISA"/>
    <s v="BY HC SHENGRONG GENIE 2411776817"/>
    <x v="1"/>
    <x v="1"/>
    <x v="1"/>
    <s v="SP"/>
    <n v="1631293"/>
    <n v="20250902"/>
  </r>
  <r>
    <s v="02.09.2025"/>
    <x v="2"/>
    <n v="50"/>
    <n v="-50000"/>
    <s v="IDR"/>
    <n v="-50000"/>
    <s v="IDR"/>
    <m/>
    <m/>
    <m/>
    <s v="R124"/>
    <s v="706/PPC/VIII/25"/>
    <s v="SURVEY DAN ANALISA"/>
    <s v="BY HC CSH BEVERAGES 2411776921"/>
    <x v="1"/>
    <x v="1"/>
    <x v="2"/>
    <s v="SP"/>
    <n v="1631293"/>
    <n v="20250902"/>
  </r>
  <r>
    <s v="02.09.2025"/>
    <x v="2"/>
    <n v="50"/>
    <n v="-50000"/>
    <s v="IDR"/>
    <n v="-50000"/>
    <s v="IDR"/>
    <m/>
    <m/>
    <m/>
    <s v="R124"/>
    <s v="706/PPC/VIII/25"/>
    <s v="SURVEY DAN ANALISA"/>
    <s v="BY HC CSH BEVERAGES 2411776921"/>
    <x v="1"/>
    <x v="1"/>
    <x v="2"/>
    <s v="SP"/>
    <n v="1631293"/>
    <n v="20250902"/>
  </r>
  <r>
    <s v="02.09.2025"/>
    <x v="2"/>
    <n v="50"/>
    <n v="-50000"/>
    <s v="IDR"/>
    <n v="-50000"/>
    <s v="IDR"/>
    <m/>
    <m/>
    <m/>
    <s v="R124"/>
    <s v="706/PPC/VIII/25"/>
    <s v="SURVEY DAN ANALISA"/>
    <s v="BY HC CSH BEVERAGES 2411776921"/>
    <x v="1"/>
    <x v="1"/>
    <x v="2"/>
    <s v="SP"/>
    <n v="1631293"/>
    <n v="20250902"/>
  </r>
  <r>
    <s v="02.09.2025"/>
    <x v="2"/>
    <n v="50"/>
    <n v="-50000"/>
    <s v="IDR"/>
    <n v="-50000"/>
    <s v="IDR"/>
    <m/>
    <m/>
    <m/>
    <s v="R124"/>
    <s v="706/PPC/VIII/25"/>
    <s v="SURVEY DAN ANALISA"/>
    <s v="BY HC CSH BEVERAGES 2411776921"/>
    <x v="1"/>
    <x v="1"/>
    <x v="2"/>
    <s v="SP"/>
    <n v="1631293"/>
    <n v="20250902"/>
  </r>
  <r>
    <s v="02.09.2025"/>
    <x v="2"/>
    <n v="50"/>
    <n v="-50000"/>
    <s v="IDR"/>
    <n v="-50000"/>
    <s v="IDR"/>
    <m/>
    <m/>
    <m/>
    <s v="R124"/>
    <s v="706/PPC/VIII/25"/>
    <s v="SURVEY DAN ANALISA"/>
    <s v="BY HC CSH BEVERAGES 2411776921"/>
    <x v="1"/>
    <x v="1"/>
    <x v="2"/>
    <s v="SP"/>
    <n v="1631293"/>
    <n v="20250902"/>
  </r>
  <r>
    <s v="02.09.2025"/>
    <x v="2"/>
    <n v="50"/>
    <n v="-50000"/>
    <s v="IDR"/>
    <n v="-50000"/>
    <s v="IDR"/>
    <m/>
    <m/>
    <m/>
    <s v="R124"/>
    <s v="706/PPC/VIII/25"/>
    <s v="SURVEY DAN ANALISA"/>
    <s v="BY HC HOCHEE 2411776967"/>
    <x v="1"/>
    <x v="1"/>
    <x v="1"/>
    <s v="SP"/>
    <n v="1631293"/>
    <n v="20250902"/>
  </r>
  <r>
    <s v="02.09.2025"/>
    <x v="2"/>
    <n v="50"/>
    <n v="-50000"/>
    <s v="IDR"/>
    <n v="-50000"/>
    <s v="IDR"/>
    <m/>
    <m/>
    <m/>
    <s v="R124"/>
    <s v="706/PPC/VIII/25"/>
    <s v="SURVEY DAN ANALISA"/>
    <s v="BY HC HOCHEE 2411776967"/>
    <x v="1"/>
    <x v="1"/>
    <x v="1"/>
    <s v="SP"/>
    <n v="1631293"/>
    <n v="20250902"/>
  </r>
  <r>
    <s v="02.09.2025"/>
    <x v="2"/>
    <n v="50"/>
    <n v="-50000"/>
    <s v="IDR"/>
    <n v="-50000"/>
    <s v="IDR"/>
    <m/>
    <m/>
    <m/>
    <s v="R124"/>
    <s v="706/PPC/VIII/25"/>
    <s v="SURVEY DAN ANALISA"/>
    <s v="BY HC HOCHEE 2411776968"/>
    <x v="1"/>
    <x v="1"/>
    <x v="1"/>
    <s v="SP"/>
    <n v="1631293"/>
    <n v="20250902"/>
  </r>
  <r>
    <s v="02.09.2025"/>
    <x v="2"/>
    <n v="50"/>
    <n v="-865001"/>
    <s v="IDR"/>
    <n v="-865001"/>
    <s v="IDR"/>
    <m/>
    <m/>
    <m/>
    <s v="R124"/>
    <s v="715/PPC/IX/25"/>
    <s v="MAKANAN DAN MINUMAN"/>
    <s v="BY MAKAN SIANG ENGINEER MESIN THIMONNIER"/>
    <x v="7"/>
    <x v="7"/>
    <x v="26"/>
    <s v="SP"/>
    <n v="1631293"/>
    <n v="20250902"/>
  </r>
  <r>
    <s v="02.09.2025"/>
    <x v="2"/>
    <n v="50"/>
    <n v="-640000"/>
    <s v="IDR"/>
    <n v="-640000"/>
    <s v="IDR"/>
    <m/>
    <m/>
    <m/>
    <s v="R124"/>
    <s v="716/PPC/IX/25"/>
    <s v="BAHAN BAKAR"/>
    <s v="BY PEMB. BAHAN BAKAR PERIODE 25-29 AGST 25"/>
    <x v="6"/>
    <x v="6"/>
    <x v="9"/>
    <s v="SP"/>
    <n v="1631293"/>
    <n v="20250902"/>
  </r>
  <r>
    <s v="02.09.2025"/>
    <x v="2"/>
    <n v="50"/>
    <n v="-360000"/>
    <s v="IDR"/>
    <n v="-360000"/>
    <s v="IDR"/>
    <m/>
    <m/>
    <m/>
    <s v="R124"/>
    <s v="716/PPC/IX/25"/>
    <s v="TRANSPORTASI LOKAL"/>
    <s v="BY PARKIR DAN TOL PERIODE 25-29 AGST 25"/>
    <x v="5"/>
    <x v="5"/>
    <x v="9"/>
    <s v="SP"/>
    <n v="1631293"/>
    <n v="20250902"/>
  </r>
  <r>
    <s v="02.09.2025"/>
    <x v="2"/>
    <n v="50"/>
    <n v="-50000"/>
    <s v="IDR"/>
    <n v="-50000"/>
    <s v="IDR"/>
    <m/>
    <m/>
    <m/>
    <s v="R124"/>
    <s v="717/PPC/IX/25"/>
    <s v="MAKANAN DAN MINUMAN"/>
    <s v="BY PEMB. MAKAN SIANG 28/08/25 2 ORANG"/>
    <x v="7"/>
    <x v="7"/>
    <x v="13"/>
    <s v="SP"/>
    <n v="1631293"/>
    <n v="20250902"/>
  </r>
  <r>
    <s v="02.09.2025"/>
    <x v="2"/>
    <n v="50"/>
    <n v="-50000"/>
    <s v="IDR"/>
    <n v="-50000"/>
    <s v="IDR"/>
    <m/>
    <m/>
    <m/>
    <s v="R124"/>
    <s v="712/PPC/VIII/25"/>
    <s v="SURVEY DAN ANALISA"/>
    <s v="BY HC NESTLE AUSTRALIA 2411777097"/>
    <x v="1"/>
    <x v="1"/>
    <x v="8"/>
    <s v="SP"/>
    <n v="1631293"/>
    <n v="20250902"/>
  </r>
  <r>
    <s v="03.09.2025"/>
    <x v="2"/>
    <n v="50"/>
    <n v="-986200"/>
    <s v="IDR"/>
    <n v="-986200"/>
    <s v="IDR"/>
    <m/>
    <m/>
    <m/>
    <s v="R124"/>
    <s v="686/PPC/VIII/25"/>
    <s v="PBAIKN&amp;PRAWATN PRABT MATR"/>
    <s v="BY PEMB. TUTUP CLOSET TOILET LAB LT3"/>
    <x v="3"/>
    <x v="3"/>
    <x v="15"/>
    <s v="SP"/>
    <n v="1631293"/>
    <n v="20250903"/>
  </r>
  <r>
    <s v="03.09.2025"/>
    <x v="2"/>
    <n v="50"/>
    <n v="-204100"/>
    <s v="IDR"/>
    <n v="-204100"/>
    <s v="IDR"/>
    <m/>
    <m/>
    <m/>
    <s v="R124"/>
    <s v="687/PPC/VIII/25"/>
    <s v="PBAIKN&amp;PRAWATN PRABT MATR"/>
    <s v="BY PEMB. CAT ZEBRA CROSS, ALUMUNIUM FOIL"/>
    <x v="3"/>
    <x v="3"/>
    <x v="15"/>
    <s v="SP"/>
    <n v="1631293"/>
    <n v="20250903"/>
  </r>
  <r>
    <s v="03.09.2025"/>
    <x v="2"/>
    <n v="50"/>
    <n v="-376000"/>
    <s v="IDR"/>
    <n v="-376000"/>
    <s v="IDR"/>
    <m/>
    <m/>
    <m/>
    <s v="R124"/>
    <s v="691/PPC/VIII/25"/>
    <s v="PBAIKN&amp;PRAWATN PRABT MATR"/>
    <s v="PEMB. STEMPEL OPER PACK, POTENTIO, KUAS HOME"/>
    <x v="3"/>
    <x v="3"/>
    <x v="26"/>
    <s v="SP"/>
    <n v="1631293"/>
    <n v="20250903"/>
  </r>
  <r>
    <s v="03.09.2025"/>
    <x v="2"/>
    <n v="50"/>
    <n v="-261036"/>
    <s v="IDR"/>
    <n v="-261036"/>
    <s v="IDR"/>
    <m/>
    <m/>
    <m/>
    <s v="R124"/>
    <s v="680/PPC/VIII/25"/>
    <s v="PBAIKN&amp;PRAWATN PRABT MATR"/>
    <s v="BY PEMBELIAN KUNCI L 3/8 DAN STOP KRAN WASTAFEL R3"/>
    <x v="3"/>
    <x v="3"/>
    <x v="20"/>
    <s v="SP"/>
    <n v="1631293"/>
    <n v="20250903"/>
  </r>
  <r>
    <s v="03.09.2025"/>
    <x v="2"/>
    <n v="50"/>
    <n v="-780857"/>
    <s v="IDR"/>
    <n v="-780857"/>
    <s v="IDR"/>
    <m/>
    <m/>
    <m/>
    <s v="R124"/>
    <s v="683/PPC/VIII/25"/>
    <s v="PBAIKN&amp;PRAWATN PRABT MATR"/>
    <s v="BY PEMB. STOPLER MOLLAR, TC OVAL, DUCTING LUBANG"/>
    <x v="3"/>
    <x v="3"/>
    <x v="9"/>
    <s v="SP"/>
    <n v="1631293"/>
    <n v="20250903"/>
  </r>
  <r>
    <s v="03.09.2025"/>
    <x v="2"/>
    <n v="50"/>
    <n v="-180000"/>
    <s v="IDR"/>
    <n v="-180000"/>
    <s v="IDR"/>
    <m/>
    <m/>
    <m/>
    <s v="R124"/>
    <s v="702/PPC/VIII/25"/>
    <s v="PEMEL.KEND&amp;A.BERAT MATRL"/>
    <s v="BY PEMB. PIPA, L BOW, T1, LEM PVC, WATER MUR, SOK"/>
    <x v="2"/>
    <x v="2"/>
    <x v="26"/>
    <s v="SP"/>
    <n v="1631293"/>
    <n v="20250903"/>
  </r>
  <r>
    <s v="03.09.2025"/>
    <x v="2"/>
    <n v="50"/>
    <n v="-47500"/>
    <s v="IDR"/>
    <n v="-47500"/>
    <s v="IDR"/>
    <m/>
    <m/>
    <m/>
    <s v="R124"/>
    <s v="708/PPC/VIII/25"/>
    <s v="PBAIKN&amp;PRAWATN PRABT MATR"/>
    <s v="BY PEMB. SASUMA KACAMAT LAS OTOMATIS AUTO DARK"/>
    <x v="3"/>
    <x v="3"/>
    <x v="7"/>
    <s v="SP"/>
    <n v="1631293"/>
    <n v="20250903"/>
  </r>
  <r>
    <s v="03.09.2025"/>
    <x v="2"/>
    <n v="50"/>
    <n v="-949000"/>
    <s v="IDR"/>
    <n v="-949000"/>
    <s v="IDR"/>
    <m/>
    <m/>
    <m/>
    <s v="R124"/>
    <s v="709/PPC/VIII/25"/>
    <s v="PBAIKN&amp;PRAWATN PRABT MATR"/>
    <s v="BY PEMB. CONVERTER R485, BATERAI, PERB. PARTISI"/>
    <x v="3"/>
    <x v="3"/>
    <x v="10"/>
    <s v="SP"/>
    <n v="1631293"/>
    <n v="20250903"/>
  </r>
  <r>
    <s v="03.09.2025"/>
    <x v="2"/>
    <n v="50"/>
    <n v="-358000"/>
    <s v="IDR"/>
    <n v="-358000"/>
    <s v="IDR"/>
    <m/>
    <m/>
    <m/>
    <s v="R124"/>
    <s v="710/PPC/VIII/25"/>
    <s v="PBAIKN&amp;PRAWATN PRABT MATR"/>
    <s v="BY PEMB. KUNCI LOKER UTK PENGGATI YG RUSAK"/>
    <x v="3"/>
    <x v="3"/>
    <x v="9"/>
    <s v="SP"/>
    <n v="1631293"/>
    <n v="20250903"/>
  </r>
  <r>
    <s v="03.09.2025"/>
    <x v="2"/>
    <n v="50"/>
    <n v="-553000"/>
    <s v="IDR"/>
    <n v="-553000"/>
    <s v="IDR"/>
    <m/>
    <m/>
    <m/>
    <s v="R124"/>
    <s v="711/PPC/VIII/25"/>
    <s v="PBAIKN&amp;PRAWATN PRABT MATR"/>
    <s v="BY PEMB. DRILLING 75MM, PARAGON, AGA, PAKU"/>
    <x v="3"/>
    <x v="3"/>
    <x v="9"/>
    <s v="SP"/>
    <n v="1631293"/>
    <n v="20250903"/>
  </r>
  <r>
    <s v="03.09.2025"/>
    <x v="2"/>
    <n v="50"/>
    <n v="-95000"/>
    <s v="IDR"/>
    <n v="-95000"/>
    <s v="IDR"/>
    <m/>
    <m/>
    <m/>
    <s v="R124"/>
    <s v="714/PPC/VIII/25"/>
    <s v="TRANSPORTASI LOKAL"/>
    <s v="BY TRANSPORTASI DAN TOL PERIODE 06-19/08/25"/>
    <x v="5"/>
    <x v="5"/>
    <x v="15"/>
    <s v="SP"/>
    <n v="1631293"/>
    <n v="20250903"/>
  </r>
  <r>
    <s v="03.09.2025"/>
    <x v="2"/>
    <n v="50"/>
    <n v="-376500"/>
    <s v="IDR"/>
    <n v="-376500"/>
    <s v="IDR"/>
    <m/>
    <m/>
    <m/>
    <s v="R124"/>
    <s v="714/PPC/VIII/25"/>
    <s v="MAKANAN DAN MINUMAN"/>
    <s v="BY MAKANAN DAN MINUMAN PERIODE 06-19/08/25"/>
    <x v="7"/>
    <x v="7"/>
    <x v="15"/>
    <s v="SP"/>
    <n v="1631293"/>
    <n v="20250903"/>
  </r>
  <r>
    <s v="03.09.2025"/>
    <x v="2"/>
    <n v="50"/>
    <n v="-219000"/>
    <s v="IDR"/>
    <n v="-219000"/>
    <s v="IDR"/>
    <m/>
    <m/>
    <m/>
    <s v="R124"/>
    <s v="714/PPC/VIII/25"/>
    <s v="PBAIKN&amp;PRAWATN PRABT MATR"/>
    <s v="BY PEMB. BUBBLE WARP, COTTON SWAB, STOP KONTAK"/>
    <x v="3"/>
    <x v="3"/>
    <x v="15"/>
    <s v="SP"/>
    <n v="1631293"/>
    <n v="20250903"/>
  </r>
  <r>
    <s v="03.09.2025"/>
    <x v="2"/>
    <n v="50"/>
    <n v="-510000"/>
    <s v="IDR"/>
    <n v="-510000"/>
    <s v="IDR"/>
    <m/>
    <m/>
    <m/>
    <s v="R124"/>
    <s v="701/PPC/VIII/25"/>
    <s v="PBAIKN&amp;PRAWATN PRABT MATR"/>
    <s v="BY DOUBLE TAPE CLEAN, KUNCI LOKER"/>
    <x v="3"/>
    <x v="3"/>
    <x v="7"/>
    <s v="SP"/>
    <n v="1631293"/>
    <n v="20250903"/>
  </r>
  <r>
    <s v="04.09.2025"/>
    <x v="2"/>
    <n v="50"/>
    <n v="-100000"/>
    <s v="IDR"/>
    <n v="-100000"/>
    <s v="IDR"/>
    <m/>
    <m/>
    <m/>
    <s v="R124"/>
    <s v="703/PPC/VIII/25"/>
    <s v="SURVEY DAN ANALISA"/>
    <s v="BY HC POLIVA 2411776581"/>
    <x v="1"/>
    <x v="1"/>
    <x v="8"/>
    <s v="SP"/>
    <n v="1631293"/>
    <n v="20250904"/>
  </r>
  <r>
    <s v="04.09.2025"/>
    <x v="2"/>
    <n v="50"/>
    <n v="-100000"/>
    <s v="IDR"/>
    <n v="-100000"/>
    <s v="IDR"/>
    <m/>
    <m/>
    <m/>
    <s v="R124"/>
    <s v="703/PPC/VIII/25"/>
    <s v="SURVEY DAN ANALISA"/>
    <s v="BY HC POLIVA 2411776832"/>
    <x v="1"/>
    <x v="1"/>
    <x v="8"/>
    <s v="SP"/>
    <n v="1631293"/>
    <n v="20250904"/>
  </r>
  <r>
    <s v="04.09.2025"/>
    <x v="2"/>
    <n v="50"/>
    <n v="-100000"/>
    <s v="IDR"/>
    <n v="-100000"/>
    <s v="IDR"/>
    <m/>
    <m/>
    <m/>
    <s v="R124"/>
    <s v="703/PPC/VIII/25"/>
    <s v="SURVEY DAN ANALISA"/>
    <s v="BY HC POLIVA 2411776962"/>
    <x v="1"/>
    <x v="1"/>
    <x v="8"/>
    <s v="SP"/>
    <n v="1631293"/>
    <n v="20250904"/>
  </r>
  <r>
    <s v="04.09.2025"/>
    <x v="2"/>
    <n v="50"/>
    <n v="-50000"/>
    <s v="IDR"/>
    <n v="-50000"/>
    <s v="IDR"/>
    <m/>
    <m/>
    <m/>
    <s v="R124"/>
    <s v="703/PPC/VIII/25"/>
    <s v="SURVEY DAN ANALISA"/>
    <s v="BY HC SABEANAT 2411776609"/>
    <x v="1"/>
    <x v="1"/>
    <x v="1"/>
    <s v="SP"/>
    <n v="1631293"/>
    <n v="20250904"/>
  </r>
  <r>
    <s v="04.09.2025"/>
    <x v="2"/>
    <n v="50"/>
    <n v="-50000"/>
    <s v="IDR"/>
    <n v="-50000"/>
    <s v="IDR"/>
    <m/>
    <m/>
    <m/>
    <s v="R124"/>
    <s v="703/PPC/VIII/25"/>
    <s v="SURVEY DAN ANALISA"/>
    <s v="BY HC SABEANAT 2411777026"/>
    <x v="1"/>
    <x v="1"/>
    <x v="1"/>
    <s v="SP"/>
    <n v="1631293"/>
    <n v="20250904"/>
  </r>
  <r>
    <s v="04.09.2025"/>
    <x v="2"/>
    <n v="50"/>
    <n v="-50000"/>
    <s v="IDR"/>
    <n v="-50000"/>
    <s v="IDR"/>
    <m/>
    <m/>
    <m/>
    <s v="R124"/>
    <s v="703/PPC/VIII/25"/>
    <s v="SURVEY DAN ANALISA"/>
    <s v="BY HC SABEANAT 2411777027"/>
    <x v="1"/>
    <x v="1"/>
    <x v="2"/>
    <s v="SP"/>
    <n v="1631293"/>
    <n v="20250904"/>
  </r>
  <r>
    <s v="04.09.2025"/>
    <x v="2"/>
    <n v="50"/>
    <n v="-50000"/>
    <s v="IDR"/>
    <n v="-50000"/>
    <s v="IDR"/>
    <m/>
    <m/>
    <m/>
    <s v="R124"/>
    <s v="703/PPC/VIII/25"/>
    <s v="SURVEY DAN ANALISA"/>
    <s v="BY HC SABEANAT 2411777071"/>
    <x v="1"/>
    <x v="1"/>
    <x v="1"/>
    <s v="SP"/>
    <n v="1631293"/>
    <n v="20250904"/>
  </r>
  <r>
    <s v="04.09.2025"/>
    <x v="2"/>
    <n v="50"/>
    <n v="-50000"/>
    <s v="IDR"/>
    <n v="-50000"/>
    <s v="IDR"/>
    <m/>
    <m/>
    <m/>
    <s v="R124"/>
    <s v="703/PPC/VIII/25"/>
    <s v="SURVEY DAN ANALISA"/>
    <s v="BY HC SABEANAT 2411776893"/>
    <x v="1"/>
    <x v="1"/>
    <x v="2"/>
    <s v="SP"/>
    <n v="1631293"/>
    <n v="20250904"/>
  </r>
  <r>
    <s v="04.09.2025"/>
    <x v="2"/>
    <n v="50"/>
    <n v="-50000"/>
    <s v="IDR"/>
    <n v="-50000"/>
    <s v="IDR"/>
    <m/>
    <m/>
    <m/>
    <s v="R124"/>
    <s v="703/PPC/VIII/25"/>
    <s v="SURVEY DAN ANALISA"/>
    <s v="BY HC SABEANAT 2411776893"/>
    <x v="1"/>
    <x v="1"/>
    <x v="2"/>
    <s v="SP"/>
    <n v="1631293"/>
    <n v="20250904"/>
  </r>
  <r>
    <s v="04.09.2025"/>
    <x v="2"/>
    <n v="50"/>
    <n v="-50000"/>
    <s v="IDR"/>
    <n v="-50000"/>
    <s v="IDR"/>
    <m/>
    <m/>
    <m/>
    <s v="R124"/>
    <s v="703/PPC/VIII/25"/>
    <s v="SURVEY DAN ANALISA"/>
    <s v="BY HC SABEANAT 2411776893"/>
    <x v="1"/>
    <x v="1"/>
    <x v="2"/>
    <s v="SP"/>
    <n v="1631293"/>
    <n v="20250904"/>
  </r>
  <r>
    <s v="04.09.2025"/>
    <x v="2"/>
    <n v="50"/>
    <n v="-500000"/>
    <s v="IDR"/>
    <n v="-500000"/>
    <s v="IDR"/>
    <m/>
    <m/>
    <m/>
    <s v="R124"/>
    <s v="713/PPC/VIII/25"/>
    <s v="OLAHRAGA DAN PERMAINAN"/>
    <s v="BY OLAHRAGA CARDIO BOXING 29/08/25"/>
    <x v="0"/>
    <x v="0"/>
    <x v="0"/>
    <s v="SP"/>
    <n v="1631293"/>
    <n v="20250904"/>
  </r>
  <r>
    <s v="04.09.2025"/>
    <x v="2"/>
    <n v="50"/>
    <n v="-973530"/>
    <s v="IDR"/>
    <n v="-973530"/>
    <s v="IDR"/>
    <m/>
    <m/>
    <m/>
    <s v="R124"/>
    <s v="721/PPC/IX/25"/>
    <s v="MAKANAN DAN MINUMAN"/>
    <s v="BY MAKANAN DAN MINUMAN 40 ORG 29/08/25"/>
    <x v="7"/>
    <x v="7"/>
    <x v="9"/>
    <s v="SP"/>
    <n v="1631293"/>
    <n v="20250904"/>
  </r>
  <r>
    <s v="04.09.2025"/>
    <x v="2"/>
    <n v="50"/>
    <n v="-748000"/>
    <s v="IDR"/>
    <n v="-748000"/>
    <s v="IDR"/>
    <m/>
    <m/>
    <m/>
    <s v="R124"/>
    <s v="722/PPC/IX/25"/>
    <s v="PEMEL.KEND&amp;A.BERAT MATRL"/>
    <s v="BY PEMB. V-BELT GIGI DAN SEALENT CLEAR"/>
    <x v="2"/>
    <x v="2"/>
    <x v="10"/>
    <s v="SP"/>
    <n v="1631293"/>
    <n v="20250904"/>
  </r>
  <r>
    <s v="08.09.2025"/>
    <x v="2"/>
    <n v="50"/>
    <n v="-50000"/>
    <s v="IDR"/>
    <n v="-50000"/>
    <s v="IDR"/>
    <m/>
    <m/>
    <m/>
    <s v="R124"/>
    <s v="728/PPC/IX/25"/>
    <s v="SURVEY DAN ANALISA"/>
    <s v="BY HC HORGOS BAIPENG 2411777119"/>
    <x v="1"/>
    <x v="1"/>
    <x v="1"/>
    <s v="SP"/>
    <n v="1631293"/>
    <n v="20250908"/>
  </r>
  <r>
    <s v="08.09.2025"/>
    <x v="2"/>
    <n v="50"/>
    <n v="-50000"/>
    <s v="IDR"/>
    <n v="-50000"/>
    <s v="IDR"/>
    <m/>
    <m/>
    <m/>
    <s v="R124"/>
    <s v="728/PPC/IX/25"/>
    <s v="SURVEY DAN ANALISA"/>
    <s v="BY HC HORGOS BAIPENG 2411777120"/>
    <x v="1"/>
    <x v="1"/>
    <x v="1"/>
    <s v="SP"/>
    <n v="1631293"/>
    <n v="20250908"/>
  </r>
  <r>
    <s v="08.09.2025"/>
    <x v="2"/>
    <n v="50"/>
    <n v="-50000"/>
    <s v="IDR"/>
    <n v="-50000"/>
    <s v="IDR"/>
    <m/>
    <m/>
    <m/>
    <s v="R124"/>
    <s v="728/PPC/IX/25"/>
    <s v="SURVEY DAN ANALISA"/>
    <s v="BY HC GUANGDONG SHENGRONG 2411776819"/>
    <x v="1"/>
    <x v="1"/>
    <x v="18"/>
    <s v="SP"/>
    <n v="1631293"/>
    <n v="20250908"/>
  </r>
  <r>
    <s v="08.09.2025"/>
    <x v="2"/>
    <n v="50"/>
    <n v="-50000"/>
    <s v="IDR"/>
    <n v="-50000"/>
    <s v="IDR"/>
    <m/>
    <m/>
    <m/>
    <s v="R124"/>
    <s v="728/PPC/IX/25"/>
    <s v="SURVEY DAN ANALISA"/>
    <s v="BY HC FUJIAN NAN'AN 2411777114"/>
    <x v="1"/>
    <x v="1"/>
    <x v="18"/>
    <s v="SP"/>
    <n v="1631293"/>
    <n v="20250908"/>
  </r>
  <r>
    <s v="08.09.2025"/>
    <x v="2"/>
    <n v="50"/>
    <n v="-50000"/>
    <s v="IDR"/>
    <n v="-50000"/>
    <s v="IDR"/>
    <m/>
    <m/>
    <m/>
    <s v="R124"/>
    <s v="728/PPC/IX/25"/>
    <s v="SURVEY DAN ANALISA"/>
    <s v="BY HC HORGOS BAIPENG 2411776992"/>
    <x v="1"/>
    <x v="1"/>
    <x v="1"/>
    <s v="SP"/>
    <n v="1631293"/>
    <n v="20250908"/>
  </r>
  <r>
    <s v="08.09.2025"/>
    <x v="2"/>
    <n v="50"/>
    <n v="-50000"/>
    <s v="IDR"/>
    <n v="-50000"/>
    <s v="IDR"/>
    <m/>
    <m/>
    <m/>
    <s v="R124"/>
    <s v="728/PPC/IX/25"/>
    <s v="SURVEY DAN ANALISA"/>
    <s v="BY HC HORGOS BAIPENG 2411777035"/>
    <x v="1"/>
    <x v="1"/>
    <x v="1"/>
    <s v="SP"/>
    <n v="1631293"/>
    <n v="20250908"/>
  </r>
  <r>
    <s v="08.09.2025"/>
    <x v="2"/>
    <n v="50"/>
    <n v="-50000"/>
    <s v="IDR"/>
    <n v="-50000"/>
    <s v="IDR"/>
    <m/>
    <m/>
    <m/>
    <s v="R124"/>
    <s v="728/PPC/IX/25"/>
    <s v="SURVEY DAN ANALISA"/>
    <s v="BY HC SG OILSEED 2411776991"/>
    <x v="1"/>
    <x v="1"/>
    <x v="1"/>
    <s v="SP"/>
    <n v="1631293"/>
    <n v="20250908"/>
  </r>
  <r>
    <s v="08.09.2025"/>
    <x v="2"/>
    <n v="50"/>
    <n v="-150000"/>
    <s v="IDR"/>
    <n v="-150000"/>
    <s v="IDR"/>
    <m/>
    <m/>
    <m/>
    <s v="R124"/>
    <s v="728/PPC/IX/25"/>
    <s v="PERALATAN KANTOR"/>
    <s v="BY PEMB. MAP HC 03/09/25"/>
    <x v="16"/>
    <x v="16"/>
    <x v="17"/>
    <s v="SP"/>
    <n v="1631293"/>
    <n v="20250908"/>
  </r>
  <r>
    <s v="08.09.2025"/>
    <x v="2"/>
    <n v="50"/>
    <n v="-50000"/>
    <s v="IDR"/>
    <n v="-50000"/>
    <s v="IDR"/>
    <m/>
    <m/>
    <m/>
    <s v="R124"/>
    <s v="724/PPC/IX/25"/>
    <s v="SURVEY DAN ANALISA"/>
    <s v="BY HC SUICHANGLONG 2411777115"/>
    <x v="1"/>
    <x v="1"/>
    <x v="18"/>
    <s v="SP"/>
    <n v="1631293"/>
    <n v="20250908"/>
  </r>
  <r>
    <s v="08.09.2025"/>
    <x v="2"/>
    <n v="50"/>
    <n v="-50000"/>
    <s v="IDR"/>
    <n v="-50000"/>
    <s v="IDR"/>
    <m/>
    <m/>
    <m/>
    <s v="R124"/>
    <s v="724/PPC/IX/25"/>
    <s v="SURVEY DAN ANALISA"/>
    <s v="BY HC SUICHANGLONG 2411777118"/>
    <x v="1"/>
    <x v="1"/>
    <x v="18"/>
    <s v="SP"/>
    <n v="1631293"/>
    <n v="20250908"/>
  </r>
  <r>
    <s v="08.09.2025"/>
    <x v="2"/>
    <n v="50"/>
    <n v="-50000"/>
    <s v="IDR"/>
    <n v="-50000"/>
    <s v="IDR"/>
    <m/>
    <m/>
    <m/>
    <s v="R124"/>
    <s v="724/PPC/IX/25"/>
    <s v="SURVEY DAN ANALISA"/>
    <s v="BY HC SG OILSEED 2411777113"/>
    <x v="1"/>
    <x v="1"/>
    <x v="1"/>
    <s v="SP"/>
    <n v="1631293"/>
    <n v="20250908"/>
  </r>
  <r>
    <s v="08.09.2025"/>
    <x v="2"/>
    <n v="50"/>
    <n v="-50000"/>
    <s v="IDR"/>
    <n v="-50000"/>
    <s v="IDR"/>
    <m/>
    <m/>
    <m/>
    <s v="R124"/>
    <s v="724/PPC/IX/25"/>
    <s v="SURVEY DAN ANALISA"/>
    <s v="BY HC SG OILSEED 2411777111"/>
    <x v="1"/>
    <x v="1"/>
    <x v="1"/>
    <s v="SP"/>
    <n v="1631293"/>
    <n v="20250908"/>
  </r>
  <r>
    <s v="08.09.2025"/>
    <x v="2"/>
    <n v="50"/>
    <n v="-50000"/>
    <s v="IDR"/>
    <n v="-50000"/>
    <s v="IDR"/>
    <m/>
    <m/>
    <m/>
    <s v="R124"/>
    <s v="718/PPC/IX/25"/>
    <s v="SURVEY DAN ANALISA"/>
    <s v="BY HC HORGOS BAIPENG 2411776997"/>
    <x v="1"/>
    <x v="1"/>
    <x v="1"/>
    <s v="SP"/>
    <n v="1631293"/>
    <n v="20250908"/>
  </r>
  <r>
    <s v="08.09.2025"/>
    <x v="2"/>
    <n v="50"/>
    <n v="-50000"/>
    <s v="IDR"/>
    <n v="-50000"/>
    <s v="IDR"/>
    <m/>
    <m/>
    <m/>
    <s v="R124"/>
    <s v="718/PPC/IX/25"/>
    <s v="SURVEY DAN ANALISA"/>
    <s v="BY HC SG OILSEED 2411777033"/>
    <x v="1"/>
    <x v="1"/>
    <x v="1"/>
    <s v="SP"/>
    <n v="1631293"/>
    <n v="20250908"/>
  </r>
  <r>
    <s v="08.09.2025"/>
    <x v="2"/>
    <n v="50"/>
    <n v="-50000"/>
    <s v="IDR"/>
    <n v="-50000"/>
    <s v="IDR"/>
    <m/>
    <m/>
    <m/>
    <s v="R124"/>
    <s v="718/PPC/IX/25"/>
    <s v="SURVEY DAN ANALISA"/>
    <s v="BY HC SG OILSEED 2411777034"/>
    <x v="1"/>
    <x v="1"/>
    <x v="1"/>
    <s v="SP"/>
    <n v="1631293"/>
    <n v="20250908"/>
  </r>
  <r>
    <s v="08.09.2025"/>
    <x v="2"/>
    <n v="50"/>
    <n v="-50000"/>
    <s v="IDR"/>
    <n v="-50000"/>
    <s v="IDR"/>
    <m/>
    <m/>
    <m/>
    <s v="R124"/>
    <s v="718/PPC/IX/25"/>
    <s v="SURVEY DAN ANALISA"/>
    <s v="BY HC NESTLE PAKISTAN 2411777124"/>
    <x v="1"/>
    <x v="1"/>
    <x v="8"/>
    <s v="SP"/>
    <n v="1631293"/>
    <n v="20250908"/>
  </r>
  <r>
    <s v="08.09.2025"/>
    <x v="2"/>
    <n v="50"/>
    <n v="-50000"/>
    <s v="IDR"/>
    <n v="-50000"/>
    <s v="IDR"/>
    <m/>
    <m/>
    <m/>
    <s v="R124"/>
    <s v="718/PPC/IX/25"/>
    <s v="SURVEY DAN ANALISA"/>
    <s v="BY HC NESTLE PAKISTAN 2411777164"/>
    <x v="1"/>
    <x v="1"/>
    <x v="8"/>
    <s v="SP"/>
    <n v="1631293"/>
    <n v="20250908"/>
  </r>
  <r>
    <s v="08.09.2025"/>
    <x v="2"/>
    <n v="50"/>
    <n v="-740000"/>
    <s v="IDR"/>
    <n v="-740000"/>
    <s v="IDR"/>
    <m/>
    <m/>
    <m/>
    <s v="R124"/>
    <s v="727/PPC/IX/25"/>
    <s v="BAHAN BAKAR"/>
    <s v="BY BAHAN BAKAR PERIODE 29/08-03/09 2025"/>
    <x v="6"/>
    <x v="6"/>
    <x v="9"/>
    <s v="SP"/>
    <n v="1631293"/>
    <n v="20250908"/>
  </r>
  <r>
    <s v="08.09.2025"/>
    <x v="2"/>
    <n v="50"/>
    <n v="-260000"/>
    <s v="IDR"/>
    <n v="-260000"/>
    <s v="IDR"/>
    <m/>
    <m/>
    <m/>
    <s v="R124"/>
    <s v="727/PPC/IX/25"/>
    <s v="TRANSPORTASI LOKAL"/>
    <s v="BY PARKIR DAN TOL PERIODE 29/08-03/09 2025"/>
    <x v="5"/>
    <x v="5"/>
    <x v="9"/>
    <s v="SP"/>
    <n v="1631293"/>
    <n v="20250908"/>
  </r>
  <r>
    <s v="08.09.2025"/>
    <x v="2"/>
    <n v="50"/>
    <n v="-400000"/>
    <s v="IDR"/>
    <n v="-400000"/>
    <s v="IDR"/>
    <m/>
    <m/>
    <m/>
    <s v="R124"/>
    <s v="725/PPC/IX/25"/>
    <s v="OLAHRAGA DAN PERMAINAN"/>
    <s v="BY OLAHRAGA ZUMBA 3 SEPTEMBER 2025"/>
    <x v="0"/>
    <x v="0"/>
    <x v="0"/>
    <s v="SP"/>
    <n v="1631293"/>
    <n v="20250908"/>
  </r>
  <r>
    <s v="08.09.2025"/>
    <x v="2"/>
    <n v="50"/>
    <n v="-100000"/>
    <s v="IDR"/>
    <n v="-100000"/>
    <s v="IDR"/>
    <m/>
    <m/>
    <m/>
    <s v="R124"/>
    <s v="719/PPC/IX/25"/>
    <s v="SURVEY DAN ANALISA"/>
    <s v="BY COO KADIN 2411776893"/>
    <x v="1"/>
    <x v="1"/>
    <x v="2"/>
    <s v="SP"/>
    <n v="1631293"/>
    <n v="20250908"/>
  </r>
  <r>
    <s v="08.09.2025"/>
    <x v="2"/>
    <n v="50"/>
    <n v="-100000"/>
    <s v="IDR"/>
    <n v="-100000"/>
    <s v="IDR"/>
    <m/>
    <m/>
    <m/>
    <s v="R124"/>
    <s v="719/PPC/IX/25"/>
    <s v="SURVEY DAN ANALISA"/>
    <s v="BY COO KADIN 2411776893"/>
    <x v="1"/>
    <x v="1"/>
    <x v="2"/>
    <s v="SP"/>
    <n v="1631293"/>
    <n v="20250908"/>
  </r>
  <r>
    <s v="08.09.2025"/>
    <x v="2"/>
    <n v="50"/>
    <n v="-150000"/>
    <s v="IDR"/>
    <n v="-150000"/>
    <s v="IDR"/>
    <m/>
    <m/>
    <m/>
    <s v="R124"/>
    <s v="719/PPC/IX/25"/>
    <s v="SURVEY DAN ANALISA"/>
    <s v="BY COO KADIN 2411776893"/>
    <x v="1"/>
    <x v="1"/>
    <x v="2"/>
    <s v="SP"/>
    <n v="1631293"/>
    <n v="20250908"/>
  </r>
  <r>
    <s v="08.09.2025"/>
    <x v="2"/>
    <n v="50"/>
    <n v="-4000"/>
    <s v="IDR"/>
    <n v="-4000"/>
    <s v="IDR"/>
    <m/>
    <m/>
    <m/>
    <s v="R124"/>
    <s v="728/PPC/IX/25"/>
    <s v="ADMIN &amp; DOKUMEN EKSPOR"/>
    <s v="BY LEVY DAN BEA KELUAR KE USA DAN GERMAN"/>
    <x v="18"/>
    <x v="18"/>
    <x v="8"/>
    <s v="SP"/>
    <n v="1631293"/>
    <n v="20250908"/>
  </r>
  <r>
    <s v="09.09.2025"/>
    <x v="2"/>
    <n v="50"/>
    <n v="-736120"/>
    <s v="IDR"/>
    <n v="-736120"/>
    <s v="IDR"/>
    <m/>
    <m/>
    <m/>
    <s v="R124"/>
    <s v="729/PPC/IX/25"/>
    <s v="PEMEL.KEND&amp;A.BERAT MATRL"/>
    <s v="BY Pemb.lem fox, tang las, sink mixer"/>
    <x v="2"/>
    <x v="2"/>
    <x v="26"/>
    <s v="SP"/>
    <n v="1631293"/>
    <n v="20250909"/>
  </r>
  <r>
    <s v="09.09.2025"/>
    <x v="2"/>
    <n v="50"/>
    <n v="-29900"/>
    <s v="IDR"/>
    <n v="-29900"/>
    <s v="IDR"/>
    <m/>
    <m/>
    <m/>
    <s v="R124"/>
    <s v="732/PPC/IX/25"/>
    <s v="PERIZINAN PEMERINTAH"/>
    <s v="BY Pemb. PPJ Genset 1 &amp; 2 - Pemakaian Agustus"/>
    <x v="12"/>
    <x v="12"/>
    <x v="9"/>
    <s v="SP"/>
    <n v="1631293"/>
    <n v="20250909"/>
  </r>
  <r>
    <s v="09.09.2025"/>
    <x v="2"/>
    <n v="50"/>
    <n v="-50000"/>
    <s v="IDR"/>
    <n v="-50000"/>
    <s v="IDR"/>
    <m/>
    <m/>
    <m/>
    <s v="R124"/>
    <s v="730/PPC/IX/25"/>
    <s v="SURVEY DAN ANALISA"/>
    <s v="BY HC NESTLE GHANA 2411777082"/>
    <x v="1"/>
    <x v="1"/>
    <x v="8"/>
    <s v="SP"/>
    <n v="1631293"/>
    <n v="20250909"/>
  </r>
  <r>
    <s v="09.09.2025"/>
    <x v="2"/>
    <n v="50"/>
    <n v="-50000"/>
    <s v="IDR"/>
    <n v="-50000"/>
    <s v="IDR"/>
    <m/>
    <m/>
    <m/>
    <s v="R124"/>
    <s v="730/PPC/IX/25"/>
    <s v="SURVEY DAN ANALISA"/>
    <s v="BY HC NESTLE AUSTRALIA 2411777174"/>
    <x v="1"/>
    <x v="1"/>
    <x v="8"/>
    <s v="SP"/>
    <n v="1631293"/>
    <n v="20250909"/>
  </r>
  <r>
    <s v="09.09.2025"/>
    <x v="2"/>
    <n v="50"/>
    <n v="-50000"/>
    <s v="IDR"/>
    <n v="-50000"/>
    <s v="IDR"/>
    <m/>
    <m/>
    <m/>
    <s v="R124"/>
    <s v="730/PPC/IX/25"/>
    <s v="SURVEY DAN ANALISA"/>
    <s v="BY HC NESTLE AUSTRALIA 2411777172"/>
    <x v="1"/>
    <x v="1"/>
    <x v="8"/>
    <s v="SP"/>
    <n v="1631293"/>
    <n v="20250909"/>
  </r>
  <r>
    <s v="09.09.2025"/>
    <x v="2"/>
    <n v="50"/>
    <n v="-272900"/>
    <s v="IDR"/>
    <n v="-272900"/>
    <s v="IDR"/>
    <m/>
    <m/>
    <m/>
    <s v="R124"/>
    <s v="731/PPC/IX/25"/>
    <s v="PERALATAN KANTOR"/>
    <s v="BY Pemb. Wallsocket dan duplikat kunci"/>
    <x v="16"/>
    <x v="16"/>
    <x v="9"/>
    <s v="SP"/>
    <n v="1631293"/>
    <n v="20250909"/>
  </r>
  <r>
    <s v="09.09.2025"/>
    <x v="2"/>
    <n v="50"/>
    <n v="-730000"/>
    <s v="IDR"/>
    <n v="-730000"/>
    <s v="IDR"/>
    <m/>
    <m/>
    <m/>
    <s v="R124"/>
    <s v="733/PPC/IX/25"/>
    <s v="BAHAN BAKAR"/>
    <s v="BY BAHAN BAKAR PERIODE 03-08/09/2025"/>
    <x v="6"/>
    <x v="6"/>
    <x v="9"/>
    <s v="SP"/>
    <n v="1631293"/>
    <n v="20250909"/>
  </r>
  <r>
    <s v="09.09.2025"/>
    <x v="2"/>
    <n v="50"/>
    <n v="-269000"/>
    <s v="IDR"/>
    <n v="-269000"/>
    <s v="IDR"/>
    <m/>
    <m/>
    <m/>
    <s v="R124"/>
    <s v="733/PPC/IX/25"/>
    <s v="TRANSPORTASI LOKAL"/>
    <s v="BY PARKIR DAN TOL PERIODE 03-08/09/2025"/>
    <x v="5"/>
    <x v="5"/>
    <x v="9"/>
    <s v="SP"/>
    <n v="1631293"/>
    <n v="20250909"/>
  </r>
  <r>
    <s v="10.09.2025"/>
    <x v="2"/>
    <n v="50"/>
    <n v="-814000"/>
    <s v="IDR"/>
    <n v="-814000"/>
    <s v="IDR"/>
    <m/>
    <m/>
    <m/>
    <s v="R124"/>
    <s v="735/PPC/IX/25"/>
    <s v="PEMEL.KEND&amp;A.BERAT MATRL"/>
    <s v="BY PEMB. REDUCER SS SANITARY DAN BAUT L SS 304"/>
    <x v="2"/>
    <x v="2"/>
    <x v="10"/>
    <s v="SP"/>
    <n v="1631293"/>
    <n v="20250910"/>
  </r>
  <r>
    <s v="10.09.2025"/>
    <x v="2"/>
    <n v="50"/>
    <n v="-510000"/>
    <s v="IDR"/>
    <n v="-510000"/>
    <s v="IDR"/>
    <m/>
    <m/>
    <m/>
    <s v="R124"/>
    <s v="736/PPC/IX/25"/>
    <s v="TRANSPORTASI LOKAL"/>
    <s v="BY PARKIR DAN TOL PERIODE 08-09/09/2025"/>
    <x v="5"/>
    <x v="5"/>
    <x v="9"/>
    <s v="SP"/>
    <n v="1631293"/>
    <n v="20250910"/>
  </r>
  <r>
    <s v="10.09.2025"/>
    <x v="2"/>
    <n v="50"/>
    <n v="-490000"/>
    <s v="IDR"/>
    <n v="-490000"/>
    <s v="IDR"/>
    <m/>
    <m/>
    <m/>
    <s v="R124"/>
    <s v="736/PPC/IX/25"/>
    <s v="BAHAN BAKAR"/>
    <s v="BY BAHAN BAKAR PERIODE 08-09/09/2025"/>
    <x v="6"/>
    <x v="6"/>
    <x v="9"/>
    <s v="SP"/>
    <n v="1631293"/>
    <n v="20250910"/>
  </r>
  <r>
    <s v="10.09.2025"/>
    <x v="2"/>
    <n v="50"/>
    <n v="-50000"/>
    <s v="IDR"/>
    <n v="-50000"/>
    <s v="IDR"/>
    <m/>
    <m/>
    <m/>
    <s v="R124"/>
    <s v="739/PPC/IX/25"/>
    <s v="SURVEY DAN ANALISA"/>
    <s v="BY HC NESTLE PNG 2411777216"/>
    <x v="1"/>
    <x v="1"/>
    <x v="8"/>
    <s v="SP"/>
    <n v="1631293"/>
    <n v="20250910"/>
  </r>
  <r>
    <s v="10.09.2025"/>
    <x v="2"/>
    <n v="50"/>
    <n v="-50000"/>
    <s v="IDR"/>
    <n v="-50000"/>
    <s v="IDR"/>
    <m/>
    <m/>
    <m/>
    <s v="R124"/>
    <s v="739/PPC/IX/25"/>
    <s v="SURVEY DAN ANALISA"/>
    <s v="BY HC NESTLE PNG 2411777220"/>
    <x v="1"/>
    <x v="1"/>
    <x v="8"/>
    <s v="SP"/>
    <n v="1631293"/>
    <n v="20250910"/>
  </r>
  <r>
    <s v="11.09.2025"/>
    <x v="2"/>
    <n v="50"/>
    <n v="-70000"/>
    <s v="IDR"/>
    <n v="-70000"/>
    <s v="IDR"/>
    <m/>
    <m/>
    <m/>
    <s v="R124"/>
    <s v="742/PPC/IX/25"/>
    <s v="PBAIKN&amp;PRAWATN PRABT MATR"/>
    <s v="BY PEMB. KUNCI DUPLIKAT RUANGAN KANTOR BELAKANG 2P"/>
    <x v="3"/>
    <x v="3"/>
    <x v="17"/>
    <s v="SP"/>
    <n v="1631293"/>
    <n v="20250911"/>
  </r>
  <r>
    <s v="11.09.2025"/>
    <x v="2"/>
    <n v="50"/>
    <n v="-100000"/>
    <s v="IDR"/>
    <n v="-100000"/>
    <s v="IDR"/>
    <m/>
    <m/>
    <m/>
    <s v="R124"/>
    <s v="743/PPC/IX/25"/>
    <s v="MAKANAN DAN MINUMAN"/>
    <s v="BY KONSUMSI P2K3 MEETING BULAN SEPTEMBER 25"/>
    <x v="7"/>
    <x v="7"/>
    <x v="16"/>
    <s v="SP"/>
    <n v="1631293"/>
    <n v="20250911"/>
  </r>
  <r>
    <s v="11.09.2025"/>
    <x v="2"/>
    <n v="50"/>
    <n v="-50000"/>
    <s v="IDR"/>
    <n v="-50000"/>
    <s v="IDR"/>
    <m/>
    <m/>
    <m/>
    <s v="R124"/>
    <s v="744/PPC/IX/25"/>
    <s v="SURVEY DAN ANALISA"/>
    <s v="BY HC SG OILSEED 2411777160"/>
    <x v="1"/>
    <x v="1"/>
    <x v="1"/>
    <s v="SP"/>
    <n v="1631293"/>
    <n v="20250911"/>
  </r>
  <r>
    <s v="11.09.2025"/>
    <x v="2"/>
    <n v="50"/>
    <n v="-50000"/>
    <s v="IDR"/>
    <n v="-50000"/>
    <s v="IDR"/>
    <m/>
    <m/>
    <m/>
    <s v="R124"/>
    <s v="744/PPC/IX/25"/>
    <s v="SURVEY DAN ANALISA"/>
    <s v="BY HC GENAS 2411777192"/>
    <x v="1"/>
    <x v="1"/>
    <x v="1"/>
    <s v="SP"/>
    <n v="1631293"/>
    <n v="20250911"/>
  </r>
  <r>
    <s v="11.09.2025"/>
    <x v="2"/>
    <n v="50"/>
    <n v="-50000"/>
    <s v="IDR"/>
    <n v="-50000"/>
    <s v="IDR"/>
    <m/>
    <m/>
    <m/>
    <s v="R124"/>
    <s v="744/PPC/IX/25"/>
    <s v="SURVEY DAN ANALISA"/>
    <s v="BY HC SG OILSEED 2411777270"/>
    <x v="1"/>
    <x v="1"/>
    <x v="1"/>
    <s v="SP"/>
    <n v="1631293"/>
    <n v="20250911"/>
  </r>
  <r>
    <s v="11.09.2025"/>
    <x v="2"/>
    <n v="50"/>
    <n v="-50000"/>
    <s v="IDR"/>
    <n v="-50000"/>
    <s v="IDR"/>
    <m/>
    <m/>
    <m/>
    <s v="R124"/>
    <s v="744/PPC/IX/25"/>
    <s v="SURVEY DAN ANALISA"/>
    <s v="BY HC HAWK TRADING 2411777289"/>
    <x v="1"/>
    <x v="1"/>
    <x v="1"/>
    <s v="SP"/>
    <n v="1631293"/>
    <n v="20250911"/>
  </r>
  <r>
    <s v="11.09.2025"/>
    <x v="2"/>
    <n v="50"/>
    <n v="-24000"/>
    <s v="IDR"/>
    <n v="-24000"/>
    <s v="IDR"/>
    <m/>
    <m/>
    <m/>
    <s v="R124"/>
    <s v="745/PPC/IX/25"/>
    <s v="PERALATAN KANTOR"/>
    <s v="BY PEMB. DOUBLE TAPE"/>
    <x v="16"/>
    <x v="16"/>
    <x v="7"/>
    <s v="SP"/>
    <n v="1631293"/>
    <n v="20250911"/>
  </r>
  <r>
    <s v="12.09.2025"/>
    <x v="2"/>
    <n v="50"/>
    <n v="-50000"/>
    <s v="IDR"/>
    <n v="-50000"/>
    <s v="IDR"/>
    <m/>
    <m/>
    <m/>
    <s v="R124"/>
    <s v="734/PPC/IX/25"/>
    <s v="SURVEY DAN ANALISA"/>
    <s v="BY HC SG OILSEED 2411777252"/>
    <x v="1"/>
    <x v="1"/>
    <x v="1"/>
    <s v="SP"/>
    <n v="1631293"/>
    <n v="20250912"/>
  </r>
  <r>
    <s v="12.09.2025"/>
    <x v="2"/>
    <n v="50"/>
    <n v="-50000"/>
    <s v="IDR"/>
    <n v="-50000"/>
    <s v="IDR"/>
    <m/>
    <m/>
    <m/>
    <s v="R124"/>
    <s v="734/PPC/IX/25"/>
    <s v="SURVEY DAN ANALISA"/>
    <s v="BY HC NESTLE PAKISTAN 2411777236"/>
    <x v="1"/>
    <x v="1"/>
    <x v="8"/>
    <s v="SP"/>
    <n v="1631293"/>
    <n v="20250912"/>
  </r>
  <r>
    <s v="12.09.2025"/>
    <x v="2"/>
    <n v="50"/>
    <n v="-50000"/>
    <s v="IDR"/>
    <n v="-50000"/>
    <s v="IDR"/>
    <m/>
    <m/>
    <m/>
    <s v="R124"/>
    <s v="734/PPC/IX/25"/>
    <s v="SURVEY DAN ANALISA"/>
    <s v="BY HC SUICHANGLONG 2411777267"/>
    <x v="1"/>
    <x v="1"/>
    <x v="18"/>
    <s v="SP"/>
    <n v="1631293"/>
    <n v="20250912"/>
  </r>
  <r>
    <s v="12.09.2025"/>
    <x v="2"/>
    <n v="50"/>
    <n v="-50000"/>
    <s v="IDR"/>
    <n v="-50000"/>
    <s v="IDR"/>
    <m/>
    <m/>
    <m/>
    <s v="R124"/>
    <s v="734/PPC/IX/25"/>
    <s v="SURVEY DAN ANALISA"/>
    <s v="BY HC GUANDONG SHENGRONG 2411777266"/>
    <x v="1"/>
    <x v="1"/>
    <x v="18"/>
    <s v="SP"/>
    <n v="1631293"/>
    <n v="20250912"/>
  </r>
  <r>
    <s v="12.09.2025"/>
    <x v="2"/>
    <n v="50"/>
    <n v="-50000"/>
    <s v="IDR"/>
    <n v="-50000"/>
    <s v="IDR"/>
    <m/>
    <m/>
    <m/>
    <s v="R124"/>
    <s v="734/PPC/IX/25"/>
    <s v="SURVEY DAN ANALISA"/>
    <s v="BY HC SG OILSEED 2411777274"/>
    <x v="1"/>
    <x v="1"/>
    <x v="1"/>
    <s v="SP"/>
    <n v="1631293"/>
    <n v="20250912"/>
  </r>
  <r>
    <s v="12.09.2025"/>
    <x v="2"/>
    <n v="50"/>
    <n v="-50000"/>
    <s v="IDR"/>
    <n v="-50000"/>
    <s v="IDR"/>
    <m/>
    <m/>
    <m/>
    <s v="R124"/>
    <s v="748/PPC/IX/25"/>
    <s v="SURVEY DAN ANALISA"/>
    <s v="BY HC SUICHANGLONG 2411777253"/>
    <x v="1"/>
    <x v="1"/>
    <x v="18"/>
    <s v="SP"/>
    <n v="1631293"/>
    <n v="20250912"/>
  </r>
  <r>
    <s v="12.09.2025"/>
    <x v="2"/>
    <n v="50"/>
    <n v="-50000"/>
    <s v="IDR"/>
    <n v="-50000"/>
    <s v="IDR"/>
    <m/>
    <m/>
    <m/>
    <s v="R124"/>
    <s v="748/PPC/IX/25"/>
    <s v="SURVEY DAN ANALISA"/>
    <s v="BY HC SUICHANGLONG 2411777269"/>
    <x v="1"/>
    <x v="1"/>
    <x v="18"/>
    <s v="SP"/>
    <n v="1631293"/>
    <n v="20250912"/>
  </r>
  <r>
    <s v="12.09.2025"/>
    <x v="2"/>
    <n v="50"/>
    <n v="-50000"/>
    <s v="IDR"/>
    <n v="-50000"/>
    <s v="IDR"/>
    <m/>
    <m/>
    <m/>
    <s v="R124"/>
    <s v="748/PPC/IX/25"/>
    <s v="SURVEY DAN ANALISA"/>
    <s v="BY HC HORGOS 2411777277"/>
    <x v="1"/>
    <x v="1"/>
    <x v="1"/>
    <s v="SP"/>
    <n v="1631293"/>
    <n v="20250912"/>
  </r>
  <r>
    <s v="12.09.2025"/>
    <x v="2"/>
    <n v="50"/>
    <n v="-610000"/>
    <s v="IDR"/>
    <n v="-610000"/>
    <s v="IDR"/>
    <m/>
    <m/>
    <m/>
    <s v="R124"/>
    <s v="749/PPC/IX/25"/>
    <s v="BAHAN BAKAR"/>
    <s v="BY BAHAN BAKAR PERIODE 09-12/09/25"/>
    <x v="6"/>
    <x v="6"/>
    <x v="9"/>
    <s v="SP"/>
    <n v="1631293"/>
    <n v="20250912"/>
  </r>
  <r>
    <s v="12.09.2025"/>
    <x v="2"/>
    <n v="50"/>
    <n v="-390000"/>
    <s v="IDR"/>
    <n v="-390000"/>
    <s v="IDR"/>
    <m/>
    <m/>
    <m/>
    <s v="R124"/>
    <s v="749/PPC/IX/25"/>
    <s v="TRANSPORTASI LOKAL"/>
    <s v="BY PARKIR DAN TOL PERIODE 09-12/09/25"/>
    <x v="5"/>
    <x v="5"/>
    <x v="9"/>
    <s v="SP"/>
    <n v="1631293"/>
    <n v="20250912"/>
  </r>
  <r>
    <s v="12.09.2025"/>
    <x v="2"/>
    <n v="50"/>
    <n v="-100000"/>
    <s v="IDR"/>
    <n v="-100000"/>
    <s v="IDR"/>
    <m/>
    <m/>
    <m/>
    <s v="R124"/>
    <s v="750/PPC/IX/25"/>
    <s v="UMUM &amp; ADMIN LAIN"/>
    <s v="BY PEMB. MATERAI DI KANTOR POS"/>
    <x v="15"/>
    <x v="15"/>
    <x v="22"/>
    <s v="SP"/>
    <n v="1631293"/>
    <n v="20250912"/>
  </r>
  <r>
    <s v="12.09.2025"/>
    <x v="2"/>
    <n v="50"/>
    <n v="-166800"/>
    <s v="IDR"/>
    <n v="-166800"/>
    <s v="IDR"/>
    <m/>
    <m/>
    <m/>
    <s v="R124"/>
    <s v="751/PPC/IX/25"/>
    <s v="MAKANAN DAN MINUMAN"/>
    <s v="BY PEMB. KOPI UNTUK KEPENTINGAN MEETING 10/09/25"/>
    <x v="7"/>
    <x v="7"/>
    <x v="22"/>
    <s v="SP"/>
    <n v="1631293"/>
    <n v="20250912"/>
  </r>
  <r>
    <s v="12.09.2025"/>
    <x v="2"/>
    <n v="50"/>
    <n v="-105500"/>
    <s v="IDR"/>
    <n v="-105500"/>
    <s v="IDR"/>
    <m/>
    <m/>
    <m/>
    <s v="R124"/>
    <s v="751/PPC/IX/25"/>
    <s v="PERALATAN KANTOR"/>
    <s v="BY PEMB. GELAS, BRAVIA, GARPU,DLL"/>
    <x v="16"/>
    <x v="16"/>
    <x v="22"/>
    <s v="SP"/>
    <n v="1631293"/>
    <n v="20250912"/>
  </r>
  <r>
    <s v="12.09.2025"/>
    <x v="2"/>
    <n v="50"/>
    <n v="-246000"/>
    <s v="IDR"/>
    <n v="-246000"/>
    <s v="IDR"/>
    <m/>
    <m/>
    <m/>
    <s v="R124"/>
    <s v="752/PPC/IX/25"/>
    <s v="MAKANAN DAN MINUMAN"/>
    <s v="BY KONSUMSI KUNJUNGAN KPP PAJAK 11/09/25"/>
    <x v="7"/>
    <x v="7"/>
    <x v="22"/>
    <s v="SP"/>
    <n v="1631293"/>
    <n v="20250912"/>
  </r>
  <r>
    <s v="12.09.2025"/>
    <x v="2"/>
    <n v="50"/>
    <n v="-350000"/>
    <s v="IDR"/>
    <n v="-350000"/>
    <s v="IDR"/>
    <m/>
    <m/>
    <m/>
    <s v="R124"/>
    <s v="753/PPC/IX/25"/>
    <s v="ORGANISASI PROF. NASIONAL"/>
    <s v="BY PEMB. APINDO JAWA TIMUR BULAN JULI 25"/>
    <x v="17"/>
    <x v="17"/>
    <x v="0"/>
    <s v="SP"/>
    <n v="1631293"/>
    <n v="20250912"/>
  </r>
  <r>
    <s v="12.09.2025"/>
    <x v="2"/>
    <n v="50"/>
    <n v="-350000"/>
    <s v="IDR"/>
    <n v="-350000"/>
    <s v="IDR"/>
    <m/>
    <m/>
    <m/>
    <s v="R124"/>
    <s v="753/PPC/IX/25"/>
    <s v="ORGANISASI PROF. NASIONAL"/>
    <s v="BY PEMB. APINDO JAWA TIMUR BULAN AGUSTUS 25"/>
    <x v="17"/>
    <x v="17"/>
    <x v="0"/>
    <s v="SP"/>
    <n v="1631293"/>
    <n v="20250912"/>
  </r>
  <r>
    <s v="15.09.2025"/>
    <x v="2"/>
    <n v="50"/>
    <n v="-405900"/>
    <s v="IDR"/>
    <n v="-405900"/>
    <s v="IDR"/>
    <m/>
    <m/>
    <m/>
    <s v="R124"/>
    <s v="755/PPC/IX/25"/>
    <s v="PBAIKN&amp;PRAWATN PRABT MATR"/>
    <s v="BY PEMB BATERAI A2, KABEL HDMI, SILENT CLEAR"/>
    <x v="3"/>
    <x v="3"/>
    <x v="9"/>
    <s v="SP"/>
    <n v="1631293"/>
    <n v="20250915"/>
  </r>
  <r>
    <s v="15.09.2025"/>
    <x v="2"/>
    <n v="50"/>
    <n v="-800000"/>
    <s v="IDR"/>
    <n v="-800000"/>
    <s v="IDR"/>
    <m/>
    <m/>
    <m/>
    <s v="R124"/>
    <s v="738/PPC/IX/25"/>
    <s v="PEMEL.KEND&amp;A.BERAT MATRL"/>
    <s v="BY PEMB. Bearing Fan BAC"/>
    <x v="2"/>
    <x v="2"/>
    <x v="12"/>
    <s v="SP"/>
    <n v="1631293"/>
    <n v="20250915"/>
  </r>
  <r>
    <s v="15.09.2025"/>
    <x v="2"/>
    <n v="50"/>
    <n v="-690000"/>
    <s v="IDR"/>
    <n v="-690000"/>
    <s v="IDR"/>
    <m/>
    <m/>
    <m/>
    <s v="R124"/>
    <s v="694/PPC/VIII/25"/>
    <s v="UANG MUKA BIAYA"/>
    <s v="BY PEMB.PRESSR SWITCH HYDRANT FP04002500244949528"/>
    <x v="19"/>
    <x v="19"/>
    <x v="25"/>
    <s v="SP"/>
    <n v="1631293"/>
    <n v="20250915"/>
  </r>
  <r>
    <s v="15.09.2025"/>
    <x v="2"/>
    <n v="50"/>
    <n v="-40770"/>
    <s v="IDR"/>
    <n v="-40770"/>
    <s v="IDR"/>
    <m/>
    <m/>
    <m/>
    <s v="R124"/>
    <s v="699/PPC/VIII/25"/>
    <s v="UANG MUKA BIAYA"/>
    <s v="BY PEMBELIAN DOUBLE NIPLE FP 04002500260289183"/>
    <x v="19"/>
    <x v="19"/>
    <x v="25"/>
    <s v="SP"/>
    <n v="1631293"/>
    <n v="20250915"/>
  </r>
  <r>
    <s v="15.09.2025"/>
    <x v="2"/>
    <n v="50"/>
    <n v="-321404"/>
    <s v="IDR"/>
    <n v="-321404"/>
    <s v="IDR"/>
    <m/>
    <m/>
    <m/>
    <s v="R124"/>
    <s v="726/PPC/IX/25"/>
    <s v="UANG MUKA BIAYA"/>
    <s v="BY PEMB. DUNLOP P.430&amp; 5/16 NB FP04002500262634254"/>
    <x v="19"/>
    <x v="19"/>
    <x v="25"/>
    <s v="SP"/>
    <n v="1631293"/>
    <n v="20250915"/>
  </r>
  <r>
    <s v="15.09.2025"/>
    <x v="2"/>
    <n v="50"/>
    <n v="-151679"/>
    <s v="IDR"/>
    <n v="-151679"/>
    <s v="IDR"/>
    <m/>
    <m/>
    <m/>
    <s v="R124"/>
    <s v="697/PPC/VIII/25"/>
    <s v="UANG MUKA BIAYA"/>
    <s v="BY PEMB. STRAIGHT MALE FP04002500259735097"/>
    <x v="19"/>
    <x v="19"/>
    <x v="25"/>
    <s v="SP"/>
    <n v="1631293"/>
    <n v="20250915"/>
  </r>
  <r>
    <s v="15.09.2025"/>
    <x v="2"/>
    <n v="50"/>
    <n v="-61000"/>
    <s v="IDR"/>
    <n v="-61000"/>
    <s v="IDR"/>
    <m/>
    <m/>
    <m/>
    <s v="R124"/>
    <s v="697/PPC/VIII/25"/>
    <s v="PBAIKN&amp;PRAWATN PRABT MATR"/>
    <s v="BY PEMB. SUNLIGHT 5PCS"/>
    <x v="3"/>
    <x v="3"/>
    <x v="28"/>
    <s v="SP"/>
    <n v="1631293"/>
    <n v="20250915"/>
  </r>
  <r>
    <s v="15.09.2025"/>
    <x v="2"/>
    <n v="50"/>
    <n v="-133500"/>
    <s v="IDR"/>
    <n v="-133500"/>
    <s v="IDR"/>
    <m/>
    <m/>
    <m/>
    <s v="R124"/>
    <s v="741/PPC/IX/25"/>
    <s v="PEMEL.KEND&amp;A.BERAT MATRL"/>
    <s v="BY PERBAIKAN MOTOR POMPA KMSC &amp; TANKI P10"/>
    <x v="2"/>
    <x v="2"/>
    <x v="29"/>
    <s v="SP"/>
    <n v="1631293"/>
    <n v="20250915"/>
  </r>
  <r>
    <s v="15.09.2025"/>
    <x v="2"/>
    <n v="50"/>
    <n v="-290500"/>
    <s v="IDR"/>
    <n v="-290500"/>
    <s v="IDR"/>
    <m/>
    <m/>
    <m/>
    <s v="R124"/>
    <s v="737/PPC/IX/25"/>
    <s v="BIAYA MESS"/>
    <s v="BY PDAM BULANAN MESS PT SMART PTI SEPT 25"/>
    <x v="14"/>
    <x v="14"/>
    <x v="9"/>
    <s v="SP"/>
    <n v="1631293"/>
    <n v="20250915"/>
  </r>
  <r>
    <s v="15.09.2025"/>
    <x v="2"/>
    <n v="50"/>
    <n v="-430000"/>
    <s v="IDR"/>
    <n v="-430000"/>
    <s v="IDR"/>
    <m/>
    <m/>
    <m/>
    <s v="R124"/>
    <s v="723/PPC/IX/25"/>
    <s v="PEMEL.KEND&amp;A.BERAT MATRL"/>
    <s v="BY PERAWATAN BERKALA KENDARAAN NOPOL L2167FT"/>
    <x v="2"/>
    <x v="2"/>
    <x v="2"/>
    <s v="SP"/>
    <n v="1631293"/>
    <n v="20250915"/>
  </r>
  <r>
    <s v="15.09.2025"/>
    <x v="2"/>
    <n v="50"/>
    <n v="-298000"/>
    <s v="IDR"/>
    <n v="-298000"/>
    <s v="IDR"/>
    <m/>
    <m/>
    <m/>
    <s v="R124"/>
    <s v="720/PPC/IX/25"/>
    <s v="PEMEL.KEND&amp;A.BERAT MATRL"/>
    <s v="BY PERAWATAN BERKALA KENDARAAN NOPOL L2057EK"/>
    <x v="2"/>
    <x v="2"/>
    <x v="1"/>
    <s v="SP"/>
    <n v="1631293"/>
    <n v="20250915"/>
  </r>
  <r>
    <s v="15.09.2025"/>
    <x v="2"/>
    <n v="40"/>
    <n v="30159697"/>
    <s v="IDR"/>
    <n v="30159697"/>
    <s v="IDR"/>
    <m/>
    <m/>
    <m/>
    <s v="R124"/>
    <m/>
    <s v="BANK IN TRANSIT"/>
    <s v="PETTY CASH RUNGKUT SURABAYA PERIODE 01-15 SEPT 25"/>
    <x v="13"/>
    <x v="13"/>
    <x v="19"/>
    <s v="SP"/>
    <n v="1631293"/>
    <n v="20250915"/>
  </r>
  <r>
    <s v="01.10.2025"/>
    <x v="3"/>
    <n v="50"/>
    <n v="-990000"/>
    <s v="IDR"/>
    <n v="-990000"/>
    <s v="IDR"/>
    <m/>
    <m/>
    <m/>
    <s v="R124"/>
    <s v="746/PPC/IX/2025"/>
    <s v="PEMEL.BNGAN&amp;PSARANA MATRL"/>
    <s v="BY PEMB SIKA GROUT U/ PERBAIKAN JALAN PARKIR SPD M"/>
    <x v="8"/>
    <x v="8"/>
    <x v="9"/>
    <s v="SP"/>
    <n v="1719278"/>
    <n v="20251001"/>
  </r>
  <r>
    <s v="02.10.2025"/>
    <x v="3"/>
    <n v="50"/>
    <n v="-1000000"/>
    <s v="IDR"/>
    <n v="-1000000"/>
    <s v="IDR"/>
    <m/>
    <m/>
    <m/>
    <s v="R124"/>
    <s v="747/PPC/IX/2025"/>
    <s v="UMUM &amp; ADMIN LAIN"/>
    <s v="BY PEMB MATERAI U/ ADM EXPORT"/>
    <x v="15"/>
    <x v="15"/>
    <x v="1"/>
    <s v="SP"/>
    <n v="1719278"/>
    <n v="20251002"/>
  </r>
  <r>
    <s v="02.10.2025"/>
    <x v="3"/>
    <n v="50"/>
    <n v="-480000"/>
    <s v="IDR"/>
    <n v="-480000"/>
    <s v="IDR"/>
    <m/>
    <m/>
    <m/>
    <s v="R124"/>
    <s v="757/PPC/IX/2025"/>
    <s v="OLAHRAGA DAN PERMAINAN"/>
    <s v="BY OLAHRAGA 12/09/2025"/>
    <x v="0"/>
    <x v="0"/>
    <x v="0"/>
    <s v="SP"/>
    <n v="1719278"/>
    <n v="20251002"/>
  </r>
  <r>
    <s v="02.10.2025"/>
    <x v="3"/>
    <n v="50"/>
    <n v="-80000"/>
    <s v="IDR"/>
    <n v="-80000"/>
    <s v="IDR"/>
    <m/>
    <m/>
    <m/>
    <s v="R124"/>
    <s v="758/PPC/IX/2025"/>
    <s v="PEMEL.KEND&amp;A.BERAT MATRL"/>
    <s v="BY PEMB RODA SELING IBC"/>
    <x v="2"/>
    <x v="2"/>
    <x v="6"/>
    <s v="SP"/>
    <n v="1719278"/>
    <n v="20251002"/>
  </r>
  <r>
    <s v="02.10.2025"/>
    <x v="3"/>
    <n v="50"/>
    <n v="-990000"/>
    <s v="IDR"/>
    <n v="-990000"/>
    <s v="IDR"/>
    <m/>
    <m/>
    <m/>
    <s v="R124"/>
    <s v="759/PPC/IX/2025"/>
    <s v="PEMEL.BNGAN&amp;PSARANA MATRL"/>
    <s v="BY PEMB SIKA GROUT U/ PERBAIKAN JALAN UMUM"/>
    <x v="8"/>
    <x v="8"/>
    <x v="9"/>
    <s v="SP"/>
    <n v="1719278"/>
    <n v="20251002"/>
  </r>
  <r>
    <s v="02.10.2025"/>
    <x v="3"/>
    <n v="50"/>
    <n v="-225000"/>
    <s v="IDR"/>
    <n v="-225000"/>
    <s v="IDR"/>
    <m/>
    <m/>
    <m/>
    <s v="R124"/>
    <s v="760/PPC/IX/2025"/>
    <s v="PBAIKN&amp;PRAWATN PRABT MATR"/>
    <s v="BY PEMB DUCTING PSD U/ PENGRAPIAN KABEL KANTOR LOG"/>
    <x v="3"/>
    <x v="3"/>
    <x v="9"/>
    <s v="SP"/>
    <n v="1719278"/>
    <n v="20251002"/>
  </r>
  <r>
    <s v="02.10.2025"/>
    <x v="3"/>
    <n v="50"/>
    <n v="-100000"/>
    <s v="IDR"/>
    <n v="-100000"/>
    <s v="IDR"/>
    <m/>
    <m/>
    <m/>
    <s v="R124"/>
    <s v="754/PPC/IX/2025"/>
    <s v="SURVEY DAN ANALISA"/>
    <s v="BY HC DINKES POLIVA ETP 2411777074"/>
    <x v="1"/>
    <x v="1"/>
    <x v="8"/>
    <s v="SP"/>
    <n v="1719278"/>
    <n v="20251002"/>
  </r>
  <r>
    <s v="02.10.2025"/>
    <x v="3"/>
    <n v="50"/>
    <n v="-350000"/>
    <s v="IDR"/>
    <n v="-350000"/>
    <s v="IDR"/>
    <m/>
    <m/>
    <m/>
    <s v="R124"/>
    <s v="754/PPC/IX/2025"/>
    <s v="SURVEY DAN ANALISA"/>
    <s v="BY COO KADIN ASSUDAMAL EBP 2411777285"/>
    <x v="1"/>
    <x v="1"/>
    <x v="2"/>
    <s v="SP"/>
    <n v="1719278"/>
    <n v="20251002"/>
  </r>
  <r>
    <s v="02.10.2025"/>
    <x v="3"/>
    <n v="50"/>
    <n v="-200000"/>
    <s v="IDR"/>
    <n v="-200000"/>
    <s v="IDR"/>
    <m/>
    <m/>
    <m/>
    <s v="R124"/>
    <s v="754/PPC/IX/2025"/>
    <s v="SURVEY DAN ANALISA"/>
    <s v="BY COO KADIN AL JAZIRA EBP 2411777288"/>
    <x v="1"/>
    <x v="1"/>
    <x v="1"/>
    <s v="SP"/>
    <n v="1719278"/>
    <n v="20251002"/>
  </r>
  <r>
    <s v="02.10.2025"/>
    <x v="3"/>
    <n v="50"/>
    <n v="-50000"/>
    <s v="IDR"/>
    <n v="-50000"/>
    <s v="IDR"/>
    <m/>
    <m/>
    <m/>
    <s v="R124"/>
    <s v="762/PPC/IX/2025"/>
    <s v="SURVEY DAN ANALISA"/>
    <s v="BY HC SG OILSEED EBP 2411777314"/>
    <x v="1"/>
    <x v="1"/>
    <x v="1"/>
    <s v="SP"/>
    <n v="1719278"/>
    <n v="20251002"/>
  </r>
  <r>
    <s v="02.10.2025"/>
    <x v="3"/>
    <n v="50"/>
    <n v="-50000"/>
    <s v="IDR"/>
    <n v="-50000"/>
    <s v="IDR"/>
    <m/>
    <m/>
    <m/>
    <s v="R124"/>
    <s v="762/PPC/IX/2025"/>
    <s v="SURVEY DAN ANALISA"/>
    <s v="BY HC FUJIAN NANAN EBP 2411777254"/>
    <x v="1"/>
    <x v="1"/>
    <x v="1"/>
    <s v="SP"/>
    <n v="1719278"/>
    <n v="20251002"/>
  </r>
  <r>
    <s v="02.10.2025"/>
    <x v="3"/>
    <n v="50"/>
    <n v="-50000"/>
    <s v="IDR"/>
    <n v="-50000"/>
    <s v="IDR"/>
    <m/>
    <m/>
    <m/>
    <s v="R124"/>
    <s v="762/PPC/IX/2025"/>
    <s v="SURVEY DAN ANALISA"/>
    <s v="BY HC FUJIAN NANAN EBP 2411777221"/>
    <x v="1"/>
    <x v="1"/>
    <x v="1"/>
    <s v="SP"/>
    <n v="1719278"/>
    <n v="20251002"/>
  </r>
  <r>
    <s v="02.10.2025"/>
    <x v="3"/>
    <n v="50"/>
    <n v="-50000"/>
    <s v="IDR"/>
    <n v="-50000"/>
    <s v="IDR"/>
    <m/>
    <m/>
    <m/>
    <s v="R124"/>
    <s v="762/PPC/IX/2025"/>
    <s v="SURVEY DAN ANALISA"/>
    <s v="BY HC HORGOS BAIPENG EBP 2411777370"/>
    <x v="1"/>
    <x v="1"/>
    <x v="1"/>
    <s v="SP"/>
    <n v="1719278"/>
    <n v="20251002"/>
  </r>
  <r>
    <s v="02.10.2025"/>
    <x v="3"/>
    <n v="50"/>
    <n v="-50000"/>
    <s v="IDR"/>
    <n v="-50000"/>
    <s v="IDR"/>
    <m/>
    <m/>
    <m/>
    <s v="R124"/>
    <s v="762/PPC/IX/2025"/>
    <s v="SURVEY DAN ANALISA"/>
    <s v="BY HC SG OILSEED EBP 2411777273"/>
    <x v="1"/>
    <x v="1"/>
    <x v="1"/>
    <s v="SP"/>
    <n v="1719278"/>
    <n v="20251002"/>
  </r>
  <r>
    <s v="02.10.2025"/>
    <x v="3"/>
    <n v="50"/>
    <n v="-6000"/>
    <s v="IDR"/>
    <n v="-6000"/>
    <s v="IDR"/>
    <m/>
    <m/>
    <m/>
    <s v="R124"/>
    <s v="762/PPC/IX/2025"/>
    <s v="ADMIN &amp; DOKUMEN EKSPOR"/>
    <s v="BY LEVY &amp; BK SAMPLE SIN &amp; GERMAN"/>
    <x v="18"/>
    <x v="18"/>
    <x v="8"/>
    <s v="SP"/>
    <n v="1719278"/>
    <n v="20251002"/>
  </r>
  <r>
    <s v="02.10.2025"/>
    <x v="3"/>
    <n v="50"/>
    <n v="-150000"/>
    <s v="IDR"/>
    <n v="-150000"/>
    <s v="IDR"/>
    <m/>
    <m/>
    <m/>
    <s v="R124"/>
    <s v="762/PPC/IX/2025"/>
    <s v="PERALATAN KANTOR"/>
    <s v="BY PEMB MAP U/ ADM EXPORT"/>
    <x v="16"/>
    <x v="16"/>
    <x v="17"/>
    <s v="SP"/>
    <n v="1719278"/>
    <n v="20251002"/>
  </r>
  <r>
    <s v="02.10.2025"/>
    <x v="3"/>
    <n v="50"/>
    <n v="-100000"/>
    <s v="IDR"/>
    <n v="-100000"/>
    <s v="IDR"/>
    <m/>
    <m/>
    <m/>
    <s v="R124"/>
    <s v="763/PPC/IX/2025"/>
    <s v="SURVEY DAN ANALISA"/>
    <s v="BY HC &amp; FREE SALE CERTIFICATE ASIA FOODS2411777315"/>
    <x v="1"/>
    <x v="1"/>
    <x v="8"/>
    <s v="SP"/>
    <n v="1719278"/>
    <n v="20251002"/>
  </r>
  <r>
    <s v="02.10.2025"/>
    <x v="3"/>
    <n v="50"/>
    <n v="-780000"/>
    <s v="IDR"/>
    <n v="-780000"/>
    <s v="IDR"/>
    <m/>
    <m/>
    <m/>
    <s v="R124"/>
    <s v="764/PPC/IX/2025"/>
    <s v="BAHAN BAKAR"/>
    <s v="BY TRANSPORTASI BBM 12/09/2025"/>
    <x v="6"/>
    <x v="6"/>
    <x v="9"/>
    <s v="SP"/>
    <n v="1719278"/>
    <n v="20251002"/>
  </r>
  <r>
    <s v="02.10.2025"/>
    <x v="3"/>
    <n v="50"/>
    <n v="-220000"/>
    <s v="IDR"/>
    <n v="-220000"/>
    <s v="IDR"/>
    <m/>
    <m/>
    <m/>
    <s v="R124"/>
    <s v="764/PPC/IX/2025"/>
    <s v="TRANSPORTASI LOKAL"/>
    <s v="BY TRANSPORTASI PARKIR TOL"/>
    <x v="5"/>
    <x v="5"/>
    <x v="9"/>
    <s v="SP"/>
    <n v="1719278"/>
    <n v="20251002"/>
  </r>
  <r>
    <s v="02.10.2025"/>
    <x v="3"/>
    <n v="50"/>
    <n v="-50000"/>
    <s v="IDR"/>
    <n v="-50000"/>
    <s v="IDR"/>
    <m/>
    <m/>
    <m/>
    <s v="R124"/>
    <s v="761/PPC/IX/2025"/>
    <s v="SURVEY DAN ANALISA"/>
    <s v="BY HC SUICHANGLONG EBP 2411777276"/>
    <x v="1"/>
    <x v="1"/>
    <x v="18"/>
    <s v="SP"/>
    <n v="1719278"/>
    <n v="20251002"/>
  </r>
  <r>
    <s v="02.10.2025"/>
    <x v="3"/>
    <n v="50"/>
    <n v="-50000"/>
    <s v="IDR"/>
    <n v="-50000"/>
    <s v="IDR"/>
    <m/>
    <m/>
    <m/>
    <s v="R124"/>
    <s v="761/PPC/IX/2025"/>
    <s v="SURVEY DAN ANALISA"/>
    <s v="BY HC SG OILSEED EBP 2411777373"/>
    <x v="1"/>
    <x v="1"/>
    <x v="1"/>
    <s v="SP"/>
    <n v="1719278"/>
    <n v="20251002"/>
  </r>
  <r>
    <s v="02.10.2025"/>
    <x v="3"/>
    <n v="50"/>
    <n v="-50000"/>
    <s v="IDR"/>
    <n v="-50000"/>
    <s v="IDR"/>
    <m/>
    <m/>
    <m/>
    <s v="R124"/>
    <s v="761/PPC/IX/2025"/>
    <s v="SURVEY DAN ANALISA"/>
    <s v="BY HC NESTLE PAKISTAN ETP 2411777415"/>
    <x v="1"/>
    <x v="1"/>
    <x v="8"/>
    <s v="SP"/>
    <n v="1719278"/>
    <n v="20251002"/>
  </r>
  <r>
    <s v="02.10.2025"/>
    <x v="3"/>
    <n v="50"/>
    <n v="-50000"/>
    <s v="IDR"/>
    <n v="-50000"/>
    <s v="IDR"/>
    <m/>
    <m/>
    <m/>
    <s v="R124"/>
    <s v="761/PPC/IX/2025"/>
    <s v="SURVEY DAN ANALISA"/>
    <s v="BY HC AST PVT EBP 2411777448"/>
    <x v="1"/>
    <x v="1"/>
    <x v="1"/>
    <s v="SP"/>
    <n v="1719278"/>
    <n v="20251002"/>
  </r>
  <r>
    <s v="02.10.2025"/>
    <x v="3"/>
    <n v="50"/>
    <n v="-50000"/>
    <s v="IDR"/>
    <n v="-50000"/>
    <s v="IDR"/>
    <m/>
    <m/>
    <m/>
    <s v="R124"/>
    <s v="761/PPC/IX/2025"/>
    <s v="SURVEY DAN ANALISA"/>
    <s v="BY HC AL ISLAM EBP 2411777449"/>
    <x v="1"/>
    <x v="1"/>
    <x v="1"/>
    <s v="SP"/>
    <n v="1719278"/>
    <n v="20251002"/>
  </r>
  <r>
    <s v="02.10.2025"/>
    <x v="3"/>
    <n v="50"/>
    <n v="-200000"/>
    <s v="IDR"/>
    <n v="-200000"/>
    <s v="IDR"/>
    <m/>
    <m/>
    <m/>
    <s v="R124"/>
    <s v="761/PPC/IX/2025"/>
    <s v="SURVEY DAN ANALISA"/>
    <s v="BY COO KADIN AST PVT EBP 2411777448"/>
    <x v="1"/>
    <x v="1"/>
    <x v="1"/>
    <s v="SP"/>
    <n v="1719278"/>
    <n v="20251002"/>
  </r>
  <r>
    <s v="02.10.2025"/>
    <x v="3"/>
    <n v="50"/>
    <n v="-200000"/>
    <s v="IDR"/>
    <n v="-200000"/>
    <s v="IDR"/>
    <m/>
    <m/>
    <m/>
    <s v="R124"/>
    <s v="761/PPC/IX/2025"/>
    <s v="SURVEY DAN ANALISA"/>
    <s v="BY COO KADIN AL ISLAM EBP 2411777449"/>
    <x v="1"/>
    <x v="1"/>
    <x v="1"/>
    <s v="SP"/>
    <n v="1719278"/>
    <n v="20251002"/>
  </r>
  <r>
    <s v="02.10.2025"/>
    <x v="3"/>
    <n v="50"/>
    <n v="-50000"/>
    <s v="IDR"/>
    <n v="-50000"/>
    <s v="IDR"/>
    <m/>
    <m/>
    <m/>
    <s v="R124"/>
    <s v="766/PPC/IX/2025"/>
    <s v="SURVEY DAN ANALISA"/>
    <s v="BY HC SUICHANGLONG EBP 2411777275"/>
    <x v="1"/>
    <x v="1"/>
    <x v="18"/>
    <s v="SP"/>
    <n v="1719278"/>
    <n v="20251002"/>
  </r>
  <r>
    <s v="02.10.2025"/>
    <x v="3"/>
    <n v="50"/>
    <n v="-50000"/>
    <s v="IDR"/>
    <n v="-50000"/>
    <s v="IDR"/>
    <m/>
    <m/>
    <m/>
    <s v="R124"/>
    <s v="766/PPC/IX/2025"/>
    <s v="SURVEY DAN ANALISA"/>
    <s v="BY HC SG OILSEED EBP 2411777342"/>
    <x v="1"/>
    <x v="1"/>
    <x v="1"/>
    <s v="SP"/>
    <n v="1719278"/>
    <n v="20251002"/>
  </r>
  <r>
    <s v="02.10.2025"/>
    <x v="3"/>
    <n v="50"/>
    <n v="-50000"/>
    <s v="IDR"/>
    <n v="-50000"/>
    <s v="IDR"/>
    <m/>
    <m/>
    <m/>
    <s v="R124"/>
    <s v="766/PPC/IX/2025"/>
    <s v="SURVEY DAN ANALISA"/>
    <s v="BY HC SUICHANGLONG EBP 2411777268"/>
    <x v="1"/>
    <x v="1"/>
    <x v="18"/>
    <s v="SP"/>
    <n v="1719278"/>
    <n v="20251002"/>
  </r>
  <r>
    <s v="02.10.2025"/>
    <x v="3"/>
    <n v="50"/>
    <n v="-50000"/>
    <s v="IDR"/>
    <n v="-50000"/>
    <s v="IDR"/>
    <m/>
    <m/>
    <m/>
    <s v="R124"/>
    <s v="766/PPC/IX/2025"/>
    <s v="SURVEY DAN ANALISA"/>
    <s v="BY HC GUANGGDONG SHENGRONG EBP 2411777429"/>
    <x v="1"/>
    <x v="1"/>
    <x v="18"/>
    <s v="SP"/>
    <n v="1719278"/>
    <n v="20251002"/>
  </r>
  <r>
    <s v="02.10.2025"/>
    <x v="3"/>
    <n v="50"/>
    <n v="-50000"/>
    <s v="IDR"/>
    <n v="-50000"/>
    <s v="IDR"/>
    <m/>
    <m/>
    <m/>
    <s v="R124"/>
    <s v="767/PPC/IX/2025"/>
    <s v="SURVEY DAN ANALISA"/>
    <s v="BY HC NESTLE AUSTRALIA ETP 2411777403"/>
    <x v="1"/>
    <x v="1"/>
    <x v="8"/>
    <s v="SP"/>
    <n v="1719278"/>
    <n v="20251002"/>
  </r>
  <r>
    <s v="02.10.2025"/>
    <x v="3"/>
    <n v="50"/>
    <n v="-50000"/>
    <s v="IDR"/>
    <n v="-50000"/>
    <s v="IDR"/>
    <m/>
    <m/>
    <m/>
    <s v="R124"/>
    <s v="767/PPC/IX/2025"/>
    <s v="SURVEY DAN ANALISA"/>
    <s v="BY HC NESTLE PNG ETP 2411777371"/>
    <x v="1"/>
    <x v="1"/>
    <x v="8"/>
    <s v="SP"/>
    <n v="1719278"/>
    <n v="20251002"/>
  </r>
  <r>
    <s v="02.10.2025"/>
    <x v="3"/>
    <n v="50"/>
    <n v="-50000"/>
    <s v="IDR"/>
    <n v="-50000"/>
    <s v="IDR"/>
    <m/>
    <m/>
    <m/>
    <s v="R124"/>
    <s v="767/PPC/IX/2025"/>
    <s v="SURVEY DAN ANALISA"/>
    <s v="BY HC NESTLE PNG ETP 2411777372"/>
    <x v="1"/>
    <x v="1"/>
    <x v="8"/>
    <s v="SP"/>
    <n v="1719278"/>
    <n v="20251002"/>
  </r>
  <r>
    <s v="02.10.2025"/>
    <x v="3"/>
    <n v="50"/>
    <n v="-50000"/>
    <s v="IDR"/>
    <n v="-50000"/>
    <s v="IDR"/>
    <m/>
    <m/>
    <m/>
    <s v="R124"/>
    <s v="768/PPC/IX/2025"/>
    <s v="SURVEY DAN ANALISA"/>
    <s v="BY HC KENDO L EBP 2411777301"/>
    <x v="1"/>
    <x v="1"/>
    <x v="2"/>
    <s v="SP"/>
    <n v="1719278"/>
    <n v="20251002"/>
  </r>
  <r>
    <s v="02.10.2025"/>
    <x v="3"/>
    <n v="50"/>
    <n v="-50000"/>
    <s v="IDR"/>
    <n v="-50000"/>
    <s v="IDR"/>
    <m/>
    <m/>
    <m/>
    <s v="R124"/>
    <s v="768/PPC/IX/2025"/>
    <s v="SURVEY DAN ANALISA"/>
    <s v="BY HC KENDO L EBP 2411777301"/>
    <x v="1"/>
    <x v="1"/>
    <x v="2"/>
    <s v="SP"/>
    <n v="1719278"/>
    <n v="20251002"/>
  </r>
  <r>
    <s v="02.10.2025"/>
    <x v="3"/>
    <n v="50"/>
    <n v="-50000"/>
    <s v="IDR"/>
    <n v="-50000"/>
    <s v="IDR"/>
    <m/>
    <m/>
    <m/>
    <s v="R124"/>
    <s v="768/PPC/IX/2025"/>
    <s v="SURVEY DAN ANALISA"/>
    <s v="BY HC KENDO L EBP 2411777301"/>
    <x v="1"/>
    <x v="1"/>
    <x v="2"/>
    <s v="SP"/>
    <n v="1719278"/>
    <n v="20251002"/>
  </r>
  <r>
    <s v="02.10.2025"/>
    <x v="3"/>
    <n v="50"/>
    <n v="-50000"/>
    <s v="IDR"/>
    <n v="-50000"/>
    <s v="IDR"/>
    <m/>
    <m/>
    <m/>
    <s v="R124"/>
    <s v="768/PPC/IX/2025"/>
    <s v="SURVEY DAN ANALISA"/>
    <s v="BY HC KENDO L EBP 2411777301"/>
    <x v="1"/>
    <x v="1"/>
    <x v="2"/>
    <s v="SP"/>
    <n v="1719278"/>
    <n v="20251002"/>
  </r>
  <r>
    <s v="02.10.2025"/>
    <x v="3"/>
    <n v="50"/>
    <n v="-800000"/>
    <s v="IDR"/>
    <n v="-800000"/>
    <s v="IDR"/>
    <m/>
    <m/>
    <m/>
    <s v="R124"/>
    <s v="770/PPC/IX/2025"/>
    <s v="BIAYA MESS"/>
    <s v="BY IURAN RT MESS PONDOK TJANDRA SEPT 2025"/>
    <x v="14"/>
    <x v="14"/>
    <x v="9"/>
    <s v="SP"/>
    <n v="1719278"/>
    <n v="20251002"/>
  </r>
  <r>
    <s v="02.10.2025"/>
    <x v="3"/>
    <n v="50"/>
    <n v="-50000"/>
    <s v="IDR"/>
    <n v="-50000"/>
    <s v="IDR"/>
    <m/>
    <m/>
    <m/>
    <s v="R124"/>
    <s v="771/PPC/IX/2025"/>
    <s v="SURVEY DAN ANALISA"/>
    <s v="BY HC GREIXOS EBP 2411777168"/>
    <x v="1"/>
    <x v="1"/>
    <x v="1"/>
    <s v="SP"/>
    <n v="1719278"/>
    <n v="20251002"/>
  </r>
  <r>
    <s v="02.10.2025"/>
    <x v="3"/>
    <n v="50"/>
    <n v="-957000"/>
    <s v="IDR"/>
    <n v="-957000"/>
    <s v="IDR"/>
    <m/>
    <m/>
    <m/>
    <s v="R124"/>
    <s v="756/PPC/IX/2025"/>
    <s v="PBAIKN&amp;PRAWATN PRABT MATR"/>
    <s v="BY PEMB ADAPTOR, SENTER KEPALA, TANG CATUT,TOOLBOX"/>
    <x v="3"/>
    <x v="3"/>
    <x v="30"/>
    <s v="SP"/>
    <n v="1719278"/>
    <n v="20251002"/>
  </r>
  <r>
    <s v="02.10.2025"/>
    <x v="3"/>
    <n v="50"/>
    <n v="-50000"/>
    <s v="IDR"/>
    <n v="-50000"/>
    <s v="IDR"/>
    <m/>
    <m/>
    <m/>
    <s v="R124"/>
    <s v="773/PPC/IX/2025"/>
    <s v="SURVEY DAN ANALISA"/>
    <s v="BY HC NESTLE PNG ETP 2411777216 - REPROSES"/>
    <x v="1"/>
    <x v="1"/>
    <x v="8"/>
    <s v="SP"/>
    <n v="1719278"/>
    <n v="20251002"/>
  </r>
  <r>
    <s v="02.10.2025"/>
    <x v="3"/>
    <n v="50"/>
    <n v="-50000"/>
    <s v="IDR"/>
    <n v="-50000"/>
    <s v="IDR"/>
    <m/>
    <m/>
    <m/>
    <s v="R124"/>
    <s v="773/PPC/IX/2025"/>
    <s v="SURVEY DAN ANALISA"/>
    <s v="BY HC NESTLE PNG ETP 2411777220 - REPROSES"/>
    <x v="1"/>
    <x v="1"/>
    <x v="8"/>
    <s v="SP"/>
    <n v="1719278"/>
    <n v="20251002"/>
  </r>
  <r>
    <s v="02.10.2025"/>
    <x v="3"/>
    <n v="50"/>
    <n v="-50000"/>
    <s v="IDR"/>
    <n v="-50000"/>
    <s v="IDR"/>
    <m/>
    <m/>
    <m/>
    <s v="R124"/>
    <s v="773/PPC/IX/2025"/>
    <s v="SURVEY DAN ANALISA"/>
    <s v="BY HC NESTLE PNG ETP 2411777371 - REPROSES"/>
    <x v="1"/>
    <x v="1"/>
    <x v="8"/>
    <s v="SP"/>
    <n v="1719278"/>
    <n v="20251002"/>
  </r>
  <r>
    <s v="02.10.2025"/>
    <x v="3"/>
    <n v="50"/>
    <n v="-50000"/>
    <s v="IDR"/>
    <n v="-50000"/>
    <s v="IDR"/>
    <m/>
    <m/>
    <m/>
    <s v="R124"/>
    <s v="773/PPC/IX/2025"/>
    <s v="SURVEY DAN ANALISA"/>
    <s v="BY HC NESTLE PNG ETP 2411777372 - REPROSES"/>
    <x v="1"/>
    <x v="1"/>
    <x v="8"/>
    <s v="SP"/>
    <n v="1719278"/>
    <n v="20251002"/>
  </r>
  <r>
    <s v="02.10.2025"/>
    <x v="3"/>
    <n v="50"/>
    <n v="-560000"/>
    <s v="IDR"/>
    <n v="-560000"/>
    <s v="IDR"/>
    <m/>
    <m/>
    <m/>
    <s v="R124"/>
    <s v="776/PPC/IX/2025"/>
    <s v="BAHAN BAKAR"/>
    <s v="BY TRANSPORTASI BBM 16-18/09/2025"/>
    <x v="6"/>
    <x v="6"/>
    <x v="9"/>
    <s v="SP"/>
    <n v="1719278"/>
    <n v="20251002"/>
  </r>
  <r>
    <s v="02.10.2025"/>
    <x v="3"/>
    <n v="50"/>
    <n v="-439500"/>
    <s v="IDR"/>
    <n v="-439500"/>
    <s v="IDR"/>
    <m/>
    <m/>
    <m/>
    <s v="R124"/>
    <s v="776/PPC/IX/2025"/>
    <s v="TRANSPORTASI LOKAL"/>
    <s v="BY TRANSPORTASI PARKIR TOL"/>
    <x v="5"/>
    <x v="5"/>
    <x v="9"/>
    <s v="SP"/>
    <n v="1719278"/>
    <n v="20251002"/>
  </r>
  <r>
    <s v="02.10.2025"/>
    <x v="3"/>
    <n v="50"/>
    <n v="-601025"/>
    <s v="IDR"/>
    <n v="-601025"/>
    <s v="IDR"/>
    <m/>
    <m/>
    <m/>
    <s v="R124"/>
    <s v="777/PPC/IX/2025"/>
    <s v="RISET/PENGEMBANGAN PRODUK"/>
    <s v="BY PEMB SENSORY KFC, McD, SPIRITUS LAB, SPON"/>
    <x v="9"/>
    <x v="9"/>
    <x v="15"/>
    <s v="SP"/>
    <n v="1719278"/>
    <n v="20251002"/>
  </r>
  <r>
    <s v="02.10.2025"/>
    <x v="3"/>
    <n v="50"/>
    <n v="-86000"/>
    <s v="IDR"/>
    <n v="-86000"/>
    <s v="IDR"/>
    <m/>
    <m/>
    <m/>
    <s v="R124"/>
    <s v="777/PPC/IX/2025"/>
    <s v="KIRIM DOKUMEN/SURAT"/>
    <s v="BY ONGKIR SAMPEL SGS"/>
    <x v="15"/>
    <x v="15"/>
    <x v="15"/>
    <s v="SP"/>
    <n v="1719278"/>
    <n v="20251002"/>
  </r>
  <r>
    <s v="02.10.2025"/>
    <x v="3"/>
    <n v="50"/>
    <n v="-999700"/>
    <s v="IDR"/>
    <n v="-999700"/>
    <s v="IDR"/>
    <m/>
    <m/>
    <m/>
    <s v="R124"/>
    <s v="778/PPC/IX/2025"/>
    <s v="MAKANAN DAN MINUMAN"/>
    <s v="BY KONSUMSI MR MEETING EHFS SEMESTER II 2025"/>
    <x v="7"/>
    <x v="7"/>
    <x v="16"/>
    <s v="SP"/>
    <n v="1719278"/>
    <n v="20251002"/>
  </r>
  <r>
    <s v="02.10.2025"/>
    <x v="3"/>
    <n v="50"/>
    <n v="-400000"/>
    <s v="IDR"/>
    <n v="-400000"/>
    <s v="IDR"/>
    <m/>
    <m/>
    <m/>
    <s v="R124"/>
    <s v="779/PPC/IX/2025"/>
    <s v="MAKANAN DAN MINUMAN"/>
    <s v="BY KONSUMSI SC MEETING 18/09/2025"/>
    <x v="7"/>
    <x v="7"/>
    <x v="22"/>
    <s v="SP"/>
    <n v="1719278"/>
    <n v="20251002"/>
  </r>
  <r>
    <s v="02.10.2025"/>
    <x v="3"/>
    <n v="50"/>
    <n v="-150000"/>
    <s v="IDR"/>
    <n v="-150000"/>
    <s v="IDR"/>
    <m/>
    <m/>
    <m/>
    <s v="R124"/>
    <s v="765/PPC/IX/2025"/>
    <s v="UMUM &amp; ADMIN LAIN"/>
    <s v="BY PEMB FORM KADIN"/>
    <x v="15"/>
    <x v="15"/>
    <x v="1"/>
    <s v="SP"/>
    <n v="1719278"/>
    <n v="20251002"/>
  </r>
  <r>
    <s v="02.10.2025"/>
    <x v="3"/>
    <n v="50"/>
    <n v="-50000"/>
    <s v="IDR"/>
    <n v="-50000"/>
    <s v="IDR"/>
    <m/>
    <m/>
    <m/>
    <s v="R124"/>
    <s v="769/PPC/IX/2025"/>
    <s v="SURVEY DAN ANALISA"/>
    <s v="BY HC ASSUDAMAL EBP 2411777285"/>
    <x v="1"/>
    <x v="1"/>
    <x v="2"/>
    <s v="SP"/>
    <n v="1719278"/>
    <n v="20251002"/>
  </r>
  <r>
    <s v="02.10.2025"/>
    <x v="3"/>
    <n v="50"/>
    <n v="-50000"/>
    <s v="IDR"/>
    <n v="-50000"/>
    <s v="IDR"/>
    <m/>
    <m/>
    <m/>
    <s v="R124"/>
    <s v="769/PPC/IX/2025"/>
    <s v="SURVEY DAN ANALISA"/>
    <s v="BY HC ASSUDAMAL EBP 2411777286"/>
    <x v="1"/>
    <x v="1"/>
    <x v="1"/>
    <s v="SP"/>
    <n v="1719278"/>
    <n v="20251002"/>
  </r>
  <r>
    <s v="02.10.2025"/>
    <x v="3"/>
    <n v="50"/>
    <n v="-50000"/>
    <s v="IDR"/>
    <n v="-50000"/>
    <s v="IDR"/>
    <m/>
    <m/>
    <m/>
    <s v="R124"/>
    <s v="769/PPC/IX/2025"/>
    <s v="SURVEY DAN ANALISA"/>
    <s v="BY HC ASSUDAMAL EBP 2411777287"/>
    <x v="1"/>
    <x v="1"/>
    <x v="1"/>
    <s v="SP"/>
    <n v="1719278"/>
    <n v="20251002"/>
  </r>
  <r>
    <s v="02.10.2025"/>
    <x v="3"/>
    <n v="50"/>
    <n v="-50000"/>
    <s v="IDR"/>
    <n v="-50000"/>
    <s v="IDR"/>
    <m/>
    <m/>
    <m/>
    <s v="R124"/>
    <s v="769/PPC/IX/2025"/>
    <s v="SURVEY DAN ANALISA"/>
    <s v="BY HC AL JAZIRA EBP 2411777288"/>
    <x v="1"/>
    <x v="1"/>
    <x v="1"/>
    <s v="SP"/>
    <n v="1719278"/>
    <n v="20251002"/>
  </r>
  <r>
    <s v="02.10.2025"/>
    <x v="3"/>
    <n v="50"/>
    <n v="-932500"/>
    <s v="IDR"/>
    <n v="-932500"/>
    <s v="IDR"/>
    <m/>
    <m/>
    <m/>
    <s v="R124"/>
    <s v="772/PPC/IX/2025"/>
    <s v="PBAIKN&amp;PRAWATN PRABT MATR"/>
    <s v="BY PEMB PISAU TOHO, GUNTING HOLO, OBENG,STEKER,DLL"/>
    <x v="3"/>
    <x v="3"/>
    <x v="9"/>
    <s v="SP"/>
    <n v="1719278"/>
    <n v="20251002"/>
  </r>
  <r>
    <s v="02.10.2025"/>
    <x v="3"/>
    <n v="50"/>
    <n v="-450000"/>
    <s v="IDR"/>
    <n v="-450000"/>
    <s v="IDR"/>
    <m/>
    <m/>
    <m/>
    <s v="R124"/>
    <s v="780/PPC/IX/2025"/>
    <s v="OLAHRAGA DAN PERMAINAN"/>
    <s v="BY OLAHRAGA 19/09/2025"/>
    <x v="0"/>
    <x v="0"/>
    <x v="0"/>
    <s v="SP"/>
    <n v="1719278"/>
    <n v="20251002"/>
  </r>
  <r>
    <s v="02.10.2025"/>
    <x v="3"/>
    <n v="50"/>
    <n v="-25000"/>
    <s v="IDR"/>
    <n v="-25000"/>
    <s v="IDR"/>
    <m/>
    <m/>
    <m/>
    <s v="R124"/>
    <s v="783/PPC/IX/2025"/>
    <s v="MAKANAN DAN MINUMAN"/>
    <s v="BY MKN DNS PRK 19/09/2025 - 1ORG"/>
    <x v="7"/>
    <x v="7"/>
    <x v="13"/>
    <s v="SP"/>
    <n v="1719278"/>
    <n v="20251002"/>
  </r>
  <r>
    <s v="02.10.2025"/>
    <x v="3"/>
    <n v="50"/>
    <n v="-100000"/>
    <s v="IDR"/>
    <n v="-100000"/>
    <s v="IDR"/>
    <m/>
    <m/>
    <m/>
    <s v="R124"/>
    <s v="784/PPC/IX/2025"/>
    <s v="SURVEY DAN ANALISA"/>
    <s v="BY HC &amp; FREE SALE CERTIFICATE ASIA FOOD 2411777368"/>
    <x v="1"/>
    <x v="1"/>
    <x v="8"/>
    <s v="SP"/>
    <n v="1719278"/>
    <n v="20251002"/>
  </r>
  <r>
    <s v="02.10.2025"/>
    <x v="3"/>
    <n v="50"/>
    <n v="-710000"/>
    <s v="IDR"/>
    <n v="-710000"/>
    <s v="IDR"/>
    <m/>
    <m/>
    <m/>
    <s v="R124"/>
    <s v="785/PPC/IX/2025"/>
    <s v="BAHAN BAKAR"/>
    <s v="BY TRANSPORTASI BBM 18-22/09/2025"/>
    <x v="6"/>
    <x v="6"/>
    <x v="9"/>
    <s v="SP"/>
    <n v="1719278"/>
    <n v="20251002"/>
  </r>
  <r>
    <s v="02.10.2025"/>
    <x v="3"/>
    <n v="50"/>
    <n v="-290000"/>
    <s v="IDR"/>
    <n v="-290000"/>
    <s v="IDR"/>
    <m/>
    <m/>
    <m/>
    <s v="R124"/>
    <s v="785/PPC/IX/2025"/>
    <s v="TRANSPORTASI LOKAL"/>
    <s v="BY TRANSPORTASI PARKIR TOL"/>
    <x v="5"/>
    <x v="5"/>
    <x v="9"/>
    <s v="SP"/>
    <n v="1719278"/>
    <n v="20251002"/>
  </r>
  <r>
    <s v="02.10.2025"/>
    <x v="3"/>
    <n v="50"/>
    <n v="-50000"/>
    <s v="IDR"/>
    <n v="-50000"/>
    <s v="IDR"/>
    <m/>
    <m/>
    <m/>
    <s v="R124"/>
    <s v="786/PPC/IX/2025"/>
    <s v="SURVEY DAN ANALISA"/>
    <s v="BY HC NESTLE PNG ETP 2411777517"/>
    <x v="1"/>
    <x v="1"/>
    <x v="8"/>
    <s v="SP"/>
    <n v="1719278"/>
    <n v="20251002"/>
  </r>
  <r>
    <s v="02.10.2025"/>
    <x v="3"/>
    <n v="50"/>
    <n v="-50000"/>
    <s v="IDR"/>
    <n v="-50000"/>
    <s v="IDR"/>
    <m/>
    <m/>
    <m/>
    <s v="R124"/>
    <s v="786/PPC/IX/2025"/>
    <s v="SURVEY DAN ANALISA"/>
    <s v="BY HC NESTLE PNG ETP 2411777518"/>
    <x v="1"/>
    <x v="1"/>
    <x v="8"/>
    <s v="SP"/>
    <n v="1719278"/>
    <n v="20251002"/>
  </r>
  <r>
    <s v="02.10.2025"/>
    <x v="3"/>
    <n v="50"/>
    <n v="-625000"/>
    <s v="IDR"/>
    <n v="-625000"/>
    <s v="IDR"/>
    <m/>
    <m/>
    <m/>
    <s v="R124"/>
    <s v="775/PPC/IX/2025"/>
    <s v="PBAIKN&amp;PRAWATN PRABT MATR"/>
    <s v="BY PEMB HANDLLE PINTU R.PANEL CHILLER&amp;R.FRAKSINASI"/>
    <x v="3"/>
    <x v="3"/>
    <x v="28"/>
    <s v="SP"/>
    <n v="1719278"/>
    <n v="20251002"/>
  </r>
  <r>
    <s v="02.10.2025"/>
    <x v="3"/>
    <n v="50"/>
    <n v="-290470"/>
    <s v="IDR"/>
    <n v="-290470"/>
    <s v="IDR"/>
    <m/>
    <m/>
    <m/>
    <s v="R124"/>
    <s v="787/PPC/IX/2025"/>
    <s v="PBAIKN&amp;PRAWATN PRABT MATR"/>
    <s v="BY PEMB KAWAT ANTI NYAMUK, BETEL BETON"/>
    <x v="3"/>
    <x v="3"/>
    <x v="14"/>
    <s v="SP"/>
    <n v="1719278"/>
    <n v="20251002"/>
  </r>
  <r>
    <s v="02.10.2025"/>
    <x v="3"/>
    <n v="50"/>
    <n v="-50000"/>
    <s v="IDR"/>
    <n v="-50000"/>
    <s v="IDR"/>
    <m/>
    <m/>
    <m/>
    <s v="R124"/>
    <s v="782/PPC/IX/2025"/>
    <s v="SURVEY DAN ANALISA"/>
    <s v="BY HC SG OILSEED EBP 2411777447"/>
    <x v="1"/>
    <x v="1"/>
    <x v="1"/>
    <s v="SP"/>
    <n v="1719278"/>
    <n v="20251002"/>
  </r>
  <r>
    <s v="02.10.2025"/>
    <x v="3"/>
    <n v="50"/>
    <n v="-50000"/>
    <s v="IDR"/>
    <n v="-50000"/>
    <s v="IDR"/>
    <m/>
    <m/>
    <m/>
    <s v="R124"/>
    <s v="782/PPC/IX/2025"/>
    <s v="SURVEY DAN ANALISA"/>
    <s v="BY HC HORGOS BAIPENG EBP 2411777477"/>
    <x v="1"/>
    <x v="1"/>
    <x v="1"/>
    <s v="SP"/>
    <n v="1719278"/>
    <n v="20251002"/>
  </r>
  <r>
    <s v="02.10.2025"/>
    <x v="3"/>
    <n v="50"/>
    <n v="-50000"/>
    <s v="IDR"/>
    <n v="-50000"/>
    <s v="IDR"/>
    <m/>
    <m/>
    <m/>
    <s v="R124"/>
    <s v="782/PPC/IX/2025"/>
    <s v="SURVEY DAN ANALISA"/>
    <s v="BY HC NESTLE BANGLADESH ETP 2411777500"/>
    <x v="1"/>
    <x v="1"/>
    <x v="8"/>
    <s v="SP"/>
    <n v="1719278"/>
    <n v="20251002"/>
  </r>
  <r>
    <s v="02.10.2025"/>
    <x v="3"/>
    <n v="50"/>
    <n v="-50000"/>
    <s v="IDR"/>
    <n v="-50000"/>
    <s v="IDR"/>
    <m/>
    <m/>
    <m/>
    <s v="R124"/>
    <s v="782/PPC/IX/2025"/>
    <s v="SURVEY DAN ANALISA"/>
    <s v="BY HC NESTLE PAKISTAN ETP 2411777542"/>
    <x v="1"/>
    <x v="1"/>
    <x v="8"/>
    <s v="SP"/>
    <n v="1719278"/>
    <n v="20251002"/>
  </r>
  <r>
    <s v="02.10.2025"/>
    <x v="3"/>
    <n v="50"/>
    <n v="-200000"/>
    <s v="IDR"/>
    <n v="-200000"/>
    <s v="IDR"/>
    <m/>
    <m/>
    <m/>
    <s v="R124"/>
    <s v="782/PPC/IX/2025"/>
    <s v="SURVEY DAN ANALISA"/>
    <s v="BY COO KADIN NESTLE BANGLADESH EBP 2411777500"/>
    <x v="1"/>
    <x v="1"/>
    <x v="8"/>
    <s v="SP"/>
    <n v="1719278"/>
    <n v="20251002"/>
  </r>
  <r>
    <s v="02.10.2025"/>
    <x v="3"/>
    <n v="50"/>
    <n v="-586500"/>
    <s v="IDR"/>
    <n v="-586500"/>
    <s v="IDR"/>
    <m/>
    <m/>
    <m/>
    <s v="R124"/>
    <s v="789/PPC/IX/2025"/>
    <s v="PERLENGKAPAN FOTOCOPY"/>
    <s v="BY PEMBUATAN TAGGING ACRYLIC"/>
    <x v="4"/>
    <x v="4"/>
    <x v="5"/>
    <s v="SP"/>
    <n v="1719278"/>
    <n v="20251002"/>
  </r>
  <r>
    <s v="02.10.2025"/>
    <x v="3"/>
    <n v="50"/>
    <n v="-145000"/>
    <s v="IDR"/>
    <n v="-145000"/>
    <s v="IDR"/>
    <m/>
    <m/>
    <m/>
    <s v="R124"/>
    <s v="790/PPC/IX/2025"/>
    <s v="MAKANAN DAN MINUMAN"/>
    <s v="BY KONSUMSI TRAINING LIFELINE SYSTEM SRL"/>
    <x v="7"/>
    <x v="7"/>
    <x v="0"/>
    <s v="SP"/>
    <n v="1719278"/>
    <n v="20251002"/>
  </r>
  <r>
    <s v="02.10.2025"/>
    <x v="3"/>
    <n v="50"/>
    <n v="-234000"/>
    <s v="IDR"/>
    <n v="-234000"/>
    <s v="IDR"/>
    <m/>
    <m/>
    <m/>
    <s v="R124"/>
    <s v="791/PPC/IX/2025"/>
    <s v="TRANSPORTASI LOKAL"/>
    <s v="BY PARKIR SPD MTR L 2167 FT BAG. EKSP.27/08-23/09"/>
    <x v="5"/>
    <x v="5"/>
    <x v="1"/>
    <s v="SP"/>
    <n v="1719278"/>
    <n v="20251002"/>
  </r>
  <r>
    <s v="02.10.2025"/>
    <x v="3"/>
    <n v="50"/>
    <n v="-15000"/>
    <s v="IDR"/>
    <n v="-15000"/>
    <s v="IDR"/>
    <m/>
    <m/>
    <m/>
    <s v="R124"/>
    <s v="791/PPC/IX/2025"/>
    <s v="PERLENGKAPAN FOTOCOPY"/>
    <s v="BY FOTOCOPY &amp; PRINT BAG. EKSPORT 27/08-23/09/2025"/>
    <x v="4"/>
    <x v="4"/>
    <x v="1"/>
    <s v="SP"/>
    <n v="1719278"/>
    <n v="20251002"/>
  </r>
  <r>
    <s v="02.10.2025"/>
    <x v="3"/>
    <n v="50"/>
    <n v="-50000"/>
    <s v="IDR"/>
    <n v="-50000"/>
    <s v="IDR"/>
    <m/>
    <m/>
    <m/>
    <s v="R124"/>
    <s v="792/PPC/IX/2025"/>
    <s v="SURVEY DAN ANALISA"/>
    <s v="BY HC NESTLE AUSTRALIA ETP 2411777514"/>
    <x v="1"/>
    <x v="1"/>
    <x v="8"/>
    <s v="SP"/>
    <n v="1719278"/>
    <n v="20251002"/>
  </r>
  <r>
    <s v="02.10.2025"/>
    <x v="3"/>
    <n v="50"/>
    <n v="-640000"/>
    <s v="IDR"/>
    <n v="-640000"/>
    <s v="IDR"/>
    <m/>
    <m/>
    <m/>
    <s v="R124"/>
    <s v="794/PPC/IX/2025"/>
    <s v="BAHAN BAKAR"/>
    <s v="BY TRANSPORTASI BBM 23-25/09/2025"/>
    <x v="6"/>
    <x v="6"/>
    <x v="9"/>
    <s v="SP"/>
    <n v="1719278"/>
    <n v="20251002"/>
  </r>
  <r>
    <s v="02.10.2025"/>
    <x v="3"/>
    <n v="50"/>
    <n v="-359500"/>
    <s v="IDR"/>
    <n v="-359500"/>
    <s v="IDR"/>
    <m/>
    <m/>
    <m/>
    <s v="R124"/>
    <s v="794/PPC/IX/2025"/>
    <s v="TRANSPORTASI LOKAL"/>
    <s v="BY TRANSPORTASI PARKIR TOL"/>
    <x v="5"/>
    <x v="5"/>
    <x v="9"/>
    <s v="SP"/>
    <n v="1719278"/>
    <n v="20251002"/>
  </r>
  <r>
    <s v="02.10.2025"/>
    <x v="3"/>
    <n v="50"/>
    <n v="-50000"/>
    <s v="IDR"/>
    <n v="-50000"/>
    <s v="IDR"/>
    <m/>
    <m/>
    <m/>
    <s v="R124"/>
    <s v="782/PPC/IX/2025"/>
    <s v="SURVEY DAN ANALISA"/>
    <s v="BY HC SG OILSEED EBP 2411777373 - REVISI"/>
    <x v="1"/>
    <x v="1"/>
    <x v="1"/>
    <s v="SP"/>
    <n v="1719278"/>
    <n v="20251002"/>
  </r>
  <r>
    <s v="03.10.2025"/>
    <x v="3"/>
    <n v="50"/>
    <n v="-50000"/>
    <s v="IDR"/>
    <n v="-50000"/>
    <s v="IDR"/>
    <m/>
    <m/>
    <m/>
    <s v="R124"/>
    <s v="795/PPC/IX/2025"/>
    <s v="SURVEY DAN ANALISA"/>
    <s v="BY HC GUANGDONG SHENGRONG EBP 2411777479"/>
    <x v="1"/>
    <x v="1"/>
    <x v="18"/>
    <s v="SP"/>
    <n v="1719278"/>
    <n v="20251003"/>
  </r>
  <r>
    <s v="03.10.2025"/>
    <x v="3"/>
    <n v="50"/>
    <n v="-50000"/>
    <s v="IDR"/>
    <n v="-50000"/>
    <s v="IDR"/>
    <m/>
    <m/>
    <m/>
    <s v="R124"/>
    <s v="795/PPC/IX/2025"/>
    <s v="SURVEY DAN ANALISA"/>
    <s v="BY HC SG OILSEED EBP 2411777486"/>
    <x v="1"/>
    <x v="1"/>
    <x v="1"/>
    <s v="SP"/>
    <n v="1719278"/>
    <n v="20251003"/>
  </r>
  <r>
    <s v="03.10.2025"/>
    <x v="3"/>
    <n v="50"/>
    <n v="-50000"/>
    <s v="IDR"/>
    <n v="-50000"/>
    <s v="IDR"/>
    <m/>
    <m/>
    <m/>
    <s v="R124"/>
    <s v="795/PPC/IX/2025"/>
    <s v="SURVEY DAN ANALISA"/>
    <s v="BY HC FUJIAN NANAN EBP 2411777433"/>
    <x v="1"/>
    <x v="1"/>
    <x v="18"/>
    <s v="SP"/>
    <n v="1719278"/>
    <n v="20251003"/>
  </r>
  <r>
    <s v="03.10.2025"/>
    <x v="3"/>
    <n v="50"/>
    <n v="-50000"/>
    <s v="IDR"/>
    <n v="-50000"/>
    <s v="IDR"/>
    <m/>
    <m/>
    <m/>
    <s v="R124"/>
    <s v="795/PPC/IX/2025"/>
    <s v="SURVEY DAN ANALISA"/>
    <s v="BY HC SG OILSEED EBP 2411777489"/>
    <x v="1"/>
    <x v="1"/>
    <x v="1"/>
    <s v="SP"/>
    <n v="1719278"/>
    <n v="20251003"/>
  </r>
  <r>
    <s v="03.10.2025"/>
    <x v="3"/>
    <n v="50"/>
    <n v="-50000"/>
    <s v="IDR"/>
    <n v="-50000"/>
    <s v="IDR"/>
    <m/>
    <m/>
    <m/>
    <s v="R124"/>
    <s v="795/PPC/IX/2025"/>
    <s v="SURVEY DAN ANALISA"/>
    <s v="BY HC SG OILSEED EBP 2411777460"/>
    <x v="1"/>
    <x v="1"/>
    <x v="1"/>
    <s v="SP"/>
    <n v="1719278"/>
    <n v="20251003"/>
  </r>
  <r>
    <s v="03.10.2025"/>
    <x v="3"/>
    <n v="50"/>
    <n v="-14000"/>
    <s v="IDR"/>
    <n v="-14000"/>
    <s v="IDR"/>
    <m/>
    <m/>
    <m/>
    <s v="R124"/>
    <s v="795/PPC/IX/2025"/>
    <s v="ADMIN &amp; DOKUMEN EKSPOR"/>
    <s v="BY LEVY &amp; BK SAMPEL PHILIPPINES"/>
    <x v="18"/>
    <x v="18"/>
    <x v="8"/>
    <s v="SP"/>
    <n v="1719278"/>
    <n v="20251003"/>
  </r>
  <r>
    <s v="03.10.2025"/>
    <x v="3"/>
    <n v="50"/>
    <n v="-80000"/>
    <s v="IDR"/>
    <n v="-80000"/>
    <s v="IDR"/>
    <m/>
    <m/>
    <m/>
    <s v="R124"/>
    <s v="797/PPC/IX/2025"/>
    <s v="PBAIKN&amp;PRAWATN PRABT MATR"/>
    <s v="BY PEMB KUNCI TUBE U/ PERBAIKAN LACI"/>
    <x v="3"/>
    <x v="3"/>
    <x v="9"/>
    <s v="SP"/>
    <n v="1719278"/>
    <n v="20251003"/>
  </r>
  <r>
    <s v="03.10.2025"/>
    <x v="3"/>
    <n v="50"/>
    <n v="-40000"/>
    <s v="IDR"/>
    <n v="-40000"/>
    <s v="IDR"/>
    <m/>
    <m/>
    <m/>
    <s v="R124"/>
    <s v="798/PPC/IX/2025"/>
    <s v="PBAIKN&amp;PRAWATN PRABT MATR"/>
    <s v="BY PEMB DINABOLT U/ PERBAIKAN RAK"/>
    <x v="3"/>
    <x v="3"/>
    <x v="11"/>
    <s v="SP"/>
    <n v="1719278"/>
    <n v="20251003"/>
  </r>
  <r>
    <s v="03.10.2025"/>
    <x v="3"/>
    <n v="50"/>
    <n v="-188000"/>
    <s v="IDR"/>
    <n v="-188000"/>
    <s v="IDR"/>
    <m/>
    <m/>
    <m/>
    <s v="R124"/>
    <s v="800/PPC/IX/2025"/>
    <s v="TRANSPORTASI LOKAL"/>
    <s v="BY PARKIR SPD MTR BAG.EKSP. L 2057 EK 01-24/09/25"/>
    <x v="5"/>
    <x v="5"/>
    <x v="1"/>
    <s v="SP"/>
    <n v="1719278"/>
    <n v="20251003"/>
  </r>
  <r>
    <s v="03.10.2025"/>
    <x v="3"/>
    <n v="50"/>
    <n v="-50000"/>
    <s v="IDR"/>
    <n v="-50000"/>
    <s v="IDR"/>
    <m/>
    <m/>
    <m/>
    <s v="R124"/>
    <s v="801/PPC/IX/2025"/>
    <s v="SURVEY DAN ANALISA"/>
    <s v="BY HC HORGOS EBP 2411777482"/>
    <x v="1"/>
    <x v="1"/>
    <x v="1"/>
    <s v="SP"/>
    <n v="1719278"/>
    <n v="20251003"/>
  </r>
  <r>
    <s v="03.10.2025"/>
    <x v="3"/>
    <n v="50"/>
    <n v="-50000"/>
    <s v="IDR"/>
    <n v="-50000"/>
    <s v="IDR"/>
    <m/>
    <m/>
    <m/>
    <s v="R124"/>
    <s v="801/PPC/IX/2025"/>
    <s v="SURVEY DAN ANALISA"/>
    <s v="BY HC HORGOS EBP 2411777480"/>
    <x v="1"/>
    <x v="1"/>
    <x v="1"/>
    <s v="SP"/>
    <n v="1719278"/>
    <n v="20251003"/>
  </r>
  <r>
    <s v="03.10.2025"/>
    <x v="3"/>
    <n v="50"/>
    <n v="-50000"/>
    <s v="IDR"/>
    <n v="-50000"/>
    <s v="IDR"/>
    <m/>
    <m/>
    <m/>
    <s v="R124"/>
    <s v="801/PPC/IX/2025"/>
    <s v="SURVEY DAN ANALISA"/>
    <s v="BY HC HORGOS EBP 2411777484"/>
    <x v="1"/>
    <x v="1"/>
    <x v="1"/>
    <s v="SP"/>
    <n v="1719278"/>
    <n v="20251003"/>
  </r>
  <r>
    <s v="03.10.2025"/>
    <x v="3"/>
    <n v="50"/>
    <n v="-50000"/>
    <s v="IDR"/>
    <n v="-50000"/>
    <s v="IDR"/>
    <m/>
    <m/>
    <m/>
    <s v="R124"/>
    <s v="801/PPC/IX/2025"/>
    <s v="SURVEY DAN ANALISA"/>
    <s v="BY HC HORGOS EBP 2411777594"/>
    <x v="1"/>
    <x v="1"/>
    <x v="1"/>
    <s v="SP"/>
    <n v="1719278"/>
    <n v="20251003"/>
  </r>
  <r>
    <s v="03.10.2025"/>
    <x v="3"/>
    <n v="50"/>
    <n v="-50000"/>
    <s v="IDR"/>
    <n v="-50000"/>
    <s v="IDR"/>
    <m/>
    <m/>
    <m/>
    <s v="R124"/>
    <s v="802/PPC/IX/2025"/>
    <s v="SURVEY DAN ANALISA"/>
    <s v="BY HC SG OILSEED EBP 2411777478"/>
    <x v="1"/>
    <x v="1"/>
    <x v="1"/>
    <s v="SP"/>
    <n v="1719278"/>
    <n v="20251003"/>
  </r>
  <r>
    <s v="03.10.2025"/>
    <x v="3"/>
    <n v="50"/>
    <n v="-50000"/>
    <s v="IDR"/>
    <n v="-50000"/>
    <s v="IDR"/>
    <m/>
    <m/>
    <m/>
    <s v="R124"/>
    <s v="802/PPC/IX/2025"/>
    <s v="SURVEY DAN ANALISA"/>
    <s v="BY FREE SALE CERTIFICATE EBP 2411777554"/>
    <x v="1"/>
    <x v="1"/>
    <x v="1"/>
    <s v="SP"/>
    <n v="1719278"/>
    <n v="20251003"/>
  </r>
  <r>
    <s v="03.10.2025"/>
    <x v="3"/>
    <n v="50"/>
    <n v="-942500"/>
    <s v="IDR"/>
    <n v="-942500"/>
    <s v="IDR"/>
    <m/>
    <m/>
    <m/>
    <s v="R124"/>
    <s v="788/PPC/IX/2025"/>
    <s v="PEMEL.KEND&amp;A.BERAT MATRL"/>
    <s v="BY PEMB CONNECTOR, SELANG, DLL"/>
    <x v="2"/>
    <x v="2"/>
    <x v="31"/>
    <s v="SP"/>
    <n v="1719278"/>
    <n v="20251003"/>
  </r>
  <r>
    <s v="03.10.2025"/>
    <x v="3"/>
    <n v="50"/>
    <n v="-997235"/>
    <s v="IDR"/>
    <n v="-997235"/>
    <s v="IDR"/>
    <m/>
    <m/>
    <m/>
    <s v="R124"/>
    <s v="793/PPC/IX/2025"/>
    <s v="MAKANAN DAN MINUMAN"/>
    <s v="BY KONSUMSI 551 26/09/2025"/>
    <x v="7"/>
    <x v="7"/>
    <x v="0"/>
    <s v="SP"/>
    <n v="1719278"/>
    <n v="20251003"/>
  </r>
  <r>
    <s v="03.10.2025"/>
    <x v="3"/>
    <n v="50"/>
    <n v="-400000"/>
    <s v="IDR"/>
    <n v="-400000"/>
    <s v="IDR"/>
    <m/>
    <m/>
    <m/>
    <s v="R124"/>
    <s v="799/PPC/IX/2025"/>
    <s v="OLAHRAGA DAN PERMAINAN"/>
    <s v="BY OLAHRAGA 26/09/2025"/>
    <x v="0"/>
    <x v="0"/>
    <x v="0"/>
    <s v="SP"/>
    <n v="1719278"/>
    <n v="20251003"/>
  </r>
  <r>
    <s v="03.10.2025"/>
    <x v="3"/>
    <n v="50"/>
    <n v="-50000"/>
    <s v="IDR"/>
    <n v="-50000"/>
    <s v="IDR"/>
    <m/>
    <m/>
    <m/>
    <s v="R124"/>
    <s v="803/PPC/IX/2025"/>
    <s v="SURVEY DAN ANALISA"/>
    <s v="BY HC GREIXOS OLIVELLA 2411777543"/>
    <x v="1"/>
    <x v="1"/>
    <x v="1"/>
    <s v="SP"/>
    <n v="1719278"/>
    <n v="20251003"/>
  </r>
  <r>
    <s v="03.10.2025"/>
    <x v="3"/>
    <n v="50"/>
    <n v="-348280"/>
    <s v="IDR"/>
    <n v="-348280"/>
    <s v="IDR"/>
    <m/>
    <m/>
    <m/>
    <s v="R124"/>
    <s v="808/PPC/IX/2025"/>
    <s v="PEMEL.KEND&amp;A.BERAT MATRL"/>
    <s v="BY PEMB SPRING HOSE, KLEM SELANG, STEKER, DLL"/>
    <x v="2"/>
    <x v="2"/>
    <x v="10"/>
    <s v="SP"/>
    <n v="1719278"/>
    <n v="20251003"/>
  </r>
  <r>
    <s v="03.10.2025"/>
    <x v="3"/>
    <n v="50"/>
    <n v="-463000"/>
    <s v="IDR"/>
    <n v="-463000"/>
    <s v="IDR"/>
    <m/>
    <m/>
    <m/>
    <s v="R124"/>
    <s v="809/PPC/IX/2025"/>
    <s v="PEMEL.BNGAN&amp;PSARANA MATRL"/>
    <s v="BY PEMB KUAS ROLL, REFILL LEM G, TIBOX"/>
    <x v="8"/>
    <x v="8"/>
    <x v="26"/>
    <s v="SP"/>
    <n v="1719278"/>
    <n v="20251003"/>
  </r>
  <r>
    <s v="03.10.2025"/>
    <x v="3"/>
    <n v="50"/>
    <n v="-50000"/>
    <s v="IDR"/>
    <n v="-50000"/>
    <s v="IDR"/>
    <m/>
    <m/>
    <m/>
    <s v="R124"/>
    <s v="815/PPC/X/2025"/>
    <s v="SURVEY DAN ANALISA"/>
    <s v="BY HC NESTLE AUSTRALIA ETP 2411777684"/>
    <x v="1"/>
    <x v="1"/>
    <x v="8"/>
    <s v="SP"/>
    <n v="1719278"/>
    <n v="20251003"/>
  </r>
  <r>
    <s v="03.10.2025"/>
    <x v="3"/>
    <n v="50"/>
    <n v="-50000"/>
    <s v="IDR"/>
    <n v="-50000"/>
    <s v="IDR"/>
    <m/>
    <m/>
    <m/>
    <s v="R124"/>
    <s v="815/PPC/X/2025"/>
    <s v="SURVEY DAN ANALISA"/>
    <s v="BY HC NESTLE PNG ETP 2411777602"/>
    <x v="1"/>
    <x v="1"/>
    <x v="8"/>
    <s v="SP"/>
    <n v="1719278"/>
    <n v="20251003"/>
  </r>
  <r>
    <s v="03.10.2025"/>
    <x v="3"/>
    <n v="50"/>
    <n v="-50000"/>
    <s v="IDR"/>
    <n v="-50000"/>
    <s v="IDR"/>
    <m/>
    <m/>
    <m/>
    <s v="R124"/>
    <s v="815/PPC/X/2025"/>
    <s v="SURVEY DAN ANALISA"/>
    <s v="BY HC NESTLE GHANA ETP 2411777690"/>
    <x v="1"/>
    <x v="1"/>
    <x v="8"/>
    <s v="SP"/>
    <n v="1719278"/>
    <n v="20251003"/>
  </r>
  <r>
    <s v="03.10.2025"/>
    <x v="3"/>
    <n v="50"/>
    <n v="-740000"/>
    <s v="IDR"/>
    <n v="-740000"/>
    <s v="IDR"/>
    <m/>
    <m/>
    <m/>
    <s v="R124"/>
    <s v="816/PPC/X/2025"/>
    <s v="BAHAN BAKAR"/>
    <s v="BY TRANSPORTASI BBM 25/09-01/10/2025"/>
    <x v="6"/>
    <x v="6"/>
    <x v="9"/>
    <s v="SP"/>
    <n v="1719278"/>
    <n v="20251003"/>
  </r>
  <r>
    <s v="03.10.2025"/>
    <x v="3"/>
    <n v="50"/>
    <n v="-260000"/>
    <s v="IDR"/>
    <n v="-260000"/>
    <s v="IDR"/>
    <m/>
    <m/>
    <m/>
    <s v="R124"/>
    <s v="816/PPC/X/2025"/>
    <s v="TRANSPORTASI LOKAL"/>
    <s v="BY TRANSPORTASI PARKIR TOL"/>
    <x v="5"/>
    <x v="5"/>
    <x v="9"/>
    <s v="SP"/>
    <n v="1719278"/>
    <n v="20251003"/>
  </r>
  <r>
    <s v="03.10.2025"/>
    <x v="3"/>
    <n v="50"/>
    <n v="-862500"/>
    <s v="IDR"/>
    <n v="-862500"/>
    <s v="IDR"/>
    <m/>
    <m/>
    <m/>
    <s v="R124"/>
    <s v="817/PPC/X/2025"/>
    <s v="MAKANAN DAN MINUMAN"/>
    <s v="BY KONSUMSI TRAINING RCC BNSP ENMS"/>
    <x v="7"/>
    <x v="7"/>
    <x v="32"/>
    <s v="SP"/>
    <n v="1719278"/>
    <n v="20251003"/>
  </r>
  <r>
    <s v="03.10.2025"/>
    <x v="3"/>
    <n v="50"/>
    <n v="-600000"/>
    <s v="IDR"/>
    <n v="-600000"/>
    <s v="IDR"/>
    <m/>
    <m/>
    <m/>
    <s v="R124"/>
    <s v="819/PPC/X/2025"/>
    <s v="PEMEL.KEND&amp;A.BERAT MATRL"/>
    <s v="BY PRESS BAN DRIVE WHEEL MHE EFG-G"/>
    <x v="2"/>
    <x v="2"/>
    <x v="14"/>
    <s v="SP"/>
    <n v="1719278"/>
    <n v="20251003"/>
  </r>
  <r>
    <s v="03.10.2025"/>
    <x v="3"/>
    <n v="50"/>
    <n v="-163700"/>
    <s v="IDR"/>
    <n v="-163700"/>
    <s v="IDR"/>
    <m/>
    <m/>
    <m/>
    <s v="R124"/>
    <s v="820/PPC/X/2025"/>
    <s v="RISET/PENGEMBANGAN PRODUK"/>
    <s v="BY PEMB SENSORY KFC, SYRINGE, COTTON SWAB"/>
    <x v="9"/>
    <x v="9"/>
    <x v="15"/>
    <s v="SP"/>
    <n v="1719278"/>
    <n v="20251003"/>
  </r>
  <r>
    <s v="03.10.2025"/>
    <x v="3"/>
    <n v="50"/>
    <n v="-86000"/>
    <s v="IDR"/>
    <n v="-86000"/>
    <s v="IDR"/>
    <m/>
    <m/>
    <m/>
    <s v="R124"/>
    <s v="820/PPC/X/2025"/>
    <s v="KIRIM DOKUMEN/SURAT"/>
    <s v="BY ONGKIR SAMPEL SGS"/>
    <x v="15"/>
    <x v="15"/>
    <x v="15"/>
    <s v="SP"/>
    <n v="1719278"/>
    <n v="20251003"/>
  </r>
  <r>
    <s v="03.10.2025"/>
    <x v="3"/>
    <n v="50"/>
    <n v="-190700"/>
    <s v="IDR"/>
    <n v="-190700"/>
    <s v="IDR"/>
    <m/>
    <m/>
    <m/>
    <s v="R124"/>
    <s v="820/PPC/X/2025"/>
    <s v="PBAIKN&amp;PRAWATN PRABT MATR"/>
    <s v="BY PEMB KRAN SHOWER, SKRUP U/ DISPLAY LIFT"/>
    <x v="3"/>
    <x v="3"/>
    <x v="15"/>
    <s v="SP"/>
    <n v="1719278"/>
    <n v="20251003"/>
  </r>
  <r>
    <s v="03.10.2025"/>
    <x v="3"/>
    <n v="50"/>
    <n v="-185500"/>
    <s v="IDR"/>
    <n v="-185500"/>
    <s v="IDR"/>
    <m/>
    <m/>
    <m/>
    <s v="R124"/>
    <s v="820/PPC/X/2025"/>
    <s v="MAKANAN DAN MINUMAN"/>
    <s v="BY KONSUMSI METROLOGI CEK BDKT"/>
    <x v="7"/>
    <x v="7"/>
    <x v="15"/>
    <s v="SP"/>
    <n v="1719278"/>
    <n v="20251003"/>
  </r>
  <r>
    <s v="03.10.2025"/>
    <x v="3"/>
    <n v="50"/>
    <n v="-604000"/>
    <s v="IDR"/>
    <n v="-604000"/>
    <s v="IDR"/>
    <m/>
    <m/>
    <m/>
    <s v="R124"/>
    <s v="821/PPC/X/2025"/>
    <s v="PBAIKN&amp;PRAWATN PRABT MATR"/>
    <s v="BY PEMB ENGSEL PINTU LAB R.SENSORY"/>
    <x v="3"/>
    <x v="3"/>
    <x v="15"/>
    <s v="SP"/>
    <n v="1719278"/>
    <n v="20251003"/>
  </r>
  <r>
    <s v="03.10.2025"/>
    <x v="3"/>
    <n v="50"/>
    <n v="-50000"/>
    <s v="IDR"/>
    <n v="-50000"/>
    <s v="IDR"/>
    <m/>
    <m/>
    <m/>
    <s v="R124"/>
    <s v="804/PPC/IX/2025"/>
    <s v="SURVEY DAN ANALISA"/>
    <s v="BY HC SABEANAT EBP 2411777555"/>
    <x v="1"/>
    <x v="1"/>
    <x v="1"/>
    <s v="SP"/>
    <n v="1719278"/>
    <n v="20251003"/>
  </r>
  <r>
    <s v="03.10.2025"/>
    <x v="3"/>
    <n v="50"/>
    <n v="-50000"/>
    <s v="IDR"/>
    <n v="-50000"/>
    <s v="IDR"/>
    <m/>
    <m/>
    <m/>
    <s v="R124"/>
    <s v="804/PPC/IX/2025"/>
    <s v="SURVEY DAN ANALISA"/>
    <s v="BY HC AL ISLAM EBP 2411777585"/>
    <x v="1"/>
    <x v="1"/>
    <x v="1"/>
    <s v="SP"/>
    <n v="1719278"/>
    <n v="20251003"/>
  </r>
  <r>
    <s v="03.10.2025"/>
    <x v="3"/>
    <n v="50"/>
    <n v="-50000"/>
    <s v="IDR"/>
    <n v="-50000"/>
    <s v="IDR"/>
    <m/>
    <m/>
    <m/>
    <s v="R124"/>
    <s v="804/PPC/IX/2025"/>
    <s v="SURVEY DAN ANALISA"/>
    <s v="BY HC GREENS LIMITED EBP 2411777606"/>
    <x v="1"/>
    <x v="1"/>
    <x v="2"/>
    <s v="SP"/>
    <n v="1719278"/>
    <n v="20251003"/>
  </r>
  <r>
    <s v="03.10.2025"/>
    <x v="3"/>
    <n v="50"/>
    <n v="-50000"/>
    <s v="IDR"/>
    <n v="-50000"/>
    <s v="IDR"/>
    <m/>
    <m/>
    <m/>
    <s v="R124"/>
    <s v="804/PPC/IX/2025"/>
    <s v="SURVEY DAN ANALISA"/>
    <s v="BY HC SHANGHAI DOILLY EBP 2411777601"/>
    <x v="1"/>
    <x v="1"/>
    <x v="18"/>
    <s v="SP"/>
    <n v="1719278"/>
    <n v="20251003"/>
  </r>
  <r>
    <s v="03.10.2025"/>
    <x v="3"/>
    <n v="50"/>
    <n v="-50000"/>
    <s v="IDR"/>
    <n v="-50000"/>
    <s v="IDR"/>
    <m/>
    <m/>
    <m/>
    <s v="R124"/>
    <s v="804/PPC/IX/2025"/>
    <s v="SURVEY DAN ANALISA"/>
    <s v="BY HC HORGOS EBP 2411777591"/>
    <x v="1"/>
    <x v="1"/>
    <x v="1"/>
    <s v="SP"/>
    <n v="1719278"/>
    <n v="20251003"/>
  </r>
  <r>
    <s v="03.10.2025"/>
    <x v="3"/>
    <n v="50"/>
    <n v="-50000"/>
    <s v="IDR"/>
    <n v="-50000"/>
    <s v="IDR"/>
    <m/>
    <m/>
    <m/>
    <s v="R124"/>
    <s v="804/PPC/IX/2025"/>
    <s v="SURVEY DAN ANALISA"/>
    <s v="BY HC NESTLE PAKISTAN ETP 2411777666"/>
    <x v="1"/>
    <x v="1"/>
    <x v="8"/>
    <s v="SP"/>
    <n v="1719278"/>
    <n v="20251003"/>
  </r>
  <r>
    <s v="03.10.2025"/>
    <x v="3"/>
    <n v="50"/>
    <n v="-200000"/>
    <s v="IDR"/>
    <n v="-200000"/>
    <s v="IDR"/>
    <m/>
    <m/>
    <m/>
    <s v="R124"/>
    <s v="804/PPC/IX/2025"/>
    <s v="SURVEY DAN ANALISA"/>
    <s v="BY COO KADIN AL ISLAM EBP 2411777585"/>
    <x v="1"/>
    <x v="1"/>
    <x v="1"/>
    <s v="SP"/>
    <n v="1719278"/>
    <n v="20251003"/>
  </r>
  <r>
    <s v="03.10.2025"/>
    <x v="3"/>
    <n v="50"/>
    <n v="-932000"/>
    <s v="IDR"/>
    <n v="-932000"/>
    <s v="IDR"/>
    <m/>
    <m/>
    <m/>
    <s v="R124"/>
    <s v="806/PPC/IX/2025"/>
    <s v="PEMEL.KEND&amp;A.BERAT MATRL"/>
    <s v="BY PEMB ELBOW 4&quot;, FLANGE 4&quot;"/>
    <x v="2"/>
    <x v="2"/>
    <x v="31"/>
    <s v="SP"/>
    <n v="1719278"/>
    <n v="20251003"/>
  </r>
  <r>
    <s v="03.10.2025"/>
    <x v="3"/>
    <n v="50"/>
    <n v="-927000"/>
    <s v="IDR"/>
    <n v="-927000"/>
    <s v="IDR"/>
    <m/>
    <m/>
    <m/>
    <s v="R124"/>
    <s v="807/PPC/IX/2025"/>
    <s v="PEMEL.KEND&amp;A.BERAT MATRL"/>
    <s v="BY ELBOW, FLANGE 4&quot;"/>
    <x v="2"/>
    <x v="2"/>
    <x v="3"/>
    <s v="SP"/>
    <n v="1719278"/>
    <n v="20251003"/>
  </r>
  <r>
    <s v="03.10.2025"/>
    <x v="3"/>
    <n v="50"/>
    <n v="-50000"/>
    <s v="IDR"/>
    <n v="-50000"/>
    <s v="IDR"/>
    <m/>
    <m/>
    <m/>
    <s v="R124"/>
    <s v="826/PPC/X/2025"/>
    <s v="SURVEY DAN ANALISA"/>
    <s v="BY HC HORGOS EBP 2411777487"/>
    <x v="1"/>
    <x v="1"/>
    <x v="1"/>
    <s v="SP"/>
    <n v="1719278"/>
    <n v="20251003"/>
  </r>
  <r>
    <s v="03.10.2025"/>
    <x v="3"/>
    <n v="50"/>
    <n v="-50000"/>
    <s v="IDR"/>
    <n v="-50000"/>
    <s v="IDR"/>
    <m/>
    <m/>
    <m/>
    <s v="R124"/>
    <s v="826/PPC/X/2025"/>
    <s v="SURVEY DAN ANALISA"/>
    <s v="BY HC HORGOS EBP 2411777488"/>
    <x v="1"/>
    <x v="1"/>
    <x v="1"/>
    <s v="SP"/>
    <n v="1719278"/>
    <n v="20251003"/>
  </r>
  <r>
    <s v="03.10.2025"/>
    <x v="3"/>
    <n v="50"/>
    <n v="-50000"/>
    <s v="IDR"/>
    <n v="-50000"/>
    <s v="IDR"/>
    <m/>
    <m/>
    <m/>
    <s v="R124"/>
    <s v="826/PPC/X/2025"/>
    <s v="SURVEY DAN ANALISA"/>
    <s v="BY HC NESTLE SENEGAL ETP 2411777669"/>
    <x v="1"/>
    <x v="1"/>
    <x v="8"/>
    <s v="SP"/>
    <n v="1719278"/>
    <n v="20251003"/>
  </r>
  <r>
    <s v="03.10.2025"/>
    <x v="3"/>
    <n v="50"/>
    <n v="-50000"/>
    <s v="IDR"/>
    <n v="-50000"/>
    <s v="IDR"/>
    <m/>
    <m/>
    <m/>
    <s v="R124"/>
    <s v="826/PPC/X/2025"/>
    <s v="SURVEY DAN ANALISA"/>
    <s v="BY HC NESTLE SENEGAL ETP 2411777670"/>
    <x v="1"/>
    <x v="1"/>
    <x v="8"/>
    <s v="SP"/>
    <n v="1719278"/>
    <n v="20251003"/>
  </r>
  <r>
    <s v="03.10.2025"/>
    <x v="3"/>
    <n v="50"/>
    <n v="-665500"/>
    <s v="IDR"/>
    <n v="-665500"/>
    <s v="IDR"/>
    <m/>
    <m/>
    <m/>
    <s v="R124"/>
    <s v="827/PPC/X/2025"/>
    <s v="MAKANAN DAN MINUMAN"/>
    <s v="BY KONSUMSI MEETING EVALUASI TREND TB"/>
    <x v="7"/>
    <x v="7"/>
    <x v="7"/>
    <s v="SP"/>
    <n v="1719278"/>
    <n v="20251003"/>
  </r>
  <r>
    <s v="03.10.2025"/>
    <x v="3"/>
    <n v="50"/>
    <n v="-35000"/>
    <s v="IDR"/>
    <n v="-35000"/>
    <s v="IDR"/>
    <m/>
    <m/>
    <m/>
    <s v="R124"/>
    <s v="828/PPC/X/2025"/>
    <s v="PBAIKN&amp;PRAWATN PRABT MATR"/>
    <s v="BY PEMB BOSTEL 4&quot;, TANG"/>
    <x v="3"/>
    <x v="3"/>
    <x v="11"/>
    <s v="SP"/>
    <n v="1719278"/>
    <n v="20251003"/>
  </r>
  <r>
    <s v="03.10.2025"/>
    <x v="3"/>
    <n v="50"/>
    <n v="-147000"/>
    <s v="IDR"/>
    <n v="-147000"/>
    <s v="IDR"/>
    <m/>
    <m/>
    <m/>
    <s v="R124"/>
    <s v="829/PPC/X/2025"/>
    <s v="PBAIKN&amp;PRAWATN PRABT MATR"/>
    <s v="BY PEMB SELTIP DOUBLE, KABEL TIES, DLL"/>
    <x v="3"/>
    <x v="3"/>
    <x v="11"/>
    <s v="SP"/>
    <n v="1719278"/>
    <n v="20251003"/>
  </r>
  <r>
    <s v="03.10.2025"/>
    <x v="3"/>
    <n v="50"/>
    <n v="-350000"/>
    <s v="IDR"/>
    <n v="-350000"/>
    <s v="IDR"/>
    <m/>
    <m/>
    <m/>
    <s v="R124"/>
    <s v="805/PPC/IX/2025"/>
    <s v="SURVEY DAN ANALISA"/>
    <s v="BY COO KADIN ASSUDAMAL EBP 2411777503"/>
    <x v="1"/>
    <x v="1"/>
    <x v="2"/>
    <s v="SP"/>
    <n v="1719278"/>
    <n v="20251003"/>
  </r>
  <r>
    <s v="03.10.2025"/>
    <x v="3"/>
    <n v="50"/>
    <n v="-150000"/>
    <s v="IDR"/>
    <n v="-150000"/>
    <s v="IDR"/>
    <m/>
    <m/>
    <m/>
    <s v="R124"/>
    <s v="805/PPC/IX/2025"/>
    <s v="SURVEY DAN ANALISA"/>
    <s v="BY HC ASSUDAMAL EBP 2411777503"/>
    <x v="1"/>
    <x v="1"/>
    <x v="2"/>
    <s v="SP"/>
    <n v="1719278"/>
    <n v="20251003"/>
  </r>
  <r>
    <s v="03.10.2025"/>
    <x v="3"/>
    <n v="50"/>
    <n v="-100000"/>
    <s v="IDR"/>
    <n v="-100000"/>
    <s v="IDR"/>
    <m/>
    <m/>
    <m/>
    <s v="R124"/>
    <s v="805/PPC/IX/2025"/>
    <s v="SURVEY DAN ANALISA"/>
    <s v="BY HC DINKES POLIVA ETP 2411777265"/>
    <x v="1"/>
    <x v="1"/>
    <x v="8"/>
    <s v="SP"/>
    <n v="1719278"/>
    <n v="20251003"/>
  </r>
  <r>
    <s v="03.10.2025"/>
    <x v="3"/>
    <n v="50"/>
    <n v="-100000"/>
    <s v="IDR"/>
    <n v="-100000"/>
    <s v="IDR"/>
    <m/>
    <m/>
    <m/>
    <s v="R124"/>
    <s v="805/PPC/IX/2025"/>
    <s v="SURVEY DAN ANALISA"/>
    <s v="BY HC DINKES POLIVA ETP 2411777418"/>
    <x v="1"/>
    <x v="1"/>
    <x v="8"/>
    <s v="SP"/>
    <n v="1719278"/>
    <n v="20251003"/>
  </r>
  <r>
    <s v="03.10.2025"/>
    <x v="3"/>
    <n v="50"/>
    <n v="-100000"/>
    <s v="IDR"/>
    <n v="-100000"/>
    <s v="IDR"/>
    <m/>
    <m/>
    <m/>
    <s v="R124"/>
    <s v="805/PPC/IX/2025"/>
    <s v="SURVEY DAN ANALISA"/>
    <s v="BY HC DINKES POLIVA ETP 2411777420"/>
    <x v="1"/>
    <x v="1"/>
    <x v="8"/>
    <s v="SP"/>
    <n v="1719278"/>
    <n v="20251003"/>
  </r>
  <r>
    <s v="03.10.2025"/>
    <x v="3"/>
    <n v="50"/>
    <n v="-50000"/>
    <s v="IDR"/>
    <n v="-50000"/>
    <s v="IDR"/>
    <m/>
    <m/>
    <m/>
    <s v="R124"/>
    <s v="830/PPC/X/2025"/>
    <s v="SURVEY DAN ANALISA"/>
    <s v="BY HC NESTLE PNG ETP 2411777603"/>
    <x v="1"/>
    <x v="1"/>
    <x v="8"/>
    <s v="SP"/>
    <n v="1719278"/>
    <n v="20251003"/>
  </r>
  <r>
    <s v="03.10.2025"/>
    <x v="3"/>
    <n v="50"/>
    <n v="-50000"/>
    <s v="IDR"/>
    <n v="-50000"/>
    <s v="IDR"/>
    <m/>
    <m/>
    <m/>
    <s v="R124"/>
    <s v="774/PPC/IX/2025"/>
    <s v="SURVEY DAN ANALISA"/>
    <s v="BY HC FALCON T EBP 2411777103"/>
    <x v="1"/>
    <x v="1"/>
    <x v="1"/>
    <s v="SP"/>
    <n v="1719278"/>
    <n v="20251003"/>
  </r>
  <r>
    <s v="03.10.2025"/>
    <x v="3"/>
    <n v="50"/>
    <n v="-50000"/>
    <s v="IDR"/>
    <n v="-50000"/>
    <s v="IDR"/>
    <m/>
    <m/>
    <m/>
    <s v="R124"/>
    <s v="774/PPC/IX/2025"/>
    <s v="SURVEY DAN ANALISA"/>
    <s v="BY HC HOME CHAIN EBP 2411777185"/>
    <x v="1"/>
    <x v="1"/>
    <x v="1"/>
    <s v="SP"/>
    <n v="1719278"/>
    <n v="20251003"/>
  </r>
  <r>
    <s v="03.10.2025"/>
    <x v="3"/>
    <n v="50"/>
    <n v="-50000"/>
    <s v="IDR"/>
    <n v="-50000"/>
    <s v="IDR"/>
    <m/>
    <m/>
    <m/>
    <s v="R124"/>
    <s v="774/PPC/IX/2025"/>
    <s v="SURVEY DAN ANALISA"/>
    <s v="BY HC HOME CHAIN EBP 2411777186"/>
    <x v="1"/>
    <x v="1"/>
    <x v="1"/>
    <s v="SP"/>
    <n v="1719278"/>
    <n v="20251003"/>
  </r>
  <r>
    <s v="03.10.2025"/>
    <x v="3"/>
    <n v="50"/>
    <n v="-50000"/>
    <s v="IDR"/>
    <n v="-50000"/>
    <s v="IDR"/>
    <m/>
    <m/>
    <m/>
    <s v="R124"/>
    <s v="774/PPC/IX/2025"/>
    <s v="SURVEY DAN ANALISA"/>
    <s v="BY HC SHENGRONG EBP 2411777117"/>
    <x v="1"/>
    <x v="1"/>
    <x v="1"/>
    <s v="SP"/>
    <n v="1719278"/>
    <n v="20251003"/>
  </r>
  <r>
    <s v="03.10.2025"/>
    <x v="3"/>
    <n v="50"/>
    <n v="-50000"/>
    <s v="IDR"/>
    <n v="-50000"/>
    <s v="IDR"/>
    <m/>
    <m/>
    <m/>
    <s v="R124"/>
    <s v="774/PPC/IX/2025"/>
    <s v="SURVEY DAN ANALISA"/>
    <s v="BY HC SHENGRONG EBP 2411777226"/>
    <x v="1"/>
    <x v="1"/>
    <x v="1"/>
    <s v="SP"/>
    <n v="1719278"/>
    <n v="20251003"/>
  </r>
  <r>
    <s v="03.10.2025"/>
    <x v="3"/>
    <n v="50"/>
    <n v="-50000"/>
    <s v="IDR"/>
    <n v="-50000"/>
    <s v="IDR"/>
    <m/>
    <m/>
    <m/>
    <s v="R124"/>
    <s v="774/PPC/IX/2025"/>
    <s v="SURVEY DAN ANALISA"/>
    <s v="BY HC TALENT FAREAST EBP 2411777305"/>
    <x v="1"/>
    <x v="1"/>
    <x v="1"/>
    <s v="SP"/>
    <n v="1719278"/>
    <n v="20251003"/>
  </r>
  <r>
    <s v="03.10.2025"/>
    <x v="3"/>
    <n v="50"/>
    <n v="-545000"/>
    <s v="IDR"/>
    <n v="-545000"/>
    <s v="IDR"/>
    <m/>
    <m/>
    <m/>
    <s v="R124"/>
    <s v="774/PPC/IX/2025"/>
    <s v="UANG MUKA BIAYA"/>
    <s v="BY TELEX FRNAKIE PACIFIC I FP:04002500293417593"/>
    <x v="19"/>
    <x v="19"/>
    <x v="25"/>
    <s v="SP"/>
    <n v="1719278"/>
    <n v="20251003"/>
  </r>
  <r>
    <s v="03.10.2025"/>
    <x v="3"/>
    <n v="50"/>
    <n v="-198106"/>
    <s v="IDR"/>
    <n v="-198106"/>
    <s v="IDR"/>
    <m/>
    <m/>
    <m/>
    <s v="R124"/>
    <s v="781/PPC/IX/2025"/>
    <s v="UANG MUKA BIAYA"/>
    <s v="BY R2 1/4 DUNLOP SDA G FP:04002500279083808"/>
    <x v="19"/>
    <x v="19"/>
    <x v="25"/>
    <s v="SP"/>
    <n v="1719278"/>
    <n v="20251003"/>
  </r>
  <r>
    <s v="03.10.2025"/>
    <x v="3"/>
    <n v="50"/>
    <n v="-516150"/>
    <s v="IDR"/>
    <n v="-516150"/>
    <s v="IDR"/>
    <m/>
    <m/>
    <m/>
    <s v="R124"/>
    <s v="740/PPC/IX/2025"/>
    <s v="UANG MUKA BIAYA"/>
    <s v="BY BEARING SENTRAL L FP:04002500283362509"/>
    <x v="19"/>
    <x v="19"/>
    <x v="25"/>
    <s v="SP"/>
    <n v="1719278"/>
    <n v="20251003"/>
  </r>
  <r>
    <s v="03.10.2025"/>
    <x v="3"/>
    <n v="50"/>
    <n v="-80000"/>
    <s v="IDR"/>
    <n v="-80000"/>
    <s v="IDR"/>
    <m/>
    <m/>
    <m/>
    <s v="R124"/>
    <s v="814/PPC/X/2025"/>
    <s v="UANG MUKA BIAYA"/>
    <s v="BY RESIN SET PUTRA MAS FP:04002500302257622"/>
    <x v="19"/>
    <x v="19"/>
    <x v="25"/>
    <s v="SP"/>
    <n v="1719278"/>
    <n v="20251003"/>
  </r>
  <r>
    <s v="06.10.2025"/>
    <x v="3"/>
    <n v="40"/>
    <n v="32378366"/>
    <s v="IDR"/>
    <n v="32378366"/>
    <s v="IDR"/>
    <m/>
    <m/>
    <m/>
    <s v="R124"/>
    <m/>
    <s v="BANK IN TRANSIT"/>
    <s v="PETTY CASH RUNGKUT SURABAYA PERIODE 01-06 OKT 25"/>
    <x v="13"/>
    <x v="13"/>
    <x v="19"/>
    <s v="SP"/>
    <n v="1719278"/>
    <n v="20251006"/>
  </r>
  <r>
    <s v="14.10.2025"/>
    <x v="3"/>
    <n v="50"/>
    <n v="-977000"/>
    <s v="IDR"/>
    <n v="-977000"/>
    <s v="IDR"/>
    <m/>
    <m/>
    <m/>
    <s v="R124"/>
    <s v="796/PPC/IX/2025"/>
    <s v="PEMEL.KEND&amp;A.BERAT MATRL"/>
    <s v="BY PEMB SEAL, ORING VITON, DCV, KAWAT,DLL"/>
    <x v="2"/>
    <x v="2"/>
    <x v="3"/>
    <s v="SP"/>
    <n v="1719278"/>
    <n v="20251014"/>
  </r>
  <r>
    <s v="14.10.2025"/>
    <x v="3"/>
    <n v="50"/>
    <n v="-900000"/>
    <s v="IDR"/>
    <n v="-900000"/>
    <s v="IDR"/>
    <m/>
    <m/>
    <m/>
    <s v="R124"/>
    <s v="810/PPC/X/2025"/>
    <s v="PEMEL.KEND&amp;A.BERAT MATRL"/>
    <s v="BY PEMB DISCO CHECK VALVE POMPA DEAERATOR"/>
    <x v="2"/>
    <x v="2"/>
    <x v="3"/>
    <s v="SP"/>
    <n v="1719278"/>
    <n v="20251014"/>
  </r>
  <r>
    <s v="14.10.2025"/>
    <x v="3"/>
    <n v="50"/>
    <n v="-728000"/>
    <s v="IDR"/>
    <n v="-728000"/>
    <s v="IDR"/>
    <m/>
    <m/>
    <m/>
    <s v="R124"/>
    <s v="818/PPC/X/2025"/>
    <s v="PBAIKN&amp;PRAWATN PRABT MATR"/>
    <s v="BY PEMB HANDLE, CYLINDER DEKSON PINTU R.FILTER PRS"/>
    <x v="3"/>
    <x v="3"/>
    <x v="28"/>
    <s v="SP"/>
    <n v="1719278"/>
    <n v="20251014"/>
  </r>
  <r>
    <s v="14.10.2025"/>
    <x v="3"/>
    <n v="50"/>
    <n v="-859500"/>
    <s v="IDR"/>
    <n v="-859500"/>
    <s v="IDR"/>
    <m/>
    <m/>
    <m/>
    <s v="R124"/>
    <s v="811/PPC/X/2025"/>
    <s v="PEMEL.KEND&amp;A.BERAT MATRL"/>
    <s v="BY PEMB PRESKONEKTOR, SELANG BAKAR, MUR, ASDRAT"/>
    <x v="2"/>
    <x v="2"/>
    <x v="20"/>
    <s v="SP"/>
    <n v="1719278"/>
    <n v="20251014"/>
  </r>
  <r>
    <s v="14.10.2025"/>
    <x v="3"/>
    <n v="50"/>
    <n v="-375000"/>
    <s v="IDR"/>
    <n v="-375000"/>
    <s v="IDR"/>
    <m/>
    <m/>
    <m/>
    <s v="R124"/>
    <s v="812/PPC/X/2025"/>
    <s v="PEMEL.KEND&amp;A.BERAT MATRL"/>
    <s v="BY PERAWATAN SPD MTR BAG.EKSP. L 2167 FT (VIXION)"/>
    <x v="2"/>
    <x v="2"/>
    <x v="2"/>
    <s v="SP"/>
    <n v="1719278"/>
    <n v="20251014"/>
  </r>
  <r>
    <s v="14.10.2025"/>
    <x v="3"/>
    <n v="50"/>
    <n v="-477000"/>
    <s v="IDR"/>
    <n v="-477000"/>
    <s v="IDR"/>
    <m/>
    <m/>
    <m/>
    <s v="R124"/>
    <s v="813/PPC/X/2025"/>
    <s v="MAKANAN DAN MINUMAN"/>
    <s v="BY MKN MLM TEKNISI JOHNSON CONTROL 03-05 OKT 2025"/>
    <x v="7"/>
    <x v="7"/>
    <x v="10"/>
    <s v="SP"/>
    <n v="1719278"/>
    <n v="20251014"/>
  </r>
  <r>
    <s v="14.10.2025"/>
    <x v="3"/>
    <n v="50"/>
    <n v="-995000"/>
    <s v="IDR"/>
    <n v="-995000"/>
    <s v="IDR"/>
    <m/>
    <m/>
    <m/>
    <s v="R124"/>
    <s v="823/PPC/X/2025"/>
    <s v="PEMEL.KEND&amp;A.BERAT MATRL"/>
    <s v="BY PEMB SKUN, BOLT FLANGE PHE PFAD"/>
    <x v="2"/>
    <x v="2"/>
    <x v="31"/>
    <s v="SP"/>
    <n v="1719278"/>
    <n v="20251014"/>
  </r>
  <r>
    <s v="14.10.2025"/>
    <x v="3"/>
    <n v="50"/>
    <n v="-908000"/>
    <s v="IDR"/>
    <n v="-908000"/>
    <s v="IDR"/>
    <m/>
    <m/>
    <m/>
    <s v="R124"/>
    <s v="825/PPC/X/2025"/>
    <s v="PEMEL.KEND&amp;A.BERAT MATRL"/>
    <s v="BY PEMB ELBOW, REDUCER SGP"/>
    <x v="2"/>
    <x v="2"/>
    <x v="20"/>
    <s v="SP"/>
    <n v="1719278"/>
    <n v="20251014"/>
  </r>
  <r>
    <s v="14.10.2025"/>
    <x v="3"/>
    <n v="50"/>
    <n v="-57800"/>
    <s v="IDR"/>
    <n v="-57800"/>
    <s v="IDR"/>
    <m/>
    <m/>
    <m/>
    <s v="R124"/>
    <s v="831/PPC/X/2025"/>
    <s v="PERIZINAN PEMERINTAH"/>
    <s v="BY PEMBAYARAN PPJ GENSET 1 &amp; 2 SEPTEMBER 2025"/>
    <x v="12"/>
    <x v="12"/>
    <x v="9"/>
    <s v="SP"/>
    <n v="1719278"/>
    <n v="20251014"/>
  </r>
  <r>
    <s v="14.10.2025"/>
    <x v="3"/>
    <n v="50"/>
    <n v="-740000"/>
    <s v="IDR"/>
    <n v="-740000"/>
    <s v="IDR"/>
    <m/>
    <m/>
    <m/>
    <s v="R124"/>
    <s v="832/PPC/X/2025"/>
    <s v="BAHAN BAKAR"/>
    <s v="BY TRANSPORTASI BBM 01-03/10/2025"/>
    <x v="6"/>
    <x v="6"/>
    <x v="9"/>
    <s v="SP"/>
    <n v="1719278"/>
    <n v="20251014"/>
  </r>
  <r>
    <s v="14.10.2025"/>
    <x v="3"/>
    <n v="50"/>
    <n v="-260000"/>
    <s v="IDR"/>
    <n v="-260000"/>
    <s v="IDR"/>
    <m/>
    <m/>
    <m/>
    <s v="R124"/>
    <s v="832/PPC/X/2025"/>
    <s v="TRANSPORTASI LOKAL"/>
    <s v="BY TRANSPORTASI PARKIR TOL"/>
    <x v="5"/>
    <x v="5"/>
    <x v="9"/>
    <s v="SP"/>
    <n v="1719278"/>
    <n v="20251014"/>
  </r>
  <r>
    <s v="14.10.2025"/>
    <x v="3"/>
    <n v="50"/>
    <n v="-50000"/>
    <s v="IDR"/>
    <n v="-50000"/>
    <s v="IDR"/>
    <m/>
    <m/>
    <m/>
    <s v="R124"/>
    <s v="833/PPC/X/2025"/>
    <s v="SURVEY DAN ANALISA"/>
    <s v="BY HC SG OILSEED EBP 2411777598"/>
    <x v="1"/>
    <x v="1"/>
    <x v="1"/>
    <s v="SP"/>
    <n v="1719278"/>
    <n v="20251014"/>
  </r>
  <r>
    <s v="14.10.2025"/>
    <x v="3"/>
    <n v="50"/>
    <n v="-50000"/>
    <s v="IDR"/>
    <n v="-50000"/>
    <s v="IDR"/>
    <m/>
    <m/>
    <m/>
    <s v="R124"/>
    <s v="833/PPC/X/2025"/>
    <s v="SURVEY DAN ANALISA"/>
    <s v="BY HC HORGOS EBP 2411777770"/>
    <x v="1"/>
    <x v="1"/>
    <x v="1"/>
    <s v="SP"/>
    <n v="1719278"/>
    <n v="20251014"/>
  </r>
  <r>
    <s v="14.10.2025"/>
    <x v="3"/>
    <n v="50"/>
    <n v="-50000"/>
    <s v="IDR"/>
    <n v="-50000"/>
    <s v="IDR"/>
    <m/>
    <m/>
    <m/>
    <s v="R124"/>
    <s v="834/PPC/X/2025"/>
    <s v="SURVEY DAN ANALISA"/>
    <s v="BY HC SG OILSEED EBP 2411777600"/>
    <x v="1"/>
    <x v="1"/>
    <x v="1"/>
    <s v="SP"/>
    <n v="1719278"/>
    <n v="20251014"/>
  </r>
  <r>
    <s v="14.10.2025"/>
    <x v="3"/>
    <n v="50"/>
    <n v="-100000"/>
    <s v="IDR"/>
    <n v="-100000"/>
    <s v="IDR"/>
    <m/>
    <m/>
    <m/>
    <s v="R124"/>
    <s v="834/PPC/X/2025"/>
    <s v="SURVEY DAN ANALISA"/>
    <s v="BY HC DINKES POLIVA ETP 2411777512"/>
    <x v="1"/>
    <x v="1"/>
    <x v="8"/>
    <s v="SP"/>
    <n v="1719278"/>
    <n v="20251014"/>
  </r>
  <r>
    <s v="14.10.2025"/>
    <x v="3"/>
    <n v="50"/>
    <n v="-50000"/>
    <s v="IDR"/>
    <n v="-50000"/>
    <s v="IDR"/>
    <m/>
    <m/>
    <m/>
    <s v="R124"/>
    <s v="835/PPC/X/2025"/>
    <s v="SURVEY DAN ANALISA"/>
    <s v="BY HC BEST BASE ETP 2411777706"/>
    <x v="1"/>
    <x v="1"/>
    <x v="1"/>
    <s v="SP"/>
    <n v="1719278"/>
    <n v="20251014"/>
  </r>
  <r>
    <s v="14.10.2025"/>
    <x v="3"/>
    <n v="50"/>
    <n v="-50000"/>
    <s v="IDR"/>
    <n v="-50000"/>
    <s v="IDR"/>
    <m/>
    <m/>
    <m/>
    <s v="R124"/>
    <s v="835/PPC/X/2025"/>
    <s v="SURVEY DAN ANALISA"/>
    <s v="BY HC BEST BASE ETP 2411777699"/>
    <x v="1"/>
    <x v="1"/>
    <x v="1"/>
    <s v="SP"/>
    <n v="1719278"/>
    <n v="20251014"/>
  </r>
  <r>
    <s v="15.10.2025"/>
    <x v="3"/>
    <n v="50"/>
    <n v="-50000"/>
    <s v="IDR"/>
    <n v="-50000"/>
    <s v="IDR"/>
    <m/>
    <m/>
    <m/>
    <s v="R124"/>
    <s v="837/PPC/X/2025"/>
    <s v="SURVEY DAN ANALISA"/>
    <s v="BY HC SG OILSEED EBP 2411777764"/>
    <x v="1"/>
    <x v="1"/>
    <x v="1"/>
    <s v="SP"/>
    <n v="1719278"/>
    <n v="20251015"/>
  </r>
  <r>
    <s v="15.10.2025"/>
    <x v="3"/>
    <n v="50"/>
    <n v="-50000"/>
    <s v="IDR"/>
    <n v="-50000"/>
    <s v="IDR"/>
    <m/>
    <m/>
    <m/>
    <s v="R124"/>
    <s v="837/PPC/X/2025"/>
    <s v="SURVEY DAN ANALISA"/>
    <s v="BY HC HORGOS EBP 2411777596"/>
    <x v="1"/>
    <x v="1"/>
    <x v="1"/>
    <s v="SP"/>
    <n v="1719278"/>
    <n v="20251015"/>
  </r>
  <r>
    <s v="15.10.2025"/>
    <x v="3"/>
    <n v="50"/>
    <n v="-50000"/>
    <s v="IDR"/>
    <n v="-50000"/>
    <s v="IDR"/>
    <m/>
    <m/>
    <m/>
    <s v="R124"/>
    <s v="837/PPC/X/2025"/>
    <s v="SURVEY DAN ANALISA"/>
    <s v="BY HC SG OILSEED EBP 2411777597"/>
    <x v="1"/>
    <x v="1"/>
    <x v="1"/>
    <s v="SP"/>
    <n v="1719278"/>
    <n v="20251015"/>
  </r>
  <r>
    <s v="15.10.2025"/>
    <x v="3"/>
    <n v="50"/>
    <n v="-50000"/>
    <s v="IDR"/>
    <n v="-50000"/>
    <s v="IDR"/>
    <m/>
    <m/>
    <m/>
    <s v="R124"/>
    <s v="837/PPC/X/2025"/>
    <s v="SURVEY DAN ANALISA"/>
    <s v="BY HC HORGOS EBP 2411777599"/>
    <x v="1"/>
    <x v="1"/>
    <x v="1"/>
    <s v="SP"/>
    <n v="1719278"/>
    <n v="20251015"/>
  </r>
  <r>
    <s v="15.10.2025"/>
    <x v="3"/>
    <n v="50"/>
    <n v="-50000"/>
    <s v="IDR"/>
    <n v="-50000"/>
    <s v="IDR"/>
    <m/>
    <m/>
    <m/>
    <s v="R124"/>
    <s v="837/PPC/X/2025"/>
    <s v="SURVEY DAN ANALISA"/>
    <s v="BY HC HENAN ZHENGTON EBP 2411777592"/>
    <x v="1"/>
    <x v="1"/>
    <x v="18"/>
    <s v="SP"/>
    <n v="1719278"/>
    <n v="20251015"/>
  </r>
  <r>
    <s v="15.10.2025"/>
    <x v="3"/>
    <n v="50"/>
    <n v="-50000"/>
    <s v="IDR"/>
    <n v="-50000"/>
    <s v="IDR"/>
    <m/>
    <m/>
    <m/>
    <s v="R124"/>
    <s v="837/PPC/X/2025"/>
    <s v="SURVEY DAN ANALISA"/>
    <s v="BY HC HORGOS EBP 2411777593"/>
    <x v="1"/>
    <x v="1"/>
    <x v="1"/>
    <s v="SP"/>
    <n v="1719278"/>
    <n v="20251015"/>
  </r>
  <r>
    <s v="15.10.2025"/>
    <x v="3"/>
    <n v="50"/>
    <n v="-50000"/>
    <s v="IDR"/>
    <n v="-50000"/>
    <s v="IDR"/>
    <m/>
    <m/>
    <m/>
    <s v="R124"/>
    <s v="837/PPC/X/2025"/>
    <s v="SURVEY DAN ANALISA"/>
    <s v="BY HC HORGOS EBP 2411777595"/>
    <x v="1"/>
    <x v="1"/>
    <x v="1"/>
    <s v="SP"/>
    <n v="1719278"/>
    <n v="20251015"/>
  </r>
  <r>
    <s v="15.10.2025"/>
    <x v="3"/>
    <n v="50"/>
    <n v="-50000"/>
    <s v="IDR"/>
    <n v="-50000"/>
    <s v="IDR"/>
    <m/>
    <m/>
    <m/>
    <s v="R124"/>
    <s v="837/PPC/X/2025"/>
    <s v="SURVEY DAN ANALISA"/>
    <s v="BY HC HORGOS EBP 2411777717"/>
    <x v="1"/>
    <x v="1"/>
    <x v="1"/>
    <s v="SP"/>
    <n v="1719278"/>
    <n v="20251015"/>
  </r>
  <r>
    <s v="15.10.2025"/>
    <x v="3"/>
    <n v="50"/>
    <n v="-50000"/>
    <s v="IDR"/>
    <n v="-50000"/>
    <s v="IDR"/>
    <m/>
    <m/>
    <m/>
    <s v="R124"/>
    <s v="837/PPC/X/2025"/>
    <s v="SURVEY DAN ANALISA"/>
    <s v="BY HC SG OILSEED EBP 2411777762"/>
    <x v="1"/>
    <x v="1"/>
    <x v="1"/>
    <s v="SP"/>
    <n v="1719278"/>
    <n v="20251015"/>
  </r>
  <r>
    <s v="15.10.2025"/>
    <x v="3"/>
    <n v="50"/>
    <n v="-4000"/>
    <s v="IDR"/>
    <n v="-4000"/>
    <s v="IDR"/>
    <m/>
    <m/>
    <m/>
    <s v="R124"/>
    <s v="837/PPC/X/2025"/>
    <s v="ADMIN &amp; DOKUMEN EKSPOR"/>
    <s v="BY LEVY &amp; BK SAMPEL OLEIN AUSTRALIA DAN JERMAN"/>
    <x v="18"/>
    <x v="18"/>
    <x v="8"/>
    <s v="SP"/>
    <n v="1719278"/>
    <n v="20251015"/>
  </r>
  <r>
    <s v="15.10.2025"/>
    <x v="3"/>
    <n v="50"/>
    <n v="-200000"/>
    <s v="IDR"/>
    <n v="-200000"/>
    <s v="IDR"/>
    <m/>
    <m/>
    <m/>
    <s v="R124"/>
    <s v="838/PPC/X/2025"/>
    <s v="MAKANAN DAN MINUMAN"/>
    <s v="BY MKN DNS PRK 2-5 OKT 2025"/>
    <x v="7"/>
    <x v="7"/>
    <x v="32"/>
    <s v="SP"/>
    <n v="1719278"/>
    <n v="20251015"/>
  </r>
  <r>
    <s v="15.10.2025"/>
    <x v="3"/>
    <n v="50"/>
    <n v="-331000"/>
    <s v="IDR"/>
    <n v="-331000"/>
    <s v="IDR"/>
    <m/>
    <m/>
    <m/>
    <s v="R124"/>
    <s v="838/PPC/X/2025"/>
    <s v="PBAIKN&amp;PRAWATN PRABT MATR"/>
    <s v="BY PEMB RODA GEROBAK BOILER 6&quot;, SEKRING MINI,DLL"/>
    <x v="3"/>
    <x v="3"/>
    <x v="32"/>
    <s v="SP"/>
    <n v="1719278"/>
    <n v="20251015"/>
  </r>
  <r>
    <s v="15.10.2025"/>
    <x v="3"/>
    <n v="50"/>
    <n v="-931500"/>
    <s v="IDR"/>
    <n v="-931500"/>
    <s v="IDR"/>
    <m/>
    <m/>
    <m/>
    <s v="R124"/>
    <s v="839/PPC/X/2025"/>
    <s v="TRANSPORTASI LOKAL"/>
    <s v="BY TRANSPORT GRAB RKT-PRK PP 02-5 OKT 2025"/>
    <x v="5"/>
    <x v="5"/>
    <x v="32"/>
    <s v="SP"/>
    <n v="1719278"/>
    <n v="20251015"/>
  </r>
  <r>
    <s v="15.10.2025"/>
    <x v="3"/>
    <n v="50"/>
    <n v="-590000"/>
    <s v="IDR"/>
    <n v="-590000"/>
    <s v="IDR"/>
    <m/>
    <m/>
    <m/>
    <s v="R124"/>
    <s v="840/PPC/X/2025"/>
    <s v="BAHAN BAKAR"/>
    <s v="BY TRANSPORTASI BBM 03-07/10/2025"/>
    <x v="6"/>
    <x v="6"/>
    <x v="9"/>
    <s v="SP"/>
    <n v="1719278"/>
    <n v="20251015"/>
  </r>
  <r>
    <s v="15.10.2025"/>
    <x v="3"/>
    <n v="50"/>
    <n v="-409000"/>
    <s v="IDR"/>
    <n v="-409000"/>
    <s v="IDR"/>
    <m/>
    <m/>
    <m/>
    <s v="R124"/>
    <s v="840/PPC/X/2025"/>
    <s v="TRANSPORTASI LOKAL"/>
    <s v="BY TRANSPORTASI PARKIR TOL"/>
    <x v="5"/>
    <x v="5"/>
    <x v="9"/>
    <s v="SP"/>
    <n v="1719278"/>
    <n v="20251015"/>
  </r>
  <r>
    <s v="15.10.2025"/>
    <x v="3"/>
    <n v="50"/>
    <n v="-300000"/>
    <s v="IDR"/>
    <n v="-300000"/>
    <s v="IDR"/>
    <m/>
    <m/>
    <m/>
    <s v="R124"/>
    <s v="822/PPC/X/2025"/>
    <s v="PEMEL.KEND&amp;A.BERAT MATRL"/>
    <s v="BY PERAWATAN SPD MTR BAG.EKSP. L 2057 EK (VEGA R)"/>
    <x v="2"/>
    <x v="2"/>
    <x v="1"/>
    <s v="SP"/>
    <n v="1719278"/>
    <n v="20251015"/>
  </r>
  <r>
    <s v="15.10.2025"/>
    <x v="3"/>
    <n v="50"/>
    <n v="-361000"/>
    <s v="IDR"/>
    <n v="-361000"/>
    <s v="IDR"/>
    <m/>
    <m/>
    <m/>
    <s v="R124"/>
    <s v="841/PPC/X/2025"/>
    <s v="PEMEL.KEND&amp;A.BERAT MATRL"/>
    <s v="BY PERAWATAN SPD MTR KURIR"/>
    <x v="2"/>
    <x v="2"/>
    <x v="24"/>
    <s v="SP"/>
    <n v="1719278"/>
    <n v="20251015"/>
  </r>
  <r>
    <s v="15.10.2025"/>
    <x v="3"/>
    <n v="50"/>
    <n v="-610000"/>
    <s v="IDR"/>
    <n v="-610000"/>
    <s v="IDR"/>
    <m/>
    <m/>
    <m/>
    <s v="R124"/>
    <s v="842/PPC/X/2025"/>
    <s v="BAHAN BAKAR"/>
    <s v="BY TRANSPORTASI BBM 07/10/2025"/>
    <x v="6"/>
    <x v="6"/>
    <x v="9"/>
    <s v="SP"/>
    <n v="1719278"/>
    <n v="20251015"/>
  </r>
  <r>
    <s v="15.10.2025"/>
    <x v="3"/>
    <n v="50"/>
    <n v="-389500"/>
    <s v="IDR"/>
    <n v="-389500"/>
    <s v="IDR"/>
    <m/>
    <m/>
    <m/>
    <s v="R124"/>
    <s v="842/PPC/X/2025"/>
    <s v="TRANSPORTASI LOKAL"/>
    <s v="BY TRANSPORTASI PARKIR TOL"/>
    <x v="5"/>
    <x v="5"/>
    <x v="9"/>
    <s v="SP"/>
    <n v="1719278"/>
    <n v="20251015"/>
  </r>
  <r>
    <s v="15.10.2025"/>
    <x v="3"/>
    <n v="50"/>
    <n v="-100000"/>
    <s v="IDR"/>
    <n v="-100000"/>
    <s v="IDR"/>
    <m/>
    <m/>
    <m/>
    <s v="R124"/>
    <s v="843/PPC/X/2025"/>
    <s v="SURVEY DAN ANALISA"/>
    <s v="BY COO KADIN GREENS L EBP 2411777733"/>
    <x v="1"/>
    <x v="1"/>
    <x v="2"/>
    <s v="SP"/>
    <n v="1719278"/>
    <n v="20251015"/>
  </r>
  <r>
    <s v="15.10.2025"/>
    <x v="3"/>
    <n v="50"/>
    <n v="-100000"/>
    <s v="IDR"/>
    <n v="-100000"/>
    <s v="IDR"/>
    <m/>
    <m/>
    <m/>
    <s v="R124"/>
    <s v="843/PPC/X/2025"/>
    <s v="SURVEY DAN ANALISA"/>
    <s v="BY COO KADIN GREENS L EBP 2411777734"/>
    <x v="1"/>
    <x v="1"/>
    <x v="2"/>
    <s v="SP"/>
    <n v="1719278"/>
    <n v="20251015"/>
  </r>
  <r>
    <s v="15.10.2025"/>
    <x v="3"/>
    <n v="50"/>
    <n v="-75000"/>
    <s v="IDR"/>
    <n v="-75000"/>
    <s v="IDR"/>
    <m/>
    <m/>
    <m/>
    <s v="R124"/>
    <s v="848/PPC/X/2025"/>
    <s v="MAKANAN DAN MINUMAN"/>
    <s v="BY MKN DNS PRK 03/10/2025 3 ORG"/>
    <x v="7"/>
    <x v="7"/>
    <x v="13"/>
    <s v="SP"/>
    <n v="1719278"/>
    <n v="20251015"/>
  </r>
  <r>
    <s v="15.10.2025"/>
    <x v="3"/>
    <n v="50"/>
    <n v="-50000"/>
    <s v="IDR"/>
    <n v="-50000"/>
    <s v="IDR"/>
    <m/>
    <m/>
    <m/>
    <s v="R124"/>
    <s v="849/PPC/X/2025"/>
    <s v="MAKANAN DAN MINUMAN"/>
    <s v="BY MKN DNS PRK 06/10/2025 2 ORG"/>
    <x v="7"/>
    <x v="7"/>
    <x v="13"/>
    <s v="SP"/>
    <n v="1719278"/>
    <n v="20251015"/>
  </r>
  <r>
    <s v="15.10.2025"/>
    <x v="3"/>
    <n v="50"/>
    <n v="-202500"/>
    <s v="IDR"/>
    <n v="-202500"/>
    <s v="IDR"/>
    <m/>
    <m/>
    <m/>
    <s v="R124"/>
    <s v="849/PPC/X/2025"/>
    <s v="TRANSPORTASI LOKAL"/>
    <s v="BY TRANSPORT GRAB PRK-RKT 6 OKT 2025"/>
    <x v="5"/>
    <x v="5"/>
    <x v="13"/>
    <s v="SP"/>
    <n v="1719278"/>
    <n v="20251015"/>
  </r>
  <r>
    <s v="15.10.2025"/>
    <x v="3"/>
    <n v="50"/>
    <n v="-25000"/>
    <s v="IDR"/>
    <n v="-25000"/>
    <s v="IDR"/>
    <m/>
    <m/>
    <m/>
    <s v="R124"/>
    <s v="850/PPC/X/2025"/>
    <s v="MAKANAN DAN MINUMAN"/>
    <s v="BY MKN DNS PRK 02/10/2025"/>
    <x v="7"/>
    <x v="7"/>
    <x v="13"/>
    <s v="SP"/>
    <n v="1719278"/>
    <n v="20251015"/>
  </r>
  <r>
    <s v="15.10.2025"/>
    <x v="3"/>
    <n v="50"/>
    <n v="-706000"/>
    <s v="IDR"/>
    <n v="-706000"/>
    <s v="IDR"/>
    <m/>
    <m/>
    <m/>
    <s v="R124"/>
    <s v="824/PPC/X/2025"/>
    <s v="PEMEL.KEND&amp;A.BERAT MATRL"/>
    <s v="BY PEMB MB SS, PER TEKAN SS"/>
    <x v="2"/>
    <x v="2"/>
    <x v="30"/>
    <s v="SP"/>
    <n v="1719278"/>
    <n v="20251015"/>
  </r>
  <r>
    <s v="15.10.2025"/>
    <x v="3"/>
    <n v="50"/>
    <n v="-972500"/>
    <s v="IDR"/>
    <n v="-972500"/>
    <s v="IDR"/>
    <m/>
    <m/>
    <m/>
    <s v="R124"/>
    <s v="851/PPC/X/2025"/>
    <s v="PBAIKN&amp;PRAWATN PRABT MATR"/>
    <s v="BY PEMB CLAPBOARD, FLANGE, DRAWING PEN, DLL"/>
    <x v="3"/>
    <x v="3"/>
    <x v="28"/>
    <s v="SP"/>
    <n v="1719278"/>
    <n v="20251015"/>
  </r>
  <r>
    <s v="15.10.2025"/>
    <x v="3"/>
    <n v="50"/>
    <n v="-25000"/>
    <s v="IDR"/>
    <n v="-25000"/>
    <s v="IDR"/>
    <m/>
    <m/>
    <m/>
    <s v="R124"/>
    <s v="852/PPC/X/2025"/>
    <s v="MAKANAN DAN MINUMAN"/>
    <s v="BY MKN DNS PRK 04/10/2025"/>
    <x v="7"/>
    <x v="7"/>
    <x v="13"/>
    <s v="SP"/>
    <n v="1719278"/>
    <n v="20251015"/>
  </r>
  <r>
    <s v="15.10.2025"/>
    <x v="3"/>
    <n v="50"/>
    <n v="-984580"/>
    <s v="IDR"/>
    <n v="-984580"/>
    <s v="IDR"/>
    <m/>
    <m/>
    <m/>
    <s v="R124"/>
    <s v="844/PPC/X/2025"/>
    <s v="PBAIKN&amp;PRAWATN PRABT MATR"/>
    <s v="BY PEMB BATERAI AA6, VENTION USB, BOR, DLL"/>
    <x v="3"/>
    <x v="3"/>
    <x v="9"/>
    <s v="SP"/>
    <n v="1719278"/>
    <n v="20251015"/>
  </r>
  <r>
    <s v="15.10.2025"/>
    <x v="3"/>
    <n v="50"/>
    <n v="-50000"/>
    <s v="IDR"/>
    <n v="-50000"/>
    <s v="IDR"/>
    <m/>
    <m/>
    <m/>
    <s v="R124"/>
    <s v="846/PPC/X/2025"/>
    <s v="SURVEY DAN ANALISA"/>
    <s v="BY HC HORGOS EBP 2411777768"/>
    <x v="1"/>
    <x v="1"/>
    <x v="1"/>
    <s v="SP"/>
    <n v="1719278"/>
    <n v="20251015"/>
  </r>
  <r>
    <s v="15.10.2025"/>
    <x v="3"/>
    <n v="50"/>
    <n v="-50000"/>
    <s v="IDR"/>
    <n v="-50000"/>
    <s v="IDR"/>
    <m/>
    <m/>
    <m/>
    <s v="R124"/>
    <s v="846/PPC/X/2025"/>
    <s v="SURVEY DAN ANALISA"/>
    <s v="BY HC SG OILSEED EBP 2411777766"/>
    <x v="1"/>
    <x v="1"/>
    <x v="1"/>
    <s v="SP"/>
    <n v="1719278"/>
    <n v="20251015"/>
  </r>
  <r>
    <s v="15.10.2025"/>
    <x v="3"/>
    <n v="50"/>
    <n v="-50000"/>
    <s v="IDR"/>
    <n v="-50000"/>
    <s v="IDR"/>
    <m/>
    <m/>
    <m/>
    <s v="R124"/>
    <s v="846/PPC/X/2025"/>
    <s v="SURVEY DAN ANALISA"/>
    <s v="BY HC NESTLE PAKISTAN ETP 2411777832"/>
    <x v="1"/>
    <x v="1"/>
    <x v="8"/>
    <s v="SP"/>
    <n v="1719278"/>
    <n v="20251015"/>
  </r>
  <r>
    <s v="15.10.2025"/>
    <x v="3"/>
    <n v="50"/>
    <n v="-50000"/>
    <s v="IDR"/>
    <n v="-50000"/>
    <s v="IDR"/>
    <m/>
    <m/>
    <m/>
    <s v="R124"/>
    <s v="846/PPC/X/2025"/>
    <s v="SURVEY DAN ANALISA"/>
    <s v="BY HC SG OILSEED EBP 2411777798"/>
    <x v="1"/>
    <x v="1"/>
    <x v="1"/>
    <s v="SP"/>
    <n v="1719278"/>
    <n v="20251015"/>
  </r>
  <r>
    <s v="15.10.2025"/>
    <x v="3"/>
    <n v="50"/>
    <n v="-200000"/>
    <s v="IDR"/>
    <n v="-200000"/>
    <s v="IDR"/>
    <m/>
    <m/>
    <m/>
    <s v="R124"/>
    <s v="846/PPC/X/2025"/>
    <s v="SURVEY DAN ANALISA"/>
    <s v="BY COO KADIN GREENS L EBP 2411777606"/>
    <x v="1"/>
    <x v="1"/>
    <x v="2"/>
    <s v="SP"/>
    <n v="1719278"/>
    <n v="20251015"/>
  </r>
  <r>
    <s v="16.10.2025"/>
    <x v="3"/>
    <n v="50"/>
    <n v="-290500"/>
    <s v="IDR"/>
    <n v="-290500"/>
    <s v="IDR"/>
    <m/>
    <m/>
    <m/>
    <s v="R124"/>
    <s v="853/PPC/X/2025"/>
    <s v="BIAYA MESS"/>
    <s v="BY PDAM MESS POKTJAND OKT 2025"/>
    <x v="14"/>
    <x v="14"/>
    <x v="9"/>
    <s v="SP"/>
    <n v="1719278"/>
    <n v="20251016"/>
  </r>
  <r>
    <s v="16.10.2025"/>
    <x v="3"/>
    <n v="50"/>
    <n v="-50000"/>
    <s v="IDR"/>
    <n v="-50000"/>
    <s v="IDR"/>
    <m/>
    <m/>
    <m/>
    <s v="R124"/>
    <s v="854/PPC/X/2025"/>
    <s v="SURVEY DAN ANALISA"/>
    <s v="BY HC HORGOS EBP 2411777795"/>
    <x v="1"/>
    <x v="1"/>
    <x v="1"/>
    <s v="SP"/>
    <n v="1719278"/>
    <n v="20251016"/>
  </r>
  <r>
    <s v="16.10.2025"/>
    <x v="3"/>
    <n v="50"/>
    <n v="-50000"/>
    <s v="IDR"/>
    <n v="-50000"/>
    <s v="IDR"/>
    <m/>
    <m/>
    <m/>
    <s v="R124"/>
    <s v="854/PPC/X/2025"/>
    <s v="SURVEY DAN ANALISA"/>
    <s v="BY HC SG OILSEED EBP 2411777852"/>
    <x v="1"/>
    <x v="1"/>
    <x v="1"/>
    <s v="SP"/>
    <n v="1719278"/>
    <n v="20251016"/>
  </r>
  <r>
    <s v="16.10.2025"/>
    <x v="3"/>
    <n v="50"/>
    <n v="-50000"/>
    <s v="IDR"/>
    <n v="-50000"/>
    <s v="IDR"/>
    <m/>
    <m/>
    <m/>
    <s v="R124"/>
    <s v="854/PPC/X/2025"/>
    <s v="SURVEY DAN ANALISA"/>
    <s v="BY HC SG OILSEED EBP 2411777797"/>
    <x v="1"/>
    <x v="1"/>
    <x v="1"/>
    <s v="SP"/>
    <n v="1719278"/>
    <n v="20251016"/>
  </r>
  <r>
    <s v="16.10.2025"/>
    <x v="3"/>
    <n v="50"/>
    <n v="-50000"/>
    <s v="IDR"/>
    <n v="-50000"/>
    <s v="IDR"/>
    <m/>
    <m/>
    <m/>
    <s v="R124"/>
    <s v="855/PPC/X/2025"/>
    <s v="SURVEY DAN ANALISA"/>
    <s v="BY HC TALENT FAREAST EBP 2411777705"/>
    <x v="1"/>
    <x v="1"/>
    <x v="1"/>
    <s v="SP"/>
    <n v="1719278"/>
    <n v="20251016"/>
  </r>
  <r>
    <s v="16.10.2025"/>
    <x v="3"/>
    <n v="50"/>
    <n v="-152000"/>
    <s v="IDR"/>
    <n v="-152000"/>
    <s v="IDR"/>
    <m/>
    <m/>
    <m/>
    <s v="R124"/>
    <s v="856/PPC/X/2025"/>
    <s v="PEMEL.KEND&amp;A.BERAT MATRL"/>
    <s v="BY PEMB LEM TEMBAK U/ MAINT. SEPARATOR"/>
    <x v="2"/>
    <x v="2"/>
    <x v="12"/>
    <s v="SP"/>
    <n v="1719278"/>
    <n v="20251016"/>
  </r>
  <r>
    <s v="16.10.2025"/>
    <x v="3"/>
    <n v="50"/>
    <n v="-530000"/>
    <s v="IDR"/>
    <n v="-530000"/>
    <s v="IDR"/>
    <m/>
    <m/>
    <m/>
    <s v="R124"/>
    <s v="857/PPC/X/2025"/>
    <s v="BAHAN BAKAR"/>
    <s v="BY TRANSPORTASI BBM 07-10/10/2025"/>
    <x v="6"/>
    <x v="6"/>
    <x v="9"/>
    <s v="SP"/>
    <n v="1719278"/>
    <n v="20251016"/>
  </r>
  <r>
    <s v="16.10.2025"/>
    <x v="3"/>
    <n v="50"/>
    <n v="-469500"/>
    <s v="IDR"/>
    <n v="-469500"/>
    <s v="IDR"/>
    <m/>
    <m/>
    <m/>
    <s v="R124"/>
    <s v="857/PPC/X/2025"/>
    <s v="TRANSPORTASI LOKAL"/>
    <s v="BY TRANSPORTASI PARKIR TOL"/>
    <x v="5"/>
    <x v="5"/>
    <x v="9"/>
    <s v="SP"/>
    <n v="1719278"/>
    <n v="20251016"/>
  </r>
  <r>
    <s v="16.10.2025"/>
    <x v="3"/>
    <n v="50"/>
    <n v="-600000"/>
    <s v="IDR"/>
    <n v="-600000"/>
    <s v="IDR"/>
    <m/>
    <m/>
    <m/>
    <s v="R124"/>
    <s v="858/PPC/X/2025"/>
    <s v="SUMBANGAN SOSIAL"/>
    <s v="BY SUMBANGAN SUKACITA NIKAH ARDHY TRI CAHYO"/>
    <x v="20"/>
    <x v="20"/>
    <x v="11"/>
    <s v="SP"/>
    <n v="1719278"/>
    <n v="20251016"/>
  </r>
  <r>
    <s v="16.10.2025"/>
    <x v="3"/>
    <n v="50"/>
    <n v="-519520"/>
    <s v="IDR"/>
    <n v="-519520"/>
    <s v="IDR"/>
    <m/>
    <m/>
    <m/>
    <s v="R124"/>
    <s v="836/PPC/X/2025"/>
    <s v="MAKANAN DAN MINUMAN"/>
    <s v="BY MKN MLM TEKNISI JOHNSON CONTROL 07-09 OKT 2025"/>
    <x v="7"/>
    <x v="7"/>
    <x v="4"/>
    <s v="SP"/>
    <n v="1719278"/>
    <n v="20251016"/>
  </r>
  <r>
    <s v="16.10.2025"/>
    <x v="3"/>
    <n v="50"/>
    <n v="-916000"/>
    <s v="IDR"/>
    <n v="-916000"/>
    <s v="IDR"/>
    <m/>
    <m/>
    <m/>
    <s v="R124"/>
    <s v="860/PPC/X/2025"/>
    <s v="BIAYA SERTIFIKASI HALAL"/>
    <s v="BY KONSUMSI AUDIT CUSTOMER PT UNITED WARU BISCUIT"/>
    <x v="21"/>
    <x v="21"/>
    <x v="8"/>
    <s v="SP"/>
    <n v="1719278"/>
    <n v="20251016"/>
  </r>
  <r>
    <s v="16.10.2025"/>
    <x v="3"/>
    <n v="50"/>
    <n v="-690000"/>
    <s v="IDR"/>
    <n v="-690000"/>
    <s v="IDR"/>
    <m/>
    <m/>
    <m/>
    <s v="R124"/>
    <s v="862/PPC/X/2025"/>
    <s v="BAHAN BAKAR"/>
    <s v="BY TRANSPORTASI BBM 10-13/10/2025"/>
    <x v="6"/>
    <x v="6"/>
    <x v="9"/>
    <s v="SP"/>
    <n v="1719278"/>
    <n v="20251016"/>
  </r>
  <r>
    <s v="16.10.2025"/>
    <x v="3"/>
    <n v="50"/>
    <n v="-307500"/>
    <s v="IDR"/>
    <n v="-307500"/>
    <s v="IDR"/>
    <m/>
    <m/>
    <m/>
    <s v="R124"/>
    <s v="862/PPC/X/2025"/>
    <s v="TRANSPORTASI LOKAL"/>
    <s v="BY TRANSPORTASI PARKIR TOL"/>
    <x v="5"/>
    <x v="5"/>
    <x v="9"/>
    <s v="SP"/>
    <n v="1719278"/>
    <n v="20251016"/>
  </r>
  <r>
    <s v="16.10.2025"/>
    <x v="3"/>
    <n v="50"/>
    <n v="-500000"/>
    <s v="IDR"/>
    <n v="-500000"/>
    <s v="IDR"/>
    <m/>
    <m/>
    <m/>
    <s v="R124"/>
    <s v="863/PPC/X/2025"/>
    <s v="OLAHRAGA DAN PERMAINAN"/>
    <s v="BY OLAHRAGA 10/10/2025"/>
    <x v="0"/>
    <x v="0"/>
    <x v="0"/>
    <s v="SP"/>
    <n v="1719278"/>
    <n v="20251016"/>
  </r>
  <r>
    <s v="16.10.2025"/>
    <x v="3"/>
    <n v="50"/>
    <n v="-500000"/>
    <s v="IDR"/>
    <n v="-500000"/>
    <s v="IDR"/>
    <m/>
    <m/>
    <m/>
    <s v="R124"/>
    <s v="864/PPC/X/2025"/>
    <s v="OLAHRAGA DAN PERMAINAN"/>
    <s v="BY OLAHRAGA 13/10/2025"/>
    <x v="0"/>
    <x v="0"/>
    <x v="0"/>
    <s v="SP"/>
    <n v="1719278"/>
    <n v="20251016"/>
  </r>
  <r>
    <s v="17.10.2025"/>
    <x v="3"/>
    <n v="50"/>
    <n v="-350000"/>
    <s v="IDR"/>
    <n v="-350000"/>
    <s v="IDR"/>
    <m/>
    <m/>
    <m/>
    <s v="R124"/>
    <s v="847/PPC/X/2025"/>
    <s v="SURVEY DAN ANALISA"/>
    <s v="BY COO KADIN GOLDEN PRIMA EBP 2411777713"/>
    <x v="1"/>
    <x v="1"/>
    <x v="2"/>
    <s v="SP"/>
    <n v="1719278"/>
    <n v="20251017"/>
  </r>
  <r>
    <s v="17.10.2025"/>
    <x v="3"/>
    <n v="50"/>
    <n v="-50000"/>
    <s v="IDR"/>
    <n v="-50000"/>
    <s v="IDR"/>
    <m/>
    <m/>
    <m/>
    <s v="R124"/>
    <s v="847/PPC/X/2025"/>
    <s v="SURVEY DAN ANALISA"/>
    <s v="BY HC HAWK TRADING EBP 2411777578"/>
    <x v="1"/>
    <x v="1"/>
    <x v="1"/>
    <s v="SP"/>
    <n v="1719278"/>
    <n v="20251017"/>
  </r>
  <r>
    <s v="17.10.2025"/>
    <x v="3"/>
    <n v="50"/>
    <n v="-100000"/>
    <s v="IDR"/>
    <n v="-100000"/>
    <s v="IDR"/>
    <m/>
    <m/>
    <m/>
    <s v="R124"/>
    <s v="847/PPC/X/2025"/>
    <s v="SURVEY DAN ANALISA"/>
    <s v="BY HC DINKES POLIVA ETP 2411777509"/>
    <x v="1"/>
    <x v="1"/>
    <x v="8"/>
    <s v="SP"/>
    <n v="1719278"/>
    <n v="20251017"/>
  </r>
  <r>
    <s v="17.10.2025"/>
    <x v="3"/>
    <n v="50"/>
    <n v="-100000"/>
    <s v="IDR"/>
    <n v="-100000"/>
    <s v="IDR"/>
    <m/>
    <m/>
    <m/>
    <s v="R124"/>
    <s v="847/PPC/X/2025"/>
    <s v="SURVEY DAN ANALISA"/>
    <s v="BY HC DINKES POLIVA ETP 2411777511"/>
    <x v="1"/>
    <x v="1"/>
    <x v="8"/>
    <s v="SP"/>
    <n v="1719278"/>
    <n v="20251017"/>
  </r>
  <r>
    <s v="17.10.2025"/>
    <x v="3"/>
    <n v="50"/>
    <n v="-100000"/>
    <s v="IDR"/>
    <n v="-100000"/>
    <s v="IDR"/>
    <m/>
    <m/>
    <m/>
    <s v="R124"/>
    <s v="847/PPC/X/2025"/>
    <s v="SURVEY DAN ANALISA"/>
    <s v="BY HC DINKES POLIVA ETP 2411777575"/>
    <x v="1"/>
    <x v="1"/>
    <x v="8"/>
    <s v="SP"/>
    <n v="1719278"/>
    <n v="20251017"/>
  </r>
  <r>
    <s v="17.10.2025"/>
    <x v="3"/>
    <n v="50"/>
    <n v="-100000"/>
    <s v="IDR"/>
    <n v="-100000"/>
    <s v="IDR"/>
    <m/>
    <m/>
    <m/>
    <s v="R124"/>
    <s v="847/PPC/X/2025"/>
    <s v="SURVEY DAN ANALISA"/>
    <s v="BY HC DINKES POLIVA ETP 2411777676"/>
    <x v="1"/>
    <x v="1"/>
    <x v="8"/>
    <s v="SP"/>
    <n v="1719278"/>
    <n v="20251017"/>
  </r>
  <r>
    <s v="17.10.2025"/>
    <x v="3"/>
    <n v="50"/>
    <n v="-152000"/>
    <s v="IDR"/>
    <n v="-152000"/>
    <s v="IDR"/>
    <m/>
    <m/>
    <m/>
    <s v="R124"/>
    <s v="866/PPC/X/2025"/>
    <s v="PBAIKN&amp;PRAWATN PRABT MATR"/>
    <s v="BY PEMB SIKU PVC, KENI, PLAP DISK, BEARING, DLL"/>
    <x v="3"/>
    <x v="3"/>
    <x v="9"/>
    <s v="SP"/>
    <n v="1719278"/>
    <n v="20251017"/>
  </r>
  <r>
    <s v="17.10.2025"/>
    <x v="3"/>
    <n v="50"/>
    <n v="-150000"/>
    <s v="IDR"/>
    <n v="-150000"/>
    <s v="IDR"/>
    <m/>
    <m/>
    <m/>
    <s v="R124"/>
    <s v="867/PPC/X/2025"/>
    <s v="MAKANAN DAN MINUMAN"/>
    <s v="BY KONSUMSI BMDP FINANCE INDIVIDUAL PRESENTATION"/>
    <x v="7"/>
    <x v="7"/>
    <x v="24"/>
    <s v="SP"/>
    <n v="1719278"/>
    <n v="20251017"/>
  </r>
  <r>
    <s v="17.10.2025"/>
    <x v="3"/>
    <n v="50"/>
    <n v="-630000"/>
    <s v="IDR"/>
    <n v="-630000"/>
    <s v="IDR"/>
    <m/>
    <m/>
    <m/>
    <s v="R124"/>
    <s v="868/PPC/X/2025"/>
    <s v="BAHAN BAKAR"/>
    <s v="BY TRANSPORTASI BBM 13-16/10/2025"/>
    <x v="6"/>
    <x v="6"/>
    <x v="9"/>
    <s v="SP"/>
    <n v="1719278"/>
    <n v="20251017"/>
  </r>
  <r>
    <s v="17.10.2025"/>
    <x v="3"/>
    <n v="50"/>
    <n v="-369500"/>
    <s v="IDR"/>
    <n v="-369500"/>
    <s v="IDR"/>
    <m/>
    <m/>
    <m/>
    <s v="R124"/>
    <s v="868/PPC/X/2025"/>
    <s v="TRANSPORTASI LOKAL"/>
    <s v="BY TRANSPORTASI PARKIR TOL"/>
    <x v="5"/>
    <x v="5"/>
    <x v="9"/>
    <s v="SP"/>
    <n v="1719278"/>
    <n v="20251017"/>
  </r>
  <r>
    <s v="17.10.2025"/>
    <x v="3"/>
    <n v="50"/>
    <n v="-704000"/>
    <s v="IDR"/>
    <n v="-704000"/>
    <s v="IDR"/>
    <m/>
    <m/>
    <m/>
    <s v="R124"/>
    <s v="869/PPC/X/2025"/>
    <s v="PEMEL.KEND&amp;A.BERAT MATRL"/>
    <s v="BY PEMB LOWER PRINT, FUSER FILM, PIPA SCH"/>
    <x v="2"/>
    <x v="2"/>
    <x v="10"/>
    <s v="SP"/>
    <n v="1719278"/>
    <n v="20251017"/>
  </r>
  <r>
    <s v="17.10.2025"/>
    <x v="3"/>
    <n v="50"/>
    <n v="-800000"/>
    <s v="IDR"/>
    <n v="-800000"/>
    <s v="IDR"/>
    <m/>
    <m/>
    <m/>
    <s v="R124"/>
    <s v="870/PPC/X/2025"/>
    <s v="BIAYA MESS"/>
    <s v="BY IURAN RT MESS PONDOK TJANDRA OKT 2025"/>
    <x v="14"/>
    <x v="14"/>
    <x v="9"/>
    <s v="SP"/>
    <n v="1719278"/>
    <n v="20251017"/>
  </r>
  <r>
    <s v="20.10.2025"/>
    <x v="3"/>
    <n v="50"/>
    <n v="-977000"/>
    <s v="IDR"/>
    <n v="-977000"/>
    <s v="IDR"/>
    <m/>
    <m/>
    <m/>
    <s v="R124"/>
    <s v="845/PPC/X/2025"/>
    <s v="PEMEL.KEND&amp;A.BERAT MATRL"/>
    <s v="BY PEMB. REDUCER, L BOW, STOOD, LUBRICAN DLL."/>
    <x v="2"/>
    <x v="2"/>
    <x v="20"/>
    <s v="SP"/>
    <n v="1719278"/>
    <n v="20251020"/>
  </r>
  <r>
    <s v="20.10.2025"/>
    <x v="3"/>
    <n v="50"/>
    <n v="-200000"/>
    <s v="IDR"/>
    <n v="-200000"/>
    <s v="IDR"/>
    <m/>
    <m/>
    <m/>
    <s v="R124"/>
    <s v="865/PPC/X/2025"/>
    <s v="SURVEY DAN ANALISA"/>
    <s v="BY COO KADIN ASSUDAMAL 2411777774"/>
    <x v="1"/>
    <x v="1"/>
    <x v="2"/>
    <s v="SP"/>
    <n v="1719278"/>
    <n v="20251020"/>
  </r>
  <r>
    <s v="20.10.2025"/>
    <x v="3"/>
    <n v="50"/>
    <n v="-150000"/>
    <s v="IDR"/>
    <n v="-150000"/>
    <s v="IDR"/>
    <m/>
    <m/>
    <m/>
    <s v="R124"/>
    <s v="865/PPC/X/2025"/>
    <s v="SURVEY DAN ANALISA"/>
    <s v="BY COO KADIN ASSUDAMAL 2411777775"/>
    <x v="1"/>
    <x v="1"/>
    <x v="2"/>
    <s v="SP"/>
    <n v="1719278"/>
    <n v="20251020"/>
  </r>
  <r>
    <s v="20.10.2025"/>
    <x v="3"/>
    <n v="50"/>
    <n v="-50000"/>
    <s v="IDR"/>
    <n v="-50000"/>
    <s v="IDR"/>
    <m/>
    <m/>
    <m/>
    <s v="R124"/>
    <s v="865/PPC/X/2025"/>
    <s v="SURVEY DAN ANALISA"/>
    <s v="BY HC ASSUMDAL 2411777774"/>
    <x v="1"/>
    <x v="1"/>
    <x v="2"/>
    <s v="SP"/>
    <n v="1719278"/>
    <n v="20251020"/>
  </r>
  <r>
    <s v="20.10.2025"/>
    <x v="3"/>
    <n v="50"/>
    <n v="-50000"/>
    <s v="IDR"/>
    <n v="-50000"/>
    <s v="IDR"/>
    <m/>
    <m/>
    <m/>
    <s v="R124"/>
    <s v="865/PPC/X/2025"/>
    <s v="SURVEY DAN ANALISA"/>
    <s v="BY HC ASSUMDAL 2411777775"/>
    <x v="1"/>
    <x v="1"/>
    <x v="2"/>
    <s v="SP"/>
    <n v="1719278"/>
    <n v="20251020"/>
  </r>
  <r>
    <s v="20.10.2025"/>
    <x v="3"/>
    <n v="50"/>
    <n v="-50000"/>
    <s v="IDR"/>
    <n v="-50000"/>
    <s v="IDR"/>
    <m/>
    <m/>
    <m/>
    <s v="R124"/>
    <s v="865/PPC/X/2025"/>
    <s v="SURVEY DAN ANALISA"/>
    <s v="BY HC NESTLE COTE 2411777576"/>
    <x v="1"/>
    <x v="1"/>
    <x v="8"/>
    <s v="SP"/>
    <n v="1719278"/>
    <n v="20251020"/>
  </r>
  <r>
    <s v="20.10.2025"/>
    <x v="3"/>
    <n v="50"/>
    <n v="-50000"/>
    <s v="IDR"/>
    <n v="-50000"/>
    <s v="IDR"/>
    <m/>
    <m/>
    <m/>
    <s v="R124"/>
    <s v="865/PPC/X/2025"/>
    <s v="SURVEY DAN ANALISA"/>
    <s v="BY HC GOLDEN PRIMA 2411777713"/>
    <x v="1"/>
    <x v="1"/>
    <x v="2"/>
    <s v="SP"/>
    <n v="1719278"/>
    <n v="20251020"/>
  </r>
  <r>
    <s v="20.10.2025"/>
    <x v="3"/>
    <n v="50"/>
    <n v="-50000"/>
    <s v="IDR"/>
    <n v="-50000"/>
    <s v="IDR"/>
    <m/>
    <m/>
    <m/>
    <s v="R124"/>
    <s v="865/PPC/X/2025"/>
    <s v="SURVEY DAN ANALISA"/>
    <s v="BY HC MISUI 2411777550"/>
    <x v="1"/>
    <x v="1"/>
    <x v="8"/>
    <s v="SP"/>
    <n v="1719278"/>
    <n v="20251020"/>
  </r>
  <r>
    <s v="20.10.2025"/>
    <x v="3"/>
    <n v="50"/>
    <n v="-470000"/>
    <s v="IDR"/>
    <n v="-470000"/>
    <s v="IDR"/>
    <m/>
    <m/>
    <m/>
    <s v="R124"/>
    <s v="875/PPC/X/2025"/>
    <s v="MAKANAN DAN MINUMAN"/>
    <s v="BY SNACK SC MEETING 16/10/25"/>
    <x v="7"/>
    <x v="7"/>
    <x v="22"/>
    <s v="SP"/>
    <n v="1719278"/>
    <n v="20251020"/>
  </r>
  <r>
    <s v="20.10.2025"/>
    <x v="3"/>
    <n v="50"/>
    <n v="-50000"/>
    <s v="IDR"/>
    <n v="-50000"/>
    <s v="IDR"/>
    <m/>
    <m/>
    <m/>
    <s v="R124"/>
    <s v="876/PPC/X/2025"/>
    <s v="SURVEY DAN ANALISA"/>
    <s v="BY HC NESTLE AUSTRALIA 2411777925"/>
    <x v="1"/>
    <x v="1"/>
    <x v="8"/>
    <s v="SP"/>
    <n v="1719278"/>
    <n v="20251020"/>
  </r>
  <r>
    <s v="20.10.2025"/>
    <x v="3"/>
    <n v="50"/>
    <n v="-50000"/>
    <s v="IDR"/>
    <n v="-50000"/>
    <s v="IDR"/>
    <m/>
    <m/>
    <m/>
    <s v="R124"/>
    <s v="876/PPC/X/2025"/>
    <s v="SURVEY DAN ANALISA"/>
    <s v="BY HC NESTLE GHANA 2411777902"/>
    <x v="1"/>
    <x v="1"/>
    <x v="8"/>
    <s v="SP"/>
    <n v="1719278"/>
    <n v="20251020"/>
  </r>
  <r>
    <s v="20.10.2025"/>
    <x v="3"/>
    <n v="50"/>
    <n v="-50000"/>
    <s v="IDR"/>
    <n v="-50000"/>
    <s v="IDR"/>
    <m/>
    <m/>
    <m/>
    <s v="R124"/>
    <s v="876/PPC/X/2025"/>
    <s v="SURVEY DAN ANALISA"/>
    <s v="BY HC NN-TEL LTD 2411777716"/>
    <x v="1"/>
    <x v="1"/>
    <x v="8"/>
    <s v="SP"/>
    <n v="1719278"/>
    <n v="20251020"/>
  </r>
  <r>
    <s v="21.10.2025"/>
    <x v="3"/>
    <n v="50"/>
    <n v="-293655"/>
    <s v="IDR"/>
    <n v="-293655"/>
    <s v="IDR"/>
    <m/>
    <m/>
    <m/>
    <s v="R124"/>
    <s v="877/PPC/X/2025"/>
    <s v="PBAIKN&amp;PRAWATN PRABT MATR"/>
    <s v="BY PEMB MODERN MESIN JIGSAW, ID CARD"/>
    <x v="3"/>
    <x v="3"/>
    <x v="9"/>
    <s v="SP"/>
    <n v="1719278"/>
    <n v="20251021"/>
  </r>
  <r>
    <s v="21.10.2025"/>
    <x v="3"/>
    <n v="50"/>
    <n v="-135000"/>
    <s v="IDR"/>
    <n v="-135000"/>
    <s v="IDR"/>
    <m/>
    <m/>
    <m/>
    <s v="R124"/>
    <s v="880/PPC/X/2025"/>
    <s v="PELATIHAN INTERNAL-KANTOR"/>
    <s v="BY BANNER BINTALFISDIS BMDP MANUFACTURING XXVI"/>
    <x v="22"/>
    <x v="22"/>
    <x v="33"/>
    <s v="SP"/>
    <n v="1719278"/>
    <n v="20251021"/>
  </r>
  <r>
    <s v="21.10.2025"/>
    <x v="3"/>
    <n v="50"/>
    <n v="-971000"/>
    <s v="IDR"/>
    <n v="-971000"/>
    <s v="IDR"/>
    <m/>
    <m/>
    <m/>
    <s v="R124"/>
    <s v="879/PPC/X/2025"/>
    <s v="PERALATAN KANTOR"/>
    <s v="BY PEMB POSTER AKRILIK, BANNER SELAMAT DTG"/>
    <x v="16"/>
    <x v="16"/>
    <x v="9"/>
    <s v="SP"/>
    <n v="1719278"/>
    <n v="20251021"/>
  </r>
  <r>
    <s v="21.10.2025"/>
    <x v="3"/>
    <n v="50"/>
    <n v="-760000"/>
    <s v="IDR"/>
    <n v="-760000"/>
    <s v="IDR"/>
    <m/>
    <m/>
    <m/>
    <s v="R124"/>
    <s v="878/PPC/X/2025"/>
    <s v="PERALATAN KANTOR"/>
    <s v="BY PEMB POSTER AKRILIK FERO LILIAN, KEBIASAAN BARU"/>
    <x v="16"/>
    <x v="16"/>
    <x v="9"/>
    <s v="SP"/>
    <n v="1719278"/>
    <n v="20251021"/>
  </r>
  <r>
    <s v="21.10.2025"/>
    <x v="3"/>
    <n v="50"/>
    <n v="-560000"/>
    <s v="IDR"/>
    <n v="-560000"/>
    <s v="IDR"/>
    <m/>
    <m/>
    <m/>
    <s v="R124"/>
    <s v="881/PPC/X/2025"/>
    <s v="BAHAN BAKAR"/>
    <s v="BY TRANSPORTASI BBM 16-17/10/2025"/>
    <x v="6"/>
    <x v="6"/>
    <x v="9"/>
    <s v="SP"/>
    <n v="1719278"/>
    <n v="20251021"/>
  </r>
  <r>
    <s v="21.10.2025"/>
    <x v="3"/>
    <n v="50"/>
    <n v="-439000"/>
    <s v="IDR"/>
    <n v="-439000"/>
    <s v="IDR"/>
    <m/>
    <m/>
    <m/>
    <s v="R124"/>
    <s v="881/PPC/X/2025"/>
    <s v="TRANSPORTASI LOKAL"/>
    <s v="BY TRANSPORTASI PARKIR TOL"/>
    <x v="5"/>
    <x v="5"/>
    <x v="9"/>
    <s v="SP"/>
    <n v="1719278"/>
    <n v="20251021"/>
  </r>
  <r>
    <s v="21.10.2025"/>
    <x v="3"/>
    <n v="50"/>
    <n v="-227000"/>
    <s v="IDR"/>
    <n v="-227000"/>
    <s v="IDR"/>
    <m/>
    <m/>
    <m/>
    <s v="R124"/>
    <s v="859/PPC/X/2025"/>
    <s v="MAKANAN DAN MINUMAN"/>
    <s v="BY MKN MLM TEKNISI JOHNSON CONTROL 11 &amp;14 OKT 2025"/>
    <x v="7"/>
    <x v="7"/>
    <x v="12"/>
    <s v="SP"/>
    <n v="1719278"/>
    <n v="20251021"/>
  </r>
  <r>
    <s v="21.10.2025"/>
    <x v="3"/>
    <n v="50"/>
    <n v="-50000"/>
    <s v="IDR"/>
    <n v="-50000"/>
    <s v="IDR"/>
    <m/>
    <m/>
    <m/>
    <s v="R124"/>
    <s v="886/PPC/X/2025"/>
    <s v="SURVEY DAN ANALISA"/>
    <s v="BY HC HORGOS 2411777909"/>
    <x v="1"/>
    <x v="1"/>
    <x v="1"/>
    <s v="SP"/>
    <n v="1719278"/>
    <n v="20251021"/>
  </r>
  <r>
    <s v="21.10.2025"/>
    <x v="3"/>
    <n v="50"/>
    <n v="-50000"/>
    <s v="IDR"/>
    <n v="-50000"/>
    <s v="IDR"/>
    <m/>
    <m/>
    <m/>
    <s v="R124"/>
    <s v="886/PPC/X/2025"/>
    <s v="SURVEY DAN ANALISA"/>
    <s v="BY HC HORGOS 2411777856"/>
    <x v="1"/>
    <x v="1"/>
    <x v="1"/>
    <s v="SP"/>
    <n v="1719278"/>
    <n v="20251021"/>
  </r>
  <r>
    <s v="21.10.2025"/>
    <x v="3"/>
    <n v="50"/>
    <n v="-50000"/>
    <s v="IDR"/>
    <n v="-50000"/>
    <s v="IDR"/>
    <m/>
    <m/>
    <m/>
    <s v="R124"/>
    <s v="886/PPC/X/2025"/>
    <s v="SURVEY DAN ANALISA"/>
    <s v="BY HC HORGOS 2411777905"/>
    <x v="1"/>
    <x v="1"/>
    <x v="1"/>
    <s v="SP"/>
    <n v="1719278"/>
    <n v="20251021"/>
  </r>
  <r>
    <s v="21.10.2025"/>
    <x v="3"/>
    <n v="50"/>
    <n v="-50000"/>
    <s v="IDR"/>
    <n v="-50000"/>
    <s v="IDR"/>
    <m/>
    <m/>
    <m/>
    <s v="R124"/>
    <s v="886/PPC/X/2025"/>
    <s v="SURVEY DAN ANALISA"/>
    <s v="BY HC SG OILSEED 2411777929"/>
    <x v="1"/>
    <x v="1"/>
    <x v="1"/>
    <s v="SP"/>
    <n v="1719278"/>
    <n v="20251021"/>
  </r>
  <r>
    <s v="21.10.2025"/>
    <x v="3"/>
    <n v="50"/>
    <n v="-50000"/>
    <s v="IDR"/>
    <n v="-50000"/>
    <s v="IDR"/>
    <m/>
    <m/>
    <m/>
    <s v="R124"/>
    <s v="886/PPC/X/2025"/>
    <s v="SURVEY DAN ANALISA"/>
    <s v="BY HC HORGOS 2411777932"/>
    <x v="1"/>
    <x v="1"/>
    <x v="1"/>
    <s v="SP"/>
    <n v="1719278"/>
    <n v="20251021"/>
  </r>
  <r>
    <s v="21.10.2025"/>
    <x v="3"/>
    <n v="50"/>
    <n v="-48300"/>
    <s v="IDR"/>
    <n v="-48300"/>
    <s v="IDR"/>
    <m/>
    <m/>
    <m/>
    <s v="R124"/>
    <s v="861/PPC/X/2025"/>
    <s v="UANG MUKA BIAYA"/>
    <s v="BY FORT KUNCI FP: 04002500309859310"/>
    <x v="19"/>
    <x v="19"/>
    <x v="25"/>
    <s v="SP"/>
    <n v="1719278"/>
    <n v="20251021"/>
  </r>
  <r>
    <s v="21.10.2025"/>
    <x v="3"/>
    <n v="50"/>
    <n v="-82100"/>
    <s v="IDR"/>
    <n v="-82100"/>
    <s v="IDR"/>
    <m/>
    <m/>
    <m/>
    <s v="R124"/>
    <s v="861/PPC/X/2025"/>
    <s v="UANG MUKA BIAYA"/>
    <s v="BY FORT KUNCI FP: 04002500309845801"/>
    <x v="19"/>
    <x v="19"/>
    <x v="25"/>
    <s v="SP"/>
    <n v="1719278"/>
    <n v="20251021"/>
  </r>
  <r>
    <s v="21.10.2025"/>
    <x v="3"/>
    <n v="40"/>
    <n v="31087455"/>
    <s v="IDR"/>
    <n v="31087455"/>
    <s v="IDR"/>
    <m/>
    <m/>
    <m/>
    <s v="R124"/>
    <m/>
    <s v="BANK IN TRANSIT"/>
    <s v="PETTY CASH RUNGKUT SURABAYA PERIODE 08-21 OKT 25"/>
    <x v="13"/>
    <x v="13"/>
    <x v="19"/>
    <s v="SP"/>
    <n v="1719278"/>
    <n v="20251021"/>
  </r>
  <r>
    <s v="03.11.2025"/>
    <x v="4"/>
    <n v="50"/>
    <n v="-510000"/>
    <s v="IDR"/>
    <n v="-510000"/>
    <s v="IDR"/>
    <m/>
    <m/>
    <m/>
    <s v="R124"/>
    <s v="903/PPC/X/2025"/>
    <s v="BAHAN BAKAR"/>
    <s v="BY BBM PERIODE 29/10/2025"/>
    <x v="6"/>
    <x v="6"/>
    <x v="9"/>
    <s v="SP"/>
    <n v="1793264"/>
    <n v="20251103"/>
  </r>
  <r>
    <s v="03.11.2025"/>
    <x v="4"/>
    <n v="50"/>
    <n v="-489500"/>
    <s v="IDR"/>
    <n v="-489500"/>
    <s v="IDR"/>
    <m/>
    <m/>
    <m/>
    <s v="R124"/>
    <s v="903/PPC/X/2025"/>
    <s v="TRANSPORTASI LOKAL"/>
    <s v="BY PARKIR DAN TOLL PERIODE 29/10/25"/>
    <x v="5"/>
    <x v="5"/>
    <x v="9"/>
    <s v="SP"/>
    <n v="1793264"/>
    <n v="20251103"/>
  </r>
  <r>
    <s v="03.11.2025"/>
    <x v="4"/>
    <n v="50"/>
    <n v="-50000"/>
    <s v="IDR"/>
    <n v="-50000"/>
    <s v="IDR"/>
    <m/>
    <m/>
    <m/>
    <s v="R124"/>
    <s v="925/PPC/X/2025"/>
    <s v="MAKANAN DAN MINUMAN"/>
    <s v="BY MAKAN DINAS LUAR PERAK 28/10/25"/>
    <x v="7"/>
    <x v="7"/>
    <x v="13"/>
    <s v="SP"/>
    <n v="1793264"/>
    <n v="20251103"/>
  </r>
  <r>
    <s v="03.11.2025"/>
    <x v="4"/>
    <n v="50"/>
    <n v="-122500"/>
    <s v="IDR"/>
    <n v="-122500"/>
    <s v="IDR"/>
    <m/>
    <m/>
    <m/>
    <s v="R124"/>
    <s v="926/PPC/X/2025"/>
    <s v="TRANSPORTASI LOKAL"/>
    <s v="BY PERJALANAN KE RKT 26/10/25"/>
    <x v="5"/>
    <x v="5"/>
    <x v="32"/>
    <s v="SP"/>
    <n v="1793264"/>
    <n v="20251103"/>
  </r>
  <r>
    <s v="03.11.2025"/>
    <x v="4"/>
    <n v="50"/>
    <n v="-450000"/>
    <s v="IDR"/>
    <n v="-450000"/>
    <s v="IDR"/>
    <m/>
    <m/>
    <m/>
    <s v="R124"/>
    <s v="926/PPC/X/2025"/>
    <s v="MAKANAN DAN MINUMAN"/>
    <s v="BY MAKAN DINAS LUAR PERAK 18-26/10/25"/>
    <x v="7"/>
    <x v="7"/>
    <x v="32"/>
    <s v="SP"/>
    <n v="1793264"/>
    <n v="20251103"/>
  </r>
  <r>
    <s v="03.11.2025"/>
    <x v="4"/>
    <n v="50"/>
    <n v="-200000"/>
    <s v="IDR"/>
    <n v="-200000"/>
    <s v="IDR"/>
    <m/>
    <m/>
    <m/>
    <s v="R124"/>
    <s v="926/PPC/X/2025"/>
    <s v="PEMEL.KEND&amp;A.BERAT MATRL"/>
    <s v="BY PEMB. KLEM ACCU LOADER"/>
    <x v="2"/>
    <x v="2"/>
    <x v="32"/>
    <s v="SP"/>
    <n v="1793264"/>
    <n v="20251103"/>
  </r>
  <r>
    <s v="03.11.2025"/>
    <x v="4"/>
    <n v="50"/>
    <n v="-490000"/>
    <s v="IDR"/>
    <n v="-490000"/>
    <s v="IDR"/>
    <m/>
    <m/>
    <m/>
    <s v="R124"/>
    <s v="927/PPC/X/2025"/>
    <s v="BAHAN BAKAR"/>
    <s v="BY BBM PERIODE 28-29/10/2025"/>
    <x v="6"/>
    <x v="6"/>
    <x v="9"/>
    <s v="SP"/>
    <n v="1793264"/>
    <n v="20251103"/>
  </r>
  <r>
    <s v="03.11.2025"/>
    <x v="4"/>
    <n v="50"/>
    <n v="-509000"/>
    <s v="IDR"/>
    <n v="-509000"/>
    <s v="IDR"/>
    <m/>
    <m/>
    <m/>
    <s v="R124"/>
    <s v="927/PPC/X/2025"/>
    <s v="TRANSPORTASI LOKAL"/>
    <s v="BY TRANSPORTASI PARKIR TOL 28-29/10/2025"/>
    <x v="5"/>
    <x v="5"/>
    <x v="9"/>
    <s v="SP"/>
    <n v="1793264"/>
    <n v="20251103"/>
  </r>
  <r>
    <s v="03.11.2025"/>
    <x v="4"/>
    <n v="50"/>
    <n v="-500000"/>
    <s v="IDR"/>
    <n v="-500000"/>
    <s v="IDR"/>
    <m/>
    <m/>
    <m/>
    <s v="R124"/>
    <s v="928/PPC/X/2025"/>
    <s v="BAHAN BAKAR"/>
    <s v="BY BBM PERIODE 29/10/2025"/>
    <x v="6"/>
    <x v="6"/>
    <x v="9"/>
    <s v="SP"/>
    <n v="1793264"/>
    <n v="20251103"/>
  </r>
  <r>
    <s v="03.11.2025"/>
    <x v="4"/>
    <n v="50"/>
    <n v="-497000"/>
    <s v="IDR"/>
    <n v="-497000"/>
    <s v="IDR"/>
    <m/>
    <m/>
    <m/>
    <s v="R124"/>
    <s v="928/PPC/X/2025"/>
    <s v="TRANSPORTASI LOKAL"/>
    <s v="BY TRANSPORTASI PARKIR TOL 29/10/2025"/>
    <x v="5"/>
    <x v="5"/>
    <x v="9"/>
    <s v="SP"/>
    <n v="1793264"/>
    <n v="20251103"/>
  </r>
  <r>
    <s v="04.11.2025"/>
    <x v="4"/>
    <n v="50"/>
    <n v="-90000"/>
    <s v="IDR"/>
    <n v="-90000"/>
    <s v="IDR"/>
    <m/>
    <m/>
    <m/>
    <s v="R124"/>
    <s v="887/PPC/X/2025"/>
    <s v="PELATIHAN INTERNAL-KANTOR"/>
    <s v="BY KOTAK SNACK U/ KICK OFF BMDP MANUFACTURING 26"/>
    <x v="22"/>
    <x v="22"/>
    <x v="33"/>
    <s v="SP"/>
    <n v="1793264"/>
    <n v="20251104"/>
  </r>
  <r>
    <s v="04.11.2025"/>
    <x v="4"/>
    <n v="50"/>
    <n v="-600000"/>
    <s v="IDR"/>
    <n v="-600000"/>
    <s v="IDR"/>
    <m/>
    <m/>
    <m/>
    <s v="R124"/>
    <s v="888/PPC/X/2025"/>
    <s v="PELATIHAN EXTERNAL-PIHAK3"/>
    <s v="BY SEMINAR SPSI KEBIJAKAN POLITIK &amp; HIERARKI HUKUM"/>
    <x v="23"/>
    <x v="23"/>
    <x v="0"/>
    <s v="SP"/>
    <n v="1793264"/>
    <n v="20251104"/>
  </r>
  <r>
    <s v="04.11.2025"/>
    <x v="4"/>
    <n v="50"/>
    <n v="-720000"/>
    <s v="IDR"/>
    <n v="-720000"/>
    <s v="IDR"/>
    <m/>
    <m/>
    <m/>
    <s v="R124"/>
    <s v="889/PPC/X/2025"/>
    <s v="BAHAN BAKAR"/>
    <s v="BY TRANSPORTASI BBM 17-21 OKTOBER 2025"/>
    <x v="6"/>
    <x v="6"/>
    <x v="9"/>
    <s v="SP"/>
    <n v="1793264"/>
    <n v="20251104"/>
  </r>
  <r>
    <s v="04.11.2025"/>
    <x v="4"/>
    <n v="50"/>
    <n v="-278000"/>
    <s v="IDR"/>
    <n v="-278000"/>
    <s v="IDR"/>
    <m/>
    <m/>
    <m/>
    <s v="R124"/>
    <s v="889/PPC/X/2025"/>
    <s v="TRANSPORTASI LOKAL"/>
    <s v="BY TRANSPORTASI PARKIR TOL"/>
    <x v="5"/>
    <x v="5"/>
    <x v="9"/>
    <s v="SP"/>
    <n v="1793264"/>
    <n v="20251104"/>
  </r>
  <r>
    <s v="04.11.2025"/>
    <x v="4"/>
    <n v="50"/>
    <n v="-50000"/>
    <s v="IDR"/>
    <n v="-50000"/>
    <s v="IDR"/>
    <m/>
    <m/>
    <m/>
    <s v="R124"/>
    <s v="885/PPC/X/2025"/>
    <s v="ADMIN &amp; DOKUMEN EKSPOR"/>
    <s v="BY HC SG OILSEED EBP 2411777854"/>
    <x v="18"/>
    <x v="18"/>
    <x v="1"/>
    <s v="SP"/>
    <n v="1793264"/>
    <n v="20251104"/>
  </r>
  <r>
    <s v="04.11.2025"/>
    <x v="4"/>
    <n v="50"/>
    <n v="-50000"/>
    <s v="IDR"/>
    <n v="-50000"/>
    <s v="IDR"/>
    <m/>
    <m/>
    <m/>
    <s v="R124"/>
    <s v="885/PPC/X/2025"/>
    <s v="ADMIN &amp; DOKUMEN EKSPOR"/>
    <s v="BY HC NESTLE PAKISTAN ETP 2411777901"/>
    <x v="18"/>
    <x v="18"/>
    <x v="8"/>
    <s v="SP"/>
    <n v="1793264"/>
    <n v="20251104"/>
  </r>
  <r>
    <s v="04.11.2025"/>
    <x v="4"/>
    <n v="50"/>
    <n v="-50000"/>
    <s v="IDR"/>
    <n v="-50000"/>
    <s v="IDR"/>
    <m/>
    <m/>
    <m/>
    <s v="R124"/>
    <s v="885/PPC/X/2025"/>
    <s v="ADMIN &amp; DOKUMEN EKSPOR"/>
    <s v="BY HC CHEMI C EBP 2411777939"/>
    <x v="18"/>
    <x v="18"/>
    <x v="1"/>
    <s v="SP"/>
    <n v="1793264"/>
    <n v="20251104"/>
  </r>
  <r>
    <s v="04.11.2025"/>
    <x v="4"/>
    <n v="50"/>
    <n v="-50000"/>
    <s v="IDR"/>
    <n v="-50000"/>
    <s v="IDR"/>
    <m/>
    <m/>
    <m/>
    <s v="R124"/>
    <s v="885/PPC/X/2025"/>
    <s v="ADMIN &amp; DOKUMEN EKSPOR"/>
    <s v="BY HC CHEMI C EBP 2411777940"/>
    <x v="18"/>
    <x v="18"/>
    <x v="1"/>
    <s v="SP"/>
    <n v="1793264"/>
    <n v="20251104"/>
  </r>
  <r>
    <s v="04.11.2025"/>
    <x v="4"/>
    <n v="50"/>
    <n v="-50000"/>
    <s v="IDR"/>
    <n v="-50000"/>
    <s v="IDR"/>
    <m/>
    <m/>
    <m/>
    <s v="R124"/>
    <s v="885/PPC/X/2025"/>
    <s v="ADMIN &amp; DOKUMEN EKSPOR"/>
    <s v="BY HC CHEMI C EBP 2411777866"/>
    <x v="18"/>
    <x v="18"/>
    <x v="1"/>
    <s v="SP"/>
    <n v="1793264"/>
    <n v="20251104"/>
  </r>
  <r>
    <s v="04.11.2025"/>
    <x v="4"/>
    <n v="50"/>
    <n v="-50000"/>
    <s v="IDR"/>
    <n v="-50000"/>
    <s v="IDR"/>
    <m/>
    <m/>
    <m/>
    <s v="R124"/>
    <s v="885/PPC/X/2025"/>
    <s v="ADMIN &amp; DOKUMEN EKSPOR"/>
    <s v="BY HC SUICHANGLONG EBP 2411777908"/>
    <x v="18"/>
    <x v="18"/>
    <x v="1"/>
    <s v="SP"/>
    <n v="1793264"/>
    <n v="20251104"/>
  </r>
  <r>
    <s v="04.11.2025"/>
    <x v="4"/>
    <n v="50"/>
    <n v="-50000"/>
    <s v="IDR"/>
    <n v="-50000"/>
    <s v="IDR"/>
    <m/>
    <m/>
    <m/>
    <s v="R124"/>
    <s v="885/PPC/X/2025"/>
    <s v="ADMIN &amp; DOKUMEN EKSPOR"/>
    <s v="BY HC SG OILSEED EBP 2411777931"/>
    <x v="18"/>
    <x v="18"/>
    <x v="1"/>
    <s v="SP"/>
    <n v="1793264"/>
    <n v="20251104"/>
  </r>
  <r>
    <s v="04.11.2025"/>
    <x v="4"/>
    <n v="50"/>
    <n v="-237500"/>
    <s v="IDR"/>
    <n v="-237500"/>
    <s v="IDR"/>
    <m/>
    <m/>
    <m/>
    <s v="R124"/>
    <s v="890/PPC/X/2025"/>
    <s v="MAKANAN DAN MINUMAN"/>
    <s v="BY KONSUMSI BIPARTITE KESEPAKATAN PERPANJANGAN PKB"/>
    <x v="7"/>
    <x v="7"/>
    <x v="0"/>
    <s v="SP"/>
    <n v="1793264"/>
    <n v="20251104"/>
  </r>
  <r>
    <s v="04.11.2025"/>
    <x v="4"/>
    <n v="50"/>
    <n v="-975000"/>
    <s v="IDR"/>
    <n v="-975000"/>
    <s v="IDR"/>
    <m/>
    <m/>
    <m/>
    <s v="R124"/>
    <s v="891/PPC/X/2025"/>
    <s v="PELATIHAN INTERNAL-KANTOR"/>
    <s v="BY KONSUMSI BMDP MANUFACTURING 26 - 17/10/2025"/>
    <x v="22"/>
    <x v="22"/>
    <x v="33"/>
    <s v="SP"/>
    <n v="1793264"/>
    <n v="20251104"/>
  </r>
  <r>
    <s v="04.11.2025"/>
    <x v="4"/>
    <n v="50"/>
    <n v="-985000"/>
    <s v="IDR"/>
    <n v="-985000"/>
    <s v="IDR"/>
    <m/>
    <m/>
    <m/>
    <s v="R124"/>
    <s v="892/PPC/X/2025"/>
    <s v="PELATIHAN INTERNAL-KANTOR"/>
    <s v="BY KONSUMSI BMDP MANUFACTURING 26 - 16/10/2025"/>
    <x v="22"/>
    <x v="22"/>
    <x v="33"/>
    <s v="SP"/>
    <n v="1793264"/>
    <n v="20251104"/>
  </r>
  <r>
    <s v="04.11.2025"/>
    <x v="4"/>
    <n v="50"/>
    <n v="-240000"/>
    <s v="IDR"/>
    <n v="-240000"/>
    <s v="IDR"/>
    <m/>
    <m/>
    <m/>
    <s v="R124"/>
    <s v="893/PPC/X/2025"/>
    <s v="MAKANAN DAN MINUMAN"/>
    <s v="BY KONSUMSI KICK OFF GRADING ALIGNMENT QFS 2025"/>
    <x v="7"/>
    <x v="7"/>
    <x v="15"/>
    <s v="SP"/>
    <n v="1793264"/>
    <n v="20251104"/>
  </r>
  <r>
    <s v="04.11.2025"/>
    <x v="4"/>
    <n v="50"/>
    <n v="-650000"/>
    <s v="IDR"/>
    <n v="-650000"/>
    <s v="IDR"/>
    <m/>
    <m/>
    <m/>
    <s v="R124"/>
    <s v="894/PPC/X/2025"/>
    <s v="BAHAN BAKAR"/>
    <s v="BY TRANSPORTASI BBM 21-22 OKTOBER 2025"/>
    <x v="6"/>
    <x v="6"/>
    <x v="9"/>
    <s v="SP"/>
    <n v="1793264"/>
    <n v="20251104"/>
  </r>
  <r>
    <s v="04.11.2025"/>
    <x v="4"/>
    <n v="50"/>
    <n v="-350000"/>
    <s v="IDR"/>
    <n v="-350000"/>
    <s v="IDR"/>
    <m/>
    <m/>
    <m/>
    <s v="R124"/>
    <s v="894/PPC/X/2025"/>
    <s v="TRANSPORTASI LOKAL"/>
    <s v="BY TRANSPORTASI PARKIR TOL"/>
    <x v="5"/>
    <x v="5"/>
    <x v="9"/>
    <s v="SP"/>
    <n v="1793264"/>
    <n v="20251104"/>
  </r>
  <r>
    <s v="04.11.2025"/>
    <x v="4"/>
    <n v="50"/>
    <n v="-993960"/>
    <s v="IDR"/>
    <n v="-993960"/>
    <s v="IDR"/>
    <m/>
    <m/>
    <m/>
    <s v="R124"/>
    <s v="895/PPC/X/2025"/>
    <s v="MAKANAN DAN MINUMAN"/>
    <s v="BY KONSUMSI 551 17/10/2025"/>
    <x v="7"/>
    <x v="7"/>
    <x v="9"/>
    <s v="SP"/>
    <n v="1793264"/>
    <n v="20251104"/>
  </r>
  <r>
    <s v="04.11.2025"/>
    <x v="4"/>
    <n v="50"/>
    <n v="-50000"/>
    <s v="IDR"/>
    <n v="-50000"/>
    <s v="IDR"/>
    <m/>
    <m/>
    <m/>
    <s v="R124"/>
    <s v="896/PPC/X/2025"/>
    <s v="ADMIN &amp; DOKUMEN EKSPOR"/>
    <s v="BY HC NESTLE AUSTRALIA ETP 2411777941"/>
    <x v="18"/>
    <x v="18"/>
    <x v="8"/>
    <s v="SP"/>
    <n v="1793264"/>
    <n v="20251104"/>
  </r>
  <r>
    <s v="04.11.2025"/>
    <x v="4"/>
    <n v="50"/>
    <n v="-50000"/>
    <s v="IDR"/>
    <n v="-50000"/>
    <s v="IDR"/>
    <m/>
    <m/>
    <m/>
    <s v="R124"/>
    <s v="897/PPC/X/2025"/>
    <s v="ADMIN &amp; DOKUMEN EKSPOR"/>
    <s v="BY HC AGRI RESINDO ETP 2411777605"/>
    <x v="18"/>
    <x v="18"/>
    <x v="8"/>
    <s v="SP"/>
    <n v="1793264"/>
    <n v="20251104"/>
  </r>
  <r>
    <s v="04.11.2025"/>
    <x v="4"/>
    <n v="50"/>
    <n v="-50000"/>
    <s v="IDR"/>
    <n v="-50000"/>
    <s v="IDR"/>
    <m/>
    <m/>
    <m/>
    <s v="R124"/>
    <s v="897/PPC/X/2025"/>
    <s v="ADMIN &amp; DOKUMEN EKSPOR"/>
    <s v="BY HC AGRI RESINDO ETP 2411777523"/>
    <x v="18"/>
    <x v="18"/>
    <x v="8"/>
    <s v="SP"/>
    <n v="1793264"/>
    <n v="20251104"/>
  </r>
  <r>
    <s v="04.11.2025"/>
    <x v="4"/>
    <n v="50"/>
    <n v="-50000"/>
    <s v="IDR"/>
    <n v="-50000"/>
    <s v="IDR"/>
    <m/>
    <m/>
    <m/>
    <s v="R124"/>
    <s v="897/PPC/X/2025"/>
    <s v="ADMIN &amp; DOKUMEN EKSPOR"/>
    <s v="BY HC AGRI RESINDO ETP 2411777708, 710"/>
    <x v="18"/>
    <x v="18"/>
    <x v="8"/>
    <s v="SP"/>
    <n v="1793264"/>
    <n v="20251104"/>
  </r>
  <r>
    <s v="04.11.2025"/>
    <x v="4"/>
    <n v="50"/>
    <n v="-50000"/>
    <s v="IDR"/>
    <n v="-50000"/>
    <s v="IDR"/>
    <m/>
    <m/>
    <m/>
    <s v="R124"/>
    <s v="897/PPC/X/2025"/>
    <s v="ADMIN &amp; DOKUMEN EKSPOR"/>
    <s v="BY HC FALCON EBP 2411777709"/>
    <x v="18"/>
    <x v="18"/>
    <x v="1"/>
    <s v="SP"/>
    <n v="1793264"/>
    <n v="20251104"/>
  </r>
  <r>
    <s v="04.11.2025"/>
    <x v="4"/>
    <n v="50"/>
    <n v="-50000"/>
    <s v="IDR"/>
    <n v="-50000"/>
    <s v="IDR"/>
    <m/>
    <m/>
    <m/>
    <s v="R124"/>
    <s v="897/PPC/X/2025"/>
    <s v="ADMIN &amp; DOKUMEN EKSPOR"/>
    <s v="BY HC HOME CHAIN EBP 2411777664"/>
    <x v="18"/>
    <x v="18"/>
    <x v="1"/>
    <s v="SP"/>
    <n v="1793264"/>
    <n v="20251104"/>
  </r>
  <r>
    <s v="04.11.2025"/>
    <x v="4"/>
    <n v="50"/>
    <n v="-50000"/>
    <s v="IDR"/>
    <n v="-50000"/>
    <s v="IDR"/>
    <m/>
    <m/>
    <m/>
    <s v="R124"/>
    <s v="897/PPC/X/2025"/>
    <s v="ADMIN &amp; DOKUMEN EKSPOR"/>
    <s v="BY HC THAI GLICO EBP 2411777502"/>
    <x v="18"/>
    <x v="18"/>
    <x v="1"/>
    <s v="SP"/>
    <n v="1793264"/>
    <n v="20251104"/>
  </r>
  <r>
    <s v="04.11.2025"/>
    <x v="4"/>
    <n v="50"/>
    <n v="-50000"/>
    <s v="IDR"/>
    <n v="-50000"/>
    <s v="IDR"/>
    <m/>
    <m/>
    <m/>
    <s v="R124"/>
    <s v="897/PPC/X/2025"/>
    <s v="ADMIN &amp; DOKUMEN EKSPOR"/>
    <s v="BY HC HOME CHAIN EBP 2411777401"/>
    <x v="18"/>
    <x v="18"/>
    <x v="1"/>
    <s v="SP"/>
    <n v="1793264"/>
    <n v="20251104"/>
  </r>
  <r>
    <s v="04.11.2025"/>
    <x v="4"/>
    <n v="50"/>
    <n v="-50000"/>
    <s v="IDR"/>
    <n v="-50000"/>
    <s v="IDR"/>
    <m/>
    <m/>
    <m/>
    <s v="R124"/>
    <s v="897/PPC/X/2025"/>
    <s v="ADMIN &amp; DOKUMEN EKSPOR"/>
    <s v="BY HC L-BIO EBP 2411777405"/>
    <x v="18"/>
    <x v="18"/>
    <x v="2"/>
    <s v="SP"/>
    <n v="1793264"/>
    <n v="20251104"/>
  </r>
  <r>
    <s v="04.11.2025"/>
    <x v="4"/>
    <n v="50"/>
    <n v="-50000"/>
    <s v="IDR"/>
    <n v="-50000"/>
    <s v="IDR"/>
    <m/>
    <m/>
    <m/>
    <s v="R124"/>
    <s v="897/PPC/X/2025"/>
    <s v="ADMIN &amp; DOKUMEN EKSPOR"/>
    <s v="BY HC SHENGRONG EBP 2411777407"/>
    <x v="18"/>
    <x v="18"/>
    <x v="1"/>
    <s v="SP"/>
    <n v="1793264"/>
    <n v="20251104"/>
  </r>
  <r>
    <s v="04.11.2025"/>
    <x v="4"/>
    <n v="50"/>
    <n v="-50000"/>
    <s v="IDR"/>
    <n v="-50000"/>
    <s v="IDR"/>
    <m/>
    <m/>
    <m/>
    <s v="R124"/>
    <s v="897/PPC/X/2025"/>
    <s v="ADMIN &amp; DOKUMEN EKSPOR"/>
    <s v="BY HC SHENGRONG EBP 2411777408"/>
    <x v="18"/>
    <x v="18"/>
    <x v="1"/>
    <s v="SP"/>
    <n v="1793264"/>
    <n v="20251104"/>
  </r>
  <r>
    <s v="04.11.2025"/>
    <x v="4"/>
    <n v="50"/>
    <n v="-50000"/>
    <s v="IDR"/>
    <n v="-50000"/>
    <s v="IDR"/>
    <m/>
    <m/>
    <m/>
    <s v="R124"/>
    <s v="897/PPC/X/2025"/>
    <s v="ADMIN &amp; DOKUMEN EKSPOR"/>
    <s v="BY HC NESTLE SENEGAL ETP 2411777668"/>
    <x v="18"/>
    <x v="18"/>
    <x v="8"/>
    <s v="SP"/>
    <n v="1793264"/>
    <n v="20251104"/>
  </r>
  <r>
    <s v="04.11.2025"/>
    <x v="4"/>
    <n v="50"/>
    <n v="-50000"/>
    <s v="IDR"/>
    <n v="-50000"/>
    <s v="IDR"/>
    <m/>
    <m/>
    <m/>
    <s v="R124"/>
    <s v="897/PPC/X/2025"/>
    <s v="ADMIN &amp; DOKUMEN EKSPOR"/>
    <s v="BY HC SHENGRONG EBP 2411777831"/>
    <x v="18"/>
    <x v="18"/>
    <x v="1"/>
    <s v="SP"/>
    <n v="1793264"/>
    <n v="20251104"/>
  </r>
  <r>
    <s v="04.11.2025"/>
    <x v="4"/>
    <n v="50"/>
    <n v="-50000"/>
    <s v="IDR"/>
    <n v="-50000"/>
    <s v="IDR"/>
    <m/>
    <m/>
    <m/>
    <s v="R124"/>
    <s v="897/PPC/X/2025"/>
    <s v="ADMIN &amp; DOKUMEN EKSPOR"/>
    <s v="BY HC CSH EBP 2411777609"/>
    <x v="18"/>
    <x v="18"/>
    <x v="1"/>
    <s v="SP"/>
    <n v="1793264"/>
    <n v="20251104"/>
  </r>
  <r>
    <s v="04.11.2025"/>
    <x v="4"/>
    <n v="50"/>
    <n v="-50000"/>
    <s v="IDR"/>
    <n v="-50000"/>
    <s v="IDR"/>
    <m/>
    <m/>
    <m/>
    <s v="R124"/>
    <s v="897/PPC/X/2025"/>
    <s v="ADMIN &amp; DOKUMEN EKSPOR"/>
    <s v="BY HC CSH EBP 2411777609"/>
    <x v="18"/>
    <x v="18"/>
    <x v="1"/>
    <s v="SP"/>
    <n v="1793264"/>
    <n v="20251104"/>
  </r>
  <r>
    <s v="04.11.2025"/>
    <x v="4"/>
    <n v="50"/>
    <n v="-50000"/>
    <s v="IDR"/>
    <n v="-50000"/>
    <s v="IDR"/>
    <m/>
    <m/>
    <m/>
    <s v="R124"/>
    <s v="897/PPC/X/2025"/>
    <s v="ADMIN &amp; DOKUMEN EKSPOR"/>
    <s v="BY HC CSH EBP 2411777609"/>
    <x v="18"/>
    <x v="18"/>
    <x v="1"/>
    <s v="SP"/>
    <n v="1793264"/>
    <n v="20251104"/>
  </r>
  <r>
    <s v="04.11.2025"/>
    <x v="4"/>
    <n v="50"/>
    <n v="-50000"/>
    <s v="IDR"/>
    <n v="-50000"/>
    <s v="IDR"/>
    <m/>
    <m/>
    <m/>
    <s v="R124"/>
    <s v="897/PPC/X/2025"/>
    <s v="ADMIN &amp; DOKUMEN EKSPOR"/>
    <s v="BY HC CSH EBP 2411777609"/>
    <x v="18"/>
    <x v="18"/>
    <x v="1"/>
    <s v="SP"/>
    <n v="1793264"/>
    <n v="20251104"/>
  </r>
  <r>
    <s v="04.11.2025"/>
    <x v="4"/>
    <n v="50"/>
    <n v="-50000"/>
    <s v="IDR"/>
    <n v="-50000"/>
    <s v="IDR"/>
    <m/>
    <m/>
    <m/>
    <s v="R124"/>
    <s v="897/PPC/X/2025"/>
    <s v="ADMIN &amp; DOKUMEN EKSPOR"/>
    <s v="BY HC CSH EBP 2411777609"/>
    <x v="18"/>
    <x v="18"/>
    <x v="1"/>
    <s v="SP"/>
    <n v="1793264"/>
    <n v="20251104"/>
  </r>
  <r>
    <s v="04.11.2025"/>
    <x v="4"/>
    <n v="50"/>
    <n v="-50000"/>
    <s v="IDR"/>
    <n v="-50000"/>
    <s v="IDR"/>
    <m/>
    <m/>
    <m/>
    <s v="R124"/>
    <s v="897/PPC/X/2025"/>
    <s v="ADMIN &amp; DOKUMEN EKSPOR"/>
    <s v="BY HC CSH EBP 2411777609"/>
    <x v="18"/>
    <x v="18"/>
    <x v="1"/>
    <s v="SP"/>
    <n v="1793264"/>
    <n v="20251104"/>
  </r>
  <r>
    <s v="04.11.2025"/>
    <x v="4"/>
    <n v="50"/>
    <n v="-50000"/>
    <s v="IDR"/>
    <n v="-50000"/>
    <s v="IDR"/>
    <m/>
    <m/>
    <m/>
    <s v="R124"/>
    <s v="897/PPC/X/2025"/>
    <s v="ADMIN &amp; DOKUMEN EKSPOR"/>
    <s v="BY HC SHENGRONG EBP 2411777867"/>
    <x v="18"/>
    <x v="18"/>
    <x v="1"/>
    <s v="SP"/>
    <n v="1793264"/>
    <n v="20251104"/>
  </r>
  <r>
    <s v="04.11.2025"/>
    <x v="4"/>
    <n v="50"/>
    <n v="-50000"/>
    <s v="IDR"/>
    <n v="-50000"/>
    <s v="IDR"/>
    <m/>
    <m/>
    <m/>
    <s v="R124"/>
    <s v="897/PPC/X/2025"/>
    <s v="ADMIN &amp; DOKUMEN EKSPOR"/>
    <s v="BY HC HOME CHAIN EBP 2411777818"/>
    <x v="18"/>
    <x v="18"/>
    <x v="1"/>
    <s v="SP"/>
    <n v="1793264"/>
    <n v="20251104"/>
  </r>
  <r>
    <s v="04.11.2025"/>
    <x v="4"/>
    <n v="50"/>
    <n v="-50000"/>
    <s v="IDR"/>
    <n v="-50000"/>
    <s v="IDR"/>
    <m/>
    <m/>
    <m/>
    <s v="R124"/>
    <s v="901/PPC/X/2025"/>
    <s v="ADMIN &amp; DOKUMEN EKSPOR"/>
    <s v="BY HC SG OILSEED EBP 2411777930"/>
    <x v="18"/>
    <x v="18"/>
    <x v="1"/>
    <s v="SP"/>
    <n v="1793264"/>
    <n v="20251104"/>
  </r>
  <r>
    <s v="04.11.2025"/>
    <x v="4"/>
    <n v="50"/>
    <n v="-50000"/>
    <s v="IDR"/>
    <n v="-50000"/>
    <s v="IDR"/>
    <m/>
    <m/>
    <m/>
    <s v="R124"/>
    <s v="901/PPC/X/2025"/>
    <s v="ADMIN &amp; DOKUMEN EKSPOR"/>
    <s v="BY HC SUICHANGLONG EBP 2411777906"/>
    <x v="18"/>
    <x v="18"/>
    <x v="1"/>
    <s v="SP"/>
    <n v="1793264"/>
    <n v="20251104"/>
  </r>
  <r>
    <s v="04.11.2025"/>
    <x v="4"/>
    <n v="50"/>
    <n v="-50000"/>
    <s v="IDR"/>
    <n v="-50000"/>
    <s v="IDR"/>
    <m/>
    <m/>
    <m/>
    <s v="R124"/>
    <s v="901/PPC/X/2025"/>
    <s v="ADMIN &amp; DOKUMEN EKSPOR"/>
    <s v="BY HC SG OILSEED EBP 2411777903"/>
    <x v="18"/>
    <x v="18"/>
    <x v="1"/>
    <s v="SP"/>
    <n v="1793264"/>
    <n v="20251104"/>
  </r>
  <r>
    <s v="04.11.2025"/>
    <x v="4"/>
    <n v="50"/>
    <n v="-50000"/>
    <s v="IDR"/>
    <n v="-50000"/>
    <s v="IDR"/>
    <m/>
    <m/>
    <m/>
    <s v="R124"/>
    <s v="901/PPC/X/2025"/>
    <s v="ADMIN &amp; DOKUMEN EKSPOR"/>
    <s v="BY HC SG OILSEED EBP 2411777933"/>
    <x v="18"/>
    <x v="18"/>
    <x v="1"/>
    <s v="SP"/>
    <n v="1793264"/>
    <n v="20251104"/>
  </r>
  <r>
    <s v="04.11.2025"/>
    <x v="4"/>
    <n v="50"/>
    <n v="-50000"/>
    <s v="IDR"/>
    <n v="-50000"/>
    <s v="IDR"/>
    <m/>
    <m/>
    <m/>
    <s v="R124"/>
    <s v="901/PPC/X/2025"/>
    <s v="ADMIN &amp; DOKUMEN EKSPOR"/>
    <s v="BY HC SG OILSEED EBP 2411777959"/>
    <x v="18"/>
    <x v="18"/>
    <x v="1"/>
    <s v="SP"/>
    <n v="1793264"/>
    <n v="20251104"/>
  </r>
  <r>
    <s v="04.11.2025"/>
    <x v="4"/>
    <n v="50"/>
    <n v="-50000"/>
    <s v="IDR"/>
    <n v="-50000"/>
    <s v="IDR"/>
    <m/>
    <m/>
    <m/>
    <s v="R124"/>
    <s v="901/PPC/X/2025"/>
    <s v="ADMIN &amp; DOKUMEN EKSPOR"/>
    <s v="BY HC HORGOS B EBP 2411777910"/>
    <x v="18"/>
    <x v="18"/>
    <x v="1"/>
    <s v="SP"/>
    <n v="1793264"/>
    <n v="20251104"/>
  </r>
  <r>
    <s v="04.11.2025"/>
    <x v="4"/>
    <n v="50"/>
    <n v="-50000"/>
    <s v="IDR"/>
    <n v="-50000"/>
    <s v="IDR"/>
    <m/>
    <m/>
    <m/>
    <s v="R124"/>
    <s v="901/PPC/X/2025"/>
    <s v="ADMIN &amp; DOKUMEN EKSPOR"/>
    <s v="BY HC SG OILSEED EBP 2411777853"/>
    <x v="18"/>
    <x v="18"/>
    <x v="1"/>
    <s v="SP"/>
    <n v="1793264"/>
    <n v="20251104"/>
  </r>
  <r>
    <s v="04.11.2025"/>
    <x v="4"/>
    <n v="50"/>
    <n v="-50000"/>
    <s v="IDR"/>
    <n v="-50000"/>
    <s v="IDR"/>
    <m/>
    <m/>
    <m/>
    <s v="R124"/>
    <s v="901/PPC/X/2025"/>
    <s v="ADMIN &amp; DOKUMEN EKSPOR"/>
    <s v="BY HC SG OILSEED EBP 2411777857"/>
    <x v="18"/>
    <x v="18"/>
    <x v="1"/>
    <s v="SP"/>
    <n v="1793264"/>
    <n v="20251104"/>
  </r>
  <r>
    <s v="04.11.2025"/>
    <x v="4"/>
    <n v="50"/>
    <n v="-50000"/>
    <s v="IDR"/>
    <n v="-50000"/>
    <s v="IDR"/>
    <m/>
    <m/>
    <m/>
    <s v="R124"/>
    <s v="901/PPC/X/2025"/>
    <s v="ADMIN &amp; DOKUMEN EKSPOR"/>
    <s v="BY HC SG OILSEED EBP 2411777796"/>
    <x v="18"/>
    <x v="18"/>
    <x v="1"/>
    <s v="SP"/>
    <n v="1793264"/>
    <n v="20251104"/>
  </r>
  <r>
    <s v="04.11.2025"/>
    <x v="4"/>
    <n v="50"/>
    <n v="-2000"/>
    <s v="IDR"/>
    <n v="-2000"/>
    <s v="IDR"/>
    <m/>
    <m/>
    <m/>
    <s v="R124"/>
    <s v="901/PPC/X/2025"/>
    <s v="ADMIN &amp; DOKUMEN EKSPOR"/>
    <s v="BY LEVY &amp; BK SAMPLE KE GERMANY"/>
    <x v="18"/>
    <x v="18"/>
    <x v="8"/>
    <s v="SP"/>
    <n v="1793264"/>
    <n v="20251104"/>
  </r>
  <r>
    <s v="04.11.2025"/>
    <x v="4"/>
    <n v="50"/>
    <n v="-954000"/>
    <s v="IDR"/>
    <n v="-954000"/>
    <s v="IDR"/>
    <m/>
    <m/>
    <m/>
    <s v="R124"/>
    <s v="882/PPC/X/2025"/>
    <s v="TRANSPORTASI LOKAL"/>
    <s v="BY TRANSPORT RUNGKUT-PERAK PP 18-21/10/2025"/>
    <x v="5"/>
    <x v="5"/>
    <x v="32"/>
    <s v="SP"/>
    <n v="1793264"/>
    <n v="20251104"/>
  </r>
  <r>
    <s v="04.11.2025"/>
    <x v="4"/>
    <n v="50"/>
    <n v="-945000"/>
    <s v="IDR"/>
    <n v="-945000"/>
    <s v="IDR"/>
    <m/>
    <m/>
    <m/>
    <s v="R124"/>
    <s v="883/PPC/X/2025"/>
    <s v="PEMEL.BNGAN&amp;PSARANA MATRL"/>
    <s v="BY PEMB PASIR, SEMEN, AVIAN BROWN U/ LANTAI KANTIN"/>
    <x v="8"/>
    <x v="8"/>
    <x v="9"/>
    <s v="SP"/>
    <n v="1793264"/>
    <n v="20251104"/>
  </r>
  <r>
    <s v="04.11.2025"/>
    <x v="4"/>
    <n v="50"/>
    <n v="-443000"/>
    <s v="IDR"/>
    <n v="-443000"/>
    <s v="IDR"/>
    <m/>
    <m/>
    <m/>
    <s v="R124"/>
    <s v="871/PPC/X/2025"/>
    <s v="PBAIKN&amp;PRAWATN PRABT MATR"/>
    <s v="BY PEMB ADAPTOR BATERAI, SOLDER, TIMAH, KABEL, DLL"/>
    <x v="3"/>
    <x v="3"/>
    <x v="12"/>
    <s v="SP"/>
    <n v="1793264"/>
    <n v="20251104"/>
  </r>
  <r>
    <s v="04.11.2025"/>
    <x v="4"/>
    <n v="50"/>
    <n v="-1000000"/>
    <s v="IDR"/>
    <n v="-1000000"/>
    <s v="IDR"/>
    <m/>
    <m/>
    <m/>
    <s v="R124"/>
    <s v="898/PPC/X/2025"/>
    <s v="UMUM &amp; ADMIN LAIN"/>
    <s v="BY PEMB MATERAI BAG. ADM EXPORT"/>
    <x v="15"/>
    <x v="15"/>
    <x v="1"/>
    <s v="SP"/>
    <n v="1793264"/>
    <n v="20251104"/>
  </r>
  <r>
    <s v="04.11.2025"/>
    <x v="4"/>
    <n v="50"/>
    <n v="-490000"/>
    <s v="IDR"/>
    <n v="-490000"/>
    <s v="IDR"/>
    <m/>
    <m/>
    <m/>
    <s v="R124"/>
    <s v="902/PPC/X/2025"/>
    <s v="BAHAN BAKAR"/>
    <s v="BY TRANSPORTASI BBM 22-23/10/2025"/>
    <x v="6"/>
    <x v="6"/>
    <x v="9"/>
    <s v="SP"/>
    <n v="1793264"/>
    <n v="20251104"/>
  </r>
  <r>
    <s v="04.11.2025"/>
    <x v="4"/>
    <n v="50"/>
    <n v="-509500"/>
    <s v="IDR"/>
    <n v="-509500"/>
    <s v="IDR"/>
    <m/>
    <m/>
    <m/>
    <s v="R124"/>
    <s v="902/PPC/X/2025"/>
    <s v="TRANSPORTASI LOKAL"/>
    <s v="BY TRANSPORTASI PARKIR TOL"/>
    <x v="5"/>
    <x v="5"/>
    <x v="9"/>
    <s v="SP"/>
    <n v="1793264"/>
    <n v="20251104"/>
  </r>
  <r>
    <s v="04.11.2025"/>
    <x v="4"/>
    <n v="50"/>
    <n v="-176000"/>
    <s v="IDR"/>
    <n v="-176000"/>
    <s v="IDR"/>
    <m/>
    <m/>
    <m/>
    <s v="R124"/>
    <s v="904/PPC/X/2025"/>
    <s v="TRANSPORTASI LOKAL"/>
    <s v="BY PARKIR SPD MTR L 2057 EK BAG. EKSP.01-22/10/25"/>
    <x v="5"/>
    <x v="5"/>
    <x v="1"/>
    <s v="SP"/>
    <n v="1793264"/>
    <n v="20251104"/>
  </r>
  <r>
    <s v="04.11.2025"/>
    <x v="4"/>
    <n v="50"/>
    <n v="-790000"/>
    <s v="IDR"/>
    <n v="-790000"/>
    <s v="IDR"/>
    <m/>
    <m/>
    <m/>
    <s v="R124"/>
    <s v="905/PPC/X/2025"/>
    <s v="BAHAN BAKAR"/>
    <s v="BY TRANSPORTASI BBM 23-24/10/2025"/>
    <x v="6"/>
    <x v="6"/>
    <x v="9"/>
    <s v="SP"/>
    <n v="1793264"/>
    <n v="20251104"/>
  </r>
  <r>
    <s v="04.11.2025"/>
    <x v="4"/>
    <n v="50"/>
    <n v="-210000"/>
    <s v="IDR"/>
    <n v="-210000"/>
    <s v="IDR"/>
    <m/>
    <m/>
    <m/>
    <s v="R124"/>
    <s v="905/PPC/X/2025"/>
    <s v="TRANSPORTASI LOKAL"/>
    <s v="BY TRANSPORTASI PARKIR TOL"/>
    <x v="5"/>
    <x v="5"/>
    <x v="9"/>
    <s v="SP"/>
    <n v="1793264"/>
    <n v="20251104"/>
  </r>
  <r>
    <s v="04.11.2025"/>
    <x v="4"/>
    <n v="50"/>
    <n v="-715000"/>
    <s v="IDR"/>
    <n v="-715000"/>
    <s v="IDR"/>
    <m/>
    <m/>
    <m/>
    <s v="R124"/>
    <s v="906/PPC/X/2025"/>
    <s v="PBAIKN&amp;PRAWATN PRABT MATR"/>
    <s v="BY PEMB DROP BOLT ELECTRIC PINTU LOBY LAB"/>
    <x v="3"/>
    <x v="3"/>
    <x v="15"/>
    <s v="SP"/>
    <n v="1793264"/>
    <n v="20251104"/>
  </r>
  <r>
    <s v="04.11.2025"/>
    <x v="4"/>
    <n v="50"/>
    <n v="-22000"/>
    <s v="IDR"/>
    <n v="-22000"/>
    <s v="IDR"/>
    <m/>
    <m/>
    <m/>
    <s v="R124"/>
    <s v="906/PPC/X/2025"/>
    <s v="RISET/PENGEMBANGAN PRODUK"/>
    <s v="BY PEMB SENSORY KFC"/>
    <x v="9"/>
    <x v="9"/>
    <x v="15"/>
    <s v="SP"/>
    <n v="1793264"/>
    <n v="20251104"/>
  </r>
  <r>
    <s v="04.11.2025"/>
    <x v="4"/>
    <n v="50"/>
    <n v="-188500"/>
    <s v="IDR"/>
    <n v="-188500"/>
    <s v="IDR"/>
    <m/>
    <m/>
    <m/>
    <s v="R124"/>
    <s v="910/PPC/X/2025"/>
    <s v="PEMEL.KEND&amp;A.BERAT MATRL"/>
    <s v="BY PEMB SKUN KONEKSI MOTOR KABEL"/>
    <x v="2"/>
    <x v="2"/>
    <x v="31"/>
    <s v="SP"/>
    <n v="1793264"/>
    <n v="20251104"/>
  </r>
  <r>
    <s v="04.11.2025"/>
    <x v="4"/>
    <n v="50"/>
    <n v="-180000"/>
    <s v="IDR"/>
    <n v="-180000"/>
    <s v="IDR"/>
    <m/>
    <m/>
    <m/>
    <s v="R124"/>
    <s v="911/PPC/X/2025"/>
    <s v="PERLENGKAPAN FOTOCOPY"/>
    <s v="BY PEMBUATAN BANNER SUSTAINABLE"/>
    <x v="4"/>
    <x v="4"/>
    <x v="5"/>
    <s v="SP"/>
    <n v="1793264"/>
    <n v="20251104"/>
  </r>
  <r>
    <s v="04.11.2025"/>
    <x v="4"/>
    <n v="50"/>
    <n v="-385000"/>
    <s v="IDR"/>
    <n v="-385000"/>
    <s v="IDR"/>
    <m/>
    <m/>
    <m/>
    <s v="R124"/>
    <s v="912/PPC/X/2025"/>
    <s v="UMUM &amp; ADMIN LAIN"/>
    <s v="BY PEMB BOX STYROFOAM U/ KIRIM SAMPLE PRODUK"/>
    <x v="15"/>
    <x v="15"/>
    <x v="34"/>
    <s v="SP"/>
    <n v="1793264"/>
    <n v="20251104"/>
  </r>
  <r>
    <s v="04.11.2025"/>
    <x v="4"/>
    <n v="50"/>
    <n v="-50000"/>
    <s v="IDR"/>
    <n v="-50000"/>
    <s v="IDR"/>
    <m/>
    <m/>
    <m/>
    <s v="R124"/>
    <s v="913/PPC/X/2025"/>
    <s v="ADMIN &amp; DOKUMEN EKSPOR"/>
    <s v="BY HC HORGOS B EBP 2411778052"/>
    <x v="18"/>
    <x v="18"/>
    <x v="1"/>
    <s v="SP"/>
    <n v="1793264"/>
    <n v="20251104"/>
  </r>
  <r>
    <s v="04.11.2025"/>
    <x v="4"/>
    <n v="50"/>
    <n v="-50000"/>
    <s v="IDR"/>
    <n v="-50000"/>
    <s v="IDR"/>
    <m/>
    <m/>
    <m/>
    <s v="R124"/>
    <s v="913/PPC/X/2025"/>
    <s v="ADMIN &amp; DOKUMEN EKSPOR"/>
    <s v="BY HC HORGOS B EBP 2411777904"/>
    <x v="18"/>
    <x v="18"/>
    <x v="1"/>
    <s v="SP"/>
    <n v="1793264"/>
    <n v="20251104"/>
  </r>
  <r>
    <s v="04.11.2025"/>
    <x v="4"/>
    <n v="50"/>
    <n v="-50000"/>
    <s v="IDR"/>
    <n v="-50000"/>
    <s v="IDR"/>
    <m/>
    <m/>
    <m/>
    <s v="R124"/>
    <s v="913/PPC/X/2025"/>
    <s v="ADMIN &amp; DOKUMEN EKSPOR"/>
    <s v="BY HC HORGOS B EBP 2411777272"/>
    <x v="18"/>
    <x v="18"/>
    <x v="1"/>
    <s v="SP"/>
    <n v="1793264"/>
    <n v="20251104"/>
  </r>
  <r>
    <s v="04.11.2025"/>
    <x v="4"/>
    <n v="50"/>
    <n v="-992050"/>
    <s v="IDR"/>
    <n v="-992050"/>
    <s v="IDR"/>
    <m/>
    <m/>
    <m/>
    <s v="R124"/>
    <s v="884/PPC/X/2025"/>
    <s v="MAKANAN DAN MINUMAN"/>
    <s v="BY MAKAN TEKNISI GEA 20-23/10/2025"/>
    <x v="7"/>
    <x v="7"/>
    <x v="3"/>
    <s v="SP"/>
    <n v="1793264"/>
    <n v="20251104"/>
  </r>
  <r>
    <s v="04.11.2025"/>
    <x v="4"/>
    <n v="50"/>
    <n v="-500000"/>
    <s v="IDR"/>
    <n v="-500000"/>
    <s v="IDR"/>
    <m/>
    <m/>
    <m/>
    <s v="R124"/>
    <s v="907/PPC/X/2025"/>
    <s v="OLAHRAGA DAN PERMAINAN"/>
    <s v="BY OLAHRAGA 24/10/2025"/>
    <x v="0"/>
    <x v="0"/>
    <x v="0"/>
    <s v="SP"/>
    <n v="1793264"/>
    <n v="20251104"/>
  </r>
  <r>
    <s v="04.11.2025"/>
    <x v="4"/>
    <n v="50"/>
    <n v="-256000"/>
    <s v="IDR"/>
    <n v="-256000"/>
    <s v="IDR"/>
    <m/>
    <m/>
    <m/>
    <s v="R124"/>
    <s v="914/PPC/X/2025"/>
    <s v="TRANSPORTASI LOKAL"/>
    <s v="BY PARKIR SPD MTR L 2067 FT BAG. EKSP. 24/09-25/10"/>
    <x v="5"/>
    <x v="5"/>
    <x v="1"/>
    <s v="SP"/>
    <n v="1793264"/>
    <n v="20251104"/>
  </r>
  <r>
    <s v="04.11.2025"/>
    <x v="4"/>
    <n v="50"/>
    <n v="-16000"/>
    <s v="IDR"/>
    <n v="-16000"/>
    <s v="IDR"/>
    <m/>
    <m/>
    <m/>
    <s v="R124"/>
    <s v="914/PPC/X/2025"/>
    <s v="PERLENGKAPAN FOTOCOPY"/>
    <s v="BY FOTOCOPY &amp; PRINT BAG. EKSPORT 24/09-25/10"/>
    <x v="4"/>
    <x v="4"/>
    <x v="1"/>
    <s v="SP"/>
    <n v="1793264"/>
    <n v="20251104"/>
  </r>
  <r>
    <s v="04.11.2025"/>
    <x v="4"/>
    <n v="50"/>
    <n v="-700000"/>
    <s v="IDR"/>
    <n v="-700000"/>
    <s v="IDR"/>
    <m/>
    <m/>
    <m/>
    <s v="R124"/>
    <s v="915/PPC/X/2025"/>
    <s v="BAHAN BAKAR"/>
    <s v="BY TRANSPORTASI BBM 24-27/10/2025"/>
    <x v="6"/>
    <x v="6"/>
    <x v="9"/>
    <s v="SP"/>
    <n v="1793264"/>
    <n v="20251104"/>
  </r>
  <r>
    <s v="04.11.2025"/>
    <x v="4"/>
    <n v="50"/>
    <n v="-300000"/>
    <s v="IDR"/>
    <n v="-300000"/>
    <s v="IDR"/>
    <m/>
    <m/>
    <m/>
    <s v="R124"/>
    <s v="915/PPC/X/2025"/>
    <s v="TRANSPORTASI LOKAL"/>
    <s v="BY TRANSPORTASI PARKIR TOL"/>
    <x v="5"/>
    <x v="5"/>
    <x v="9"/>
    <s v="SP"/>
    <n v="1793264"/>
    <n v="20251104"/>
  </r>
  <r>
    <s v="04.11.2025"/>
    <x v="4"/>
    <n v="50"/>
    <n v="-915000"/>
    <s v="IDR"/>
    <n v="-915000"/>
    <s v="IDR"/>
    <m/>
    <m/>
    <m/>
    <s v="R124"/>
    <s v="908/PPC/X/2025"/>
    <s v="TRANSPORTASI LOKAL"/>
    <s v="BY TRANSPORTASI RUNGKUT-PRK PP 22-26/10/2025 OH"/>
    <x v="5"/>
    <x v="5"/>
    <x v="32"/>
    <s v="SP"/>
    <n v="1793264"/>
    <n v="20251104"/>
  </r>
  <r>
    <s v="04.11.2025"/>
    <x v="4"/>
    <n v="50"/>
    <n v="-543510"/>
    <s v="IDR"/>
    <n v="-543510"/>
    <s v="IDR"/>
    <m/>
    <m/>
    <m/>
    <s v="R124"/>
    <s v="917/PPC/X/2025"/>
    <s v="PEMEL.BNGAN&amp;PSARANA MATRL"/>
    <s v="BY PEMB PAKU RIVET, KUAS, KUAS ROLL, STICKER VINYL"/>
    <x v="8"/>
    <x v="8"/>
    <x v="26"/>
    <s v="SP"/>
    <n v="1793264"/>
    <n v="20251104"/>
  </r>
  <r>
    <s v="04.11.2025"/>
    <x v="4"/>
    <n v="50"/>
    <n v="-490000"/>
    <s v="IDR"/>
    <n v="-490000"/>
    <s v="IDR"/>
    <m/>
    <m/>
    <m/>
    <s v="R124"/>
    <s v="918/PPC/X/2025"/>
    <s v="BAHAN BAKAR"/>
    <s v="BY TRANSPORTASI BBM 27-28/10/2025"/>
    <x v="6"/>
    <x v="6"/>
    <x v="9"/>
    <s v="SP"/>
    <n v="1793264"/>
    <n v="20251104"/>
  </r>
  <r>
    <s v="04.11.2025"/>
    <x v="4"/>
    <n v="50"/>
    <n v="-509500"/>
    <s v="IDR"/>
    <n v="-509500"/>
    <s v="IDR"/>
    <m/>
    <m/>
    <m/>
    <s v="R124"/>
    <s v="918/PPC/X/2025"/>
    <s v="TRANSPORTASI LOKAL"/>
    <s v="BY TRANSPORTASI PARKIR TOL"/>
    <x v="5"/>
    <x v="5"/>
    <x v="9"/>
    <s v="SP"/>
    <n v="1793264"/>
    <n v="20251104"/>
  </r>
  <r>
    <s v="05.11.2025"/>
    <x v="4"/>
    <n v="50"/>
    <n v="-100000"/>
    <s v="IDR"/>
    <n v="-100000"/>
    <s v="IDR"/>
    <m/>
    <m/>
    <m/>
    <s v="R124"/>
    <s v="899/PPC/X/2025"/>
    <s v="ADMIN &amp; DOKUMEN EKSPOR"/>
    <s v="BY HC DINKES POLIVA ETP 2411777820"/>
    <x v="18"/>
    <x v="18"/>
    <x v="8"/>
    <s v="SP"/>
    <n v="1793264"/>
    <n v="20251105"/>
  </r>
  <r>
    <s v="05.11.2025"/>
    <x v="4"/>
    <n v="50"/>
    <n v="-100000"/>
    <s v="IDR"/>
    <n v="-100000"/>
    <s v="IDR"/>
    <m/>
    <m/>
    <m/>
    <s v="R124"/>
    <s v="899/PPC/X/2025"/>
    <s v="ADMIN &amp; DOKUMEN EKSPOR"/>
    <s v="BY HC DINKES POLIVA ETP 2411777821"/>
    <x v="18"/>
    <x v="18"/>
    <x v="8"/>
    <s v="SP"/>
    <n v="1793264"/>
    <n v="20251105"/>
  </r>
  <r>
    <s v="05.11.2025"/>
    <x v="4"/>
    <n v="50"/>
    <n v="-50000"/>
    <s v="IDR"/>
    <n v="-50000"/>
    <s v="IDR"/>
    <m/>
    <m/>
    <m/>
    <s v="R124"/>
    <s v="899/PPC/X/2025"/>
    <s v="ADMIN &amp; DOKUMEN EKSPOR"/>
    <s v="BY HC ASSUDAMAL EBP 2411777984"/>
    <x v="18"/>
    <x v="18"/>
    <x v="2"/>
    <s v="SP"/>
    <n v="1793264"/>
    <n v="20251105"/>
  </r>
  <r>
    <s v="05.11.2025"/>
    <x v="4"/>
    <n v="50"/>
    <n v="-50000"/>
    <s v="IDR"/>
    <n v="-50000"/>
    <s v="IDR"/>
    <m/>
    <m/>
    <m/>
    <s v="R124"/>
    <s v="899/PPC/X/2025"/>
    <s v="ADMIN &amp; DOKUMEN EKSPOR"/>
    <s v="BY HC ASSUDAMAL EBP 2411777985"/>
    <x v="18"/>
    <x v="18"/>
    <x v="1"/>
    <s v="SP"/>
    <n v="1793264"/>
    <n v="20251105"/>
  </r>
  <r>
    <s v="05.11.2025"/>
    <x v="4"/>
    <n v="50"/>
    <n v="-50000"/>
    <s v="IDR"/>
    <n v="-50000"/>
    <s v="IDR"/>
    <m/>
    <m/>
    <m/>
    <s v="R124"/>
    <s v="899/PPC/X/2025"/>
    <s v="ADMIN &amp; DOKUMEN EKSPOR"/>
    <s v="BY HC AL JAZIRA EBP 2411777974"/>
    <x v="18"/>
    <x v="18"/>
    <x v="1"/>
    <s v="SP"/>
    <n v="1793264"/>
    <n v="20251105"/>
  </r>
  <r>
    <s v="05.11.2025"/>
    <x v="4"/>
    <n v="50"/>
    <n v="-50000"/>
    <s v="IDR"/>
    <n v="-50000"/>
    <s v="IDR"/>
    <m/>
    <m/>
    <m/>
    <s v="R124"/>
    <s v="899/PPC/X/2025"/>
    <s v="ADMIN &amp; DOKUMEN EKSPOR"/>
    <s v="BY HC SABEANAT EBP 2411778046"/>
    <x v="18"/>
    <x v="18"/>
    <x v="2"/>
    <s v="SP"/>
    <n v="1793264"/>
    <n v="20251105"/>
  </r>
  <r>
    <s v="05.11.2025"/>
    <x v="4"/>
    <n v="50"/>
    <n v="-50000"/>
    <s v="IDR"/>
    <n v="-50000"/>
    <s v="IDR"/>
    <m/>
    <m/>
    <m/>
    <s v="R124"/>
    <s v="919/PPC/X/2025"/>
    <s v="MAKANAN DAN MINUMAN"/>
    <s v="BY MKN DNS PRK 27/10/2025 - 2 ORG"/>
    <x v="7"/>
    <x v="7"/>
    <x v="13"/>
    <s v="SP"/>
    <n v="1793264"/>
    <n v="20251105"/>
  </r>
  <r>
    <s v="05.11.2025"/>
    <x v="4"/>
    <n v="50"/>
    <n v="-50000"/>
    <s v="IDR"/>
    <n v="-50000"/>
    <s v="IDR"/>
    <m/>
    <m/>
    <m/>
    <s v="R124"/>
    <s v="919/PPC/X/2025"/>
    <s v="MAKANAN DAN MINUMAN"/>
    <s v="BY MKN DNS PRK 25/10/2025 - 2 ORG"/>
    <x v="7"/>
    <x v="7"/>
    <x v="13"/>
    <s v="SP"/>
    <n v="1793264"/>
    <n v="20251105"/>
  </r>
  <r>
    <s v="05.11.2025"/>
    <x v="4"/>
    <n v="50"/>
    <n v="-350000"/>
    <s v="IDR"/>
    <n v="-350000"/>
    <s v="IDR"/>
    <m/>
    <m/>
    <m/>
    <s v="R124"/>
    <s v="921/PPC/X/2025"/>
    <s v="ADMIN &amp; DOKUMEN EKSPOR"/>
    <s v="BY COO KADIN ASSUDAMAL 2411777984, 985, 986"/>
    <x v="18"/>
    <x v="18"/>
    <x v="2"/>
    <s v="SP"/>
    <n v="1793264"/>
    <n v="20251105"/>
  </r>
  <r>
    <s v="05.11.2025"/>
    <x v="4"/>
    <n v="50"/>
    <n v="-200000"/>
    <s v="IDR"/>
    <n v="-200000"/>
    <s v="IDR"/>
    <m/>
    <m/>
    <m/>
    <s v="R124"/>
    <s v="921/PPC/X/2025"/>
    <s v="ADMIN &amp; DOKUMEN EKSPOR"/>
    <s v="BY COO KADIN AL JAZIRA 2411777974"/>
    <x v="18"/>
    <x v="18"/>
    <x v="1"/>
    <s v="SP"/>
    <n v="1793264"/>
    <n v="20251105"/>
  </r>
  <r>
    <s v="05.11.2025"/>
    <x v="4"/>
    <n v="50"/>
    <n v="-50000"/>
    <s v="IDR"/>
    <n v="-50000"/>
    <s v="IDR"/>
    <m/>
    <m/>
    <m/>
    <s v="R124"/>
    <s v="921/PPC/X/2025"/>
    <s v="UMUM &amp; ADMIN LAIN"/>
    <s v="BY HC COWN ROYAL MARG U/ REGISTRASI PRODUK NIGERIA"/>
    <x v="15"/>
    <x v="15"/>
    <x v="1"/>
    <s v="SP"/>
    <n v="1793264"/>
    <n v="20251105"/>
  </r>
  <r>
    <s v="05.11.2025"/>
    <x v="4"/>
    <n v="50"/>
    <n v="-200000"/>
    <s v="IDR"/>
    <n v="-200000"/>
    <s v="IDR"/>
    <m/>
    <m/>
    <m/>
    <s v="R124"/>
    <s v="929/PPC/XI/2025"/>
    <s v="BAHAN BAKAR"/>
    <s v="BY TRANSPORTASI BBM 29/10-03/11/2025"/>
    <x v="6"/>
    <x v="6"/>
    <x v="9"/>
    <s v="SP"/>
    <n v="1793264"/>
    <n v="20251105"/>
  </r>
  <r>
    <s v="05.11.2025"/>
    <x v="4"/>
    <n v="50"/>
    <n v="-798500"/>
    <s v="IDR"/>
    <n v="-798500"/>
    <s v="IDR"/>
    <m/>
    <m/>
    <m/>
    <s v="R124"/>
    <s v="929/PPC/XI/2025"/>
    <s v="TRANSPORTASI LOKAL"/>
    <s v="BY TRANSPORTASI PARKIR TOL"/>
    <x v="5"/>
    <x v="5"/>
    <x v="9"/>
    <s v="SP"/>
    <n v="1793264"/>
    <n v="20251105"/>
  </r>
  <r>
    <s v="05.11.2025"/>
    <x v="4"/>
    <n v="50"/>
    <n v="-50000"/>
    <s v="IDR"/>
    <n v="-50000"/>
    <s v="IDR"/>
    <m/>
    <m/>
    <m/>
    <s v="R124"/>
    <s v="932/PPC/XI/2025"/>
    <s v="ADMIN &amp; DOKUMEN EKSPOR"/>
    <s v="BY HC HAWK TRADING EBP 2411778129"/>
    <x v="18"/>
    <x v="18"/>
    <x v="1"/>
    <s v="SP"/>
    <n v="1793264"/>
    <n v="20251105"/>
  </r>
  <r>
    <s v="05.11.2025"/>
    <x v="4"/>
    <n v="50"/>
    <n v="-100000"/>
    <s v="IDR"/>
    <n v="-100000"/>
    <s v="IDR"/>
    <m/>
    <m/>
    <m/>
    <s v="R124"/>
    <s v="933/PPC/XI/2025"/>
    <s v="PEMEL.BNGAN&amp;PSARANA MATRL"/>
    <s v="BY PEMB ISI ROLL PUTIH U/ CAT JALUR PEJALAN KAKI"/>
    <x v="8"/>
    <x v="8"/>
    <x v="7"/>
    <s v="SP"/>
    <n v="1793264"/>
    <n v="20251105"/>
  </r>
  <r>
    <s v="05.11.2025"/>
    <x v="4"/>
    <n v="50"/>
    <n v="-500000"/>
    <s v="IDR"/>
    <n v="-500000"/>
    <s v="IDR"/>
    <m/>
    <m/>
    <m/>
    <s v="R124"/>
    <s v="935/PPC/XI/2025"/>
    <s v="OLAHRAGA DAN PERMAINAN"/>
    <s v="BY OLAHRAGA 27/10/2025"/>
    <x v="0"/>
    <x v="0"/>
    <x v="0"/>
    <s v="SP"/>
    <n v="1793264"/>
    <n v="20251105"/>
  </r>
  <r>
    <s v="05.11.2025"/>
    <x v="4"/>
    <n v="50"/>
    <n v="-826800"/>
    <s v="IDR"/>
    <n v="-826800"/>
    <s v="IDR"/>
    <m/>
    <m/>
    <m/>
    <s v="R124"/>
    <s v="936/PPC/XI/2025"/>
    <s v="MAKANAN DAN MINUMAN"/>
    <s v="BY KONSUMSI P2K3 MEETING"/>
    <x v="7"/>
    <x v="7"/>
    <x v="16"/>
    <s v="SP"/>
    <n v="1793264"/>
    <n v="20251105"/>
  </r>
  <r>
    <s v="05.11.2025"/>
    <x v="4"/>
    <n v="50"/>
    <n v="-75000"/>
    <s v="IDR"/>
    <n v="-75000"/>
    <s v="IDR"/>
    <m/>
    <m/>
    <m/>
    <s v="R124"/>
    <s v="937/PPC/XI/2025"/>
    <s v="MAKANAN DAN MINUMAN"/>
    <s v="BY MKN DNS PRK 31/10/2025 - 3 ORG"/>
    <x v="7"/>
    <x v="7"/>
    <x v="13"/>
    <s v="SP"/>
    <n v="1793264"/>
    <n v="20251105"/>
  </r>
  <r>
    <s v="05.11.2025"/>
    <x v="4"/>
    <n v="50"/>
    <n v="-75000"/>
    <s v="IDR"/>
    <n v="-75000"/>
    <s v="IDR"/>
    <m/>
    <m/>
    <m/>
    <s v="R124"/>
    <s v="938/PPC/XI/2025"/>
    <s v="MAKANAN DAN MINUMAN"/>
    <s v="BY MKN DNS PRK 30/10/2025 - 3 ORG"/>
    <x v="7"/>
    <x v="7"/>
    <x v="13"/>
    <s v="SP"/>
    <n v="1793264"/>
    <n v="20251105"/>
  </r>
  <r>
    <s v="05.11.2025"/>
    <x v="4"/>
    <n v="50"/>
    <n v="-50000"/>
    <s v="IDR"/>
    <n v="-50000"/>
    <s v="IDR"/>
    <m/>
    <m/>
    <m/>
    <s v="R124"/>
    <s v="939/PPC/XI/2025"/>
    <s v="MAKANAN DAN MINUMAN"/>
    <s v="BY MKN DNS PRK 29/10/2025 - 2 ORG"/>
    <x v="7"/>
    <x v="7"/>
    <x v="13"/>
    <s v="SP"/>
    <n v="1793264"/>
    <n v="20251105"/>
  </r>
  <r>
    <s v="05.11.2025"/>
    <x v="4"/>
    <n v="50"/>
    <n v="-50000"/>
    <s v="IDR"/>
    <n v="-50000"/>
    <s v="IDR"/>
    <m/>
    <m/>
    <m/>
    <s v="R124"/>
    <s v="916/PPC/X/2025"/>
    <s v="ADMIN &amp; DOKUMEN EKSPOR"/>
    <s v="BY HC NESTLE PAKISTAN ETP 2411777953"/>
    <x v="18"/>
    <x v="18"/>
    <x v="8"/>
    <s v="SP"/>
    <n v="1793264"/>
    <n v="20251105"/>
  </r>
  <r>
    <s v="05.11.2025"/>
    <x v="4"/>
    <n v="50"/>
    <n v="-50000"/>
    <s v="IDR"/>
    <n v="-50000"/>
    <s v="IDR"/>
    <m/>
    <m/>
    <m/>
    <s v="R124"/>
    <s v="916/PPC/X/2025"/>
    <s v="ADMIN &amp; DOKUMEN EKSPOR"/>
    <s v="BY HC NESTLE PAKISTAN ETP 2411778005"/>
    <x v="18"/>
    <x v="18"/>
    <x v="8"/>
    <s v="SP"/>
    <n v="1793264"/>
    <n v="20251105"/>
  </r>
  <r>
    <s v="05.11.2025"/>
    <x v="4"/>
    <n v="50"/>
    <n v="-50000"/>
    <s v="IDR"/>
    <n v="-50000"/>
    <s v="IDR"/>
    <m/>
    <m/>
    <m/>
    <s v="R124"/>
    <s v="916/PPC/X/2025"/>
    <s v="ADMIN &amp; DOKUMEN EKSPOR"/>
    <s v="BY HC GLOBAL TRANSIT EBP 2411778017"/>
    <x v="18"/>
    <x v="18"/>
    <x v="2"/>
    <s v="SP"/>
    <n v="1793264"/>
    <n v="20251105"/>
  </r>
  <r>
    <s v="05.11.2025"/>
    <x v="4"/>
    <n v="50"/>
    <n v="-50000"/>
    <s v="IDR"/>
    <n v="-50000"/>
    <s v="IDR"/>
    <m/>
    <m/>
    <m/>
    <s v="R124"/>
    <s v="916/PPC/X/2025"/>
    <s v="ADMIN &amp; DOKUMEN EKSPOR"/>
    <s v="BY HC SABEANAT EBP 2411778043"/>
    <x v="18"/>
    <x v="18"/>
    <x v="1"/>
    <s v="SP"/>
    <n v="1793264"/>
    <n v="20251105"/>
  </r>
  <r>
    <s v="05.11.2025"/>
    <x v="4"/>
    <n v="50"/>
    <n v="-50000"/>
    <s v="IDR"/>
    <n v="-50000"/>
    <s v="IDR"/>
    <m/>
    <m/>
    <m/>
    <s v="R124"/>
    <s v="916/PPC/X/2025"/>
    <s v="ADMIN &amp; DOKUMEN EKSPOR"/>
    <s v="BY HC SABEANAT EBP 2411778044"/>
    <x v="18"/>
    <x v="18"/>
    <x v="1"/>
    <s v="SP"/>
    <n v="1793264"/>
    <n v="20251105"/>
  </r>
  <r>
    <s v="05.11.2025"/>
    <x v="4"/>
    <n v="50"/>
    <n v="-50000"/>
    <s v="IDR"/>
    <n v="-50000"/>
    <s v="IDR"/>
    <m/>
    <m/>
    <m/>
    <s v="R124"/>
    <s v="916/PPC/X/2025"/>
    <s v="ADMIN &amp; DOKUMEN EKSPOR"/>
    <s v="BY HC HORGOS B EBP 2411778009"/>
    <x v="18"/>
    <x v="18"/>
    <x v="1"/>
    <s v="SP"/>
    <n v="1793264"/>
    <n v="20251105"/>
  </r>
  <r>
    <s v="05.11.2025"/>
    <x v="4"/>
    <n v="50"/>
    <n v="-50000"/>
    <s v="IDR"/>
    <n v="-50000"/>
    <s v="IDR"/>
    <m/>
    <m/>
    <m/>
    <s v="R124"/>
    <s v="916/PPC/X/2025"/>
    <s v="ADMIN &amp; DOKUMEN EKSPOR"/>
    <s v="BY HC SUICHANGLONG EBP 2411778012"/>
    <x v="18"/>
    <x v="18"/>
    <x v="18"/>
    <s v="SP"/>
    <n v="1793264"/>
    <n v="20251105"/>
  </r>
  <r>
    <s v="05.11.2025"/>
    <x v="4"/>
    <n v="50"/>
    <n v="-50000"/>
    <s v="IDR"/>
    <n v="-50000"/>
    <s v="IDR"/>
    <m/>
    <m/>
    <m/>
    <s v="R124"/>
    <s v="916/PPC/X/2025"/>
    <s v="ADMIN &amp; DOKUMEN EKSPOR"/>
    <s v="BY HC NESTLE PAKISTAN ETP 2411778139"/>
    <x v="18"/>
    <x v="18"/>
    <x v="8"/>
    <s v="SP"/>
    <n v="1793264"/>
    <n v="20251105"/>
  </r>
  <r>
    <s v="05.11.2025"/>
    <x v="4"/>
    <n v="50"/>
    <n v="-50000"/>
    <s v="IDR"/>
    <n v="-50000"/>
    <s v="IDR"/>
    <m/>
    <m/>
    <m/>
    <s v="R124"/>
    <s v="916/PPC/X/2025"/>
    <s v="ADMIN &amp; DOKUMEN EKSPOR"/>
    <s v="BY HC SUICHANGLONG EBP 2411778055"/>
    <x v="18"/>
    <x v="18"/>
    <x v="18"/>
    <s v="SP"/>
    <n v="1793264"/>
    <n v="20251105"/>
  </r>
  <r>
    <s v="05.11.2025"/>
    <x v="4"/>
    <n v="50"/>
    <n v="-50000"/>
    <s v="IDR"/>
    <n v="-50000"/>
    <s v="IDR"/>
    <m/>
    <m/>
    <m/>
    <s v="R124"/>
    <s v="941/PPC/XI/2025"/>
    <s v="ADMIN &amp; DOKUMEN EKSPOR"/>
    <s v="BY HC SG OILSEED EBP 2411778050"/>
    <x v="18"/>
    <x v="18"/>
    <x v="1"/>
    <s v="SP"/>
    <n v="1793264"/>
    <n v="20251105"/>
  </r>
  <r>
    <s v="05.11.2025"/>
    <x v="4"/>
    <n v="50"/>
    <n v="-50000"/>
    <s v="IDR"/>
    <n v="-50000"/>
    <s v="IDR"/>
    <m/>
    <m/>
    <m/>
    <s v="R124"/>
    <s v="941/PPC/XI/2025"/>
    <s v="ADMIN &amp; DOKUMEN EKSPOR"/>
    <s v="BY HC SUICHANGLONG EBP 2411778011"/>
    <x v="18"/>
    <x v="18"/>
    <x v="18"/>
    <s v="SP"/>
    <n v="1793264"/>
    <n v="20251105"/>
  </r>
  <r>
    <s v="05.11.2025"/>
    <x v="4"/>
    <n v="50"/>
    <n v="-50000"/>
    <s v="IDR"/>
    <n v="-50000"/>
    <s v="IDR"/>
    <m/>
    <m/>
    <m/>
    <s v="R124"/>
    <s v="941/PPC/XI/2025"/>
    <s v="ADMIN &amp; DOKUMEN EKSPOR"/>
    <s v="BY HC GUANGDONG SHENGRONG EBP 2411778014"/>
    <x v="18"/>
    <x v="18"/>
    <x v="1"/>
    <s v="SP"/>
    <n v="1793264"/>
    <n v="20251105"/>
  </r>
  <r>
    <s v="05.11.2025"/>
    <x v="4"/>
    <n v="50"/>
    <n v="-50000"/>
    <s v="IDR"/>
    <n v="-50000"/>
    <s v="IDR"/>
    <m/>
    <m/>
    <m/>
    <s v="R124"/>
    <s v="941/PPC/XI/2025"/>
    <s v="ADMIN &amp; DOKUMEN EKSPOR"/>
    <s v="BY HC SG OILSEED EBP 2411778053"/>
    <x v="18"/>
    <x v="18"/>
    <x v="1"/>
    <s v="SP"/>
    <n v="1793264"/>
    <n v="20251105"/>
  </r>
  <r>
    <s v="05.11.2025"/>
    <x v="4"/>
    <n v="50"/>
    <n v="-50000"/>
    <s v="IDR"/>
    <n v="-50000"/>
    <s v="IDR"/>
    <m/>
    <m/>
    <m/>
    <s v="R124"/>
    <s v="941/PPC/XI/2025"/>
    <s v="ADMIN &amp; DOKUMEN EKSPOR"/>
    <s v="BY HC SG OILSEED EBP 2411778013"/>
    <x v="18"/>
    <x v="18"/>
    <x v="1"/>
    <s v="SP"/>
    <n v="1793264"/>
    <n v="20251105"/>
  </r>
  <r>
    <s v="05.11.2025"/>
    <x v="4"/>
    <n v="50"/>
    <n v="-50000"/>
    <s v="IDR"/>
    <n v="-50000"/>
    <s v="IDR"/>
    <m/>
    <m/>
    <m/>
    <s v="R124"/>
    <s v="941/PPC/XI/2025"/>
    <s v="ADMIN &amp; DOKUMEN EKSPOR"/>
    <s v="BY HC HORGOS B EBP 2411777432"/>
    <x v="18"/>
    <x v="18"/>
    <x v="1"/>
    <s v="SP"/>
    <n v="1793264"/>
    <n v="20251105"/>
  </r>
  <r>
    <s v="05.11.2025"/>
    <x v="4"/>
    <n v="50"/>
    <n v="-50000"/>
    <s v="IDR"/>
    <n v="-50000"/>
    <s v="IDR"/>
    <m/>
    <m/>
    <m/>
    <s v="R124"/>
    <s v="942/PPC/XI/2025"/>
    <s v="ADMIN &amp; DOKUMEN EKSPOR"/>
    <s v="BY HC MONDELEZ EBP 2411778072"/>
    <x v="18"/>
    <x v="18"/>
    <x v="1"/>
    <s v="SP"/>
    <n v="1793264"/>
    <n v="20251105"/>
  </r>
  <r>
    <s v="05.11.2025"/>
    <x v="4"/>
    <n v="50"/>
    <n v="-50000"/>
    <s v="IDR"/>
    <n v="-50000"/>
    <s v="IDR"/>
    <m/>
    <m/>
    <m/>
    <s v="R124"/>
    <s v="942/PPC/XI/2025"/>
    <s v="ADMIN &amp; DOKUMEN EKSPOR"/>
    <s v="BY HC MONDELEZ EBP 2411778072 - REPROSES"/>
    <x v="18"/>
    <x v="18"/>
    <x v="1"/>
    <s v="SP"/>
    <n v="1793264"/>
    <n v="20251105"/>
  </r>
  <r>
    <s v="05.11.2025"/>
    <x v="4"/>
    <n v="50"/>
    <n v="-50000"/>
    <s v="IDR"/>
    <n v="-50000"/>
    <s v="IDR"/>
    <m/>
    <m/>
    <m/>
    <s v="R124"/>
    <s v="942/PPC/XI/2025"/>
    <s v="ADMIN &amp; DOKUMEN EKSPOR"/>
    <s v="BY HC SUICHANGLONG EBP 2411778152"/>
    <x v="18"/>
    <x v="18"/>
    <x v="18"/>
    <s v="SP"/>
    <n v="1793264"/>
    <n v="20251105"/>
  </r>
  <r>
    <s v="05.11.2025"/>
    <x v="4"/>
    <n v="50"/>
    <n v="-50000"/>
    <s v="IDR"/>
    <n v="-50000"/>
    <s v="IDR"/>
    <m/>
    <m/>
    <m/>
    <s v="R124"/>
    <s v="942/PPC/XI/2025"/>
    <s v="ADMIN &amp; DOKUMEN EKSPOR"/>
    <s v="BY HC HORGOS B EBP 2411777271"/>
    <x v="18"/>
    <x v="18"/>
    <x v="1"/>
    <s v="SP"/>
    <n v="1793264"/>
    <n v="20251105"/>
  </r>
  <r>
    <s v="05.11.2025"/>
    <x v="4"/>
    <n v="50"/>
    <n v="-977650"/>
    <s v="IDR"/>
    <n v="-977650"/>
    <s v="IDR"/>
    <m/>
    <m/>
    <m/>
    <s v="R124"/>
    <s v="922/PPC/XI/2025"/>
    <s v="PELATIHAN INTERNAL-KANTOR"/>
    <s v="BY KONSUMSI &amp;POST IT BMDP MFG 26:LEAN SIX SIGMA YB"/>
    <x v="22"/>
    <x v="22"/>
    <x v="33"/>
    <s v="SP"/>
    <n v="1793264"/>
    <n v="20251105"/>
  </r>
  <r>
    <s v="05.11.2025"/>
    <x v="4"/>
    <n v="50"/>
    <n v="-950000"/>
    <s v="IDR"/>
    <n v="-950000"/>
    <s v="IDR"/>
    <m/>
    <m/>
    <m/>
    <s v="R124"/>
    <s v="923/PPC/XI/2025"/>
    <s v="PELATIHAN INTERNAL-KANTOR"/>
    <s v="BY KONSUMSI BMDP MFG 26:LEAN SIX SIGMA YB 27/10/25"/>
    <x v="22"/>
    <x v="22"/>
    <x v="33"/>
    <s v="SP"/>
    <n v="1793264"/>
    <n v="20251105"/>
  </r>
  <r>
    <s v="05.11.2025"/>
    <x v="4"/>
    <n v="50"/>
    <n v="-952650"/>
    <s v="IDR"/>
    <n v="-952650"/>
    <s v="IDR"/>
    <m/>
    <m/>
    <m/>
    <s v="R124"/>
    <s v="924/PPC/XI/2025"/>
    <s v="PELATIHAN INTERNAL-KANTOR"/>
    <s v="BY KONSUMSI &amp;POST IT BMDP MFG 26:BASIC LK3 29/10"/>
    <x v="22"/>
    <x v="22"/>
    <x v="33"/>
    <s v="SP"/>
    <n v="1793264"/>
    <n v="20251105"/>
  </r>
  <r>
    <s v="05.11.2025"/>
    <x v="4"/>
    <n v="50"/>
    <n v="-289600"/>
    <s v="IDR"/>
    <n v="-289600"/>
    <s v="IDR"/>
    <m/>
    <m/>
    <m/>
    <s v="R124"/>
    <s v="874/PPC/X/2025"/>
    <s v="PEMEL.KEND&amp;A.BERAT MATRL"/>
    <s v="BY PEMB STOOD GALV, PYLOX, MUR, WP, DLL"/>
    <x v="2"/>
    <x v="2"/>
    <x v="20"/>
    <s v="SP"/>
    <n v="1793264"/>
    <n v="20251105"/>
  </r>
  <r>
    <s v="05.11.2025"/>
    <x v="4"/>
    <n v="50"/>
    <n v="-710400"/>
    <s v="IDR"/>
    <n v="-710400"/>
    <s v="IDR"/>
    <m/>
    <m/>
    <m/>
    <s v="R124"/>
    <s v="874/PPC/X/2025"/>
    <s v="UANG MUKA BIAYA"/>
    <s v="BY BLIND FLANGE ABIE PRIMA FP:04002500340128902"/>
    <x v="19"/>
    <x v="19"/>
    <x v="25"/>
    <s v="SP"/>
    <n v="1793264"/>
    <n v="20251105"/>
  </r>
  <r>
    <s v="05.11.2025"/>
    <x v="4"/>
    <n v="50"/>
    <n v="-174000"/>
    <s v="IDR"/>
    <n v="-174000"/>
    <s v="IDR"/>
    <m/>
    <m/>
    <m/>
    <s v="R124"/>
    <s v="873/PPC/X/2025"/>
    <s v="PEMEL.KEND&amp;A.BERAT MATRL"/>
    <s v="BY SKUN 10mm, STOOD GALV MR, SELANG BAKAR"/>
    <x v="2"/>
    <x v="2"/>
    <x v="31"/>
    <s v="SP"/>
    <n v="1793264"/>
    <n v="20251105"/>
  </r>
  <r>
    <s v="05.11.2025"/>
    <x v="4"/>
    <n v="50"/>
    <n v="-700010"/>
    <s v="IDR"/>
    <n v="-700010"/>
    <s v="IDR"/>
    <m/>
    <m/>
    <m/>
    <s v="R124"/>
    <s v="873/PPC/X/2025"/>
    <s v="UANG MUKA BIAYA"/>
    <s v="BY CW CON B LIGHT TIARA ABADI FP:04002500338562131"/>
    <x v="19"/>
    <x v="19"/>
    <x v="25"/>
    <s v="SP"/>
    <n v="1793264"/>
    <n v="20251105"/>
  </r>
  <r>
    <s v="05.11.2025"/>
    <x v="4"/>
    <n v="50"/>
    <n v="-123601"/>
    <s v="IDR"/>
    <n v="-123601"/>
    <s v="IDR"/>
    <m/>
    <m/>
    <m/>
    <s v="R124"/>
    <s v="873/PPC/X/2025"/>
    <s v="UANG MUKA BIAYA"/>
    <s v="BY GAE SKUN ANUGERAH TAMA FP:04002500341359030"/>
    <x v="19"/>
    <x v="19"/>
    <x v="25"/>
    <s v="SP"/>
    <n v="1793264"/>
    <n v="20251105"/>
  </r>
  <r>
    <s v="05.11.2025"/>
    <x v="4"/>
    <n v="50"/>
    <n v="-980014"/>
    <s v="IDR"/>
    <n v="-980014"/>
    <s v="IDR"/>
    <m/>
    <m/>
    <m/>
    <s v="R124"/>
    <s v="872/PPC/X/2025"/>
    <s v="UANG MUKA BIAYA"/>
    <s v="BY CW CON B LIGHT TIARA ABADI FP:04002500338562117"/>
    <x v="19"/>
    <x v="19"/>
    <x v="25"/>
    <s v="SP"/>
    <n v="1793264"/>
    <n v="20251105"/>
  </r>
  <r>
    <s v="05.11.2025"/>
    <x v="4"/>
    <n v="50"/>
    <n v="-299200"/>
    <s v="IDR"/>
    <n v="-299200"/>
    <s v="IDR"/>
    <m/>
    <m/>
    <m/>
    <s v="R124"/>
    <s v="940/PPC/XI/2025"/>
    <s v="MAKANAN DAN MINUMAN"/>
    <s v="BY SNACK MEETING REVIEW KPI VENDOR LOKAL BRANDED"/>
    <x v="7"/>
    <x v="7"/>
    <x v="17"/>
    <s v="SP"/>
    <n v="1793264"/>
    <n v="20251105"/>
  </r>
  <r>
    <s v="06.11.2025"/>
    <x v="4"/>
    <n v="40"/>
    <n v="35051945"/>
    <s v="IDR"/>
    <n v="35051945"/>
    <s v="IDR"/>
    <m/>
    <m/>
    <m/>
    <s v="R124"/>
    <m/>
    <s v="BANK IN TRANSIT"/>
    <s v="PETTY CASH RUNGKUT SURABAYA PERIODE 01-06 NOV 25"/>
    <x v="13"/>
    <x v="13"/>
    <x v="19"/>
    <s v="SP"/>
    <n v="1793264"/>
    <n v="20251106"/>
  </r>
  <r>
    <s v="10.11.2025"/>
    <x v="4"/>
    <n v="50"/>
    <n v="-350000"/>
    <s v="IDR"/>
    <n v="-350000"/>
    <s v="IDR"/>
    <m/>
    <m/>
    <m/>
    <s v="R124"/>
    <s v="943/PPC/XI/2025"/>
    <s v="OLAHRAGA DAN PERMAINAN"/>
    <s v="BY OLAHRAGA 03/11/2025"/>
    <x v="0"/>
    <x v="0"/>
    <x v="0"/>
    <s v="SP"/>
    <n v="1793264"/>
    <n v="20251110"/>
  </r>
  <r>
    <s v="10.11.2025"/>
    <x v="4"/>
    <n v="50"/>
    <n v="-302000"/>
    <s v="IDR"/>
    <n v="-302000"/>
    <s v="IDR"/>
    <m/>
    <m/>
    <m/>
    <s v="R124"/>
    <s v="944/PPC/XI/2025"/>
    <s v="PBAIKN&amp;PRAWATN PRABT MATR"/>
    <s v="BY PEMB MATA BOR BESI NACHI, MATA BOR BETON"/>
    <x v="3"/>
    <x v="3"/>
    <x v="26"/>
    <s v="SP"/>
    <n v="1793264"/>
    <n v="20251110"/>
  </r>
  <r>
    <s v="10.11.2025"/>
    <x v="4"/>
    <n v="50"/>
    <n v="-210500"/>
    <s v="IDR"/>
    <n v="-210500"/>
    <s v="IDR"/>
    <m/>
    <m/>
    <m/>
    <s v="R124"/>
    <s v="945/PPC/XI/2025"/>
    <s v="PERIZINAN PEMERINTAH"/>
    <s v="BY PEMBAYARAN PPJ GENSET 1 &amp; 2 OKTOBER 2025"/>
    <x v="12"/>
    <x v="12"/>
    <x v="9"/>
    <s v="SP"/>
    <n v="1793264"/>
    <n v="20251110"/>
  </r>
  <r>
    <s v="10.11.2025"/>
    <x v="4"/>
    <n v="50"/>
    <n v="-50000"/>
    <s v="IDR"/>
    <n v="-50000"/>
    <s v="IDR"/>
    <m/>
    <m/>
    <m/>
    <s v="R124"/>
    <s v="946/PPC/XI/2025"/>
    <s v="ADMIN &amp; DOKUMEN EKSPOR"/>
    <s v="BY HC SG OILSEED EBP 2411778142"/>
    <x v="18"/>
    <x v="18"/>
    <x v="1"/>
    <s v="SP"/>
    <n v="1793264"/>
    <n v="20251110"/>
  </r>
  <r>
    <s v="10.11.2025"/>
    <x v="4"/>
    <n v="50"/>
    <n v="-50000"/>
    <s v="IDR"/>
    <n v="-50000"/>
    <s v="IDR"/>
    <m/>
    <m/>
    <m/>
    <s v="R124"/>
    <s v="946/PPC/XI/2025"/>
    <s v="ADMIN &amp; DOKUMEN EKSPOR"/>
    <s v="BY HC HORGOS B EBP 2411778147"/>
    <x v="18"/>
    <x v="18"/>
    <x v="1"/>
    <s v="SP"/>
    <n v="1793264"/>
    <n v="20251110"/>
  </r>
  <r>
    <s v="10.11.2025"/>
    <x v="4"/>
    <n v="50"/>
    <n v="-975000"/>
    <s v="IDR"/>
    <n v="-975000"/>
    <s v="IDR"/>
    <m/>
    <m/>
    <m/>
    <s v="R124"/>
    <s v="949/PPC/XI/2025"/>
    <s v="PELATIHAN INTERNAL-KANTOR"/>
    <s v="BY KONSUMSI BMDP MFG 26:EFFECTIVE PRESENTATION"/>
    <x v="22"/>
    <x v="22"/>
    <x v="33"/>
    <s v="SP"/>
    <n v="1793264"/>
    <n v="20251110"/>
  </r>
  <r>
    <s v="10.11.2025"/>
    <x v="4"/>
    <n v="50"/>
    <n v="-490000"/>
    <s v="IDR"/>
    <n v="-490000"/>
    <s v="IDR"/>
    <m/>
    <m/>
    <m/>
    <s v="R124"/>
    <s v="950/PPC/XI/2025"/>
    <s v="BAHAN BAKAR"/>
    <s v="BY TRANSPORTASI BBM 05-06/11/2025"/>
    <x v="6"/>
    <x v="6"/>
    <x v="9"/>
    <s v="SP"/>
    <n v="1793264"/>
    <n v="20251110"/>
  </r>
  <r>
    <s v="10.11.2025"/>
    <x v="4"/>
    <n v="50"/>
    <n v="-508000"/>
    <s v="IDR"/>
    <n v="-508000"/>
    <s v="IDR"/>
    <m/>
    <m/>
    <m/>
    <s v="R124"/>
    <s v="950/PPC/XI/2025"/>
    <s v="TRANSPORTASI LOKAL"/>
    <s v="BY TRANSPORTASI PARKIR TOL"/>
    <x v="5"/>
    <x v="5"/>
    <x v="9"/>
    <s v="SP"/>
    <n v="1793264"/>
    <n v="20251110"/>
  </r>
  <r>
    <s v="10.11.2025"/>
    <x v="4"/>
    <n v="50"/>
    <n v="-800000"/>
    <s v="IDR"/>
    <n v="-800000"/>
    <s v="IDR"/>
    <m/>
    <m/>
    <m/>
    <s v="R124"/>
    <s v="951/PPC/XI/2025"/>
    <s v="BAHAN BAKAR"/>
    <s v="BY TRANSPORTASI BBM 03-05/11/2025"/>
    <x v="6"/>
    <x v="6"/>
    <x v="9"/>
    <s v="SP"/>
    <n v="1793264"/>
    <n v="20251110"/>
  </r>
  <r>
    <s v="10.11.2025"/>
    <x v="4"/>
    <n v="50"/>
    <n v="-200000"/>
    <s v="IDR"/>
    <n v="-200000"/>
    <s v="IDR"/>
    <m/>
    <m/>
    <m/>
    <s v="R124"/>
    <s v="951/PPC/XI/2025"/>
    <s v="TRANSPORTASI LOKAL"/>
    <s v="BY TRANSPORTASI PARKIR TOL"/>
    <x v="5"/>
    <x v="5"/>
    <x v="9"/>
    <s v="SP"/>
    <n v="1793264"/>
    <n v="20251110"/>
  </r>
  <r>
    <s v="10.11.2025"/>
    <x v="4"/>
    <n v="50"/>
    <n v="-877100"/>
    <s v="IDR"/>
    <n v="-877100"/>
    <s v="IDR"/>
    <m/>
    <m/>
    <m/>
    <s v="R124"/>
    <s v="900/PPC/X/2025"/>
    <s v="MAKANAN DAN MINUMAN"/>
    <s v="BY MKN TEKNISI GEA 24-28/10/2025"/>
    <x v="7"/>
    <x v="7"/>
    <x v="30"/>
    <s v="SP"/>
    <n v="1793264"/>
    <n v="20251110"/>
  </r>
  <r>
    <s v="10.11.2025"/>
    <x v="4"/>
    <n v="50"/>
    <n v="-950000"/>
    <s v="IDR"/>
    <n v="-950000"/>
    <s v="IDR"/>
    <m/>
    <m/>
    <m/>
    <s v="R124"/>
    <s v="952/PPC/XI/2025"/>
    <s v="PELATIHAN INTERNAL-KANTOR"/>
    <s v="BY KONSUMSI BMDP MFG 26:INDIVIDUAL CONTRIBUTOR"/>
    <x v="22"/>
    <x v="22"/>
    <x v="33"/>
    <s v="SP"/>
    <n v="1793264"/>
    <n v="20251110"/>
  </r>
  <r>
    <s v="10.11.2025"/>
    <x v="4"/>
    <n v="50"/>
    <n v="-1000000"/>
    <s v="IDR"/>
    <n v="-1000000"/>
    <s v="IDR"/>
    <m/>
    <m/>
    <m/>
    <s v="R124"/>
    <s v="953/PPC/XI/2025"/>
    <s v="UMUM &amp; ADMIN LAIN"/>
    <s v="BY PEMB MATERAI U/ ADM HRD"/>
    <x v="15"/>
    <x v="15"/>
    <x v="0"/>
    <s v="SP"/>
    <n v="1793264"/>
    <n v="20251110"/>
  </r>
  <r>
    <s v="10.11.2025"/>
    <x v="4"/>
    <n v="50"/>
    <n v="-129500"/>
    <s v="IDR"/>
    <n v="-129500"/>
    <s v="IDR"/>
    <m/>
    <m/>
    <m/>
    <s v="R124"/>
    <s v="954/PPC/XI/2025"/>
    <s v="TRANSPORTASI LOKAL"/>
    <s v="BY TRANSPORTASI GRAB RGKT-PRK 30/10/2025"/>
    <x v="5"/>
    <x v="5"/>
    <x v="32"/>
    <s v="SP"/>
    <n v="1793264"/>
    <n v="20251110"/>
  </r>
  <r>
    <s v="10.11.2025"/>
    <x v="4"/>
    <n v="50"/>
    <n v="-50000"/>
    <s v="IDR"/>
    <n v="-50000"/>
    <s v="IDR"/>
    <m/>
    <m/>
    <m/>
    <s v="R124"/>
    <s v="954/PPC/XI/2025"/>
    <s v="MAKANAN DAN MINUMAN"/>
    <s v="BY MKN DNS PRK 30/10/2025 - 2 ORG"/>
    <x v="7"/>
    <x v="7"/>
    <x v="32"/>
    <s v="SP"/>
    <n v="1793264"/>
    <n v="20251110"/>
  </r>
  <r>
    <s v="10.11.2025"/>
    <x v="4"/>
    <n v="50"/>
    <n v="-75000"/>
    <s v="IDR"/>
    <n v="-75000"/>
    <s v="IDR"/>
    <m/>
    <m/>
    <m/>
    <s v="R124"/>
    <s v="958/PPC/XI/2025"/>
    <s v="MAKANAN DAN MINUMAN"/>
    <s v="BY MKN DNS PRK 3 ORG"/>
    <x v="7"/>
    <x v="7"/>
    <x v="15"/>
    <s v="SP"/>
    <n v="1793264"/>
    <n v="20251110"/>
  </r>
  <r>
    <s v="10.11.2025"/>
    <x v="4"/>
    <n v="50"/>
    <n v="-262820"/>
    <s v="IDR"/>
    <n v="-262820"/>
    <s v="IDR"/>
    <m/>
    <m/>
    <m/>
    <s v="R124"/>
    <s v="958/PPC/XI/2025"/>
    <s v="PBAIKN&amp;PRAWATN PRABT MATR"/>
    <s v="BY PEMB LAMPU LED FUMEHOOD, SENTER KEPALA"/>
    <x v="3"/>
    <x v="3"/>
    <x v="15"/>
    <s v="SP"/>
    <n v="1793264"/>
    <n v="20251110"/>
  </r>
  <r>
    <s v="10.11.2025"/>
    <x v="4"/>
    <n v="50"/>
    <n v="-225500"/>
    <s v="IDR"/>
    <n v="-225500"/>
    <s v="IDR"/>
    <m/>
    <m/>
    <m/>
    <s v="R124"/>
    <s v="958/PPC/XI/2025"/>
    <s v="RISET/PENGEMBANGAN PRODUK"/>
    <s v="BY PEMB SENSORY KFC 27/10, McD 20/10"/>
    <x v="9"/>
    <x v="9"/>
    <x v="15"/>
    <s v="SP"/>
    <n v="1793264"/>
    <n v="20251110"/>
  </r>
  <r>
    <s v="10.11.2025"/>
    <x v="4"/>
    <n v="50"/>
    <n v="-118400"/>
    <s v="IDR"/>
    <n v="-118400"/>
    <s v="IDR"/>
    <m/>
    <m/>
    <m/>
    <s v="R124"/>
    <s v="958/PPC/XI/2025"/>
    <s v="RISET/PENGEMBANGAN PRODUK"/>
    <s v="BY PEMB COOLER BOX U/ PRE SHIPMENT DANONE"/>
    <x v="9"/>
    <x v="9"/>
    <x v="15"/>
    <s v="SP"/>
    <n v="1793264"/>
    <n v="20251110"/>
  </r>
  <r>
    <s v="10.11.2025"/>
    <x v="4"/>
    <n v="50"/>
    <n v="-452000"/>
    <s v="IDR"/>
    <n v="-452000"/>
    <s v="IDR"/>
    <m/>
    <m/>
    <m/>
    <s v="R124"/>
    <s v="930/PPC/XI/2025"/>
    <s v="PEMEL.KEND&amp;A.BERAT MATRL"/>
    <s v="BY PERAWATAN SPD MTR BAG.EKSP. L 2057 EK (VEGA R)"/>
    <x v="2"/>
    <x v="2"/>
    <x v="1"/>
    <s v="SP"/>
    <n v="1793264"/>
    <n v="20251110"/>
  </r>
  <r>
    <s v="10.11.2025"/>
    <x v="4"/>
    <n v="50"/>
    <n v="-358000"/>
    <s v="IDR"/>
    <n v="-358000"/>
    <s v="IDR"/>
    <m/>
    <m/>
    <m/>
    <s v="R124"/>
    <s v="931/PPC/XI/2025"/>
    <s v="PEMEL.KEND&amp;A.BERAT MATRL"/>
    <s v="BY PERAWATAN SPD MTR BAG.EKSP. L 2167 FT (VIXION)"/>
    <x v="2"/>
    <x v="2"/>
    <x v="2"/>
    <s v="SP"/>
    <n v="1793264"/>
    <n v="20251110"/>
  </r>
  <r>
    <s v="10.11.2025"/>
    <x v="4"/>
    <n v="50"/>
    <n v="-50000"/>
    <s v="IDR"/>
    <n v="-50000"/>
    <s v="IDR"/>
    <m/>
    <m/>
    <m/>
    <s v="R124"/>
    <s v="947/PPC/XI/2025"/>
    <s v="ADMIN &amp; DOKUMEN EKSPOR"/>
    <s v="BY HC HORGOS B EBP 2411778140"/>
    <x v="18"/>
    <x v="18"/>
    <x v="1"/>
    <s v="SP"/>
    <n v="1793264"/>
    <n v="20251110"/>
  </r>
  <r>
    <s v="10.11.2025"/>
    <x v="4"/>
    <n v="50"/>
    <n v="-50000"/>
    <s v="IDR"/>
    <n v="-50000"/>
    <s v="IDR"/>
    <m/>
    <m/>
    <m/>
    <s v="R124"/>
    <s v="947/PPC/XI/2025"/>
    <s v="ADMIN &amp; DOKUMEN EKSPOR"/>
    <s v="BY HC HORGOS B EBP 2411778141"/>
    <x v="18"/>
    <x v="18"/>
    <x v="1"/>
    <s v="SP"/>
    <n v="1793264"/>
    <n v="20251110"/>
  </r>
  <r>
    <s v="10.11.2025"/>
    <x v="4"/>
    <n v="50"/>
    <n v="-50000"/>
    <s v="IDR"/>
    <n v="-50000"/>
    <s v="IDR"/>
    <m/>
    <m/>
    <m/>
    <s v="R124"/>
    <s v="947/PPC/XI/2025"/>
    <s v="ADMIN &amp; DOKUMEN EKSPOR"/>
    <s v="BY HC HORGOS B EBP 2411778143"/>
    <x v="18"/>
    <x v="18"/>
    <x v="1"/>
    <s v="SP"/>
    <n v="1793264"/>
    <n v="20251110"/>
  </r>
  <r>
    <s v="10.11.2025"/>
    <x v="4"/>
    <n v="50"/>
    <n v="-50000"/>
    <s v="IDR"/>
    <n v="-50000"/>
    <s v="IDR"/>
    <m/>
    <m/>
    <m/>
    <s v="R124"/>
    <s v="947/PPC/XI/2025"/>
    <s v="ADMIN &amp; DOKUMEN EKSPOR"/>
    <s v="BY HC AL ISLAM EBP 2411778259"/>
    <x v="18"/>
    <x v="18"/>
    <x v="1"/>
    <s v="SP"/>
    <n v="1793264"/>
    <n v="20251110"/>
  </r>
  <r>
    <s v="10.11.2025"/>
    <x v="4"/>
    <n v="50"/>
    <n v="-50000"/>
    <s v="IDR"/>
    <n v="-50000"/>
    <s v="IDR"/>
    <m/>
    <m/>
    <m/>
    <s v="R124"/>
    <s v="947/PPC/XI/2025"/>
    <s v="ADMIN &amp; DOKUMEN EKSPOR"/>
    <s v="BY HC AL ISLAM EBP 2411778260"/>
    <x v="18"/>
    <x v="18"/>
    <x v="1"/>
    <s v="SP"/>
    <n v="1793264"/>
    <n v="20251110"/>
  </r>
  <r>
    <s v="10.11.2025"/>
    <x v="4"/>
    <n v="50"/>
    <n v="-200000"/>
    <s v="IDR"/>
    <n v="-200000"/>
    <s v="IDR"/>
    <m/>
    <m/>
    <m/>
    <s v="R124"/>
    <s v="947/PPC/XI/2025"/>
    <s v="ADMIN &amp; DOKUMEN EKSPOR"/>
    <s v="BY COO KADIN AL ISLAM EBP 2411778259"/>
    <x v="18"/>
    <x v="18"/>
    <x v="1"/>
    <s v="SP"/>
    <n v="1793264"/>
    <n v="20251110"/>
  </r>
  <r>
    <s v="10.11.2025"/>
    <x v="4"/>
    <n v="50"/>
    <n v="-200000"/>
    <s v="IDR"/>
    <n v="-200000"/>
    <s v="IDR"/>
    <m/>
    <m/>
    <m/>
    <s v="R124"/>
    <s v="947/PPC/XI/2025"/>
    <s v="ADMIN &amp; DOKUMEN EKSPOR"/>
    <s v="BY COO KADIN AL ISLAM EBP 2411778260"/>
    <x v="18"/>
    <x v="18"/>
    <x v="1"/>
    <s v="SP"/>
    <n v="1793264"/>
    <n v="20251110"/>
  </r>
  <r>
    <s v="10.11.2025"/>
    <x v="4"/>
    <n v="50"/>
    <n v="-410000"/>
    <s v="IDR"/>
    <n v="-410000"/>
    <s v="IDR"/>
    <m/>
    <m/>
    <m/>
    <s v="R124"/>
    <s v="948/PPC/XI/2025"/>
    <s v="ADMIN &amp; DOKUMEN EKSPOR"/>
    <s v="BY TELEX GREENS LIMITED EBP 2411777606"/>
    <x v="18"/>
    <x v="18"/>
    <x v="2"/>
    <s v="SP"/>
    <n v="1793264"/>
    <n v="20251110"/>
  </r>
  <r>
    <s v="10.11.2025"/>
    <x v="4"/>
    <n v="50"/>
    <n v="-410000"/>
    <s v="IDR"/>
    <n v="-410000"/>
    <s v="IDR"/>
    <m/>
    <m/>
    <m/>
    <s v="R124"/>
    <s v="948/PPC/XI/2025"/>
    <s v="ADMIN &amp; DOKUMEN EKSPOR"/>
    <s v="BY TELEX GREENS LIMITED EBP 2411777733"/>
    <x v="18"/>
    <x v="18"/>
    <x v="2"/>
    <s v="SP"/>
    <n v="1793264"/>
    <n v="20251110"/>
  </r>
  <r>
    <s v="10.11.2025"/>
    <x v="4"/>
    <n v="50"/>
    <n v="-50000"/>
    <s v="IDR"/>
    <n v="-50000"/>
    <s v="IDR"/>
    <m/>
    <m/>
    <m/>
    <s v="R124"/>
    <s v="959/PPC/XI/2025"/>
    <s v="ADMIN &amp; DOKUMEN EKSPOR"/>
    <s v="BY HC HORGOS B EBP 2411778150"/>
    <x v="18"/>
    <x v="18"/>
    <x v="1"/>
    <s v="SP"/>
    <n v="1793264"/>
    <n v="20251110"/>
  </r>
  <r>
    <s v="10.11.2025"/>
    <x v="4"/>
    <n v="50"/>
    <n v="-25000"/>
    <s v="IDR"/>
    <n v="-25000"/>
    <s v="IDR"/>
    <m/>
    <m/>
    <m/>
    <s v="R124"/>
    <s v="961/PPC/XI/2025"/>
    <s v="MAKANAN DAN MINUMAN"/>
    <s v="BY MKN DNS PRK 25/10/2025 - 1 ORG"/>
    <x v="7"/>
    <x v="7"/>
    <x v="13"/>
    <s v="SP"/>
    <n v="1793264"/>
    <n v="20251110"/>
  </r>
  <r>
    <s v="10.11.2025"/>
    <x v="4"/>
    <n v="50"/>
    <n v="-623500"/>
    <s v="IDR"/>
    <n v="-623500"/>
    <s v="IDR"/>
    <m/>
    <m/>
    <m/>
    <s v="R124"/>
    <s v="962/PPC/XI/2025"/>
    <s v="PELATIHAN INTERNAL-KANTOR"/>
    <s v="BY KONSUMSI TRAINING BMDP MFG 26 BGD 03-07/11/2025"/>
    <x v="22"/>
    <x v="22"/>
    <x v="33"/>
    <s v="SP"/>
    <n v="1793264"/>
    <n v="20251110"/>
  </r>
  <r>
    <s v="13.11.2025"/>
    <x v="4"/>
    <n v="50"/>
    <n v="-396000"/>
    <s v="IDR"/>
    <n v="-396000"/>
    <s v="IDR"/>
    <m/>
    <m/>
    <m/>
    <s v="R124"/>
    <s v="957/PPC/XI/2025"/>
    <s v="MAKANAN DAN MINUMAN"/>
    <s v="BY MKN MLM TEKNISI ALFA LAVAL 7-10/11/2025"/>
    <x v="7"/>
    <x v="7"/>
    <x v="12"/>
    <s v="SP"/>
    <n v="1793264"/>
    <n v="20251113"/>
  </r>
  <r>
    <s v="13.11.2025"/>
    <x v="4"/>
    <n v="50"/>
    <n v="-2000"/>
    <s v="IDR"/>
    <n v="-2000"/>
    <s v="IDR"/>
    <m/>
    <m/>
    <m/>
    <s v="R124"/>
    <s v="964/PPC/XI/2025"/>
    <s v="ADMIN &amp; DOKUMEN EKSPOR"/>
    <s v="BY LEVY &amp; BK SAMPLE RBDOLN KE GERMAN"/>
    <x v="18"/>
    <x v="18"/>
    <x v="8"/>
    <s v="SP"/>
    <n v="1793264"/>
    <n v="20251113"/>
  </r>
  <r>
    <s v="13.11.2025"/>
    <x v="4"/>
    <n v="50"/>
    <n v="-650000"/>
    <s v="IDR"/>
    <n v="-650000"/>
    <s v="IDR"/>
    <m/>
    <m/>
    <m/>
    <s v="R124"/>
    <s v="965/PPC/XI/2025"/>
    <s v="BAHAN BAKAR"/>
    <s v="BY TRANSPORTASI BBM 06-10/11/2025"/>
    <x v="6"/>
    <x v="6"/>
    <x v="9"/>
    <s v="SP"/>
    <n v="1793264"/>
    <n v="20251113"/>
  </r>
  <r>
    <s v="13.11.2025"/>
    <x v="4"/>
    <n v="50"/>
    <n v="-347500"/>
    <s v="IDR"/>
    <n v="-347500"/>
    <s v="IDR"/>
    <m/>
    <m/>
    <m/>
    <s v="R124"/>
    <s v="965/PPC/XI/2025"/>
    <s v="TRANSPORTASI LOKAL"/>
    <s v="BY TRANSPORTASI PARKIR TOL"/>
    <x v="5"/>
    <x v="5"/>
    <x v="9"/>
    <s v="SP"/>
    <n v="1793264"/>
    <n v="20251113"/>
  </r>
  <r>
    <s v="13.11.2025"/>
    <x v="4"/>
    <n v="50"/>
    <n v="-290500"/>
    <s v="IDR"/>
    <n v="-290500"/>
    <s v="IDR"/>
    <m/>
    <m/>
    <m/>
    <s v="R124"/>
    <s v="966/PPC/XI/2025"/>
    <s v="BIAYA MESS"/>
    <s v="BY PDAM MESS PKTJAND NOV 2025"/>
    <x v="14"/>
    <x v="14"/>
    <x v="9"/>
    <s v="SP"/>
    <n v="1793264"/>
    <n v="20251113"/>
  </r>
  <r>
    <s v="13.11.2025"/>
    <x v="4"/>
    <n v="50"/>
    <n v="-510000"/>
    <s v="IDR"/>
    <n v="-510000"/>
    <s v="IDR"/>
    <m/>
    <m/>
    <m/>
    <s v="R124"/>
    <s v="967/PPC/XI/2025"/>
    <s v="BAHAN BAKAR"/>
    <s v="BY TRANSPORTASI BBM 10-11/11/2025"/>
    <x v="6"/>
    <x v="6"/>
    <x v="9"/>
    <s v="SP"/>
    <n v="1793264"/>
    <n v="20251113"/>
  </r>
  <r>
    <s v="13.11.2025"/>
    <x v="4"/>
    <n v="50"/>
    <n v="-488000"/>
    <s v="IDR"/>
    <n v="-488000"/>
    <s v="IDR"/>
    <m/>
    <m/>
    <m/>
    <s v="R124"/>
    <s v="967/PPC/XI/2025"/>
    <s v="TRANSPORTASI LOKAL"/>
    <s v="BY TRANSPORTASI PARKIR TOL"/>
    <x v="5"/>
    <x v="5"/>
    <x v="9"/>
    <s v="SP"/>
    <n v="1793264"/>
    <n v="20251113"/>
  </r>
  <r>
    <s v="13.11.2025"/>
    <x v="4"/>
    <n v="50"/>
    <n v="-50000"/>
    <s v="IDR"/>
    <n v="-50000"/>
    <s v="IDR"/>
    <m/>
    <m/>
    <m/>
    <s v="R124"/>
    <s v="968/PPC/XI/2025"/>
    <s v="ADMIN &amp; DOKUMEN EKSPOR"/>
    <s v="BY HC SUICHANGLONG EBP 2411778151"/>
    <x v="18"/>
    <x v="18"/>
    <x v="18"/>
    <s v="SP"/>
    <n v="1793264"/>
    <n v="20251113"/>
  </r>
  <r>
    <s v="13.11.2025"/>
    <x v="4"/>
    <n v="50"/>
    <n v="-50000"/>
    <s v="IDR"/>
    <n v="-50000"/>
    <s v="IDR"/>
    <m/>
    <m/>
    <m/>
    <s v="R124"/>
    <s v="968/PPC/XI/2025"/>
    <s v="ADMIN &amp; DOKUMEN EKSPOR"/>
    <s v="BY HC HORGOS B EBP 2411778279"/>
    <x v="18"/>
    <x v="18"/>
    <x v="1"/>
    <s v="SP"/>
    <n v="1793264"/>
    <n v="20251113"/>
  </r>
  <r>
    <s v="13.11.2025"/>
    <x v="4"/>
    <n v="50"/>
    <n v="-50000"/>
    <s v="IDR"/>
    <n v="-50000"/>
    <s v="IDR"/>
    <m/>
    <m/>
    <m/>
    <s v="R124"/>
    <s v="968/PPC/XI/2025"/>
    <s v="ADMIN &amp; DOKUMEN EKSPOR"/>
    <s v="BY HC FREE SAMPLE JUBI MARGARINE 15KG U/ REG"/>
    <x v="18"/>
    <x v="18"/>
    <x v="1"/>
    <s v="SP"/>
    <n v="1793264"/>
    <n v="20251113"/>
  </r>
  <r>
    <s v="13.11.2025"/>
    <x v="4"/>
    <n v="50"/>
    <n v="-159800"/>
    <s v="IDR"/>
    <n v="-159800"/>
    <s v="IDR"/>
    <m/>
    <m/>
    <m/>
    <s v="R124"/>
    <s v="971/PPC/XI/2025"/>
    <s v="PEMEL.BNGAN&amp;PSARANA MATRL"/>
    <s v="BY PEMB TEE, KENI, SOK, LEM U/ PERBAIKAN JALUR AIR"/>
    <x v="8"/>
    <x v="8"/>
    <x v="9"/>
    <s v="SP"/>
    <n v="1793264"/>
    <n v="20251113"/>
  </r>
  <r>
    <s v="13.11.2025"/>
    <x v="4"/>
    <n v="50"/>
    <n v="-106000"/>
    <s v="IDR"/>
    <n v="-106000"/>
    <s v="IDR"/>
    <m/>
    <m/>
    <m/>
    <s v="R124"/>
    <s v="971/PPC/XI/2025"/>
    <s v="PBAIKN&amp;PRAWATN PRABT MATR"/>
    <s v="BY PEMB MEMORY CARD KAMERA"/>
    <x v="3"/>
    <x v="3"/>
    <x v="9"/>
    <s v="SP"/>
    <n v="1793264"/>
    <n v="20251113"/>
  </r>
  <r>
    <s v="13.11.2025"/>
    <x v="4"/>
    <n v="50"/>
    <n v="-780000"/>
    <s v="IDR"/>
    <n v="-780000"/>
    <s v="IDR"/>
    <m/>
    <m/>
    <m/>
    <s v="R124"/>
    <s v="972/PPC/XI/2025"/>
    <s v="BAHAN BAKAR"/>
    <s v="BY TRANSPORTASI BBM 11-13/11/2025"/>
    <x v="6"/>
    <x v="6"/>
    <x v="9"/>
    <s v="SP"/>
    <n v="1793264"/>
    <n v="20251113"/>
  </r>
  <r>
    <s v="13.11.2025"/>
    <x v="4"/>
    <n v="50"/>
    <n v="-217500"/>
    <s v="IDR"/>
    <n v="-217500"/>
    <s v="IDR"/>
    <m/>
    <m/>
    <m/>
    <s v="R124"/>
    <s v="972/PPC/XI/2025"/>
    <s v="TRANSPORTASI LOKAL"/>
    <s v="BY TRANSPORTASI PARKIR TOL"/>
    <x v="5"/>
    <x v="5"/>
    <x v="9"/>
    <s v="SP"/>
    <n v="1793264"/>
    <n v="20251113"/>
  </r>
  <r>
    <s v="18.11.2025"/>
    <x v="4"/>
    <n v="50"/>
    <n v="-800000"/>
    <s v="IDR"/>
    <n v="-800000"/>
    <s v="IDR"/>
    <m/>
    <m/>
    <m/>
    <s v="R124"/>
    <s v="973/PPC/XI/2025"/>
    <s v="BIAYA MESS"/>
    <s v="BY IURAN MESS POKTJAND 8 RMH NOV 2025"/>
    <x v="14"/>
    <x v="14"/>
    <x v="9"/>
    <s v="SP"/>
    <n v="1793264"/>
    <n v="20251118"/>
  </r>
  <r>
    <s v="18.11.2025"/>
    <x v="4"/>
    <n v="50"/>
    <n v="-482200"/>
    <s v="IDR"/>
    <n v="-482200"/>
    <s v="IDR"/>
    <m/>
    <m/>
    <m/>
    <s v="R124"/>
    <s v="963/PPC/XI/2025"/>
    <s v="MAKANAN DAN MINUMAN"/>
    <s v="BY MKN MLM TEKNISI ALFA LAVAL"/>
    <x v="7"/>
    <x v="7"/>
    <x v="27"/>
    <s v="SP"/>
    <n v="1793264"/>
    <n v="20251118"/>
  </r>
  <r>
    <s v="18.11.2025"/>
    <x v="4"/>
    <n v="50"/>
    <n v="-167756"/>
    <s v="IDR"/>
    <n v="-167756"/>
    <s v="IDR"/>
    <m/>
    <m/>
    <m/>
    <s v="R124"/>
    <s v="963/PPC/XI/2025"/>
    <s v="PEMEL.KEND&amp;A.BERAT MATRL"/>
    <s v="BY PEMB ACRYLIC STICK ROUND PIPE, NO DROP TAPE,DLL"/>
    <x v="2"/>
    <x v="2"/>
    <x v="27"/>
    <s v="SP"/>
    <n v="1793264"/>
    <n v="20251118"/>
  </r>
  <r>
    <s v="18.11.2025"/>
    <x v="4"/>
    <n v="50"/>
    <n v="-423500"/>
    <s v="IDR"/>
    <n v="-423500"/>
    <s v="IDR"/>
    <m/>
    <m/>
    <m/>
    <s v="R124"/>
    <s v="974/PPC/XI/2025"/>
    <s v="PBAIKN&amp;PRAWATN PRABT MATR"/>
    <s v="BY PEMB MATA BOR , HANDLE, SILINDER PINTU,GEMBOK"/>
    <x v="3"/>
    <x v="3"/>
    <x v="9"/>
    <s v="SP"/>
    <n v="1793264"/>
    <n v="20251118"/>
  </r>
  <r>
    <s v="18.11.2025"/>
    <x v="4"/>
    <n v="50"/>
    <n v="-420500"/>
    <s v="IDR"/>
    <n v="-420500"/>
    <s v="IDR"/>
    <m/>
    <m/>
    <m/>
    <s v="R124"/>
    <s v="974/PPC/XI/2025"/>
    <s v="PAJAK KENDARAAN BERMOTOR"/>
    <s v="BY PERPANJ. STNK MOBIL MERCEDEZ BENZ L 1604 ADW"/>
    <x v="24"/>
    <x v="24"/>
    <x v="9"/>
    <s v="SP"/>
    <n v="1793264"/>
    <n v="20251118"/>
  </r>
  <r>
    <s v="18.11.2025"/>
    <x v="4"/>
    <n v="50"/>
    <n v="-50000"/>
    <s v="IDR"/>
    <n v="-50000"/>
    <s v="IDR"/>
    <m/>
    <m/>
    <m/>
    <s v="R124"/>
    <s v="977/PPC/XI/2025"/>
    <s v="MAKANAN DAN MINUMAN"/>
    <s v="BY MKN DNS PRK 11/11/2025 - 2 ORG"/>
    <x v="7"/>
    <x v="7"/>
    <x v="13"/>
    <s v="SP"/>
    <n v="1793264"/>
    <n v="20251118"/>
  </r>
  <r>
    <s v="18.11.2025"/>
    <x v="4"/>
    <n v="50"/>
    <n v="-50000"/>
    <s v="IDR"/>
    <n v="-50000"/>
    <s v="IDR"/>
    <m/>
    <m/>
    <m/>
    <s v="R124"/>
    <s v="978/PPC/XI/2025"/>
    <s v="MAKANAN DAN MINUMAN"/>
    <s v="BY MKN DNS PRK 12/11/2025 - 2 ORG"/>
    <x v="7"/>
    <x v="7"/>
    <x v="13"/>
    <s v="SP"/>
    <n v="1793264"/>
    <n v="20251118"/>
  </r>
  <r>
    <s v="18.11.2025"/>
    <x v="4"/>
    <n v="50"/>
    <n v="-750000"/>
    <s v="IDR"/>
    <n v="-750000"/>
    <s v="IDR"/>
    <m/>
    <m/>
    <m/>
    <s v="R124"/>
    <s v="979/PPC/XI/2025"/>
    <s v="BAHAN BAKAR"/>
    <s v="BY TRANSPORTASI BBM 13-14/11/2025"/>
    <x v="6"/>
    <x v="6"/>
    <x v="9"/>
    <s v="SP"/>
    <n v="1793264"/>
    <n v="20251118"/>
  </r>
  <r>
    <s v="18.11.2025"/>
    <x v="4"/>
    <n v="50"/>
    <n v="-247500"/>
    <s v="IDR"/>
    <n v="-247500"/>
    <s v="IDR"/>
    <m/>
    <m/>
    <m/>
    <s v="R124"/>
    <s v="979/PPC/XI/2025"/>
    <s v="TRANSPORTASI LOKAL"/>
    <s v="BY TRANSPORTASI PARKIR TOL"/>
    <x v="5"/>
    <x v="5"/>
    <x v="9"/>
    <s v="SP"/>
    <n v="1793264"/>
    <n v="20251118"/>
  </r>
  <r>
    <s v="18.11.2025"/>
    <x v="4"/>
    <n v="50"/>
    <n v="-700000"/>
    <s v="IDR"/>
    <n v="-700000"/>
    <s v="IDR"/>
    <m/>
    <m/>
    <m/>
    <s v="R124"/>
    <s v="980/PPC/XI/2025"/>
    <s v="ORGANISASI PROF. NASIONAL"/>
    <s v="BY IURAN ANGGOTA APINDO JATIM SEPTEMBER &amp; OKT 2025"/>
    <x v="17"/>
    <x v="17"/>
    <x v="0"/>
    <s v="SP"/>
    <n v="1793264"/>
    <n v="20251118"/>
  </r>
  <r>
    <s v="18.11.2025"/>
    <x v="4"/>
    <n v="50"/>
    <n v="-450000"/>
    <s v="IDR"/>
    <n v="-450000"/>
    <s v="IDR"/>
    <m/>
    <m/>
    <m/>
    <s v="R124"/>
    <s v="981/PPC/XI/2025"/>
    <s v="BIAYA MESS"/>
    <s v="BY IURAN PEMBERSIHAN GOT MESS POKTJAND"/>
    <x v="14"/>
    <x v="14"/>
    <x v="9"/>
    <s v="SP"/>
    <n v="1793264"/>
    <n v="20251118"/>
  </r>
  <r>
    <s v="18.11.2025"/>
    <x v="4"/>
    <n v="50"/>
    <n v="-50000"/>
    <s v="IDR"/>
    <n v="-50000"/>
    <s v="IDR"/>
    <m/>
    <m/>
    <m/>
    <s v="R124"/>
    <s v="982/PPC/XI/2025"/>
    <s v="ADMIN &amp; DOKUMEN EKSPOR"/>
    <s v="BY HC SG OILSEED EBP 2411778325"/>
    <x v="18"/>
    <x v="18"/>
    <x v="1"/>
    <s v="SP"/>
    <n v="1793264"/>
    <n v="20251118"/>
  </r>
  <r>
    <s v="18.11.2025"/>
    <x v="4"/>
    <n v="50"/>
    <n v="-16000"/>
    <s v="IDR"/>
    <n v="-16000"/>
    <s v="IDR"/>
    <m/>
    <m/>
    <m/>
    <s v="R124"/>
    <s v="982/PPC/XI/2025"/>
    <s v="ADMIN &amp; DOKUMEN EKSPOR"/>
    <s v="BY LEVY &amp; BEA KELUAR SAMPLE RBDOLN KE VIETNAM"/>
    <x v="18"/>
    <x v="18"/>
    <x v="8"/>
    <s v="SP"/>
    <n v="1793264"/>
    <n v="20251118"/>
  </r>
  <r>
    <s v="18.11.2025"/>
    <x v="4"/>
    <n v="50"/>
    <n v="-740000"/>
    <s v="IDR"/>
    <n v="-740000"/>
    <s v="IDR"/>
    <m/>
    <m/>
    <m/>
    <s v="R124"/>
    <s v="983/PPC/XI/2025"/>
    <s v="BAHAN BAKAR"/>
    <s v="BY TRANSPORTASI BBM 14-17/11/2025"/>
    <x v="6"/>
    <x v="6"/>
    <x v="9"/>
    <s v="SP"/>
    <n v="1793264"/>
    <n v="20251118"/>
  </r>
  <r>
    <s v="18.11.2025"/>
    <x v="4"/>
    <n v="50"/>
    <n v="-259000"/>
    <s v="IDR"/>
    <n v="-259000"/>
    <s v="IDR"/>
    <m/>
    <m/>
    <m/>
    <s v="R124"/>
    <s v="983/PPC/XI/2025"/>
    <s v="TRANSPORTASI LOKAL"/>
    <s v="BY TRANSPORTASI PARKIR TOL"/>
    <x v="5"/>
    <x v="5"/>
    <x v="9"/>
    <s v="SP"/>
    <n v="1793264"/>
    <n v="20251118"/>
  </r>
  <r>
    <s v="18.11.2025"/>
    <x v="4"/>
    <n v="50"/>
    <n v="-400000"/>
    <s v="IDR"/>
    <n v="-400000"/>
    <s v="IDR"/>
    <m/>
    <m/>
    <m/>
    <s v="R124"/>
    <s v="984/PPC/XI/2025"/>
    <s v="OLAHRAGA DAN PERMAINAN"/>
    <s v="BY OLAHRAGA 14/11/2025"/>
    <x v="0"/>
    <x v="0"/>
    <x v="0"/>
    <s v="SP"/>
    <n v="1793264"/>
    <n v="20251118"/>
  </r>
  <r>
    <s v="18.11.2025"/>
    <x v="4"/>
    <n v="50"/>
    <n v="-50000"/>
    <s v="IDR"/>
    <n v="-50000"/>
    <s v="IDR"/>
    <m/>
    <m/>
    <m/>
    <s v="R124"/>
    <s v="986/PPC/XI/2025"/>
    <s v="MAKANAN DAN MINUMAN"/>
    <s v="BY MKN DNS PRK 13/11/2025 - 2 ORG"/>
    <x v="7"/>
    <x v="7"/>
    <x v="13"/>
    <s v="SP"/>
    <n v="1793264"/>
    <n v="20251118"/>
  </r>
  <r>
    <s v="20.11.2025"/>
    <x v="4"/>
    <n v="50"/>
    <n v="-50000"/>
    <s v="IDR"/>
    <n v="-50000"/>
    <s v="IDR"/>
    <m/>
    <m/>
    <m/>
    <s v="R124"/>
    <s v="969/PPC/XI/2025"/>
    <s v="ADMIN &amp; DOKUMEN EKSPOR"/>
    <s v="BY HC NESTLE BANGLADESH ETP 2411778257"/>
    <x v="18"/>
    <x v="18"/>
    <x v="8"/>
    <s v="SP"/>
    <n v="1793264"/>
    <n v="20251120"/>
  </r>
  <r>
    <s v="20.11.2025"/>
    <x v="4"/>
    <n v="50"/>
    <n v="-100000"/>
    <s v="IDR"/>
    <n v="-100000"/>
    <s v="IDR"/>
    <m/>
    <m/>
    <m/>
    <s v="R124"/>
    <s v="969/PPC/XI/2025"/>
    <s v="ADMIN &amp; DOKUMEN EKSPOR"/>
    <s v="BY HC DINKES POLIVA ETP 2411778229"/>
    <x v="18"/>
    <x v="18"/>
    <x v="8"/>
    <s v="SP"/>
    <n v="1793264"/>
    <n v="20251120"/>
  </r>
  <r>
    <s v="20.11.2025"/>
    <x v="4"/>
    <n v="50"/>
    <n v="-100000"/>
    <s v="IDR"/>
    <n v="-100000"/>
    <s v="IDR"/>
    <m/>
    <m/>
    <m/>
    <s v="R124"/>
    <s v="969/PPC/XI/2025"/>
    <s v="ADMIN &amp; DOKUMEN EKSPOR"/>
    <s v="BY HC DINKES POLIVA ETP 2411778091"/>
    <x v="18"/>
    <x v="18"/>
    <x v="8"/>
    <s v="SP"/>
    <n v="1793264"/>
    <n v="20251120"/>
  </r>
  <r>
    <s v="20.11.2025"/>
    <x v="4"/>
    <n v="50"/>
    <n v="-200000"/>
    <s v="IDR"/>
    <n v="-200000"/>
    <s v="IDR"/>
    <m/>
    <m/>
    <m/>
    <s v="R124"/>
    <s v="969/PPC/XI/2025"/>
    <s v="ADMIN &amp; DOKUMEN EKSPOR"/>
    <s v="BY COO KADIN NESTLE BANGLADESH ETP 2411778257"/>
    <x v="18"/>
    <x v="18"/>
    <x v="8"/>
    <s v="SP"/>
    <n v="1793264"/>
    <n v="20251120"/>
  </r>
  <r>
    <s v="20.11.2025"/>
    <x v="4"/>
    <n v="50"/>
    <n v="-350000"/>
    <s v="IDR"/>
    <n v="-350000"/>
    <s v="IDR"/>
    <m/>
    <m/>
    <m/>
    <s v="R124"/>
    <s v="985/PPC/XI/2025"/>
    <s v="OLAHRAGA DAN PERMAINAN"/>
    <s v="BY OLAHRAGA 17/11/2025"/>
    <x v="0"/>
    <x v="0"/>
    <x v="0"/>
    <s v="SP"/>
    <n v="1793264"/>
    <n v="20251120"/>
  </r>
  <r>
    <s v="20.11.2025"/>
    <x v="4"/>
    <n v="50"/>
    <n v="-119000"/>
    <s v="IDR"/>
    <n v="-119000"/>
    <s v="IDR"/>
    <m/>
    <m/>
    <m/>
    <s v="R124"/>
    <s v="976/PPC/XI/2025"/>
    <s v="MAKANAN DAN MINUMAN"/>
    <s v="BY MKN MLM TEKNISI ALFA LAVAL"/>
    <x v="7"/>
    <x v="7"/>
    <x v="27"/>
    <s v="SP"/>
    <n v="1793264"/>
    <n v="20251120"/>
  </r>
  <r>
    <s v="20.11.2025"/>
    <x v="4"/>
    <n v="50"/>
    <n v="-80000"/>
    <s v="IDR"/>
    <n v="-80000"/>
    <s v="IDR"/>
    <m/>
    <m/>
    <m/>
    <s v="R124"/>
    <s v="976/PPC/XI/2025"/>
    <s v="PBAIKN&amp;PRAWATN PRABT MATR"/>
    <s v="BY PEMB CONNECTOR SELANG SQUEEZING"/>
    <x v="3"/>
    <x v="3"/>
    <x v="12"/>
    <s v="SP"/>
    <n v="1793264"/>
    <n v="20251120"/>
  </r>
  <r>
    <s v="20.11.2025"/>
    <x v="4"/>
    <n v="50"/>
    <n v="-800000"/>
    <s v="IDR"/>
    <n v="-800000"/>
    <s v="IDR"/>
    <m/>
    <m/>
    <m/>
    <s v="R124"/>
    <s v="987/PPC/XI/2025"/>
    <s v="BAHAN BAKAR"/>
    <s v="BY TRANSPORTASI BBM 17/11/2025"/>
    <x v="6"/>
    <x v="6"/>
    <x v="9"/>
    <s v="SP"/>
    <n v="1793264"/>
    <n v="20251120"/>
  </r>
  <r>
    <s v="20.11.2025"/>
    <x v="4"/>
    <n v="50"/>
    <n v="-200000"/>
    <s v="IDR"/>
    <n v="-200000"/>
    <s v="IDR"/>
    <m/>
    <m/>
    <m/>
    <s v="R124"/>
    <s v="987/PPC/XI/2025"/>
    <s v="TRANSPORTASI LOKAL"/>
    <s v="BY TRANSPORTASI PARKIR TOL"/>
    <x v="5"/>
    <x v="5"/>
    <x v="9"/>
    <s v="SP"/>
    <n v="1793264"/>
    <n v="20251120"/>
  </r>
  <r>
    <s v="20.11.2025"/>
    <x v="4"/>
    <n v="50"/>
    <n v="-500000"/>
    <s v="IDR"/>
    <n v="-500000"/>
    <s v="IDR"/>
    <m/>
    <m/>
    <m/>
    <s v="R124"/>
    <s v="992/PPC/XI/2025"/>
    <s v="MAKANAN DAN MINUMAN"/>
    <s v="BY KONSUMSI SC MEETING 18/11/2025"/>
    <x v="7"/>
    <x v="7"/>
    <x v="22"/>
    <s v="SP"/>
    <n v="1793264"/>
    <n v="20251120"/>
  </r>
  <r>
    <s v="20.11.2025"/>
    <x v="4"/>
    <n v="50"/>
    <n v="-50000"/>
    <s v="IDR"/>
    <n v="-50000"/>
    <s v="IDR"/>
    <m/>
    <m/>
    <m/>
    <s v="R124"/>
    <s v="993/PPC/XI/2025"/>
    <s v="PBAIKN&amp;PRAWATN PRABT MATR"/>
    <s v="BY PEMB BATERAI ALAT GDA PPKK"/>
    <x v="3"/>
    <x v="3"/>
    <x v="16"/>
    <s v="SP"/>
    <n v="1793264"/>
    <n v="20251120"/>
  </r>
  <r>
    <s v="20.11.2025"/>
    <x v="4"/>
    <n v="50"/>
    <n v="-543200"/>
    <s v="IDR"/>
    <n v="-543200"/>
    <s v="IDR"/>
    <m/>
    <m/>
    <m/>
    <s v="R124"/>
    <s v="994/PPC/XI/2025"/>
    <s v="PERALATAN KANTOR"/>
    <s v="BY PEMB HEADSET LOGITECH"/>
    <x v="16"/>
    <x v="16"/>
    <x v="24"/>
    <s v="SP"/>
    <n v="1793264"/>
    <n v="20251120"/>
  </r>
  <r>
    <s v="20.11.2025"/>
    <x v="4"/>
    <n v="50"/>
    <n v="-550000"/>
    <s v="IDR"/>
    <n v="-550000"/>
    <s v="IDR"/>
    <m/>
    <m/>
    <m/>
    <s v="R124"/>
    <s v="995/PPC/XI/2025"/>
    <s v="BAHAN BAKAR"/>
    <s v="BY TRANSPORTASI BBM 18-19/11/2025"/>
    <x v="6"/>
    <x v="6"/>
    <x v="9"/>
    <s v="SP"/>
    <n v="1793264"/>
    <n v="20251120"/>
  </r>
  <r>
    <s v="20.11.2025"/>
    <x v="4"/>
    <n v="50"/>
    <n v="-450000"/>
    <s v="IDR"/>
    <n v="-450000"/>
    <s v="IDR"/>
    <m/>
    <m/>
    <m/>
    <s v="R124"/>
    <s v="995/PPC/XI/2025"/>
    <s v="TRANSPORTASI LOKAL"/>
    <s v="BY TRANSPORTASI PARKIR TOL"/>
    <x v="5"/>
    <x v="5"/>
    <x v="9"/>
    <s v="SP"/>
    <n v="1793264"/>
    <n v="20251120"/>
  </r>
  <r>
    <s v="20.11.2025"/>
    <x v="4"/>
    <n v="50"/>
    <n v="-430000"/>
    <s v="IDR"/>
    <n v="-430000"/>
    <s v="IDR"/>
    <m/>
    <m/>
    <m/>
    <s v="R124"/>
    <s v="996/PPC/XI/2025"/>
    <s v="PBAIKN&amp;PRAWATN PRABT MATR"/>
    <s v="BY PEMB ALAT CLOSET TOTO OFFICE LT.2"/>
    <x v="3"/>
    <x v="3"/>
    <x v="9"/>
    <s v="SP"/>
    <n v="1793264"/>
    <n v="20251120"/>
  </r>
  <r>
    <s v="20.11.2025"/>
    <x v="4"/>
    <n v="50"/>
    <n v="-996100"/>
    <s v="IDR"/>
    <n v="-996100"/>
    <s v="IDR"/>
    <m/>
    <m/>
    <m/>
    <s v="R124"/>
    <s v="997/PPC/XI/2025"/>
    <s v="PERALATAN KANTOR"/>
    <s v="BY PEMB MIC WIRELESS"/>
    <x v="16"/>
    <x v="16"/>
    <x v="9"/>
    <s v="SP"/>
    <n v="1793264"/>
    <n v="20251120"/>
  </r>
  <r>
    <s v="20.11.2025"/>
    <x v="4"/>
    <n v="50"/>
    <n v="-208000"/>
    <s v="IDR"/>
    <n v="-208000"/>
    <s v="IDR"/>
    <m/>
    <m/>
    <m/>
    <s v="R124"/>
    <s v="999/PPC/XI/2025"/>
    <s v="PEMEL.BNGAN&amp;PSARANA MATRL"/>
    <s v="BY PEMB KUAS ROLL, REFILL ROLL KECIL, CAT"/>
    <x v="8"/>
    <x v="8"/>
    <x v="29"/>
    <s v="SP"/>
    <n v="1793264"/>
    <n v="20251120"/>
  </r>
  <r>
    <s v="21.11.2025"/>
    <x v="4"/>
    <n v="50"/>
    <n v="-50000"/>
    <s v="IDR"/>
    <n v="-50000"/>
    <s v="IDR"/>
    <m/>
    <m/>
    <m/>
    <s v="R124"/>
    <s v="1000/PPC/XI/2025"/>
    <s v="ADMIN &amp; DOKUMEN EKSPOR"/>
    <s v="BY HC NESTLE EGYPT EBP 2411778242"/>
    <x v="18"/>
    <x v="18"/>
    <x v="1"/>
    <s v="SP"/>
    <n v="1793264"/>
    <n v="20251121"/>
  </r>
  <r>
    <s v="21.11.2025"/>
    <x v="4"/>
    <n v="50"/>
    <n v="-50000"/>
    <s v="IDR"/>
    <n v="-50000"/>
    <s v="IDR"/>
    <m/>
    <m/>
    <m/>
    <s v="R124"/>
    <s v="1001/PPC/XI/2025"/>
    <s v="ADMIN &amp; DOKUMEN EKSPOR"/>
    <s v="BY HC GUANGDONG SHENGRONG EBP 2411778328"/>
    <x v="18"/>
    <x v="18"/>
    <x v="18"/>
    <s v="SP"/>
    <n v="1793264"/>
    <n v="20251121"/>
  </r>
  <r>
    <s v="21.11.2025"/>
    <x v="4"/>
    <n v="50"/>
    <n v="-50000"/>
    <s v="IDR"/>
    <n v="-50000"/>
    <s v="IDR"/>
    <m/>
    <m/>
    <m/>
    <s v="R124"/>
    <s v="1001/PPC/XI/2025"/>
    <s v="ADMIN &amp; DOKUMEN EKSPOR"/>
    <s v="BY HC HORGOS EBP 2411778149"/>
    <x v="18"/>
    <x v="18"/>
    <x v="1"/>
    <s v="SP"/>
    <n v="1793264"/>
    <n v="20251121"/>
  </r>
  <r>
    <s v="21.11.2025"/>
    <x v="4"/>
    <n v="50"/>
    <n v="-50000"/>
    <s v="IDR"/>
    <n v="-50000"/>
    <s v="IDR"/>
    <m/>
    <m/>
    <m/>
    <s v="R124"/>
    <s v="1001/PPC/XI/2025"/>
    <s v="ADMIN &amp; DOKUMEN EKSPOR"/>
    <s v="BY HC HORGOS EBP 2411778461"/>
    <x v="18"/>
    <x v="18"/>
    <x v="1"/>
    <s v="SP"/>
    <n v="1793264"/>
    <n v="20251121"/>
  </r>
  <r>
    <s v="21.11.2025"/>
    <x v="4"/>
    <n v="50"/>
    <n v="-50000"/>
    <s v="IDR"/>
    <n v="-50000"/>
    <s v="IDR"/>
    <m/>
    <m/>
    <m/>
    <s v="R124"/>
    <s v="1001/PPC/XI/2025"/>
    <s v="ADMIN &amp; DOKUMEN EKSPOR"/>
    <s v="BY HC HORGOS EBP 2411778322"/>
    <x v="18"/>
    <x v="18"/>
    <x v="1"/>
    <s v="SP"/>
    <n v="1793264"/>
    <n v="20251121"/>
  </r>
  <r>
    <s v="21.11.2025"/>
    <x v="4"/>
    <n v="50"/>
    <n v="-50000"/>
    <s v="IDR"/>
    <n v="-50000"/>
    <s v="IDR"/>
    <m/>
    <m/>
    <m/>
    <s v="R124"/>
    <s v="1001/PPC/XI/2025"/>
    <s v="ADMIN &amp; DOKUMEN EKSPOR"/>
    <s v="BY HC SUICHANGLONG EBP 2411778433"/>
    <x v="18"/>
    <x v="18"/>
    <x v="1"/>
    <s v="SP"/>
    <n v="1793264"/>
    <n v="20251121"/>
  </r>
  <r>
    <s v="21.11.2025"/>
    <x v="4"/>
    <n v="50"/>
    <n v="-50000"/>
    <s v="IDR"/>
    <n v="-50000"/>
    <s v="IDR"/>
    <m/>
    <m/>
    <m/>
    <s v="R124"/>
    <s v="1002/PPC/XI/2025"/>
    <s v="ADMIN &amp; DOKUMEN EKSPOR"/>
    <s v="BY HC GUANGDONG SHENGRONG EBP 2411778381"/>
    <x v="18"/>
    <x v="18"/>
    <x v="1"/>
    <s v="SP"/>
    <n v="1793264"/>
    <n v="20251121"/>
  </r>
  <r>
    <s v="21.11.2025"/>
    <x v="4"/>
    <n v="50"/>
    <n v="-50000"/>
    <s v="IDR"/>
    <n v="-50000"/>
    <s v="IDR"/>
    <m/>
    <m/>
    <m/>
    <s v="R124"/>
    <s v="1002/PPC/XI/2025"/>
    <s v="ADMIN &amp; DOKUMEN EKSPOR"/>
    <s v="BY HC SG OILSEED EBP 2411778308"/>
    <x v="18"/>
    <x v="18"/>
    <x v="1"/>
    <s v="SP"/>
    <n v="1793264"/>
    <n v="20251121"/>
  </r>
  <r>
    <s v="21.11.2025"/>
    <x v="4"/>
    <n v="50"/>
    <n v="-50000"/>
    <s v="IDR"/>
    <n v="-50000"/>
    <s v="IDR"/>
    <m/>
    <m/>
    <m/>
    <s v="R124"/>
    <s v="1002/PPC/XI/2025"/>
    <s v="ADMIN &amp; DOKUMEN EKSPOR"/>
    <s v="BY HC HORGOS EBP 2411778410"/>
    <x v="18"/>
    <x v="18"/>
    <x v="1"/>
    <s v="SP"/>
    <n v="1793264"/>
    <n v="20251121"/>
  </r>
  <r>
    <s v="21.11.2025"/>
    <x v="4"/>
    <n v="50"/>
    <n v="-50000"/>
    <s v="IDR"/>
    <n v="-50000"/>
    <s v="IDR"/>
    <m/>
    <m/>
    <m/>
    <s v="R124"/>
    <s v="1002/PPC/XI/2025"/>
    <s v="ADMIN &amp; DOKUMEN EKSPOR"/>
    <s v="BY HC GUANGDONG SHENGRONG EBP 2411778275"/>
    <x v="18"/>
    <x v="18"/>
    <x v="18"/>
    <s v="SP"/>
    <n v="1793264"/>
    <n v="20251121"/>
  </r>
  <r>
    <s v="21.11.2025"/>
    <x v="4"/>
    <n v="50"/>
    <n v="-50000"/>
    <s v="IDR"/>
    <n v="-50000"/>
    <s v="IDR"/>
    <m/>
    <m/>
    <m/>
    <s v="R124"/>
    <s v="1002/PPC/XI/2025"/>
    <s v="ADMIN &amp; DOKUMEN EKSPOR"/>
    <s v="BY HC HORGOS EBP 2411778015"/>
    <x v="18"/>
    <x v="18"/>
    <x v="1"/>
    <s v="SP"/>
    <n v="1793264"/>
    <n v="20251121"/>
  </r>
  <r>
    <s v="21.11.2025"/>
    <x v="4"/>
    <n v="50"/>
    <n v="-50000"/>
    <s v="IDR"/>
    <n v="-50000"/>
    <s v="IDR"/>
    <m/>
    <m/>
    <m/>
    <s v="R124"/>
    <s v="1002/PPC/XI/2025"/>
    <s v="ADMIN &amp; DOKUMEN EKSPOR"/>
    <s v="BY HC SG OILSEED EBP 2411778277"/>
    <x v="18"/>
    <x v="18"/>
    <x v="1"/>
    <s v="SP"/>
    <n v="1793264"/>
    <n v="20251121"/>
  </r>
  <r>
    <s v="21.11.2025"/>
    <x v="4"/>
    <n v="50"/>
    <n v="-50000"/>
    <s v="IDR"/>
    <n v="-50000"/>
    <s v="IDR"/>
    <m/>
    <m/>
    <m/>
    <s v="R124"/>
    <s v="1002/PPC/XI/2025"/>
    <s v="ADMIN &amp; DOKUMEN EKSPOR"/>
    <s v="BY HC HORGOS EBP 2411778015"/>
    <x v="18"/>
    <x v="18"/>
    <x v="1"/>
    <s v="SP"/>
    <n v="1793264"/>
    <n v="20251121"/>
  </r>
  <r>
    <s v="24.11.2025"/>
    <x v="4"/>
    <n v="50"/>
    <n v="-50000"/>
    <s v="IDR"/>
    <n v="-50000"/>
    <s v="IDR"/>
    <m/>
    <m/>
    <m/>
    <s v="R124"/>
    <s v="998/PPC/XI/2025"/>
    <s v="ADMIN &amp; DOKUMEN EKSPOR"/>
    <s v="BY HC SG OILSEED EBP 2411778307"/>
    <x v="18"/>
    <x v="18"/>
    <x v="1"/>
    <s v="SP"/>
    <n v="1793264"/>
    <n v="20251124"/>
  </r>
  <r>
    <s v="24.11.2025"/>
    <x v="4"/>
    <n v="50"/>
    <n v="-50000"/>
    <s v="IDR"/>
    <n v="-50000"/>
    <s v="IDR"/>
    <m/>
    <m/>
    <m/>
    <s v="R124"/>
    <s v="998/PPC/XI/2025"/>
    <s v="ADMIN &amp; DOKUMEN EKSPOR"/>
    <s v="BY HC SUICHANGLONG EBP 2411778382"/>
    <x v="18"/>
    <x v="18"/>
    <x v="18"/>
    <s v="SP"/>
    <n v="1793264"/>
    <n v="20251124"/>
  </r>
  <r>
    <s v="24.11.2025"/>
    <x v="4"/>
    <n v="50"/>
    <n v="-50000"/>
    <s v="IDR"/>
    <n v="-50000"/>
    <s v="IDR"/>
    <m/>
    <m/>
    <m/>
    <s v="R124"/>
    <s v="998/PPC/XI/2025"/>
    <s v="ADMIN &amp; DOKUMEN EKSPOR"/>
    <s v="BY HC HORGOS EBP 2411778411"/>
    <x v="18"/>
    <x v="18"/>
    <x v="1"/>
    <s v="SP"/>
    <n v="1793264"/>
    <n v="20251124"/>
  </r>
  <r>
    <s v="24.11.2025"/>
    <x v="4"/>
    <n v="50"/>
    <n v="-50000"/>
    <s v="IDR"/>
    <n v="-50000"/>
    <s v="IDR"/>
    <m/>
    <m/>
    <m/>
    <s v="R124"/>
    <s v="998/PPC/XI/2025"/>
    <s v="ADMIN &amp; DOKUMEN EKSPOR"/>
    <s v="BY HC SABEANAT EBP 2411778415"/>
    <x v="18"/>
    <x v="18"/>
    <x v="1"/>
    <s v="SP"/>
    <n v="1793264"/>
    <n v="20251124"/>
  </r>
  <r>
    <s v="24.11.2025"/>
    <x v="4"/>
    <n v="50"/>
    <n v="-50000"/>
    <s v="IDR"/>
    <n v="-50000"/>
    <s v="IDR"/>
    <m/>
    <m/>
    <m/>
    <s v="R124"/>
    <s v="998/PPC/XI/2025"/>
    <s v="ADMIN &amp; DOKUMEN EKSPOR"/>
    <s v="BY HC SABEANAT EBP 2411778419"/>
    <x v="18"/>
    <x v="18"/>
    <x v="1"/>
    <s v="SP"/>
    <n v="1793264"/>
    <n v="20251124"/>
  </r>
  <r>
    <s v="24.11.2025"/>
    <x v="4"/>
    <n v="50"/>
    <n v="-50000"/>
    <s v="IDR"/>
    <n v="-50000"/>
    <s v="IDR"/>
    <m/>
    <m/>
    <m/>
    <s v="R124"/>
    <s v="998/PPC/XI/2025"/>
    <s v="ADMIN &amp; DOKUMEN EKSPOR"/>
    <s v="BY HC SABEANAT EBP 2411778420"/>
    <x v="18"/>
    <x v="18"/>
    <x v="2"/>
    <s v="SP"/>
    <n v="1793264"/>
    <n v="20251124"/>
  </r>
  <r>
    <s v="24.11.2025"/>
    <x v="4"/>
    <n v="50"/>
    <n v="-591120"/>
    <s v="IDR"/>
    <n v="-591120"/>
    <s v="IDR"/>
    <m/>
    <m/>
    <m/>
    <s v="R124"/>
    <s v="960/PPC/XI/2025"/>
    <s v="PEMEL.KEND&amp;A.BERAT MATRL"/>
    <s v="BY PEMB SEAL, RING SPRING, MUR BAUT"/>
    <x v="2"/>
    <x v="2"/>
    <x v="4"/>
    <s v="SP"/>
    <n v="1793264"/>
    <n v="20251124"/>
  </r>
  <r>
    <s v="24.11.2025"/>
    <x v="4"/>
    <n v="50"/>
    <n v="-162060"/>
    <s v="IDR"/>
    <n v="-162060"/>
    <s v="IDR"/>
    <m/>
    <m/>
    <m/>
    <s v="R124"/>
    <s v="960/PPC/XI/2025"/>
    <s v="UANG MUKA BIAYA"/>
    <s v="BY ORING LIMPAH MAS FP 04002500357809175"/>
    <x v="19"/>
    <x v="19"/>
    <x v="25"/>
    <s v="SP"/>
    <n v="1793264"/>
    <n v="20251124"/>
  </r>
  <r>
    <s v="24.11.2025"/>
    <x v="4"/>
    <n v="50"/>
    <n v="-530000"/>
    <s v="IDR"/>
    <n v="-530000"/>
    <s v="IDR"/>
    <m/>
    <m/>
    <m/>
    <s v="R124"/>
    <s v="934/PPC/XI/2025"/>
    <s v="PEMEL.KEND&amp;A.BERAT MATRL"/>
    <s v="BY PEMB EPE, EPC"/>
    <x v="2"/>
    <x v="2"/>
    <x v="20"/>
    <s v="SP"/>
    <n v="1793264"/>
    <n v="20251124"/>
  </r>
  <r>
    <s v="24.11.2025"/>
    <x v="4"/>
    <n v="50"/>
    <n v="-466200"/>
    <s v="IDR"/>
    <n v="-466200"/>
    <s v="IDR"/>
    <m/>
    <m/>
    <m/>
    <s v="R124"/>
    <s v="934/PPC/XI/2025"/>
    <s v="UANG MUKA BIAYA"/>
    <s v="BY AIR FILTER R ABIE PRIMA FP:04012500358906960"/>
    <x v="19"/>
    <x v="19"/>
    <x v="25"/>
    <s v="SP"/>
    <n v="1793264"/>
    <n v="20251124"/>
  </r>
  <r>
    <s v="24.11.2025"/>
    <x v="4"/>
    <n v="50"/>
    <n v="-263450"/>
    <s v="IDR"/>
    <n v="-263450"/>
    <s v="IDR"/>
    <m/>
    <m/>
    <m/>
    <s v="R124"/>
    <s v="955/PPC/XI/2025"/>
    <s v="MAKANAN DAN MINUMAN"/>
    <s v="BY MKN TEKNISI ALVA LAFAL 29/10/2025"/>
    <x v="7"/>
    <x v="7"/>
    <x v="31"/>
    <s v="SP"/>
    <n v="1793264"/>
    <n v="20251124"/>
  </r>
  <r>
    <s v="24.11.2025"/>
    <x v="4"/>
    <n v="50"/>
    <n v="-666000"/>
    <s v="IDR"/>
    <n v="-666000"/>
    <s v="IDR"/>
    <m/>
    <m/>
    <m/>
    <s v="R124"/>
    <s v="955/PPC/XI/2025"/>
    <s v="UANG MUKA BIAYA"/>
    <s v="BY REG. PNEUMATIC ABIE PRIMA FP 04002500361771296"/>
    <x v="19"/>
    <x v="19"/>
    <x v="25"/>
    <s v="SP"/>
    <n v="1793264"/>
    <n v="20251124"/>
  </r>
  <r>
    <s v="24.11.2025"/>
    <x v="4"/>
    <n v="50"/>
    <n v="-417360"/>
    <s v="IDR"/>
    <n v="-417360"/>
    <s v="IDR"/>
    <m/>
    <m/>
    <m/>
    <s v="R124"/>
    <s v="956/PPC/XI/2025"/>
    <s v="UANG MUKA BIAYA"/>
    <s v="BY POWER SUPPLY LIMA LIMA D FP 04002500358024575"/>
    <x v="19"/>
    <x v="19"/>
    <x v="25"/>
    <s v="SP"/>
    <n v="1793264"/>
    <n v="20251124"/>
  </r>
  <r>
    <s v="24.11.2025"/>
    <x v="4"/>
    <n v="50"/>
    <n v="-344907"/>
    <s v="IDR"/>
    <n v="-344907"/>
    <s v="IDR"/>
    <m/>
    <m/>
    <m/>
    <s v="R124"/>
    <s v="970/PPC/XI/2025"/>
    <s v="UANG MUKA BIAYA"/>
    <s v="BY BEA MASUK SAMPLE BIROTIKA FP 04002500363620176"/>
    <x v="19"/>
    <x v="19"/>
    <x v="25"/>
    <s v="SP"/>
    <n v="1793264"/>
    <n v="20251124"/>
  </r>
  <r>
    <s v="24.11.2025"/>
    <x v="4"/>
    <n v="50"/>
    <n v="-220500"/>
    <s v="IDR"/>
    <n v="-220500"/>
    <s v="IDR"/>
    <m/>
    <m/>
    <m/>
    <s v="R124"/>
    <s v="1004/PPC/XI/2025"/>
    <s v="UANG MUKA BIAYA"/>
    <s v="BY MEDICAL CHECK UP A.N YOSSY D E-TIRTA M - PPh 23"/>
    <x v="19"/>
    <x v="19"/>
    <x v="25"/>
    <s v="SP"/>
    <n v="1793264"/>
    <n v="20251124"/>
  </r>
  <r>
    <s v="24.11.2025"/>
    <x v="4"/>
    <n v="40"/>
    <n v="31093973"/>
    <s v="IDR"/>
    <n v="31093973"/>
    <s v="IDR"/>
    <m/>
    <m/>
    <m/>
    <s v="R124"/>
    <m/>
    <s v="BANK IN TRANSIT"/>
    <s v="PETTY CASH RUNGKUT SURABAYA PERIODE 10-24 NOV 25"/>
    <x v="13"/>
    <x v="13"/>
    <x v="19"/>
    <s v="SP"/>
    <n v="1793264"/>
    <n v="20251124"/>
  </r>
  <r>
    <s v="02.12.2025"/>
    <x v="5"/>
    <n v="50"/>
    <n v="-1000000"/>
    <s v="IDR"/>
    <n v="-1000000"/>
    <s v="IDR"/>
    <m/>
    <m/>
    <m/>
    <s v="R124"/>
    <s v="988/PPC/XI/2025"/>
    <s v="PEMEL.KEND&amp;A.BERAT MATRL"/>
    <s v="BY PEMB NEEDLE VALVE HPB"/>
    <x v="2"/>
    <x v="2"/>
    <x v="20"/>
    <s v="SP"/>
    <n v="1880288"/>
    <n v="20251202"/>
  </r>
  <r>
    <s v="02.12.2025"/>
    <x v="5"/>
    <n v="50"/>
    <n v="-800000"/>
    <s v="IDR"/>
    <n v="-800000"/>
    <s v="IDR"/>
    <m/>
    <m/>
    <m/>
    <s v="R124"/>
    <s v="990/PPC/XI/2025"/>
    <s v="PEMEL.KEND&amp;A.BERAT MATRL"/>
    <s v="BY PEMB DOUBLE UNION SUS"/>
    <x v="2"/>
    <x v="2"/>
    <x v="31"/>
    <s v="SP"/>
    <n v="1880288"/>
    <n v="20251202"/>
  </r>
  <r>
    <s v="02.12.2025"/>
    <x v="5"/>
    <n v="50"/>
    <n v="-670000"/>
    <s v="IDR"/>
    <n v="-670000"/>
    <s v="IDR"/>
    <m/>
    <m/>
    <m/>
    <s v="R124"/>
    <s v="1005/PPC/XI/2025"/>
    <s v="PELATIHAN INTERNAL-KANTOR"/>
    <s v="BY KONSUMSI TRAINING BMDP MFG 26 BGD 14,21/11/2025"/>
    <x v="22"/>
    <x v="22"/>
    <x v="33"/>
    <s v="SP"/>
    <n v="1880288"/>
    <n v="20251202"/>
  </r>
  <r>
    <s v="03.12.2025"/>
    <x v="5"/>
    <n v="50"/>
    <n v="-340500"/>
    <s v="IDR"/>
    <n v="-340500"/>
    <s v="IDR"/>
    <m/>
    <m/>
    <m/>
    <s v="R124"/>
    <s v="1006/PPC/XI/2025"/>
    <s v="MAKANAN DAN MINUMAN"/>
    <s v="BY KONSUMSI TRAINING SERTIFIKASI PETUGAS K3 KIMIA"/>
    <x v="7"/>
    <x v="7"/>
    <x v="0"/>
    <s v="SP"/>
    <n v="1880288"/>
    <n v="20251203"/>
  </r>
  <r>
    <s v="03.12.2025"/>
    <x v="5"/>
    <n v="50"/>
    <n v="-277000"/>
    <s v="IDR"/>
    <n v="-277000"/>
    <s v="IDR"/>
    <m/>
    <m/>
    <m/>
    <s v="R124"/>
    <s v="991/PPC/XI/2025"/>
    <s v="MAKANAN DAN MINUMAN"/>
    <s v="BY MKN TEKNISI ALVA LAFAL 19-21/11/2025"/>
    <x v="7"/>
    <x v="7"/>
    <x v="12"/>
    <s v="SP"/>
    <n v="1880288"/>
    <n v="20251203"/>
  </r>
  <r>
    <s v="03.12.2025"/>
    <x v="5"/>
    <n v="50"/>
    <n v="-21000"/>
    <s v="IDR"/>
    <n v="-21000"/>
    <s v="IDR"/>
    <m/>
    <m/>
    <m/>
    <s v="R124"/>
    <s v="991/PPC/XI/2025"/>
    <s v="PERALATAN KANTOR"/>
    <s v="BY PEMB SELOTIP FOAM, BUBBLE WRAP"/>
    <x v="16"/>
    <x v="16"/>
    <x v="12"/>
    <s v="SP"/>
    <n v="1880288"/>
    <n v="20251203"/>
  </r>
  <r>
    <s v="03.12.2025"/>
    <x v="5"/>
    <n v="50"/>
    <n v="-400000"/>
    <s v="IDR"/>
    <n v="-400000"/>
    <s v="IDR"/>
    <m/>
    <m/>
    <m/>
    <s v="R124"/>
    <s v="1003/PPC/XI/2025"/>
    <s v="OLAHRAGA DAN PERMAINAN"/>
    <s v="BY OLAHRAGA 21/11/2025"/>
    <x v="0"/>
    <x v="0"/>
    <x v="0"/>
    <s v="SP"/>
    <n v="1880288"/>
    <n v="20251203"/>
  </r>
  <r>
    <s v="03.12.2025"/>
    <x v="5"/>
    <n v="50"/>
    <n v="-850000"/>
    <s v="IDR"/>
    <n v="-850000"/>
    <s v="IDR"/>
    <m/>
    <m/>
    <m/>
    <s v="R124"/>
    <s v="1007/PPC/XI/2025"/>
    <s v="PEMEL.KEND&amp;A.BERAT MATRL"/>
    <s v="BY PEMB KAWAT TEMBAGA U/ MOTOR POMPA SLOPE TANK"/>
    <x v="2"/>
    <x v="2"/>
    <x v="12"/>
    <s v="SP"/>
    <n v="1880288"/>
    <n v="20251203"/>
  </r>
  <r>
    <s v="03.12.2025"/>
    <x v="5"/>
    <n v="50"/>
    <n v="-98016"/>
    <s v="IDR"/>
    <n v="-98016"/>
    <s v="IDR"/>
    <m/>
    <m/>
    <m/>
    <s v="R124"/>
    <s v="1008/PPC/XI/2025"/>
    <s v="PERALATAN KANTOR"/>
    <s v="BY PEMB STEMPEL QC"/>
    <x v="16"/>
    <x v="16"/>
    <x v="15"/>
    <s v="SP"/>
    <n v="1880288"/>
    <n v="20251203"/>
  </r>
  <r>
    <s v="03.12.2025"/>
    <x v="5"/>
    <n v="50"/>
    <n v="-669765"/>
    <s v="IDR"/>
    <n v="-669765"/>
    <s v="IDR"/>
    <m/>
    <m/>
    <m/>
    <s v="R124"/>
    <s v="1008/PPC/XI/2025"/>
    <s v="RISET/PENGEMBANGAN PRODUK"/>
    <s v="BY PEMB COOLER BOX U/ PRE SHIPMENT SAMPLE DANONE"/>
    <x v="9"/>
    <x v="9"/>
    <x v="15"/>
    <s v="SP"/>
    <n v="1880288"/>
    <n v="20251203"/>
  </r>
  <r>
    <s v="03.12.2025"/>
    <x v="5"/>
    <n v="50"/>
    <n v="-183500"/>
    <s v="IDR"/>
    <n v="-183500"/>
    <s v="IDR"/>
    <m/>
    <m/>
    <m/>
    <s v="R124"/>
    <s v="1008/PPC/XI/2025"/>
    <s v="RISET/PENGEMBANGAN PRODUK"/>
    <s v="BY ATCQ McD 19/11/2025"/>
    <x v="9"/>
    <x v="9"/>
    <x v="15"/>
    <s v="SP"/>
    <n v="1880288"/>
    <n v="20251203"/>
  </r>
  <r>
    <s v="03.12.2025"/>
    <x v="5"/>
    <n v="50"/>
    <n v="-190000"/>
    <s v="IDR"/>
    <n v="-190000"/>
    <s v="IDR"/>
    <m/>
    <m/>
    <m/>
    <s v="R124"/>
    <s v="1009/PPC/XI/2025"/>
    <s v="PBAIKN&amp;PRAWATN PRABT MATR"/>
    <s v="BY PEMB GEMBOK U/ BAK MAJUN"/>
    <x v="3"/>
    <x v="3"/>
    <x v="15"/>
    <s v="SP"/>
    <n v="1880288"/>
    <n v="20251203"/>
  </r>
  <r>
    <s v="03.12.2025"/>
    <x v="5"/>
    <n v="50"/>
    <n v="-235000"/>
    <s v="IDR"/>
    <n v="-235000"/>
    <s v="IDR"/>
    <m/>
    <m/>
    <m/>
    <s v="R124"/>
    <s v="1009/PPC/XI/2025"/>
    <s v="PERALATAN KANTOR"/>
    <s v="BY PEMB PAYUNG &amp; JAS HUJAN U/ HELPER"/>
    <x v="16"/>
    <x v="16"/>
    <x v="15"/>
    <s v="SP"/>
    <n v="1880288"/>
    <n v="20251203"/>
  </r>
  <r>
    <s v="03.12.2025"/>
    <x v="5"/>
    <n v="50"/>
    <n v="-61000"/>
    <s v="IDR"/>
    <n v="-61000"/>
    <s v="IDR"/>
    <m/>
    <m/>
    <m/>
    <s v="R124"/>
    <s v="1009/PPC/XI/2025"/>
    <s v="KIRIM DOKUMEN/SURAT"/>
    <s v="BY KIRIM SAMPLE"/>
    <x v="15"/>
    <x v="15"/>
    <x v="15"/>
    <s v="SP"/>
    <n v="1880288"/>
    <n v="20251203"/>
  </r>
  <r>
    <s v="03.12.2025"/>
    <x v="5"/>
    <n v="50"/>
    <n v="-471630"/>
    <s v="IDR"/>
    <n v="-471630"/>
    <s v="IDR"/>
    <m/>
    <m/>
    <m/>
    <s v="R124"/>
    <s v="1009/PPC/XI/2025"/>
    <s v="RISET/PENGEMBANGAN PRODUK"/>
    <s v="BY PEMB KARMANTEL STATIS, TALI SAMPLER, SPIRITUS"/>
    <x v="9"/>
    <x v="9"/>
    <x v="15"/>
    <s v="SP"/>
    <n v="1880288"/>
    <n v="20251203"/>
  </r>
  <r>
    <s v="03.12.2025"/>
    <x v="5"/>
    <n v="50"/>
    <n v="-851670"/>
    <s v="IDR"/>
    <n v="-851670"/>
    <s v="IDR"/>
    <m/>
    <m/>
    <m/>
    <s v="R124"/>
    <s v="1010/PPC/XI/2025"/>
    <s v="PBAIKN&amp;PRAWATN PRABT MATR"/>
    <s v="BY PEMB LOOP HANDLE POT U/ PENIMBANGAN BTP"/>
    <x v="3"/>
    <x v="3"/>
    <x v="15"/>
    <s v="SP"/>
    <n v="1880288"/>
    <n v="20251203"/>
  </r>
  <r>
    <s v="03.12.2025"/>
    <x v="5"/>
    <n v="50"/>
    <n v="-900000"/>
    <s v="IDR"/>
    <n v="-900000"/>
    <s v="IDR"/>
    <m/>
    <m/>
    <m/>
    <s v="R124"/>
    <s v="1011/PPC/XI/2025"/>
    <s v="BAHAN BAKAR"/>
    <s v="BY TRANSPORTASI BBM 19-21/11/2025"/>
    <x v="6"/>
    <x v="6"/>
    <x v="9"/>
    <s v="SP"/>
    <n v="1880288"/>
    <n v="20251203"/>
  </r>
  <r>
    <s v="03.12.2025"/>
    <x v="5"/>
    <n v="50"/>
    <n v="-100000"/>
    <s v="IDR"/>
    <n v="-100000"/>
    <s v="IDR"/>
    <m/>
    <m/>
    <m/>
    <s v="R124"/>
    <s v="1011/PPC/XI/2025"/>
    <s v="TRANSPORTASI LOKAL"/>
    <s v="BY TRANSPORTASI PARKIR TOL"/>
    <x v="5"/>
    <x v="5"/>
    <x v="9"/>
    <s v="SP"/>
    <n v="1880288"/>
    <n v="20251203"/>
  </r>
  <r>
    <s v="03.12.2025"/>
    <x v="5"/>
    <n v="50"/>
    <n v="-900000"/>
    <s v="IDR"/>
    <n v="-900000"/>
    <s v="IDR"/>
    <m/>
    <m/>
    <m/>
    <s v="R124"/>
    <s v="1012/PPC/XI/2025"/>
    <s v="BAHAN BAKAR"/>
    <s v="BY TRANSPORTASI BBM 21-24/11/2025"/>
    <x v="6"/>
    <x v="6"/>
    <x v="9"/>
    <s v="SP"/>
    <n v="1880288"/>
    <n v="20251203"/>
  </r>
  <r>
    <s v="03.12.2025"/>
    <x v="5"/>
    <n v="50"/>
    <n v="-100000"/>
    <s v="IDR"/>
    <n v="-100000"/>
    <s v="IDR"/>
    <m/>
    <m/>
    <m/>
    <s v="R124"/>
    <s v="1012/PPC/XI/2025"/>
    <s v="TRANSPORTASI LOKAL"/>
    <s v="BY TRANSPORTASI PARKIR TOL"/>
    <x v="5"/>
    <x v="5"/>
    <x v="9"/>
    <s v="SP"/>
    <n v="1880288"/>
    <n v="20251203"/>
  </r>
  <r>
    <s v="03.12.2025"/>
    <x v="5"/>
    <n v="50"/>
    <n v="-50000"/>
    <s v="IDR"/>
    <n v="-50000"/>
    <s v="IDR"/>
    <m/>
    <m/>
    <m/>
    <s v="R124"/>
    <s v="1013/PPC/XI/2025"/>
    <s v="MAKANAN DAN MINUMAN"/>
    <s v="BY MKN DNS PRK 22/11/2025 - 2 ORG"/>
    <x v="7"/>
    <x v="7"/>
    <x v="13"/>
    <s v="SP"/>
    <n v="1880288"/>
    <n v="20251203"/>
  </r>
  <r>
    <s v="03.12.2025"/>
    <x v="5"/>
    <n v="50"/>
    <n v="-650000"/>
    <s v="IDR"/>
    <n v="-650000"/>
    <s v="IDR"/>
    <m/>
    <m/>
    <m/>
    <s v="R124"/>
    <s v="1014/PPC/XI/2025"/>
    <s v="PEMEL.KEND&amp;A.BERAT MATRL"/>
    <s v="BY PEMB KAWAT TEMBAGA U/ MOTOR POMPA SLOPE TANK"/>
    <x v="2"/>
    <x v="2"/>
    <x v="12"/>
    <s v="SP"/>
    <n v="1880288"/>
    <n v="20251203"/>
  </r>
  <r>
    <s v="05.12.2025"/>
    <x v="5"/>
    <n v="50"/>
    <n v="-50000"/>
    <s v="IDR"/>
    <n v="-50000"/>
    <s v="IDR"/>
    <m/>
    <m/>
    <m/>
    <s v="R124"/>
    <s v="1017/PPC/XI/2025"/>
    <s v="ADMIN &amp; DOKUMEN EKSPOR"/>
    <s v="BY HC HORGOS EBP 2411778326"/>
    <x v="18"/>
    <x v="18"/>
    <x v="1"/>
    <s v="SP"/>
    <n v="1880288"/>
    <n v="20251205"/>
  </r>
  <r>
    <s v="05.12.2025"/>
    <x v="5"/>
    <n v="50"/>
    <n v="-50000"/>
    <s v="IDR"/>
    <n v="-50000"/>
    <s v="IDR"/>
    <m/>
    <m/>
    <m/>
    <s v="R124"/>
    <s v="1017/PPC/XI/2025"/>
    <s v="ADMIN &amp; DOKUMEN EKSPOR"/>
    <s v="BY HC SG OILSEED EBP 2411778516"/>
    <x v="18"/>
    <x v="18"/>
    <x v="1"/>
    <s v="SP"/>
    <n v="1880288"/>
    <n v="20251205"/>
  </r>
  <r>
    <s v="05.12.2025"/>
    <x v="5"/>
    <n v="50"/>
    <n v="-580000"/>
    <s v="IDR"/>
    <n v="-580000"/>
    <s v="IDR"/>
    <m/>
    <m/>
    <m/>
    <s v="R124"/>
    <s v="1019/PPC/XI/2025"/>
    <s v="BAHAN BAKAR"/>
    <s v="BY TRANSPORTASI BBM 24-26/11/2025"/>
    <x v="6"/>
    <x v="6"/>
    <x v="9"/>
    <s v="SP"/>
    <n v="1880288"/>
    <n v="20251205"/>
  </r>
  <r>
    <s v="05.12.2025"/>
    <x v="5"/>
    <n v="50"/>
    <n v="-420000"/>
    <s v="IDR"/>
    <n v="-420000"/>
    <s v="IDR"/>
    <m/>
    <m/>
    <m/>
    <s v="R124"/>
    <s v="1019/PPC/XI/2025"/>
    <s v="TRANSPORTASI LOKAL"/>
    <s v="BY TRANSPORTASI PARKIR TOL"/>
    <x v="5"/>
    <x v="5"/>
    <x v="9"/>
    <s v="SP"/>
    <n v="1880288"/>
    <n v="20251205"/>
  </r>
  <r>
    <s v="05.12.2025"/>
    <x v="5"/>
    <n v="50"/>
    <n v="-175000"/>
    <s v="IDR"/>
    <n v="-175000"/>
    <s v="IDR"/>
    <m/>
    <m/>
    <m/>
    <s v="R124"/>
    <s v="1021/PPC/XI/2025"/>
    <s v="MAKANAN DAN MINUMAN"/>
    <s v="BY KONSUMSI TRAINING BASIC OP. TEAM KOBEX"/>
    <x v="7"/>
    <x v="7"/>
    <x v="11"/>
    <s v="SP"/>
    <n v="1880288"/>
    <n v="20251205"/>
  </r>
  <r>
    <s v="05.12.2025"/>
    <x v="5"/>
    <n v="50"/>
    <n v="-201100"/>
    <s v="IDR"/>
    <n v="-201100"/>
    <s v="IDR"/>
    <m/>
    <m/>
    <m/>
    <s v="R124"/>
    <s v="1022/PPC/XI/2025"/>
    <s v="PBAIKN&amp;PRAWATN PRABT MATR"/>
    <s v="BY PEMB MOUSE WIRELESS, TP LINK BLUETOOTH USB"/>
    <x v="3"/>
    <x v="3"/>
    <x v="26"/>
    <s v="SP"/>
    <n v="1880288"/>
    <n v="20251205"/>
  </r>
  <r>
    <s v="05.12.2025"/>
    <x v="5"/>
    <n v="50"/>
    <n v="-215000"/>
    <s v="IDR"/>
    <n v="-215000"/>
    <s v="IDR"/>
    <m/>
    <m/>
    <m/>
    <s v="R124"/>
    <s v="1022/PPC/XI/2025"/>
    <s v="PEMEL.KEND&amp;A.BERAT MATRL"/>
    <s v="BY PEMB BEARING, COVER MOTOR BIB"/>
    <x v="2"/>
    <x v="2"/>
    <x v="26"/>
    <s v="SP"/>
    <n v="1880288"/>
    <n v="20251205"/>
  </r>
  <r>
    <s v="05.12.2025"/>
    <x v="5"/>
    <n v="50"/>
    <n v="-239480"/>
    <s v="IDR"/>
    <n v="-239480"/>
    <s v="IDR"/>
    <m/>
    <m/>
    <m/>
    <s v="R124"/>
    <s v="1023/PPC/XI/2025"/>
    <s v="OLAHRAGA DAN PERMAINAN"/>
    <s v="BY PEMB RESISTANCE BAND PILATES"/>
    <x v="0"/>
    <x v="0"/>
    <x v="0"/>
    <s v="SP"/>
    <n v="1880288"/>
    <n v="20251205"/>
  </r>
  <r>
    <s v="05.12.2025"/>
    <x v="5"/>
    <n v="50"/>
    <n v="-700000"/>
    <s v="IDR"/>
    <n v="-700000"/>
    <s v="IDR"/>
    <m/>
    <m/>
    <m/>
    <s v="R124"/>
    <s v="1024/PPC/XI/2025"/>
    <s v="BAHAN BAKAR"/>
    <s v="BY TRANSPORTASI BBM 26-27/11/2025"/>
    <x v="6"/>
    <x v="6"/>
    <x v="9"/>
    <s v="SP"/>
    <n v="1880288"/>
    <n v="20251205"/>
  </r>
  <r>
    <s v="05.12.2025"/>
    <x v="5"/>
    <n v="50"/>
    <n v="-300000"/>
    <s v="IDR"/>
    <n v="-300000"/>
    <s v="IDR"/>
    <m/>
    <m/>
    <m/>
    <s v="R124"/>
    <s v="1024/PPC/XI/2025"/>
    <s v="TRANSPORTASI LOKAL"/>
    <s v="BY TRANSPORTASI PARKIR TOL"/>
    <x v="5"/>
    <x v="5"/>
    <x v="9"/>
    <s v="SP"/>
    <n v="1880288"/>
    <n v="20251205"/>
  </r>
  <r>
    <s v="05.12.2025"/>
    <x v="5"/>
    <n v="50"/>
    <n v="-150000"/>
    <s v="IDR"/>
    <n v="-150000"/>
    <s v="IDR"/>
    <m/>
    <m/>
    <m/>
    <s v="R124"/>
    <s v="1025/PPC/XI/2025"/>
    <s v="BAHAN BAKAR"/>
    <s v="BY TRANSPORTASI BBM 27/11/2025"/>
    <x v="6"/>
    <x v="6"/>
    <x v="9"/>
    <s v="SP"/>
    <n v="1880288"/>
    <n v="20251205"/>
  </r>
  <r>
    <s v="05.12.2025"/>
    <x v="5"/>
    <n v="50"/>
    <n v="-850000"/>
    <s v="IDR"/>
    <n v="-850000"/>
    <s v="IDR"/>
    <m/>
    <m/>
    <m/>
    <s v="R124"/>
    <s v="1025/PPC/XI/2025"/>
    <s v="TRANSPORTASI LOKAL"/>
    <s v="BY TRANSPORTASI PARKIR TOL"/>
    <x v="5"/>
    <x v="5"/>
    <x v="9"/>
    <s v="SP"/>
    <n v="1880288"/>
    <n v="20251205"/>
  </r>
  <r>
    <s v="05.12.2025"/>
    <x v="5"/>
    <n v="50"/>
    <n v="-775080"/>
    <s v="IDR"/>
    <n v="-775080"/>
    <s v="IDR"/>
    <m/>
    <m/>
    <m/>
    <s v="R124"/>
    <s v="1026/PPC/XI/2025"/>
    <s v="PBAIKN&amp;PRAWATN PRABT MATR"/>
    <s v="BY LOOP HANDLE POT U/ MIXING AP LIQUID &amp;LECITHIN"/>
    <x v="3"/>
    <x v="3"/>
    <x v="29"/>
    <s v="SP"/>
    <n v="1880288"/>
    <n v="20251205"/>
  </r>
  <r>
    <s v="05.12.2025"/>
    <x v="5"/>
    <n v="50"/>
    <n v="-809460"/>
    <s v="IDR"/>
    <n v="-809460"/>
    <s v="IDR"/>
    <m/>
    <m/>
    <m/>
    <s v="R124"/>
    <s v="1027/PPC/XI/2025"/>
    <s v="PBAIKN&amp;PRAWATN PRABT MATR"/>
    <s v="BY LOOP HANDLE POT U/ MIXING PLA TOCO"/>
    <x v="3"/>
    <x v="3"/>
    <x v="6"/>
    <s v="SP"/>
    <n v="1880288"/>
    <n v="20251205"/>
  </r>
  <r>
    <s v="05.12.2025"/>
    <x v="5"/>
    <n v="50"/>
    <n v="-50000"/>
    <s v="IDR"/>
    <n v="-50000"/>
    <s v="IDR"/>
    <m/>
    <m/>
    <m/>
    <s v="R124"/>
    <s v="1015/PPC/XI/2025"/>
    <s v="ADMIN &amp; DOKUMEN EKSPOR"/>
    <s v="BY HC SUICHANGLONG EBP 2411778514"/>
    <x v="18"/>
    <x v="18"/>
    <x v="18"/>
    <s v="SP"/>
    <n v="1880288"/>
    <n v="20251205"/>
  </r>
  <r>
    <s v="05.12.2025"/>
    <x v="5"/>
    <n v="50"/>
    <n v="-50000"/>
    <s v="IDR"/>
    <n v="-50000"/>
    <s v="IDR"/>
    <m/>
    <m/>
    <m/>
    <s v="R124"/>
    <s v="1015/PPC/XI/2025"/>
    <s v="ADMIN &amp; DOKUMEN EKSPOR"/>
    <s v="BY HC GLOBAL TRANSIT EBP 2411778578"/>
    <x v="18"/>
    <x v="18"/>
    <x v="2"/>
    <s v="SP"/>
    <n v="1880288"/>
    <n v="20251205"/>
  </r>
  <r>
    <s v="05.12.2025"/>
    <x v="5"/>
    <n v="50"/>
    <n v="-50000"/>
    <s v="IDR"/>
    <n v="-50000"/>
    <s v="IDR"/>
    <m/>
    <m/>
    <m/>
    <s v="R124"/>
    <s v="1015/PPC/XI/2025"/>
    <s v="ADMIN &amp; DOKUMEN EKSPOR"/>
    <s v="BY HC GLOBAL TRANSIT EBP 2411778579"/>
    <x v="18"/>
    <x v="18"/>
    <x v="2"/>
    <s v="SP"/>
    <n v="1880288"/>
    <n v="20251205"/>
  </r>
  <r>
    <s v="05.12.2025"/>
    <x v="5"/>
    <n v="50"/>
    <n v="-50000"/>
    <s v="IDR"/>
    <n v="-50000"/>
    <s v="IDR"/>
    <m/>
    <m/>
    <m/>
    <s v="R124"/>
    <s v="1015/PPC/XI/2025"/>
    <s v="ADMIN &amp; DOKUMEN EKSPOR"/>
    <s v="BY HC FUJIAN NANAN EBP 2411778569"/>
    <x v="18"/>
    <x v="18"/>
    <x v="18"/>
    <s v="SP"/>
    <n v="1880288"/>
    <n v="20251205"/>
  </r>
  <r>
    <s v="05.12.2025"/>
    <x v="5"/>
    <n v="50"/>
    <n v="-50000"/>
    <s v="IDR"/>
    <n v="-50000"/>
    <s v="IDR"/>
    <m/>
    <m/>
    <m/>
    <s v="R124"/>
    <s v="1015/PPC/XI/2025"/>
    <s v="ADMIN &amp; DOKUMEN EKSPOR"/>
    <s v="BY HC NESTLE PAKISTAN ETP 2411778258"/>
    <x v="18"/>
    <x v="18"/>
    <x v="8"/>
    <s v="SP"/>
    <n v="1880288"/>
    <n v="20251205"/>
  </r>
  <r>
    <s v="05.12.2025"/>
    <x v="5"/>
    <n v="50"/>
    <n v="-50000"/>
    <s v="IDR"/>
    <n v="-50000"/>
    <s v="IDR"/>
    <m/>
    <m/>
    <m/>
    <s v="R124"/>
    <s v="1015/PPC/XI/2025"/>
    <s v="ADMIN &amp; DOKUMEN EKSPOR"/>
    <s v="BY HC NESTLE PAKISTAN ETP 2411778590"/>
    <x v="18"/>
    <x v="18"/>
    <x v="8"/>
    <s v="SP"/>
    <n v="1880288"/>
    <n v="20251205"/>
  </r>
  <r>
    <s v="05.12.2025"/>
    <x v="5"/>
    <n v="50"/>
    <n v="-100000"/>
    <s v="IDR"/>
    <n v="-100000"/>
    <s v="IDR"/>
    <m/>
    <m/>
    <m/>
    <s v="R124"/>
    <s v="1015/PPC/XI/2025"/>
    <s v="ADMIN &amp; DOKUMEN EKSPOR"/>
    <s v="BY HC DINKES POLIVA ETP 2411778243"/>
    <x v="18"/>
    <x v="18"/>
    <x v="8"/>
    <s v="SP"/>
    <n v="1880288"/>
    <n v="20251205"/>
  </r>
  <r>
    <s v="05.12.2025"/>
    <x v="5"/>
    <n v="50"/>
    <n v="-100000"/>
    <s v="IDR"/>
    <n v="-100000"/>
    <s v="IDR"/>
    <m/>
    <m/>
    <m/>
    <s v="R124"/>
    <s v="1015/PPC/XI/2025"/>
    <s v="ADMIN &amp; DOKUMEN EKSPOR"/>
    <s v="BY HC DINKES POLIVA ETP 2411778244"/>
    <x v="18"/>
    <x v="18"/>
    <x v="8"/>
    <s v="SP"/>
    <n v="1880288"/>
    <n v="20251205"/>
  </r>
  <r>
    <s v="05.12.2025"/>
    <x v="5"/>
    <n v="50"/>
    <n v="-961250"/>
    <s v="IDR"/>
    <n v="-961250"/>
    <s v="IDR"/>
    <m/>
    <m/>
    <m/>
    <s v="R124"/>
    <s v="1016/PPC/XI/2025"/>
    <s v="PEMEL.BNGAN&amp;PSARANA MATRL"/>
    <s v="BY PEMB PUPUK, BATU TAMAN, SANSIVERA, POT TANAMAN"/>
    <x v="8"/>
    <x v="8"/>
    <x v="9"/>
    <s v="SP"/>
    <n v="1880288"/>
    <n v="20251205"/>
  </r>
  <r>
    <s v="05.12.2025"/>
    <x v="5"/>
    <n v="50"/>
    <n v="-154000"/>
    <s v="IDR"/>
    <n v="-154000"/>
    <s v="IDR"/>
    <m/>
    <m/>
    <m/>
    <s v="R124"/>
    <s v="1029/PPC/XI/2025"/>
    <s v="TRANSPORTASI LOKAL"/>
    <s v="BY PARKIR SPD MTR L 2057 EK BAG. EKSP.22/10-26/11"/>
    <x v="5"/>
    <x v="5"/>
    <x v="1"/>
    <s v="SP"/>
    <n v="1880288"/>
    <n v="20251205"/>
  </r>
  <r>
    <s v="05.12.2025"/>
    <x v="5"/>
    <n v="50"/>
    <n v="-50000"/>
    <s v="IDR"/>
    <n v="-50000"/>
    <s v="IDR"/>
    <m/>
    <m/>
    <m/>
    <s v="R124"/>
    <s v="1028/PPC/XI/2025"/>
    <s v="ADMIN &amp; DOKUMEN EKSPOR"/>
    <s v="BY HC HORGOS EBP 2411778540"/>
    <x v="18"/>
    <x v="18"/>
    <x v="1"/>
    <s v="SP"/>
    <n v="1880288"/>
    <n v="20251205"/>
  </r>
  <r>
    <s v="05.12.2025"/>
    <x v="5"/>
    <n v="50"/>
    <n v="-50000"/>
    <s v="IDR"/>
    <n v="-50000"/>
    <s v="IDR"/>
    <m/>
    <m/>
    <m/>
    <s v="R124"/>
    <s v="1030/PPC/XI/2025"/>
    <s v="ADMIN &amp; DOKUMEN EKSPOR"/>
    <s v="BY HC SG OILSEED EBP 2411778517"/>
    <x v="18"/>
    <x v="18"/>
    <x v="1"/>
    <s v="SP"/>
    <n v="1880288"/>
    <n v="20251205"/>
  </r>
  <r>
    <s v="05.12.2025"/>
    <x v="5"/>
    <n v="50"/>
    <n v="-50000"/>
    <s v="IDR"/>
    <n v="-50000"/>
    <s v="IDR"/>
    <m/>
    <m/>
    <m/>
    <s v="R124"/>
    <s v="1030/PPC/XI/2025"/>
    <s v="ADMIN &amp; DOKUMEN EKSPOR"/>
    <s v="BY HC NESTLE GHANA ETP 2411778469"/>
    <x v="18"/>
    <x v="18"/>
    <x v="8"/>
    <s v="SP"/>
    <n v="1880288"/>
    <n v="20251205"/>
  </r>
  <r>
    <s v="05.12.2025"/>
    <x v="5"/>
    <n v="50"/>
    <n v="-50000"/>
    <s v="IDR"/>
    <n v="-50000"/>
    <s v="IDR"/>
    <m/>
    <m/>
    <m/>
    <s v="R124"/>
    <s v="1030/PPC/XI/2025"/>
    <s v="ADMIN &amp; DOKUMEN EKSPOR"/>
    <s v="BY HC NESTLE PNG ETP 2411778477"/>
    <x v="18"/>
    <x v="18"/>
    <x v="8"/>
    <s v="SP"/>
    <n v="1880288"/>
    <n v="20251205"/>
  </r>
  <r>
    <s v="05.12.2025"/>
    <x v="5"/>
    <n v="50"/>
    <n v="-50000"/>
    <s v="IDR"/>
    <n v="-50000"/>
    <s v="IDR"/>
    <m/>
    <m/>
    <m/>
    <s v="R124"/>
    <s v="1030/PPC/XI/2025"/>
    <s v="ADMIN &amp; DOKUMEN EKSPOR"/>
    <s v="BY HC NESTLE PNG ETP 2411778480"/>
    <x v="18"/>
    <x v="18"/>
    <x v="8"/>
    <s v="SP"/>
    <n v="1880288"/>
    <n v="20251205"/>
  </r>
  <r>
    <s v="05.12.2025"/>
    <x v="5"/>
    <n v="50"/>
    <n v="-50000"/>
    <s v="IDR"/>
    <n v="-50000"/>
    <s v="IDR"/>
    <m/>
    <m/>
    <m/>
    <s v="R124"/>
    <s v="1030/PPC/XI/2025"/>
    <s v="ADMIN &amp; DOKUMEN EKSPOR"/>
    <s v="BY HC NESTLE PNG ETP 2411778470"/>
    <x v="18"/>
    <x v="18"/>
    <x v="8"/>
    <s v="SP"/>
    <n v="1880288"/>
    <n v="20251205"/>
  </r>
  <r>
    <s v="05.12.2025"/>
    <x v="5"/>
    <n v="50"/>
    <n v="-50000"/>
    <s v="IDR"/>
    <n v="-50000"/>
    <s v="IDR"/>
    <m/>
    <m/>
    <m/>
    <s v="R124"/>
    <s v="1030/PPC/XI/2025"/>
    <s v="ADMIN &amp; DOKUMEN EKSPOR"/>
    <s v="BY HC NESTLE AUSTRALIA ETP 2411778486"/>
    <x v="18"/>
    <x v="18"/>
    <x v="8"/>
    <s v="SP"/>
    <n v="1880288"/>
    <n v="20251205"/>
  </r>
  <r>
    <s v="05.12.2025"/>
    <x v="5"/>
    <n v="50"/>
    <n v="-50000"/>
    <s v="IDR"/>
    <n v="-50000"/>
    <s v="IDR"/>
    <m/>
    <m/>
    <m/>
    <s v="R124"/>
    <s v="1030/PPC/XI/2025"/>
    <s v="ADMIN &amp; DOKUMEN EKSPOR"/>
    <s v="BY HC NESTLE AUSTRALIA ETP 2411778594"/>
    <x v="18"/>
    <x v="18"/>
    <x v="8"/>
    <s v="SP"/>
    <n v="1880288"/>
    <n v="20251205"/>
  </r>
  <r>
    <s v="05.12.2025"/>
    <x v="5"/>
    <n v="50"/>
    <n v="-50000"/>
    <s v="IDR"/>
    <n v="-50000"/>
    <s v="IDR"/>
    <m/>
    <m/>
    <m/>
    <s v="R124"/>
    <s v="1030/PPC/XI/2025"/>
    <s v="ADMIN &amp; DOKUMEN EKSPOR"/>
    <s v="BY HC GLOBAL TRANSIT EBP 2411778581"/>
    <x v="18"/>
    <x v="18"/>
    <x v="2"/>
    <s v="SP"/>
    <n v="1880288"/>
    <n v="20251205"/>
  </r>
  <r>
    <s v="05.12.2025"/>
    <x v="5"/>
    <n v="50"/>
    <n v="-50000"/>
    <s v="IDR"/>
    <n v="-50000"/>
    <s v="IDR"/>
    <m/>
    <m/>
    <m/>
    <s v="R124"/>
    <s v="1030/PPC/XI/2025"/>
    <s v="ADMIN &amp; DOKUMEN EKSPOR"/>
    <s v="BY HC GLOBAL TRANSIT EBP 2411778576"/>
    <x v="18"/>
    <x v="18"/>
    <x v="2"/>
    <s v="SP"/>
    <n v="1880288"/>
    <n v="20251205"/>
  </r>
  <r>
    <s v="05.12.2025"/>
    <x v="5"/>
    <n v="50"/>
    <n v="-50000"/>
    <s v="IDR"/>
    <n v="-50000"/>
    <s v="IDR"/>
    <m/>
    <m/>
    <m/>
    <s v="R124"/>
    <s v="1030/PPC/XI/2025"/>
    <s v="ADMIN &amp; DOKUMEN EKSPOR"/>
    <s v="BY HC GLOBAL TRANSIT EBP 2411778577"/>
    <x v="18"/>
    <x v="18"/>
    <x v="2"/>
    <s v="SP"/>
    <n v="1880288"/>
    <n v="20251205"/>
  </r>
  <r>
    <s v="05.12.2025"/>
    <x v="5"/>
    <n v="50"/>
    <n v="-18000"/>
    <s v="IDR"/>
    <n v="-18000"/>
    <s v="IDR"/>
    <m/>
    <m/>
    <m/>
    <s v="R124"/>
    <s v="1030/PPC/XI/2025"/>
    <s v="ADMIN &amp; DOKUMEN EKSPOR"/>
    <s v="BY LEVY &amp; BK SAMPLE RBDOLN"/>
    <x v="18"/>
    <x v="18"/>
    <x v="8"/>
    <s v="SP"/>
    <n v="1880288"/>
    <n v="20251205"/>
  </r>
  <r>
    <s v="05.12.2025"/>
    <x v="5"/>
    <n v="50"/>
    <n v="-50000"/>
    <s v="IDR"/>
    <n v="-50000"/>
    <s v="IDR"/>
    <m/>
    <m/>
    <m/>
    <s v="R124"/>
    <s v="1031/PPC/XI/2025"/>
    <s v="ADMIN &amp; DOKUMEN EKSPOR"/>
    <s v="BY HC GUANGDONG SHENGRONG EBP 2411778318"/>
    <x v="18"/>
    <x v="18"/>
    <x v="1"/>
    <s v="SP"/>
    <n v="1880288"/>
    <n v="20251205"/>
  </r>
  <r>
    <s v="05.12.2025"/>
    <x v="5"/>
    <n v="50"/>
    <n v="-50000"/>
    <s v="IDR"/>
    <n v="-50000"/>
    <s v="IDR"/>
    <m/>
    <m/>
    <m/>
    <s v="R124"/>
    <s v="1031/PPC/XI/2025"/>
    <s v="ADMIN &amp; DOKUMEN EKSPOR"/>
    <s v="BY HC HORGOS EBP 2411778520"/>
    <x v="18"/>
    <x v="18"/>
    <x v="1"/>
    <s v="SP"/>
    <n v="1880288"/>
    <n v="20251205"/>
  </r>
  <r>
    <s v="05.12.2025"/>
    <x v="5"/>
    <n v="50"/>
    <n v="-50000"/>
    <s v="IDR"/>
    <n v="-50000"/>
    <s v="IDR"/>
    <m/>
    <m/>
    <m/>
    <s v="R124"/>
    <s v="1031/PPC/XI/2025"/>
    <s v="ADMIN &amp; DOKUMEN EKSPOR"/>
    <s v="BY HC HORGOS EBP 2411778515"/>
    <x v="18"/>
    <x v="18"/>
    <x v="1"/>
    <s v="SP"/>
    <n v="1880288"/>
    <n v="20251205"/>
  </r>
  <r>
    <s v="05.12.2025"/>
    <x v="5"/>
    <n v="50"/>
    <n v="-50000"/>
    <s v="IDR"/>
    <n v="-50000"/>
    <s v="IDR"/>
    <m/>
    <m/>
    <m/>
    <s v="R124"/>
    <s v="1031/PPC/XI/2025"/>
    <s v="ADMIN &amp; DOKUMEN EKSPOR"/>
    <s v="BY HC HORGOS EBP 2411778320"/>
    <x v="18"/>
    <x v="18"/>
    <x v="1"/>
    <s v="SP"/>
    <n v="1880288"/>
    <n v="20251205"/>
  </r>
  <r>
    <s v="05.12.2025"/>
    <x v="5"/>
    <n v="50"/>
    <n v="-50000"/>
    <s v="IDR"/>
    <n v="-50000"/>
    <s v="IDR"/>
    <m/>
    <m/>
    <m/>
    <s v="R124"/>
    <s v="1031/PPC/XI/2025"/>
    <s v="ADMIN &amp; DOKUMEN EKSPOR"/>
    <s v="BY HC HORGOS EBP 2411778571"/>
    <x v="18"/>
    <x v="18"/>
    <x v="1"/>
    <s v="SP"/>
    <n v="1880288"/>
    <n v="20251205"/>
  </r>
  <r>
    <s v="05.12.2025"/>
    <x v="5"/>
    <n v="50"/>
    <n v="-50000"/>
    <s v="IDR"/>
    <n v="-50000"/>
    <s v="IDR"/>
    <m/>
    <m/>
    <m/>
    <s v="R124"/>
    <s v="1031/PPC/XI/2025"/>
    <s v="ADMIN &amp; DOKUMEN EKSPOR"/>
    <s v="BY HC HORGOS EBP 2411778622"/>
    <x v="18"/>
    <x v="18"/>
    <x v="1"/>
    <s v="SP"/>
    <n v="1880288"/>
    <n v="20251205"/>
  </r>
  <r>
    <s v="05.12.2025"/>
    <x v="5"/>
    <n v="50"/>
    <n v="-50000"/>
    <s v="IDR"/>
    <n v="-50000"/>
    <s v="IDR"/>
    <m/>
    <m/>
    <m/>
    <s v="R124"/>
    <s v="1031/PPC/XI/2025"/>
    <s v="ADMIN &amp; DOKUMEN EKSPOR"/>
    <s v="BY HC HORGOS EBP 2411778624"/>
    <x v="18"/>
    <x v="18"/>
    <x v="1"/>
    <s v="SP"/>
    <n v="1880288"/>
    <n v="20251205"/>
  </r>
  <r>
    <s v="05.12.2025"/>
    <x v="5"/>
    <n v="50"/>
    <n v="-50000"/>
    <s v="IDR"/>
    <n v="-50000"/>
    <s v="IDR"/>
    <m/>
    <m/>
    <m/>
    <s v="R124"/>
    <s v="1031/PPC/XI/2025"/>
    <s v="ADMIN &amp; DOKUMEN EKSPOR"/>
    <s v="BY HC HORGOS EBP 2411778570"/>
    <x v="18"/>
    <x v="18"/>
    <x v="1"/>
    <s v="SP"/>
    <n v="1880288"/>
    <n v="20251205"/>
  </r>
  <r>
    <s v="05.12.2025"/>
    <x v="5"/>
    <n v="50"/>
    <n v="-50000"/>
    <s v="IDR"/>
    <n v="-50000"/>
    <s v="IDR"/>
    <m/>
    <m/>
    <m/>
    <s v="R124"/>
    <s v="1031/PPC/XI/2025"/>
    <s v="ADMIN &amp; DOKUMEN EKSPOR"/>
    <s v="BY HC HORGOS EBP 2411778462"/>
    <x v="18"/>
    <x v="18"/>
    <x v="1"/>
    <s v="SP"/>
    <n v="1880288"/>
    <n v="20251205"/>
  </r>
  <r>
    <s v="05.12.2025"/>
    <x v="5"/>
    <n v="50"/>
    <n v="-50000"/>
    <s v="IDR"/>
    <n v="-50000"/>
    <s v="IDR"/>
    <m/>
    <m/>
    <m/>
    <s v="R124"/>
    <s v="1031/PPC/XI/2025"/>
    <s v="ADMIN &amp; DOKUMEN EKSPOR"/>
    <s v="BY HC HORGOS EBP 2411778434"/>
    <x v="18"/>
    <x v="18"/>
    <x v="1"/>
    <s v="SP"/>
    <n v="1880288"/>
    <n v="20251205"/>
  </r>
  <r>
    <s v="05.12.2025"/>
    <x v="5"/>
    <n v="50"/>
    <n v="-50000"/>
    <s v="IDR"/>
    <n v="-50000"/>
    <s v="IDR"/>
    <m/>
    <m/>
    <m/>
    <s v="R124"/>
    <s v="1031/PPC/XI/2025"/>
    <s v="ADMIN &amp; DOKUMEN EKSPOR"/>
    <s v="BY HC HORGOS EBP 2411778625"/>
    <x v="18"/>
    <x v="18"/>
    <x v="1"/>
    <s v="SP"/>
    <n v="1880288"/>
    <n v="20251205"/>
  </r>
  <r>
    <s v="05.12.2025"/>
    <x v="5"/>
    <n v="50"/>
    <n v="-50000"/>
    <s v="IDR"/>
    <n v="-50000"/>
    <s v="IDR"/>
    <m/>
    <m/>
    <m/>
    <s v="R124"/>
    <s v="1031/PPC/XI/2025"/>
    <s v="ADMIN &amp; DOKUMEN EKSPOR"/>
    <s v="BY HC HORGOS EBP 2411778518"/>
    <x v="18"/>
    <x v="18"/>
    <x v="1"/>
    <s v="SP"/>
    <n v="1880288"/>
    <n v="20251205"/>
  </r>
  <r>
    <s v="05.12.2025"/>
    <x v="5"/>
    <n v="50"/>
    <n v="-1000000"/>
    <s v="IDR"/>
    <n v="-1000000"/>
    <s v="IDR"/>
    <m/>
    <m/>
    <m/>
    <s v="R124"/>
    <s v="1033/PPC/XI/2025"/>
    <s v="UMUM &amp; ADMIN LAIN"/>
    <s v="BY PEMB MATERAI U/ SURAT KUASA IMPORT PROCUREMENT"/>
    <x v="15"/>
    <x v="15"/>
    <x v="21"/>
    <s v="SP"/>
    <n v="1880288"/>
    <n v="20251205"/>
  </r>
  <r>
    <s v="05.12.2025"/>
    <x v="5"/>
    <n v="50"/>
    <n v="-949248"/>
    <s v="IDR"/>
    <n v="-949248"/>
    <s v="IDR"/>
    <m/>
    <m/>
    <m/>
    <s v="R124"/>
    <s v="1034/PPC/XI/2025"/>
    <s v="PBAIKN&amp;PRAWATN PRABT MATR"/>
    <s v="BY LOOP HANDLE POT U/ BTP, WATER JUG U/ SAMPLING"/>
    <x v="3"/>
    <x v="3"/>
    <x v="15"/>
    <s v="SP"/>
    <n v="1880288"/>
    <n v="20251205"/>
  </r>
  <r>
    <s v="05.12.2025"/>
    <x v="5"/>
    <n v="50"/>
    <n v="-682500"/>
    <s v="IDR"/>
    <n v="-682500"/>
    <s v="IDR"/>
    <m/>
    <m/>
    <m/>
    <s v="R124"/>
    <s v="1037/PPC/XII/25"/>
    <s v="MAKANAN DAN MINUMAN"/>
    <s v="BY KONSUMSI TRAINING INTERNAL AUDITOR ISO 25/11/25"/>
    <x v="7"/>
    <x v="7"/>
    <x v="0"/>
    <s v="SP"/>
    <n v="1880288"/>
    <n v="20251205"/>
  </r>
  <r>
    <s v="05.12.2025"/>
    <x v="5"/>
    <n v="50"/>
    <n v="-647500"/>
    <s v="IDR"/>
    <n v="-647500"/>
    <s v="IDR"/>
    <m/>
    <m/>
    <m/>
    <s v="R124"/>
    <s v="1038/PPC/XII/25"/>
    <s v="MAKANAN DAN MINUMAN"/>
    <s v="BY KONSUMSI TRAINING INTERNAL AUDITOR ISO 27/11/25"/>
    <x v="7"/>
    <x v="7"/>
    <x v="0"/>
    <s v="SP"/>
    <n v="1880288"/>
    <n v="20251205"/>
  </r>
  <r>
    <s v="05.12.2025"/>
    <x v="5"/>
    <n v="50"/>
    <n v="-612500"/>
    <s v="IDR"/>
    <n v="-612500"/>
    <s v="IDR"/>
    <m/>
    <m/>
    <m/>
    <s v="R124"/>
    <s v="1039/PPC/XII/25"/>
    <s v="MAKANAN DAN MINUMAN"/>
    <s v="BY KONSUMSI TRAINING INTERNAL AUDITOR ISO 26/11/25"/>
    <x v="7"/>
    <x v="7"/>
    <x v="0"/>
    <s v="SP"/>
    <n v="1880288"/>
    <n v="20251205"/>
  </r>
  <r>
    <s v="05.12.2025"/>
    <x v="5"/>
    <n v="50"/>
    <n v="-760000"/>
    <s v="IDR"/>
    <n v="-760000"/>
    <s v="IDR"/>
    <m/>
    <m/>
    <m/>
    <s v="R124"/>
    <s v="1040/PPC/XII/25"/>
    <s v="BAHAN BAKAR"/>
    <s v="BY TRANSPORTASI BBM 27-28/11/2025"/>
    <x v="6"/>
    <x v="6"/>
    <x v="9"/>
    <s v="SP"/>
    <n v="1880288"/>
    <n v="20251205"/>
  </r>
  <r>
    <s v="05.12.2025"/>
    <x v="5"/>
    <n v="50"/>
    <n v="-240000"/>
    <s v="IDR"/>
    <n v="-240000"/>
    <s v="IDR"/>
    <m/>
    <m/>
    <m/>
    <s v="R124"/>
    <s v="1040/PPC/XII/25"/>
    <s v="TRANSPORTASI LOKAL"/>
    <s v="BY TRANSPORTASI PARKIR TOL"/>
    <x v="5"/>
    <x v="5"/>
    <x v="9"/>
    <s v="SP"/>
    <n v="1880288"/>
    <n v="20251205"/>
  </r>
  <r>
    <s v="05.12.2025"/>
    <x v="5"/>
    <n v="50"/>
    <n v="-961950"/>
    <s v="IDR"/>
    <n v="-961950"/>
    <s v="IDR"/>
    <m/>
    <m/>
    <m/>
    <s v="R124"/>
    <s v="1041/PPC/XII/25"/>
    <s v="MAKANAN DAN MINUMAN"/>
    <s v="BY KONSUMSI 551 28/11/2025"/>
    <x v="7"/>
    <x v="7"/>
    <x v="0"/>
    <s v="SP"/>
    <n v="1880288"/>
    <n v="20251205"/>
  </r>
  <r>
    <s v="05.12.2025"/>
    <x v="5"/>
    <n v="50"/>
    <n v="-50000"/>
    <s v="IDR"/>
    <n v="-50000"/>
    <s v="IDR"/>
    <m/>
    <m/>
    <m/>
    <s v="R124"/>
    <s v="1032/PPC/XI/25"/>
    <s v="ADMIN &amp; DOKUMEN EKSPOR"/>
    <s v="BY HC GOLD VIET EBP 2411778226"/>
    <x v="18"/>
    <x v="18"/>
    <x v="1"/>
    <s v="SP"/>
    <n v="1880288"/>
    <n v="20251205"/>
  </r>
  <r>
    <s v="05.12.2025"/>
    <x v="5"/>
    <n v="50"/>
    <n v="-50000"/>
    <s v="IDR"/>
    <n v="-50000"/>
    <s v="IDR"/>
    <m/>
    <m/>
    <m/>
    <s v="R124"/>
    <s v="1032/PPC/XI/25"/>
    <s v="ADMIN &amp; DOKUMEN EKSPOR"/>
    <s v="BY HC GLOBAL TRANSIT EBP 2411778019"/>
    <x v="18"/>
    <x v="18"/>
    <x v="2"/>
    <s v="SP"/>
    <n v="1880288"/>
    <n v="20251205"/>
  </r>
  <r>
    <s v="05.12.2025"/>
    <x v="5"/>
    <n v="50"/>
    <n v="-50000"/>
    <s v="IDR"/>
    <n v="-50000"/>
    <s v="IDR"/>
    <m/>
    <m/>
    <m/>
    <s v="R124"/>
    <s v="1032/PPC/XI/25"/>
    <s v="ADMIN &amp; DOKUMEN EKSPOR"/>
    <s v="BY HC GLOBAL TRANSIT EBP 2411778020"/>
    <x v="18"/>
    <x v="18"/>
    <x v="2"/>
    <s v="SP"/>
    <n v="1880288"/>
    <n v="20251205"/>
  </r>
  <r>
    <s v="05.12.2025"/>
    <x v="5"/>
    <n v="50"/>
    <n v="-50000"/>
    <s v="IDR"/>
    <n v="-50000"/>
    <s v="IDR"/>
    <m/>
    <m/>
    <m/>
    <s v="R124"/>
    <s v="1032/PPC/XI/25"/>
    <s v="ADMIN &amp; DOKUMEN EKSPOR"/>
    <s v="BY HC GLOBAL TRANSIT EBP 2411778018"/>
    <x v="18"/>
    <x v="18"/>
    <x v="2"/>
    <s v="SP"/>
    <n v="1880288"/>
    <n v="20251205"/>
  </r>
  <r>
    <s v="05.12.2025"/>
    <x v="5"/>
    <n v="50"/>
    <n v="-50000"/>
    <s v="IDR"/>
    <n v="-50000"/>
    <s v="IDR"/>
    <m/>
    <m/>
    <m/>
    <s v="R124"/>
    <s v="1032/PPC/XI/25"/>
    <s v="ADMIN &amp; DOKUMEN EKSPOR"/>
    <s v="BY HC TALENT FAREAST EBP 2411777977"/>
    <x v="18"/>
    <x v="18"/>
    <x v="1"/>
    <s v="SP"/>
    <n v="1880288"/>
    <n v="20251205"/>
  </r>
  <r>
    <s v="05.12.2025"/>
    <x v="5"/>
    <n v="50"/>
    <n v="-50000"/>
    <s v="IDR"/>
    <n v="-50000"/>
    <s v="IDR"/>
    <m/>
    <m/>
    <m/>
    <s v="R124"/>
    <s v="1032/PPC/XI/25"/>
    <s v="ADMIN &amp; DOKUMEN EKSPOR"/>
    <s v="BY HC HOME CHAIN EBP 2411777983"/>
    <x v="18"/>
    <x v="18"/>
    <x v="1"/>
    <s v="SP"/>
    <n v="1880288"/>
    <n v="20251205"/>
  </r>
  <r>
    <s v="05.12.2025"/>
    <x v="5"/>
    <n v="50"/>
    <n v="-50000"/>
    <s v="IDR"/>
    <n v="-50000"/>
    <s v="IDR"/>
    <m/>
    <m/>
    <m/>
    <s v="R124"/>
    <s v="1032/PPC/XI/25"/>
    <s v="ADMIN &amp; DOKUMEN EKSPOR"/>
    <s v="BY HC PICCO KOSOSVO EBP 2411777885"/>
    <x v="18"/>
    <x v="18"/>
    <x v="1"/>
    <s v="SP"/>
    <n v="1880288"/>
    <n v="20251205"/>
  </r>
  <r>
    <s v="05.12.2025"/>
    <x v="5"/>
    <n v="50"/>
    <n v="-50000"/>
    <s v="IDR"/>
    <n v="-50000"/>
    <s v="IDR"/>
    <m/>
    <m/>
    <m/>
    <s v="R124"/>
    <s v="1032/PPC/XI/25"/>
    <s v="ADMIN &amp; DOKUMEN EKSPOR"/>
    <s v="BY HC AGRI RESINDO EBP 2411778031"/>
    <x v="18"/>
    <x v="18"/>
    <x v="8"/>
    <s v="SP"/>
    <n v="1880288"/>
    <n v="20251205"/>
  </r>
  <r>
    <s v="05.12.2025"/>
    <x v="5"/>
    <n v="50"/>
    <n v="-50000"/>
    <s v="IDR"/>
    <n v="-50000"/>
    <s v="IDR"/>
    <m/>
    <m/>
    <m/>
    <s v="R124"/>
    <s v="1032/PPC/XI/25"/>
    <s v="ADMIN &amp; DOKUMEN EKSPOR"/>
    <s v="BY HC SHENGRONG EBP 2411777982"/>
    <x v="18"/>
    <x v="18"/>
    <x v="1"/>
    <s v="SP"/>
    <n v="1880288"/>
    <n v="20251205"/>
  </r>
  <r>
    <s v="05.12.2025"/>
    <x v="5"/>
    <n v="50"/>
    <n v="-50000"/>
    <s v="IDR"/>
    <n v="-50000"/>
    <s v="IDR"/>
    <m/>
    <m/>
    <m/>
    <s v="R124"/>
    <s v="1032/PPC/XI/25"/>
    <s v="ADMIN &amp; DOKUMEN EKSPOR"/>
    <s v="BY HC HOME CHAIN EBP 2411777975"/>
    <x v="18"/>
    <x v="18"/>
    <x v="1"/>
    <s v="SP"/>
    <n v="1880288"/>
    <n v="20251205"/>
  </r>
  <r>
    <s v="05.12.2025"/>
    <x v="5"/>
    <n v="50"/>
    <n v="-50000"/>
    <s v="IDR"/>
    <n v="-50000"/>
    <s v="IDR"/>
    <m/>
    <m/>
    <m/>
    <s v="R124"/>
    <s v="1032/PPC/XI/25"/>
    <s v="ADMIN &amp; DOKUMEN EKSPOR"/>
    <s v="BY HC THAI GLICO EBP 2411778148"/>
    <x v="18"/>
    <x v="18"/>
    <x v="1"/>
    <s v="SP"/>
    <n v="1880288"/>
    <n v="20251205"/>
  </r>
  <r>
    <s v="05.12.2025"/>
    <x v="5"/>
    <n v="50"/>
    <n v="-50000"/>
    <s v="IDR"/>
    <n v="-50000"/>
    <s v="IDR"/>
    <m/>
    <m/>
    <m/>
    <s v="R124"/>
    <s v="1032/PPC/XI/25"/>
    <s v="ADMIN &amp; DOKUMEN EKSPOR"/>
    <s v="BY HC KWUNG AROMA EBP 2411778175"/>
    <x v="18"/>
    <x v="18"/>
    <x v="1"/>
    <s v="SP"/>
    <n v="1880288"/>
    <n v="20251205"/>
  </r>
  <r>
    <s v="05.12.2025"/>
    <x v="5"/>
    <n v="50"/>
    <n v="-50000"/>
    <s v="IDR"/>
    <n v="-50000"/>
    <s v="IDR"/>
    <m/>
    <m/>
    <m/>
    <s v="R124"/>
    <s v="1032/PPC/XI/25"/>
    <s v="ADMIN &amp; DOKUMEN EKSPOR"/>
    <s v="BY HC SHENGRONG EBP 2411777637"/>
    <x v="18"/>
    <x v="18"/>
    <x v="1"/>
    <s v="SP"/>
    <n v="1880288"/>
    <n v="20251205"/>
  </r>
  <r>
    <s v="05.12.2025"/>
    <x v="5"/>
    <n v="50"/>
    <n v="-50000"/>
    <s v="IDR"/>
    <n v="-50000"/>
    <s v="IDR"/>
    <m/>
    <m/>
    <m/>
    <s v="R124"/>
    <s v="1032/PPC/XI/25"/>
    <s v="ADMIN &amp; DOKUMEN EKSPOR"/>
    <s v="BY HC FALCON EBP 2411778227"/>
    <x v="18"/>
    <x v="18"/>
    <x v="1"/>
    <s v="SP"/>
    <n v="1880288"/>
    <n v="20251205"/>
  </r>
  <r>
    <s v="05.12.2025"/>
    <x v="5"/>
    <n v="50"/>
    <n v="-50000"/>
    <s v="IDR"/>
    <n v="-50000"/>
    <s v="IDR"/>
    <m/>
    <m/>
    <m/>
    <s v="R124"/>
    <s v="1032/PPC/XI/25"/>
    <s v="ADMIN &amp; DOKUMEN EKSPOR"/>
    <s v="BY HC AGRI RESINDO EBP 2411778333"/>
    <x v="18"/>
    <x v="18"/>
    <x v="8"/>
    <s v="SP"/>
    <n v="1880288"/>
    <n v="20251205"/>
  </r>
  <r>
    <s v="05.12.2025"/>
    <x v="5"/>
    <n v="50"/>
    <n v="-50000"/>
    <s v="IDR"/>
    <n v="-50000"/>
    <s v="IDR"/>
    <m/>
    <m/>
    <m/>
    <s v="R124"/>
    <s v="1032/PPC/XI/25"/>
    <s v="ADMIN &amp; DOKUMEN EKSPOR"/>
    <s v="BY HC HOME CHAIN EBP 2411778329"/>
    <x v="18"/>
    <x v="18"/>
    <x v="1"/>
    <s v="SP"/>
    <n v="1880288"/>
    <n v="20251205"/>
  </r>
  <r>
    <s v="05.12.2025"/>
    <x v="5"/>
    <n v="50"/>
    <n v="-50000"/>
    <s v="IDR"/>
    <n v="-50000"/>
    <s v="IDR"/>
    <m/>
    <m/>
    <m/>
    <s v="R124"/>
    <s v="1032/PPC/XI/25"/>
    <s v="ADMIN &amp; DOKUMEN EKSPOR"/>
    <s v="BY HC NN TEL EBP 2411778357"/>
    <x v="18"/>
    <x v="18"/>
    <x v="8"/>
    <s v="SP"/>
    <n v="1880288"/>
    <n v="20251205"/>
  </r>
  <r>
    <s v="05.12.2025"/>
    <x v="5"/>
    <n v="50"/>
    <n v="-50000"/>
    <s v="IDR"/>
    <n v="-50000"/>
    <s v="IDR"/>
    <m/>
    <m/>
    <m/>
    <s v="R124"/>
    <s v="1032/PPC/XI/25"/>
    <s v="ADMIN &amp; DOKUMEN EKSPOR"/>
    <s v="BY HC THAI GLICO EBP 2411778456"/>
    <x v="18"/>
    <x v="18"/>
    <x v="1"/>
    <s v="SP"/>
    <n v="1880288"/>
    <n v="20251205"/>
  </r>
  <r>
    <s v="05.12.2025"/>
    <x v="5"/>
    <n v="50"/>
    <n v="-26000"/>
    <s v="IDR"/>
    <n v="-26000"/>
    <s v="IDR"/>
    <m/>
    <m/>
    <m/>
    <s v="R124"/>
    <s v="1032/PPC/XI/25"/>
    <s v="UMUM &amp; ADMIN LAIN"/>
    <s v="BY PEMB TAS PLASTIK U/ SAMPLING EXPORT"/>
    <x v="15"/>
    <x v="15"/>
    <x v="1"/>
    <s v="SP"/>
    <n v="1880288"/>
    <n v="20251205"/>
  </r>
  <r>
    <s v="05.12.2025"/>
    <x v="5"/>
    <n v="50"/>
    <n v="-620000"/>
    <s v="IDR"/>
    <n v="-620000"/>
    <s v="IDR"/>
    <m/>
    <m/>
    <m/>
    <s v="R124"/>
    <s v="1047/PPC/XII/25"/>
    <s v="BAHAN BAKAR"/>
    <s v="BY TRANSPORTASI BBM 28/11-03/12/2025"/>
    <x v="6"/>
    <x v="6"/>
    <x v="9"/>
    <s v="SP"/>
    <n v="1880288"/>
    <n v="20251205"/>
  </r>
  <r>
    <s v="05.12.2025"/>
    <x v="5"/>
    <n v="50"/>
    <n v="-378000"/>
    <s v="IDR"/>
    <n v="-378000"/>
    <s v="IDR"/>
    <m/>
    <m/>
    <m/>
    <s v="R124"/>
    <s v="1047/PPC/XII/25"/>
    <s v="TRANSPORTASI LOKAL"/>
    <s v="BY TRANSPORTASI PARKIR TOL"/>
    <x v="5"/>
    <x v="5"/>
    <x v="9"/>
    <s v="SP"/>
    <n v="1880288"/>
    <n v="20251205"/>
  </r>
  <r>
    <s v="05.12.2025"/>
    <x v="5"/>
    <n v="50"/>
    <n v="-310000"/>
    <s v="IDR"/>
    <n v="-310000"/>
    <s v="IDR"/>
    <m/>
    <m/>
    <m/>
    <s v="R124"/>
    <s v="1035/PPC/XII/25"/>
    <s v="PEMEL.KEND&amp;A.BERAT MATRL"/>
    <s v="BY PERAWATAN SPD MTR BAG.EKSP. L 2057 EK (VEGA R)"/>
    <x v="2"/>
    <x v="2"/>
    <x v="1"/>
    <s v="SP"/>
    <n v="1880288"/>
    <n v="20251205"/>
  </r>
  <r>
    <s v="05.12.2025"/>
    <x v="5"/>
    <n v="50"/>
    <n v="-330000"/>
    <s v="IDR"/>
    <n v="-330000"/>
    <s v="IDR"/>
    <m/>
    <m/>
    <m/>
    <s v="R124"/>
    <s v="1036/PPC/XII/25"/>
    <s v="PEMEL.KEND&amp;A.BERAT MATRL"/>
    <s v="BY PERAWATAN SPD MTR BAG.EKSP. L 2167 FT (VIXION)"/>
    <x v="2"/>
    <x v="2"/>
    <x v="2"/>
    <s v="SP"/>
    <n v="1880288"/>
    <n v="20251205"/>
  </r>
  <r>
    <s v="05.12.2025"/>
    <x v="5"/>
    <n v="50"/>
    <n v="-50000"/>
    <s v="IDR"/>
    <n v="-50000"/>
    <s v="IDR"/>
    <m/>
    <m/>
    <m/>
    <s v="R124"/>
    <s v="1044/PPC/XII/25"/>
    <s v="ADMIN &amp; DOKUMEN EKSPOR"/>
    <s v="BY HC NESTLE PAKISTAN ETP 2411778591"/>
    <x v="18"/>
    <x v="18"/>
    <x v="8"/>
    <s v="SP"/>
    <n v="1880288"/>
    <n v="20251205"/>
  </r>
  <r>
    <s v="05.12.2025"/>
    <x v="5"/>
    <n v="50"/>
    <n v="-50000"/>
    <s v="IDR"/>
    <n v="-50000"/>
    <s v="IDR"/>
    <m/>
    <m/>
    <m/>
    <s v="R124"/>
    <s v="1044/PPC/XII/25"/>
    <s v="ADMIN &amp; DOKUMEN EKSPOR"/>
    <s v="BY HC SUICHANGLONG EBP 2411778568"/>
    <x v="18"/>
    <x v="18"/>
    <x v="18"/>
    <s v="SP"/>
    <n v="1880288"/>
    <n v="20251205"/>
  </r>
  <r>
    <s v="05.12.2025"/>
    <x v="5"/>
    <n v="50"/>
    <n v="-50000"/>
    <s v="IDR"/>
    <n v="-50000"/>
    <s v="IDR"/>
    <m/>
    <m/>
    <m/>
    <s v="R124"/>
    <s v="1044/PPC/XII/25"/>
    <s v="ADMIN &amp; DOKUMEN EKSPOR"/>
    <s v="BY HC GUANGDONG SHENGRONG EBP 2411778628"/>
    <x v="18"/>
    <x v="18"/>
    <x v="1"/>
    <s v="SP"/>
    <n v="1880288"/>
    <n v="20251205"/>
  </r>
  <r>
    <s v="05.12.2025"/>
    <x v="5"/>
    <n v="50"/>
    <n v="-50000"/>
    <s v="IDR"/>
    <n v="-50000"/>
    <s v="IDR"/>
    <m/>
    <m/>
    <m/>
    <s v="R124"/>
    <s v="1044/PPC/XII/25"/>
    <s v="ADMIN &amp; DOKUMEN EKSPOR"/>
    <s v="BY HC CHEMI EBP 2411778632"/>
    <x v="18"/>
    <x v="18"/>
    <x v="1"/>
    <s v="SP"/>
    <n v="1880288"/>
    <n v="20251205"/>
  </r>
  <r>
    <s v="05.12.2025"/>
    <x v="5"/>
    <n v="50"/>
    <n v="-50000"/>
    <s v="IDR"/>
    <n v="-50000"/>
    <s v="IDR"/>
    <m/>
    <m/>
    <m/>
    <s v="R124"/>
    <s v="1044/PPC/XII/25"/>
    <s v="ADMIN &amp; DOKUMEN EKSPOR"/>
    <s v="BY HC HORGOS EBP 2411778627"/>
    <x v="18"/>
    <x v="18"/>
    <x v="1"/>
    <s v="SP"/>
    <n v="1880288"/>
    <n v="20251205"/>
  </r>
  <r>
    <s v="05.12.2025"/>
    <x v="5"/>
    <n v="50"/>
    <n v="-57800"/>
    <s v="IDR"/>
    <n v="-57800"/>
    <s v="IDR"/>
    <m/>
    <m/>
    <m/>
    <s v="R124"/>
    <s v="1048/PPC/XII/25"/>
    <s v="PERIZINAN PEMERINTAH"/>
    <s v="BY PEMBAYARAN PPJ GENSET 1 &amp; 2 NOVEMBER 2025"/>
    <x v="12"/>
    <x v="12"/>
    <x v="9"/>
    <s v="SP"/>
    <n v="1880288"/>
    <n v="20251205"/>
  </r>
  <r>
    <s v="05.12.2025"/>
    <x v="5"/>
    <n v="50"/>
    <n v="-875000"/>
    <s v="IDR"/>
    <n v="-875000"/>
    <s v="IDR"/>
    <m/>
    <m/>
    <m/>
    <s v="R124"/>
    <s v="1049/PPC/XII/25"/>
    <s v="PEMEL.KEND&amp;A.BERAT MATRL"/>
    <s v="BY PEMB MODUL PRX U/ COMPRESSOR AMONIA"/>
    <x v="2"/>
    <x v="2"/>
    <x v="35"/>
    <s v="SP"/>
    <n v="1880288"/>
    <n v="20251205"/>
  </r>
  <r>
    <s v="05.12.2025"/>
    <x v="5"/>
    <n v="50"/>
    <n v="-200000"/>
    <s v="IDR"/>
    <n v="-200000"/>
    <s v="IDR"/>
    <m/>
    <m/>
    <m/>
    <s v="R124"/>
    <s v="1043/PPC/XII/25"/>
    <s v="ADMIN &amp; DOKUMEN EKSPOR"/>
    <s v="BY COO KADIN &amp; HC ASSUDAMAL EBP 2411778654"/>
    <x v="18"/>
    <x v="18"/>
    <x v="2"/>
    <s v="SP"/>
    <n v="1880288"/>
    <n v="20251205"/>
  </r>
  <r>
    <s v="05.12.2025"/>
    <x v="5"/>
    <n v="50"/>
    <n v="-150000"/>
    <s v="IDR"/>
    <n v="-150000"/>
    <s v="IDR"/>
    <m/>
    <m/>
    <m/>
    <s v="R124"/>
    <s v="1043/PPC/XII/25"/>
    <s v="ADMIN &amp; DOKUMEN EKSPOR"/>
    <s v="BY COO KADIN &amp; HC ASSUDAMAL EBP 2411778658"/>
    <x v="18"/>
    <x v="18"/>
    <x v="1"/>
    <s v="SP"/>
    <n v="1880288"/>
    <n v="20251205"/>
  </r>
  <r>
    <s v="05.12.2025"/>
    <x v="5"/>
    <n v="50"/>
    <n v="-150000"/>
    <s v="IDR"/>
    <n v="-150000"/>
    <s v="IDR"/>
    <m/>
    <m/>
    <m/>
    <s v="R124"/>
    <s v="1043/PPC/XII/25"/>
    <s v="ADMIN &amp; DOKUMEN EKSPOR"/>
    <s v="BY COO KADIN &amp; HC ASSUDAMAL EBP 2411778659"/>
    <x v="18"/>
    <x v="18"/>
    <x v="1"/>
    <s v="SP"/>
    <n v="1880288"/>
    <n v="20251205"/>
  </r>
  <r>
    <s v="05.12.2025"/>
    <x v="5"/>
    <n v="50"/>
    <n v="-283000"/>
    <s v="IDR"/>
    <n v="-283000"/>
    <s v="IDR"/>
    <m/>
    <m/>
    <m/>
    <s v="R124"/>
    <s v="1050/PPC/XII/25"/>
    <s v="TRANSPORTASI LOKAL"/>
    <s v="BY PARKIR SPD MTR L 2167 FT BAG. EKSP.24/10-2/12"/>
    <x v="5"/>
    <x v="5"/>
    <x v="1"/>
    <s v="SP"/>
    <n v="1880288"/>
    <n v="20251205"/>
  </r>
  <r>
    <s v="05.12.2025"/>
    <x v="5"/>
    <n v="50"/>
    <n v="-28000"/>
    <s v="IDR"/>
    <n v="-28000"/>
    <s v="IDR"/>
    <m/>
    <m/>
    <m/>
    <s v="R124"/>
    <s v="1050/PPC/XII/25"/>
    <s v="PERLENGKAPAN FOTOCOPY"/>
    <s v="BY FOTOCOPY &amp; PRINT BAG. EKSPORT 24/10-02/12"/>
    <x v="4"/>
    <x v="4"/>
    <x v="1"/>
    <s v="SP"/>
    <n v="1880288"/>
    <n v="20251205"/>
  </r>
  <r>
    <s v="05.12.2025"/>
    <x v="5"/>
    <n v="50"/>
    <n v="-50000"/>
    <s v="IDR"/>
    <n v="-50000"/>
    <s v="IDR"/>
    <m/>
    <m/>
    <m/>
    <s v="R124"/>
    <s v="1052/PPC/XII/25"/>
    <s v="ADMIN &amp; DOKUMEN EKSPOR"/>
    <s v="BY HC GUANGDONG SHENGRONG EBP 2411778626"/>
    <x v="18"/>
    <x v="18"/>
    <x v="1"/>
    <s v="SP"/>
    <n v="1880288"/>
    <n v="20251205"/>
  </r>
  <r>
    <s v="05.12.2025"/>
    <x v="5"/>
    <n v="50"/>
    <n v="-50000"/>
    <s v="IDR"/>
    <n v="-50000"/>
    <s v="IDR"/>
    <m/>
    <m/>
    <m/>
    <s v="R124"/>
    <s v="1052/PPC/XII/25"/>
    <s v="ADMIN &amp; DOKUMEN EKSPOR"/>
    <s v="BY HC HORGOS EBP 2411778623"/>
    <x v="18"/>
    <x v="18"/>
    <x v="1"/>
    <s v="SP"/>
    <n v="1880288"/>
    <n v="20251205"/>
  </r>
  <r>
    <s v="05.12.2025"/>
    <x v="5"/>
    <n v="50"/>
    <n v="-50000"/>
    <s v="IDR"/>
    <n v="-50000"/>
    <s v="IDR"/>
    <m/>
    <m/>
    <m/>
    <s v="R124"/>
    <s v="1052/PPC/XII/25"/>
    <s v="ADMIN &amp; DOKUMEN EKSPOR"/>
    <s v="BY HC TOP ROAD EBP 2411778666"/>
    <x v="18"/>
    <x v="18"/>
    <x v="1"/>
    <s v="SP"/>
    <n v="1880288"/>
    <n v="20251205"/>
  </r>
  <r>
    <s v="05.12.2025"/>
    <x v="5"/>
    <n v="50"/>
    <n v="-50000"/>
    <s v="IDR"/>
    <n v="-50000"/>
    <s v="IDR"/>
    <m/>
    <m/>
    <m/>
    <s v="R124"/>
    <s v="1053/PPC/XII/25"/>
    <s v="ADMIN &amp; DOKUMEN EKSPOR"/>
    <s v="BY HC HORGOS EBP 2411778691"/>
    <x v="18"/>
    <x v="18"/>
    <x v="1"/>
    <s v="SP"/>
    <n v="1880288"/>
    <n v="20251205"/>
  </r>
  <r>
    <s v="05.12.2025"/>
    <x v="5"/>
    <n v="50"/>
    <n v="-50000"/>
    <s v="IDR"/>
    <n v="-50000"/>
    <s v="IDR"/>
    <m/>
    <m/>
    <m/>
    <s v="R124"/>
    <s v="1053/PPC/XII/25"/>
    <s v="ADMIN &amp; DOKUMEN EKSPOR"/>
    <s v="BY HC SINOCHEM EBP 2411778682"/>
    <x v="18"/>
    <x v="18"/>
    <x v="18"/>
    <s v="SP"/>
    <n v="1880288"/>
    <n v="20251205"/>
  </r>
  <r>
    <s v="05.12.2025"/>
    <x v="5"/>
    <n v="50"/>
    <n v="-50000"/>
    <s v="IDR"/>
    <n v="-50000"/>
    <s v="IDR"/>
    <m/>
    <m/>
    <m/>
    <s v="R124"/>
    <s v="1053/PPC/XII/25"/>
    <s v="ADMIN &amp; DOKUMEN EKSPOR"/>
    <s v="BY HC GREENLAND EBP 2411778442"/>
    <x v="18"/>
    <x v="18"/>
    <x v="1"/>
    <s v="SP"/>
    <n v="1880288"/>
    <n v="20251205"/>
  </r>
  <r>
    <s v="05.12.2025"/>
    <x v="5"/>
    <n v="50"/>
    <n v="-50000"/>
    <s v="IDR"/>
    <n v="-50000"/>
    <s v="IDR"/>
    <m/>
    <m/>
    <m/>
    <s v="R124"/>
    <s v="1054/PPC/XII/25"/>
    <s v="ADMIN &amp; DOKUMEN EKSPOR"/>
    <s v="BY HC HORGOS EBP 2411778697"/>
    <x v="18"/>
    <x v="18"/>
    <x v="1"/>
    <s v="SP"/>
    <n v="1880288"/>
    <n v="20251205"/>
  </r>
  <r>
    <s v="05.12.2025"/>
    <x v="5"/>
    <n v="50"/>
    <n v="-50000"/>
    <s v="IDR"/>
    <n v="-50000"/>
    <s v="IDR"/>
    <m/>
    <m/>
    <m/>
    <s v="R124"/>
    <s v="1032/PPC/XI/25"/>
    <s v="ADMIN &amp; DOKUMEN EKSPOR"/>
    <s v="BY HC GLOBAL TRANSIT EBP 2411778041"/>
    <x v="18"/>
    <x v="18"/>
    <x v="2"/>
    <s v="SP"/>
    <n v="1880288"/>
    <n v="20251205"/>
  </r>
  <r>
    <s v="08.12.2025"/>
    <x v="5"/>
    <n v="50"/>
    <n v="-50000"/>
    <s v="IDR"/>
    <n v="-50000"/>
    <s v="IDR"/>
    <m/>
    <m/>
    <m/>
    <s v="R124"/>
    <s v="1045/PPC/XII/25"/>
    <s v="ADMIN &amp; DOKUMEN EKSPOR"/>
    <s v="BY HC CSH BEVERAGES EBP 2411778463"/>
    <x v="18"/>
    <x v="18"/>
    <x v="2"/>
    <s v="SP"/>
    <n v="1880288"/>
    <n v="20251208"/>
  </r>
  <r>
    <s v="08.12.2025"/>
    <x v="5"/>
    <n v="50"/>
    <n v="-50000"/>
    <s v="IDR"/>
    <n v="-50000"/>
    <s v="IDR"/>
    <m/>
    <m/>
    <m/>
    <s v="R124"/>
    <s v="1045/PPC/XII/25"/>
    <s v="ADMIN &amp; DOKUMEN EKSPOR"/>
    <s v="BY HC CSH BEVERAGES EBP 2411778464"/>
    <x v="18"/>
    <x v="18"/>
    <x v="2"/>
    <s v="SP"/>
    <n v="1880288"/>
    <n v="20251208"/>
  </r>
  <r>
    <s v="08.12.2025"/>
    <x v="5"/>
    <n v="50"/>
    <n v="-50000"/>
    <s v="IDR"/>
    <n v="-50000"/>
    <s v="IDR"/>
    <m/>
    <m/>
    <m/>
    <s v="R124"/>
    <s v="1045/PPC/XII/25"/>
    <s v="ADMIN &amp; DOKUMEN EKSPOR"/>
    <s v="BY HC CSH BEVERAGES EBP 2411778465"/>
    <x v="18"/>
    <x v="18"/>
    <x v="2"/>
    <s v="SP"/>
    <n v="1880288"/>
    <n v="20251208"/>
  </r>
  <r>
    <s v="08.12.2025"/>
    <x v="5"/>
    <n v="50"/>
    <n v="-50000"/>
    <s v="IDR"/>
    <n v="-50000"/>
    <s v="IDR"/>
    <m/>
    <m/>
    <m/>
    <s v="R124"/>
    <s v="1045/PPC/XII/25"/>
    <s v="ADMIN &amp; DOKUMEN EKSPOR"/>
    <s v="BY HC CSH BEVERAGES EBP 2411778466"/>
    <x v="18"/>
    <x v="18"/>
    <x v="2"/>
    <s v="SP"/>
    <n v="1880288"/>
    <n v="20251208"/>
  </r>
  <r>
    <s v="08.12.2025"/>
    <x v="5"/>
    <n v="50"/>
    <n v="-50000"/>
    <s v="IDR"/>
    <n v="-50000"/>
    <s v="IDR"/>
    <m/>
    <m/>
    <m/>
    <s v="R124"/>
    <s v="1045/PPC/XII/25"/>
    <s v="ADMIN &amp; DOKUMEN EKSPOR"/>
    <s v="BY HC CSH BEVERAGES EBP 2411778467"/>
    <x v="18"/>
    <x v="18"/>
    <x v="2"/>
    <s v="SP"/>
    <n v="1880288"/>
    <n v="20251208"/>
  </r>
  <r>
    <s v="08.12.2025"/>
    <x v="5"/>
    <n v="50"/>
    <n v="-50000"/>
    <s v="IDR"/>
    <n v="-50000"/>
    <s v="IDR"/>
    <m/>
    <m/>
    <m/>
    <s v="R124"/>
    <s v="1045/PPC/XII/25"/>
    <s v="ADMIN &amp; DOKUMEN EKSPOR"/>
    <s v="BY HC CSH BEVERAGES EBP 2411778468"/>
    <x v="18"/>
    <x v="18"/>
    <x v="1"/>
    <s v="SP"/>
    <n v="1880288"/>
    <n v="20251208"/>
  </r>
  <r>
    <s v="08.12.2025"/>
    <x v="5"/>
    <n v="50"/>
    <n v="-50000"/>
    <s v="IDR"/>
    <n v="-50000"/>
    <s v="IDR"/>
    <m/>
    <m/>
    <m/>
    <s v="R124"/>
    <s v="1045/PPC/XII/25"/>
    <s v="ADMIN &amp; DOKUMEN EKSPOR"/>
    <s v="BY HC CSH BEVERAGES EBP 2411778265"/>
    <x v="18"/>
    <x v="18"/>
    <x v="2"/>
    <s v="SP"/>
    <n v="1880288"/>
    <n v="20251208"/>
  </r>
  <r>
    <s v="08.12.2025"/>
    <x v="5"/>
    <n v="50"/>
    <n v="-50000"/>
    <s v="IDR"/>
    <n v="-50000"/>
    <s v="IDR"/>
    <m/>
    <m/>
    <m/>
    <s v="R124"/>
    <s v="1045/PPC/XII/25"/>
    <s v="ADMIN &amp; DOKUMEN EKSPOR"/>
    <s v="BY HC CSH BEVERAGES EBP 2411778266"/>
    <x v="18"/>
    <x v="18"/>
    <x v="2"/>
    <s v="SP"/>
    <n v="1880288"/>
    <n v="20251208"/>
  </r>
  <r>
    <s v="08.12.2025"/>
    <x v="5"/>
    <n v="50"/>
    <n v="-50000"/>
    <s v="IDR"/>
    <n v="-50000"/>
    <s v="IDR"/>
    <m/>
    <m/>
    <m/>
    <s v="R124"/>
    <s v="1045/PPC/XII/25"/>
    <s v="ADMIN &amp; DOKUMEN EKSPOR"/>
    <s v="BY HC CSH BEVERAGES EBP 2411778266"/>
    <x v="18"/>
    <x v="18"/>
    <x v="2"/>
    <s v="SP"/>
    <n v="1880288"/>
    <n v="20251208"/>
  </r>
  <r>
    <s v="08.12.2025"/>
    <x v="5"/>
    <n v="50"/>
    <n v="-50000"/>
    <s v="IDR"/>
    <n v="-50000"/>
    <s v="IDR"/>
    <m/>
    <m/>
    <m/>
    <s v="R124"/>
    <s v="1045/PPC/XII/25"/>
    <s v="ADMIN &amp; DOKUMEN EKSPOR"/>
    <s v="BY HC CSH BEVERAGES EBP 2411778266"/>
    <x v="18"/>
    <x v="18"/>
    <x v="2"/>
    <s v="SP"/>
    <n v="1880288"/>
    <n v="20251208"/>
  </r>
  <r>
    <s v="08.12.2025"/>
    <x v="5"/>
    <n v="50"/>
    <n v="-50000"/>
    <s v="IDR"/>
    <n v="-50000"/>
    <s v="IDR"/>
    <m/>
    <m/>
    <m/>
    <s v="R124"/>
    <s v="1045/PPC/XII/25"/>
    <s v="ADMIN &amp; DOKUMEN EKSPOR"/>
    <s v="BY HC CSH BEVERAGES EBP 2411778267"/>
    <x v="18"/>
    <x v="18"/>
    <x v="2"/>
    <s v="SP"/>
    <n v="1880288"/>
    <n v="20251208"/>
  </r>
  <r>
    <s v="08.12.2025"/>
    <x v="5"/>
    <n v="50"/>
    <n v="-50000"/>
    <s v="IDR"/>
    <n v="-50000"/>
    <s v="IDR"/>
    <m/>
    <m/>
    <m/>
    <s v="R124"/>
    <s v="1045/PPC/XII/25"/>
    <s v="ADMIN &amp; DOKUMEN EKSPOR"/>
    <s v="BY HC CSH BEVERAGES EBP 2411778267"/>
    <x v="18"/>
    <x v="18"/>
    <x v="2"/>
    <s v="SP"/>
    <n v="1880288"/>
    <n v="20251208"/>
  </r>
  <r>
    <s v="08.12.2025"/>
    <x v="5"/>
    <n v="50"/>
    <n v="-637500"/>
    <s v="IDR"/>
    <n v="-637500"/>
    <s v="IDR"/>
    <m/>
    <m/>
    <m/>
    <s v="R124"/>
    <s v="1056/PPC/XII/25"/>
    <s v="PEMEL.KEND&amp;A.BERAT MATRL"/>
    <s v="BY PERBAIKAN KENDARAAN KURIR"/>
    <x v="2"/>
    <x v="2"/>
    <x v="24"/>
    <s v="SP"/>
    <n v="1880288"/>
    <n v="20251208"/>
  </r>
  <r>
    <s v="08.12.2025"/>
    <x v="5"/>
    <n v="50"/>
    <n v="-515500"/>
    <s v="IDR"/>
    <n v="-515500"/>
    <s v="IDR"/>
    <m/>
    <m/>
    <m/>
    <s v="R124"/>
    <s v="1057/PPC/XII/25"/>
    <s v="PAJAK KENDARAAN BERMOTOR"/>
    <s v="BY PERPANJANGAN STNK AMBULANCE L 1855 GT"/>
    <x v="24"/>
    <x v="24"/>
    <x v="9"/>
    <s v="SP"/>
    <n v="1880288"/>
    <n v="20251208"/>
  </r>
  <r>
    <s v="08.12.2025"/>
    <x v="5"/>
    <n v="50"/>
    <n v="-323000"/>
    <s v="IDR"/>
    <n v="-323000"/>
    <s v="IDR"/>
    <m/>
    <m/>
    <m/>
    <s v="R124"/>
    <s v="1018/PPC/XI/25"/>
    <s v="PEMEL.KEND&amp;A.BERAT MATRL"/>
    <s v="BY PEMB CLAM SELANG, DN SS, SH 40, NS SS, SPCF"/>
    <x v="2"/>
    <x v="2"/>
    <x v="6"/>
    <s v="SP"/>
    <n v="1880288"/>
    <n v="20251208"/>
  </r>
  <r>
    <s v="08.12.2025"/>
    <x v="5"/>
    <n v="50"/>
    <n v="-619800"/>
    <s v="IDR"/>
    <n v="-619800"/>
    <s v="IDR"/>
    <m/>
    <m/>
    <m/>
    <s v="R124"/>
    <s v="1018/PPC/XI/25"/>
    <s v="UANG MUKA BIAYA"/>
    <s v="BY PEMB CORONG SS RESTOMART FP:04002500396177886"/>
    <x v="19"/>
    <x v="19"/>
    <x v="25"/>
    <s v="SP"/>
    <n v="1880288"/>
    <n v="20251208"/>
  </r>
  <r>
    <s v="08.12.2025"/>
    <x v="5"/>
    <n v="50"/>
    <n v="-300544"/>
    <s v="IDR"/>
    <n v="-300544"/>
    <s v="IDR"/>
    <m/>
    <m/>
    <m/>
    <s v="R124"/>
    <s v="1020/PPC/XI/25"/>
    <s v="UANG MUKA BIAYA"/>
    <s v="BY R1 DUNLOP&amp;SLIVE SDA GLOBAL FP:04002500379416637"/>
    <x v="19"/>
    <x v="19"/>
    <x v="25"/>
    <s v="SP"/>
    <n v="1880288"/>
    <n v="20251208"/>
  </r>
  <r>
    <s v="08.12.2025"/>
    <x v="5"/>
    <n v="50"/>
    <n v="-600000"/>
    <s v="IDR"/>
    <n v="-600000"/>
    <s v="IDR"/>
    <m/>
    <m/>
    <m/>
    <s v="R124"/>
    <s v="989/PPC/XI/2025"/>
    <s v="PEMEL.KEND&amp;A.BERAT MATRL"/>
    <s v="BY PEMB MALE CONECTOR SUS"/>
    <x v="2"/>
    <x v="2"/>
    <x v="30"/>
    <s v="SP"/>
    <n v="1880288"/>
    <n v="20251208"/>
  </r>
  <r>
    <s v="08.12.2025"/>
    <x v="5"/>
    <n v="50"/>
    <n v="-333000"/>
    <s v="IDR"/>
    <n v="-333000"/>
    <s v="IDR"/>
    <m/>
    <m/>
    <m/>
    <s v="R124"/>
    <s v="989/PPC/XI/2025"/>
    <s v="UANG MUKA BIAYA"/>
    <s v="BY REGULATOR ABIE P FP 04002500383850444"/>
    <x v="19"/>
    <x v="19"/>
    <x v="25"/>
    <s v="SP"/>
    <n v="1880288"/>
    <n v="20251208"/>
  </r>
  <r>
    <s v="08.12.2025"/>
    <x v="5"/>
    <n v="50"/>
    <n v="-654000"/>
    <s v="IDR"/>
    <n v="-654000"/>
    <s v="IDR"/>
    <m/>
    <m/>
    <m/>
    <s v="R124"/>
    <s v="1042/PPC/XII/25"/>
    <s v="UANG MUKA BIAYA"/>
    <s v="BY TELEX RLS ANL FP 04002500345376644 - PPh"/>
    <x v="19"/>
    <x v="19"/>
    <x v="25"/>
    <s v="SP"/>
    <n v="1880288"/>
    <n v="20251208"/>
  </r>
  <r>
    <s v="08.12.2025"/>
    <x v="5"/>
    <n v="40"/>
    <n v="33512293"/>
    <s v="IDR"/>
    <n v="33512293"/>
    <s v="IDR"/>
    <m/>
    <m/>
    <m/>
    <s v="R124"/>
    <m/>
    <s v="BANK IN TRANSIT"/>
    <s v="PETTY CASH RUNGKUT SURABAYA PERIODE 01-08 DES 25"/>
    <x v="13"/>
    <x v="13"/>
    <x v="19"/>
    <s v="SP"/>
    <n v="1880288"/>
    <n v="20251208"/>
  </r>
  <r>
    <s v="16.12.2025"/>
    <x v="5"/>
    <n v="50"/>
    <n v="-600000"/>
    <s v="IDR"/>
    <n v="-600000"/>
    <s v="IDR"/>
    <m/>
    <m/>
    <m/>
    <s v="R124"/>
    <s v="1059/PPC/XII/25"/>
    <s v="OLAHRAGA DAN PERMAINAN"/>
    <s v="BY OLAHRAGA 05/12/2025"/>
    <x v="0"/>
    <x v="0"/>
    <x v="0"/>
    <s v="SP"/>
    <n v="1880288"/>
    <n v="20251216"/>
  </r>
  <r>
    <s v="16.12.2025"/>
    <x v="5"/>
    <n v="50"/>
    <n v="-162360"/>
    <s v="IDR"/>
    <n v="-162360"/>
    <s v="IDR"/>
    <m/>
    <m/>
    <m/>
    <s v="R124"/>
    <s v="1060/PPC/XII/25"/>
    <s v="PBAIKN&amp;PRAWATN PRABT MATR"/>
    <s v="BY PEMB STAIN REMOVER, KISPRAY, KAMPER, DLL"/>
    <x v="3"/>
    <x v="3"/>
    <x v="9"/>
    <s v="SP"/>
    <n v="1880288"/>
    <n v="20251216"/>
  </r>
  <r>
    <s v="16.12.2025"/>
    <x v="5"/>
    <n v="50"/>
    <n v="-200000"/>
    <s v="IDR"/>
    <n v="-200000"/>
    <s v="IDR"/>
    <m/>
    <m/>
    <m/>
    <s v="R124"/>
    <s v="1061/PPC/XII/25"/>
    <s v="BAHAN BAKAR"/>
    <s v="BY TRANSPORTASI BBM 05-08/12/2025"/>
    <x v="6"/>
    <x v="6"/>
    <x v="9"/>
    <s v="SP"/>
    <n v="1880288"/>
    <n v="20251216"/>
  </r>
  <r>
    <s v="16.12.2025"/>
    <x v="5"/>
    <n v="50"/>
    <n v="-800000"/>
    <s v="IDR"/>
    <n v="-800000"/>
    <s v="IDR"/>
    <m/>
    <m/>
    <m/>
    <s v="R124"/>
    <s v="1061/PPC/XII/25"/>
    <s v="TRANSPORTASI LOKAL"/>
    <s v="BY TRANSPORTASI PARKIR TOL"/>
    <x v="5"/>
    <x v="5"/>
    <x v="9"/>
    <s v="SP"/>
    <n v="1880288"/>
    <n v="20251216"/>
  </r>
  <r>
    <s v="16.12.2025"/>
    <x v="5"/>
    <n v="50"/>
    <n v="-840000"/>
    <s v="IDR"/>
    <n v="-840000"/>
    <s v="IDR"/>
    <m/>
    <m/>
    <m/>
    <s v="R124"/>
    <s v="1062/PPC/XII/25"/>
    <s v="BAHAN BAKAR"/>
    <s v="BY TRANSPORTASI BBM 03-05/12/2025"/>
    <x v="6"/>
    <x v="6"/>
    <x v="9"/>
    <s v="SP"/>
    <n v="1880288"/>
    <n v="20251216"/>
  </r>
  <r>
    <s v="16.12.2025"/>
    <x v="5"/>
    <n v="50"/>
    <n v="-159500"/>
    <s v="IDR"/>
    <n v="-159500"/>
    <s v="IDR"/>
    <m/>
    <m/>
    <m/>
    <s v="R124"/>
    <s v="1062/PPC/XII/25"/>
    <s v="TRANSPORTASI LOKAL"/>
    <s v="BY TRANSPORTASI PARKIR TOL"/>
    <x v="5"/>
    <x v="5"/>
    <x v="9"/>
    <s v="SP"/>
    <n v="1880288"/>
    <n v="20251216"/>
  </r>
  <r>
    <s v="16.12.2025"/>
    <x v="5"/>
    <n v="50"/>
    <n v="-76000"/>
    <s v="IDR"/>
    <n v="-76000"/>
    <s v="IDR"/>
    <m/>
    <m/>
    <m/>
    <s v="R124"/>
    <s v="1063/PPC/XII/25"/>
    <s v="MAKANAN DAN MINUMAN"/>
    <s v="BY KONSUMSI PRESENTATION BMDP FINANCE PHASE 3"/>
    <x v="7"/>
    <x v="7"/>
    <x v="24"/>
    <s v="SP"/>
    <n v="1880288"/>
    <n v="20251216"/>
  </r>
  <r>
    <s v="16.12.2025"/>
    <x v="5"/>
    <n v="50"/>
    <n v="-665000"/>
    <s v="IDR"/>
    <n v="-665000"/>
    <s v="IDR"/>
    <m/>
    <m/>
    <m/>
    <s v="R124"/>
    <s v="1064/PPC/XII/25"/>
    <s v="PELATIHAN INTERNAL-KANTOR"/>
    <s v="BY KONSUMSI TRAINING BMDP MFG BGD 26 28/11/2025"/>
    <x v="22"/>
    <x v="22"/>
    <x v="33"/>
    <s v="SP"/>
    <n v="1880288"/>
    <n v="20251216"/>
  </r>
  <r>
    <s v="16.12.2025"/>
    <x v="5"/>
    <n v="50"/>
    <n v="-50000"/>
    <s v="IDR"/>
    <n v="-50000"/>
    <s v="IDR"/>
    <m/>
    <m/>
    <m/>
    <s v="R124"/>
    <s v="1051/PPC/XII/25"/>
    <s v="ADMIN &amp; DOKUMEN EKSPOR"/>
    <s v="BY HC HORGOS EBP 2411778692"/>
    <x v="18"/>
    <x v="18"/>
    <x v="1"/>
    <s v="SP"/>
    <n v="1880288"/>
    <n v="20251216"/>
  </r>
  <r>
    <s v="16.12.2025"/>
    <x v="5"/>
    <n v="50"/>
    <n v="-50000"/>
    <s v="IDR"/>
    <n v="-50000"/>
    <s v="IDR"/>
    <m/>
    <m/>
    <m/>
    <s v="R124"/>
    <s v="1051/PPC/XII/25"/>
    <s v="ADMIN &amp; DOKUMEN EKSPOR"/>
    <s v="BY HC HORGOS EBP 2411778693"/>
    <x v="18"/>
    <x v="18"/>
    <x v="1"/>
    <s v="SP"/>
    <n v="1880288"/>
    <n v="20251216"/>
  </r>
  <r>
    <s v="16.12.2025"/>
    <x v="5"/>
    <n v="50"/>
    <n v="-50000"/>
    <s v="IDR"/>
    <n v="-50000"/>
    <s v="IDR"/>
    <m/>
    <m/>
    <m/>
    <s v="R124"/>
    <s v="1051/PPC/XII/25"/>
    <s v="ADMIN &amp; DOKUMEN EKSPOR"/>
    <s v="BY HC AL ISLAM EBP 2411778634"/>
    <x v="18"/>
    <x v="18"/>
    <x v="1"/>
    <s v="SP"/>
    <n v="1880288"/>
    <n v="20251216"/>
  </r>
  <r>
    <s v="16.12.2025"/>
    <x v="5"/>
    <n v="50"/>
    <n v="-200000"/>
    <s v="IDR"/>
    <n v="-200000"/>
    <s v="IDR"/>
    <m/>
    <m/>
    <m/>
    <s v="R124"/>
    <s v="1051/PPC/XII/25"/>
    <s v="ADMIN &amp; DOKUMEN EKSPOR"/>
    <s v="BY COO KADIN AL ISLAM EBP 2411778634"/>
    <x v="18"/>
    <x v="18"/>
    <x v="1"/>
    <s v="SP"/>
    <n v="1880288"/>
    <n v="20251216"/>
  </r>
  <r>
    <s v="16.12.2025"/>
    <x v="5"/>
    <n v="50"/>
    <n v="-1000000"/>
    <s v="IDR"/>
    <n v="-1000000"/>
    <s v="IDR"/>
    <m/>
    <m/>
    <m/>
    <s v="R124"/>
    <s v="1055/PPC/XII/25"/>
    <s v="UMUM &amp; ADMIN LAIN"/>
    <s v="BY PEMB MATERAI U/ ADMIN EXPORT"/>
    <x v="15"/>
    <x v="15"/>
    <x v="1"/>
    <s v="SP"/>
    <n v="1880288"/>
    <n v="20251216"/>
  </r>
  <r>
    <s v="16.12.2025"/>
    <x v="5"/>
    <n v="50"/>
    <n v="-951106"/>
    <s v="IDR"/>
    <n v="-951106"/>
    <s v="IDR"/>
    <m/>
    <m/>
    <m/>
    <s v="R124"/>
    <s v="1058/PPC/XII/25"/>
    <s v="PBAIKN&amp;PRAWATN PRABT MATR"/>
    <s v="BY PEMB PELAMPUNG TOTO, FLUSH TOILET, KABEL PRINTR"/>
    <x v="3"/>
    <x v="3"/>
    <x v="9"/>
    <s v="SP"/>
    <n v="1880288"/>
    <n v="20251216"/>
  </r>
  <r>
    <s v="16.12.2025"/>
    <x v="5"/>
    <n v="50"/>
    <n v="-560000"/>
    <s v="IDR"/>
    <n v="-560000"/>
    <s v="IDR"/>
    <m/>
    <m/>
    <m/>
    <s v="R124"/>
    <s v="1065/PPC/XII/25"/>
    <s v="BAHAN BAKAR"/>
    <s v="BY TRANSPORTASI BBM 08-09/12/2025"/>
    <x v="6"/>
    <x v="6"/>
    <x v="9"/>
    <s v="SP"/>
    <n v="1880288"/>
    <n v="20251216"/>
  </r>
  <r>
    <s v="16.12.2025"/>
    <x v="5"/>
    <n v="50"/>
    <n v="-438000"/>
    <s v="IDR"/>
    <n v="-438000"/>
    <s v="IDR"/>
    <m/>
    <m/>
    <m/>
    <s v="R124"/>
    <s v="1065/PPC/XII/25"/>
    <s v="TRANSPORTASI LOKAL"/>
    <s v="BY TRANSPORTASI PARKIR TOL"/>
    <x v="5"/>
    <x v="5"/>
    <x v="9"/>
    <s v="SP"/>
    <n v="1880288"/>
    <n v="20251216"/>
  </r>
  <r>
    <s v="16.12.2025"/>
    <x v="5"/>
    <n v="50"/>
    <n v="-507000"/>
    <s v="IDR"/>
    <n v="-507000"/>
    <s v="IDR"/>
    <m/>
    <m/>
    <m/>
    <s v="R124"/>
    <s v="1066/PPC/XII/25"/>
    <s v="PBAIKN&amp;PRAWATN PRABT MATR"/>
    <s v="BY PEMB TOTO FLUSH, PYLOX"/>
    <x v="3"/>
    <x v="3"/>
    <x v="15"/>
    <s v="SP"/>
    <n v="1880288"/>
    <n v="20251216"/>
  </r>
  <r>
    <s v="16.12.2025"/>
    <x v="5"/>
    <n v="50"/>
    <n v="-227500"/>
    <s v="IDR"/>
    <n v="-227500"/>
    <s v="IDR"/>
    <m/>
    <m/>
    <m/>
    <s v="R124"/>
    <s v="1067/PPC/XII/25"/>
    <s v="RISET/PENGEMBANGAN PRODUK"/>
    <s v="BY ATCQ McD, SENSORY KFC"/>
    <x v="9"/>
    <x v="9"/>
    <x v="15"/>
    <s v="SP"/>
    <n v="1880288"/>
    <n v="20251216"/>
  </r>
  <r>
    <s v="16.12.2025"/>
    <x v="5"/>
    <n v="50"/>
    <n v="-65502"/>
    <s v="IDR"/>
    <n v="-65502"/>
    <s v="IDR"/>
    <m/>
    <m/>
    <m/>
    <s v="R124"/>
    <s v="1067/PPC/XII/25"/>
    <s v="PBAIKN&amp;PRAWATN PRABT MATR"/>
    <s v="BY PEMB TEEPOL U/ CUCI TALI SAMPLER"/>
    <x v="3"/>
    <x v="3"/>
    <x v="15"/>
    <s v="SP"/>
    <n v="1880288"/>
    <n v="20251216"/>
  </r>
  <r>
    <s v="16.12.2025"/>
    <x v="5"/>
    <n v="50"/>
    <n v="-800000"/>
    <s v="IDR"/>
    <n v="-800000"/>
    <s v="IDR"/>
    <m/>
    <m/>
    <m/>
    <s v="R124"/>
    <s v="1068/PPC/XII/25"/>
    <s v="BIAYA MESS"/>
    <s v="BY IURAN RT MESS PONDOK TJANDRA DES 2025"/>
    <x v="14"/>
    <x v="14"/>
    <x v="9"/>
    <s v="SP"/>
    <n v="1880288"/>
    <n v="20251216"/>
  </r>
  <r>
    <s v="16.12.2025"/>
    <x v="5"/>
    <n v="50"/>
    <n v="-851896"/>
    <s v="IDR"/>
    <n v="-851896"/>
    <s v="IDR"/>
    <m/>
    <m/>
    <m/>
    <s v="R124"/>
    <s v="1069/PPC/XII/25"/>
    <s v="RISET/PENGEMBANGAN PRODUK"/>
    <s v="BY COOLER BOX, BOTOL KACA SAMPLE"/>
    <x v="9"/>
    <x v="9"/>
    <x v="15"/>
    <s v="SP"/>
    <n v="1880288"/>
    <n v="20251216"/>
  </r>
  <r>
    <s v="16.12.2025"/>
    <x v="5"/>
    <n v="50"/>
    <n v="-109450"/>
    <s v="IDR"/>
    <n v="-109450"/>
    <s v="IDR"/>
    <m/>
    <m/>
    <m/>
    <s v="R124"/>
    <s v="1069/PPC/XII/25"/>
    <s v="PBAIKN&amp;PRAWATN PRABT MATR"/>
    <s v="BY PEMB POWERTEC CARABINER U/ TALI SAMPLER"/>
    <x v="3"/>
    <x v="3"/>
    <x v="15"/>
    <s v="SP"/>
    <n v="1880288"/>
    <n v="20251216"/>
  </r>
  <r>
    <s v="16.12.2025"/>
    <x v="5"/>
    <n v="50"/>
    <n v="-730769"/>
    <s v="IDR"/>
    <n v="-730769"/>
    <s v="IDR"/>
    <m/>
    <m/>
    <m/>
    <s v="R124"/>
    <s v="1070/PPC/XII/25"/>
    <s v="PBAIKN&amp;PRAWATN PRABT MATR"/>
    <s v="BY PEMB TALI KARMANTEL, BATERAI TERMOLOGGER"/>
    <x v="3"/>
    <x v="3"/>
    <x v="15"/>
    <s v="SP"/>
    <n v="1880288"/>
    <n v="20251216"/>
  </r>
  <r>
    <s v="16.12.2025"/>
    <x v="5"/>
    <n v="50"/>
    <n v="-43000"/>
    <s v="IDR"/>
    <n v="-43000"/>
    <s v="IDR"/>
    <m/>
    <m/>
    <m/>
    <s v="R124"/>
    <s v="1070/PPC/XII/25"/>
    <s v="KIRIM DOKUMEN/SURAT"/>
    <s v="BY KIRIM SAMPLE SGS"/>
    <x v="15"/>
    <x v="15"/>
    <x v="15"/>
    <s v="SP"/>
    <n v="1880288"/>
    <n v="20251216"/>
  </r>
  <r>
    <s v="16.12.2025"/>
    <x v="5"/>
    <n v="50"/>
    <n v="-155500"/>
    <s v="IDR"/>
    <n v="-155500"/>
    <s v="IDR"/>
    <m/>
    <m/>
    <m/>
    <s v="R124"/>
    <s v="1070/PPC/XII/25"/>
    <s v="RISET/PENGEMBANGAN PRODUK"/>
    <s v="BY ATCQ McD"/>
    <x v="9"/>
    <x v="9"/>
    <x v="15"/>
    <s v="SP"/>
    <n v="1880288"/>
    <n v="20251216"/>
  </r>
  <r>
    <s v="16.12.2025"/>
    <x v="5"/>
    <n v="50"/>
    <n v="-64000"/>
    <s v="IDR"/>
    <n v="-64000"/>
    <s v="IDR"/>
    <m/>
    <m/>
    <m/>
    <s v="R124"/>
    <s v="1070/PPC/XII/25"/>
    <s v="PERALATAN KANTOR"/>
    <s v="BY PEMB SPIDOL, GLUE STICK"/>
    <x v="16"/>
    <x v="16"/>
    <x v="15"/>
    <s v="SP"/>
    <n v="1880288"/>
    <n v="20251216"/>
  </r>
  <r>
    <s v="16.12.2025"/>
    <x v="5"/>
    <n v="50"/>
    <n v="-600000"/>
    <s v="IDR"/>
    <n v="-600000"/>
    <s v="IDR"/>
    <m/>
    <m/>
    <m/>
    <s v="R124"/>
    <s v="1072/PPC/XII/25"/>
    <s v="SUMBANGAN SOSIAL"/>
    <s v="BY SUKACITA NIKAH A.N UJANG EKO P"/>
    <x v="20"/>
    <x v="20"/>
    <x v="11"/>
    <s v="SP"/>
    <n v="1880288"/>
    <n v="20251216"/>
  </r>
  <r>
    <s v="16.12.2025"/>
    <x v="5"/>
    <n v="50"/>
    <n v="-600000"/>
    <s v="IDR"/>
    <n v="-600000"/>
    <s v="IDR"/>
    <m/>
    <m/>
    <m/>
    <s v="R124"/>
    <s v="1073/PPC/XII/25"/>
    <s v="SUMBANGAN SOSIAL"/>
    <s v="BY SUKACITA NIKAH A.N MUH. SULTON"/>
    <x v="20"/>
    <x v="20"/>
    <x v="15"/>
    <s v="SP"/>
    <n v="1880288"/>
    <n v="20251216"/>
  </r>
  <r>
    <s v="16.12.2025"/>
    <x v="5"/>
    <n v="50"/>
    <n v="-600000"/>
    <s v="IDR"/>
    <n v="-600000"/>
    <s v="IDR"/>
    <m/>
    <m/>
    <m/>
    <s v="R124"/>
    <s v="1074/PPC/XII/25"/>
    <s v="SUMBANGAN SOSIAL"/>
    <s v="BY SUKACITA NIKAH A.N ORIENTASI P"/>
    <x v="20"/>
    <x v="20"/>
    <x v="17"/>
    <s v="SP"/>
    <n v="1880288"/>
    <n v="20251216"/>
  </r>
  <r>
    <s v="16.12.2025"/>
    <x v="5"/>
    <n v="50"/>
    <n v="-50000"/>
    <s v="IDR"/>
    <n v="-50000"/>
    <s v="IDR"/>
    <m/>
    <m/>
    <m/>
    <s v="R124"/>
    <s v="1075/PPC/XII/25"/>
    <s v="ADMIN &amp; DOKUMEN EKSPOR"/>
    <s v="BY HC NESTLE SENEGAL ETP 2411778781"/>
    <x v="18"/>
    <x v="18"/>
    <x v="8"/>
    <s v="SP"/>
    <n v="1880288"/>
    <n v="20251216"/>
  </r>
  <r>
    <s v="16.12.2025"/>
    <x v="5"/>
    <n v="50"/>
    <n v="-50000"/>
    <s v="IDR"/>
    <n v="-50000"/>
    <s v="IDR"/>
    <m/>
    <m/>
    <m/>
    <s v="R124"/>
    <s v="1075/PPC/XII/25"/>
    <s v="ADMIN &amp; DOKUMEN EKSPOR"/>
    <s v="BY HC HORGOS EBP 2411778783"/>
    <x v="18"/>
    <x v="18"/>
    <x v="1"/>
    <s v="SP"/>
    <n v="1880288"/>
    <n v="20251216"/>
  </r>
  <r>
    <s v="16.12.2025"/>
    <x v="5"/>
    <n v="50"/>
    <n v="-50000"/>
    <s v="IDR"/>
    <n v="-50000"/>
    <s v="IDR"/>
    <m/>
    <m/>
    <m/>
    <s v="R124"/>
    <s v="1075/PPC/XII/25"/>
    <s v="ADMIN &amp; DOKUMEN EKSPOR"/>
    <s v="BY HC SUICHANGLONG EBP 2411778696"/>
    <x v="18"/>
    <x v="18"/>
    <x v="1"/>
    <s v="SP"/>
    <n v="1880288"/>
    <n v="20251216"/>
  </r>
  <r>
    <s v="16.12.2025"/>
    <x v="5"/>
    <n v="50"/>
    <n v="-509000"/>
    <s v="IDR"/>
    <n v="-509000"/>
    <s v="IDR"/>
    <m/>
    <m/>
    <m/>
    <s v="R124"/>
    <s v="1076/PPC/XII/25"/>
    <s v="PEMEL.BNGAN&amp;PSARANA MATRL"/>
    <s v="BY PEMB WIPER, CAT NO DROP, SERAT FIBER, PAKU, DLL"/>
    <x v="8"/>
    <x v="8"/>
    <x v="14"/>
    <s v="SP"/>
    <n v="1880288"/>
    <n v="20251216"/>
  </r>
  <r>
    <s v="16.12.2025"/>
    <x v="5"/>
    <n v="50"/>
    <n v="-290500"/>
    <s v="IDR"/>
    <n v="-290500"/>
    <s v="IDR"/>
    <m/>
    <m/>
    <m/>
    <s v="R124"/>
    <s v="1077/PPC/XII/25"/>
    <s v="BIAYA MESS"/>
    <s v="BY PDAM MESS PKTJAND DES 2025"/>
    <x v="14"/>
    <x v="14"/>
    <x v="9"/>
    <s v="SP"/>
    <n v="1880288"/>
    <n v="20251216"/>
  </r>
  <r>
    <s v="16.12.2025"/>
    <x v="5"/>
    <n v="50"/>
    <n v="-386262"/>
    <s v="IDR"/>
    <n v="-386262"/>
    <s v="IDR"/>
    <m/>
    <m/>
    <m/>
    <s v="R124"/>
    <s v="1078/PPC/XII/25"/>
    <s v="MAKANAN DAN MINUMAN"/>
    <s v="BY KONSUMSI P2K3 MEETING, EHFS AWARD 2025"/>
    <x v="7"/>
    <x v="7"/>
    <x v="16"/>
    <s v="SP"/>
    <n v="1880288"/>
    <n v="20251216"/>
  </r>
  <r>
    <s v="16.12.2025"/>
    <x v="5"/>
    <n v="50"/>
    <n v="-1000000"/>
    <s v="IDR"/>
    <n v="-1000000"/>
    <s v="IDR"/>
    <m/>
    <m/>
    <m/>
    <s v="R124"/>
    <s v="1080/PPC/XII/25"/>
    <s v="BAHAN BAKAR"/>
    <s v="BY TRANSPORTASI BBM 09-11/12/2025"/>
    <x v="6"/>
    <x v="6"/>
    <x v="9"/>
    <s v="SP"/>
    <n v="1880288"/>
    <n v="20251216"/>
  </r>
  <r>
    <s v="16.12.2025"/>
    <x v="5"/>
    <n v="50"/>
    <n v="-50000"/>
    <s v="IDR"/>
    <n v="-50000"/>
    <s v="IDR"/>
    <m/>
    <m/>
    <m/>
    <s v="R124"/>
    <s v="1081/PPC/XII/25"/>
    <s v="ADMIN &amp; DOKUMEN EKSPOR"/>
    <s v="BY HC SMART SHAHULA EBP 2411778644"/>
    <x v="18"/>
    <x v="18"/>
    <x v="2"/>
    <s v="SP"/>
    <n v="1880288"/>
    <n v="20251216"/>
  </r>
  <r>
    <s v="16.12.2025"/>
    <x v="5"/>
    <n v="50"/>
    <n v="-50000"/>
    <s v="IDR"/>
    <n v="-50000"/>
    <s v="IDR"/>
    <m/>
    <m/>
    <m/>
    <s v="R124"/>
    <s v="1081/PPC/XII/25"/>
    <s v="ADMIN &amp; DOKUMEN EKSPOR"/>
    <s v="BY HC NESTLE GHANA ETP 2411778704"/>
    <x v="18"/>
    <x v="18"/>
    <x v="8"/>
    <s v="SP"/>
    <n v="1880288"/>
    <n v="20251216"/>
  </r>
  <r>
    <s v="16.12.2025"/>
    <x v="5"/>
    <n v="50"/>
    <n v="-50000"/>
    <s v="IDR"/>
    <n v="-50000"/>
    <s v="IDR"/>
    <m/>
    <m/>
    <m/>
    <s v="R124"/>
    <s v="1081/PPC/XII/25"/>
    <s v="ADMIN &amp; DOKUMEN EKSPOR"/>
    <s v="BY HC NESTLE PNG ETP 2411778753"/>
    <x v="18"/>
    <x v="18"/>
    <x v="8"/>
    <s v="SP"/>
    <n v="1880288"/>
    <n v="20251216"/>
  </r>
  <r>
    <s v="16.12.2025"/>
    <x v="5"/>
    <n v="50"/>
    <n v="-50000"/>
    <s v="IDR"/>
    <n v="-50000"/>
    <s v="IDR"/>
    <m/>
    <m/>
    <m/>
    <s v="R124"/>
    <s v="1081/PPC/XII/25"/>
    <s v="ADMIN &amp; DOKUMEN EKSPOR"/>
    <s v="BY HC NESTLE PNG ETP 2411778752"/>
    <x v="18"/>
    <x v="18"/>
    <x v="8"/>
    <s v="SP"/>
    <n v="1880288"/>
    <n v="20251216"/>
  </r>
  <r>
    <s v="16.12.2025"/>
    <x v="5"/>
    <n v="50"/>
    <n v="-50000"/>
    <s v="IDR"/>
    <n v="-50000"/>
    <s v="IDR"/>
    <m/>
    <m/>
    <m/>
    <s v="R124"/>
    <s v="1081/PPC/XII/25"/>
    <s v="ADMIN &amp; DOKUMEN EKSPOR"/>
    <s v="BY HC NESTLE AUSTRALIA ETP 2411778620"/>
    <x v="18"/>
    <x v="18"/>
    <x v="8"/>
    <s v="SP"/>
    <n v="1880288"/>
    <n v="20251216"/>
  </r>
  <r>
    <s v="16.12.2025"/>
    <x v="5"/>
    <n v="50"/>
    <n v="-50000"/>
    <s v="IDR"/>
    <n v="-50000"/>
    <s v="IDR"/>
    <m/>
    <m/>
    <m/>
    <s v="R124"/>
    <s v="1081/PPC/XII/25"/>
    <s v="ADMIN &amp; DOKUMEN EKSPOR"/>
    <s v="BY HC NESTLE AUSTRALIA ETP 2411778705"/>
    <x v="18"/>
    <x v="18"/>
    <x v="8"/>
    <s v="SP"/>
    <n v="1880288"/>
    <n v="20251216"/>
  </r>
  <r>
    <s v="16.12.2025"/>
    <x v="5"/>
    <n v="50"/>
    <n v="-400000"/>
    <s v="IDR"/>
    <n v="-400000"/>
    <s v="IDR"/>
    <m/>
    <m/>
    <m/>
    <s v="R124"/>
    <s v="1082/PPC/XII/25"/>
    <s v="OLAHRAGA DAN PERMAINAN"/>
    <s v="BY OLAHRAGA 12/12/2025"/>
    <x v="0"/>
    <x v="0"/>
    <x v="0"/>
    <s v="SP"/>
    <n v="1880288"/>
    <n v="20251216"/>
  </r>
  <r>
    <s v="16.12.2025"/>
    <x v="5"/>
    <n v="50"/>
    <n v="-620000"/>
    <s v="IDR"/>
    <n v="-620000"/>
    <s v="IDR"/>
    <m/>
    <m/>
    <m/>
    <s v="R124"/>
    <s v="1083/PPC/XII/25"/>
    <s v="BAHAN BAKAR"/>
    <s v="BY TRANSPORTASI BBM 11-15/12/2025"/>
    <x v="6"/>
    <x v="6"/>
    <x v="9"/>
    <s v="SP"/>
    <n v="1880288"/>
    <n v="20251216"/>
  </r>
  <r>
    <s v="16.12.2025"/>
    <x v="5"/>
    <n v="50"/>
    <n v="-380000"/>
    <s v="IDR"/>
    <n v="-380000"/>
    <s v="IDR"/>
    <m/>
    <m/>
    <m/>
    <s v="R124"/>
    <s v="1083/PPC/XII/25"/>
    <s v="TRANSPORTASI LOKAL"/>
    <s v="BY TRANSPORTASI PARKIR TOL"/>
    <x v="5"/>
    <x v="5"/>
    <x v="9"/>
    <s v="SP"/>
    <n v="1880288"/>
    <n v="20251216"/>
  </r>
  <r>
    <s v="16.12.2025"/>
    <x v="5"/>
    <n v="50"/>
    <n v="-512300"/>
    <s v="IDR"/>
    <n v="-512300"/>
    <s v="IDR"/>
    <m/>
    <m/>
    <m/>
    <s v="R124"/>
    <s v="1084/PPC/XII/25"/>
    <s v="RISET/PENGEMBANGAN PRODUK"/>
    <s v="BY PEMB BOTOL DURAN 1 L U/ SAMPLE"/>
    <x v="9"/>
    <x v="9"/>
    <x v="8"/>
    <s v="SP"/>
    <n v="1880288"/>
    <n v="20251216"/>
  </r>
  <r>
    <s v="16.12.2025"/>
    <x v="5"/>
    <n v="50"/>
    <n v="-151500"/>
    <s v="IDR"/>
    <n v="-151500"/>
    <s v="IDR"/>
    <m/>
    <m/>
    <m/>
    <s v="R124"/>
    <s v="1085/PPC/XII/25"/>
    <s v="PERALATAN KANTOR"/>
    <s v="BY PEMB INK PAD (STEMPEL)"/>
    <x v="16"/>
    <x v="16"/>
    <x v="24"/>
    <s v="SP"/>
    <n v="1880288"/>
    <n v="20251216"/>
  </r>
  <r>
    <s v="16.12.2025"/>
    <x v="5"/>
    <n v="50"/>
    <n v="-50000"/>
    <s v="IDR"/>
    <n v="-50000"/>
    <s v="IDR"/>
    <m/>
    <m/>
    <m/>
    <s v="R124"/>
    <s v="1086/PPC/XII/25"/>
    <s v="ADMIN &amp; DOKUMEN EKSPOR"/>
    <s v="BY HC NESTLE GHANA ETP 2411778871"/>
    <x v="18"/>
    <x v="18"/>
    <x v="8"/>
    <s v="SP"/>
    <n v="1880288"/>
    <n v="20251216"/>
  </r>
  <r>
    <s v="16.12.2025"/>
    <x v="5"/>
    <n v="50"/>
    <n v="-50000"/>
    <s v="IDR"/>
    <n v="-50000"/>
    <s v="IDR"/>
    <m/>
    <m/>
    <m/>
    <s v="R124"/>
    <s v="1086/PPC/XII/25"/>
    <s v="ADMIN &amp; DOKUMEN EKSPOR"/>
    <s v="BY HC SG OILSEED EBP 2411778822"/>
    <x v="18"/>
    <x v="18"/>
    <x v="1"/>
    <s v="SP"/>
    <n v="1880288"/>
    <n v="20251216"/>
  </r>
  <r>
    <s v="16.12.2025"/>
    <x v="5"/>
    <n v="50"/>
    <n v="-50000"/>
    <s v="IDR"/>
    <n v="-50000"/>
    <s v="IDR"/>
    <m/>
    <m/>
    <m/>
    <s v="R124"/>
    <s v="1086/PPC/XII/25"/>
    <s v="ADMIN &amp; DOKUMEN EKSPOR"/>
    <s v="BY HC AZ CORP EBP 2411778487"/>
    <x v="18"/>
    <x v="18"/>
    <x v="2"/>
    <s v="SP"/>
    <n v="1880288"/>
    <n v="20251216"/>
  </r>
  <r>
    <s v="22.12.2025"/>
    <x v="5"/>
    <n v="50"/>
    <n v="-50000"/>
    <s v="IDR"/>
    <n v="-50000"/>
    <s v="IDR"/>
    <m/>
    <m/>
    <m/>
    <s v="R124"/>
    <s v="1088/PPC/XII/25"/>
    <s v="ADMIN &amp; DOKUMEN EKSPOR"/>
    <s v="BY HC GUANGDONG SHENGRONG EBP 2411778626-REPROSES"/>
    <x v="18"/>
    <x v="18"/>
    <x v="1"/>
    <s v="SP"/>
    <n v="1880288"/>
    <n v="20251222"/>
  </r>
  <r>
    <s v="22.12.2025"/>
    <x v="5"/>
    <n v="50"/>
    <n v="-50000"/>
    <s v="IDR"/>
    <n v="-50000"/>
    <s v="IDR"/>
    <m/>
    <m/>
    <m/>
    <s v="R124"/>
    <s v="1088/PPC/XII/25"/>
    <s v="ADMIN &amp; DOKUMEN EKSPOR"/>
    <s v="BY HC NESTLE SENEGAL ETP 2411778934"/>
    <x v="18"/>
    <x v="18"/>
    <x v="8"/>
    <s v="SP"/>
    <n v="1880288"/>
    <n v="20251222"/>
  </r>
  <r>
    <s v="22.12.2025"/>
    <x v="5"/>
    <n v="50"/>
    <n v="-50000"/>
    <s v="IDR"/>
    <n v="-50000"/>
    <s v="IDR"/>
    <m/>
    <m/>
    <m/>
    <s v="R124"/>
    <s v="1088/PPC/XII/25"/>
    <s v="ADMIN &amp; DOKUMEN EKSPOR"/>
    <s v="BY HC SUICHANGLONG EBP 2411778923"/>
    <x v="18"/>
    <x v="18"/>
    <x v="18"/>
    <s v="SP"/>
    <n v="1880288"/>
    <n v="20251222"/>
  </r>
  <r>
    <s v="22.12.2025"/>
    <x v="5"/>
    <n v="50"/>
    <n v="-50000"/>
    <s v="IDR"/>
    <n v="-50000"/>
    <s v="IDR"/>
    <m/>
    <m/>
    <m/>
    <s v="R124"/>
    <s v="1088/PPC/XII/25"/>
    <s v="ADMIN &amp; DOKUMEN EKSPOR"/>
    <s v="BY HC BELTEK EBP 2411778895"/>
    <x v="18"/>
    <x v="18"/>
    <x v="1"/>
    <s v="SP"/>
    <n v="1880288"/>
    <n v="20251222"/>
  </r>
  <r>
    <s v="22.12.2025"/>
    <x v="5"/>
    <n v="50"/>
    <n v="-50000"/>
    <s v="IDR"/>
    <n v="-50000"/>
    <s v="IDR"/>
    <m/>
    <m/>
    <m/>
    <s v="R124"/>
    <s v="1088/PPC/XII/25"/>
    <s v="ADMIN &amp; DOKUMEN EKSPOR"/>
    <s v="BY HC DAZHI EBP 2411778872"/>
    <x v="18"/>
    <x v="18"/>
    <x v="18"/>
    <s v="SP"/>
    <n v="1880288"/>
    <n v="20251222"/>
  </r>
  <r>
    <s v="22.12.2025"/>
    <x v="5"/>
    <n v="50"/>
    <n v="-269820"/>
    <s v="IDR"/>
    <n v="-269820"/>
    <s v="IDR"/>
    <m/>
    <m/>
    <m/>
    <s v="R124"/>
    <s v="1089/PPC/XII/25"/>
    <s v="PBAIKN&amp;PRAWATN PRABT MATR"/>
    <s v="BY PEMB LOOP HANDLE POT U/ MIXING PLA TOCO"/>
    <x v="3"/>
    <x v="3"/>
    <x v="29"/>
    <s v="SP"/>
    <n v="1880288"/>
    <n v="20251222"/>
  </r>
  <r>
    <s v="22.12.2025"/>
    <x v="5"/>
    <n v="50"/>
    <n v="-775080"/>
    <s v="IDR"/>
    <n v="-775080"/>
    <s v="IDR"/>
    <m/>
    <m/>
    <m/>
    <s v="R124"/>
    <s v="1090/PPC/XII/25"/>
    <s v="PBAIKN&amp;PRAWATN PRABT MATR"/>
    <s v="BY PEMB LOOP HANDLE POT U/ MIXING AP LIQUID&amp;LECIT"/>
    <x v="3"/>
    <x v="3"/>
    <x v="6"/>
    <s v="SP"/>
    <n v="1880288"/>
    <n v="20251222"/>
  </r>
  <r>
    <s v="22.12.2025"/>
    <x v="5"/>
    <n v="50"/>
    <n v="-171000"/>
    <s v="IDR"/>
    <n v="-171000"/>
    <s v="IDR"/>
    <m/>
    <m/>
    <m/>
    <s v="R124"/>
    <s v="1093/PPC/XII/25"/>
    <s v="PEMEL.KEND&amp;A.BERAT MATRL"/>
    <s v="BY PEMB RESIN MERAH, KATALIS, SAMBUNGAN RANTAI"/>
    <x v="2"/>
    <x v="2"/>
    <x v="11"/>
    <s v="SP"/>
    <n v="1880288"/>
    <n v="20251222"/>
  </r>
  <r>
    <s v="22.12.2025"/>
    <x v="5"/>
    <n v="50"/>
    <n v="-951025"/>
    <s v="IDR"/>
    <n v="-951025"/>
    <s v="IDR"/>
    <m/>
    <m/>
    <m/>
    <s v="R124"/>
    <s v="1091/PPC/XII/25"/>
    <s v="PBAIKN&amp;PRAWATN PRABT MATR"/>
    <s v="BY PEMB TUTUP CLOSED TOILET, ADAPTOR GERINDA, LEM,"/>
    <x v="3"/>
    <x v="3"/>
    <x v="9"/>
    <s v="SP"/>
    <n v="1880288"/>
    <n v="20251222"/>
  </r>
  <r>
    <s v="22.12.2025"/>
    <x v="5"/>
    <n v="50"/>
    <n v="-50000"/>
    <s v="IDR"/>
    <n v="-50000"/>
    <s v="IDR"/>
    <m/>
    <m/>
    <m/>
    <s v="R124"/>
    <s v="1079/PPC/XII/25"/>
    <s v="ADMIN &amp; DOKUMEN EKSPOR"/>
    <s v="BY HC AST PVT EBP 2411778764"/>
    <x v="18"/>
    <x v="18"/>
    <x v="1"/>
    <s v="SP"/>
    <n v="1880288"/>
    <n v="20251222"/>
  </r>
  <r>
    <s v="22.12.2025"/>
    <x v="5"/>
    <n v="50"/>
    <n v="-50000"/>
    <s v="IDR"/>
    <n v="-50000"/>
    <s v="IDR"/>
    <m/>
    <m/>
    <m/>
    <s v="R124"/>
    <s v="1079/PPC/XII/25"/>
    <s v="ADMIN &amp; DOKUMEN EKSPOR"/>
    <s v="BY HC SUICHANGLONG EBP 2411778804"/>
    <x v="18"/>
    <x v="18"/>
    <x v="18"/>
    <s v="SP"/>
    <n v="1880288"/>
    <n v="20251222"/>
  </r>
  <r>
    <s v="22.12.2025"/>
    <x v="5"/>
    <n v="50"/>
    <n v="-50000"/>
    <s v="IDR"/>
    <n v="-50000"/>
    <s v="IDR"/>
    <m/>
    <m/>
    <m/>
    <s v="R124"/>
    <s v="1079/PPC/XII/25"/>
    <s v="ADMIN &amp; DOKUMEN EKSPOR"/>
    <s v="BY HC AL ISLAM EBP 2411778841"/>
    <x v="18"/>
    <x v="18"/>
    <x v="1"/>
    <s v="SP"/>
    <n v="1880288"/>
    <n v="20251222"/>
  </r>
  <r>
    <s v="22.12.2025"/>
    <x v="5"/>
    <n v="50"/>
    <n v="-50000"/>
    <s v="IDR"/>
    <n v="-50000"/>
    <s v="IDR"/>
    <m/>
    <m/>
    <m/>
    <s v="R124"/>
    <s v="1079/PPC/XII/25"/>
    <s v="ADMIN &amp; DOKUMEN EKSPOR"/>
    <s v="BY HC HORGOS BAIPENG EBP 2411778873"/>
    <x v="18"/>
    <x v="18"/>
    <x v="1"/>
    <s v="SP"/>
    <n v="1880288"/>
    <n v="20251222"/>
  </r>
  <r>
    <s v="22.12.2025"/>
    <x v="5"/>
    <n v="50"/>
    <n v="-50000"/>
    <s v="IDR"/>
    <n v="-50000"/>
    <s v="IDR"/>
    <m/>
    <m/>
    <m/>
    <s v="R124"/>
    <s v="1079/PPC/XII/25"/>
    <s v="ADMIN &amp; DOKUMEN EKSPOR"/>
    <s v="BY HC FUJIAN EBP 2411778569"/>
    <x v="18"/>
    <x v="18"/>
    <x v="18"/>
    <s v="SP"/>
    <n v="1880288"/>
    <n v="20251222"/>
  </r>
  <r>
    <s v="22.12.2025"/>
    <x v="5"/>
    <n v="50"/>
    <n v="-200000"/>
    <s v="IDR"/>
    <n v="-200000"/>
    <s v="IDR"/>
    <m/>
    <m/>
    <m/>
    <s v="R124"/>
    <s v="1079/PPC/XII/25"/>
    <s v="ADMIN &amp; DOKUMEN EKSPOR"/>
    <s v="BY COO KADIN AST PVT EBP 2411778764"/>
    <x v="18"/>
    <x v="18"/>
    <x v="1"/>
    <s v="SP"/>
    <n v="1880288"/>
    <n v="20251222"/>
  </r>
  <r>
    <s v="22.12.2025"/>
    <x v="5"/>
    <n v="50"/>
    <n v="-200000"/>
    <s v="IDR"/>
    <n v="-200000"/>
    <s v="IDR"/>
    <m/>
    <m/>
    <m/>
    <s v="R124"/>
    <s v="1079/PPC/XII/25"/>
    <s v="ADMIN &amp; DOKUMEN EKSPOR"/>
    <s v="BY COO KADIN AL ISLAM EBP 2411778841"/>
    <x v="18"/>
    <x v="18"/>
    <x v="1"/>
    <s v="SP"/>
    <n v="1880288"/>
    <n v="20251222"/>
  </r>
  <r>
    <s v="22.12.2025"/>
    <x v="5"/>
    <n v="50"/>
    <n v="-610000"/>
    <s v="IDR"/>
    <n v="-610000"/>
    <s v="IDR"/>
    <m/>
    <m/>
    <m/>
    <s v="R124"/>
    <s v="1095/PPC/XII/25"/>
    <s v="MAKANAN DAN MINUMAN"/>
    <s v="BY KONSUMSI DRILL SIMULASI KEBAKARAN"/>
    <x v="7"/>
    <x v="7"/>
    <x v="16"/>
    <s v="SP"/>
    <n v="1880288"/>
    <n v="20251222"/>
  </r>
  <r>
    <s v="22.12.2025"/>
    <x v="5"/>
    <n v="50"/>
    <n v="-50000"/>
    <s v="IDR"/>
    <n v="-50000"/>
    <s v="IDR"/>
    <m/>
    <m/>
    <m/>
    <s v="R124"/>
    <s v="1096/PPC/XII/25"/>
    <s v="ADMIN &amp; DOKUMEN EKSPOR"/>
    <s v="BY HC HORGOS BAIPENG EBP 2411778799"/>
    <x v="18"/>
    <x v="18"/>
    <x v="1"/>
    <s v="SP"/>
    <n v="1880288"/>
    <n v="20251222"/>
  </r>
  <r>
    <s v="22.12.2025"/>
    <x v="5"/>
    <n v="50"/>
    <n v="-50000"/>
    <s v="IDR"/>
    <n v="-50000"/>
    <s v="IDR"/>
    <m/>
    <m/>
    <m/>
    <s v="R124"/>
    <s v="1096/PPC/XII/25"/>
    <s v="ADMIN &amp; DOKUMEN EKSPOR"/>
    <s v="BY HC SG OILSEED EBP 2411779009"/>
    <x v="18"/>
    <x v="18"/>
    <x v="1"/>
    <s v="SP"/>
    <n v="1880288"/>
    <n v="20251222"/>
  </r>
  <r>
    <s v="22.12.2025"/>
    <x v="5"/>
    <n v="50"/>
    <n v="-50000"/>
    <s v="IDR"/>
    <n v="-50000"/>
    <s v="IDR"/>
    <m/>
    <m/>
    <m/>
    <s v="R124"/>
    <s v="1096/PPC/XII/25"/>
    <s v="ADMIN &amp; DOKUMEN EKSPOR"/>
    <s v="BY HC HORGOS BAIPENG EBP 2411778925"/>
    <x v="18"/>
    <x v="18"/>
    <x v="1"/>
    <s v="SP"/>
    <n v="1880288"/>
    <n v="20251222"/>
  </r>
  <r>
    <s v="22.12.2025"/>
    <x v="5"/>
    <n v="50"/>
    <n v="-50000"/>
    <s v="IDR"/>
    <n v="-50000"/>
    <s v="IDR"/>
    <m/>
    <m/>
    <m/>
    <s v="R124"/>
    <s v="1096/PPC/XII/25"/>
    <s v="ADMIN &amp; DOKUMEN EKSPOR"/>
    <s v="BY HC GUANGDONG SHENGRONG EBP 2411778893"/>
    <x v="18"/>
    <x v="18"/>
    <x v="18"/>
    <s v="SP"/>
    <n v="1880288"/>
    <n v="20251222"/>
  </r>
  <r>
    <s v="22.12.2025"/>
    <x v="5"/>
    <n v="50"/>
    <n v="-50000"/>
    <s v="IDR"/>
    <n v="-50000"/>
    <s v="IDR"/>
    <m/>
    <m/>
    <m/>
    <s v="R124"/>
    <s v="1096/PPC/XII/25"/>
    <s v="ADMIN &amp; DOKUMEN EKSPOR"/>
    <s v="BY HC SUICHANGLONG EBP 2411778924"/>
    <x v="18"/>
    <x v="18"/>
    <x v="1"/>
    <s v="SP"/>
    <n v="1880288"/>
    <n v="20251222"/>
  </r>
  <r>
    <s v="22.12.2025"/>
    <x v="5"/>
    <n v="50"/>
    <n v="-50000"/>
    <s v="IDR"/>
    <n v="-50000"/>
    <s v="IDR"/>
    <m/>
    <m/>
    <m/>
    <s v="R124"/>
    <s v="1096/PPC/XII/25"/>
    <s v="ADMIN &amp; DOKUMEN EKSPOR"/>
    <s v="BY HC HORGOS BAIPENG EBP 2411778695"/>
    <x v="18"/>
    <x v="18"/>
    <x v="1"/>
    <s v="SP"/>
    <n v="1880288"/>
    <n v="20251222"/>
  </r>
  <r>
    <s v="22.12.2025"/>
    <x v="5"/>
    <n v="50"/>
    <n v="-50000"/>
    <s v="IDR"/>
    <n v="-50000"/>
    <s v="IDR"/>
    <m/>
    <m/>
    <m/>
    <s v="R124"/>
    <s v="1096/PPC/XII/25"/>
    <s v="ADMIN &amp; DOKUMEN EKSPOR"/>
    <s v="BY HC HORGOS BAIPENG EBP 2411778785"/>
    <x v="18"/>
    <x v="18"/>
    <x v="1"/>
    <s v="SP"/>
    <n v="1880288"/>
    <n v="20251222"/>
  </r>
  <r>
    <s v="22.12.2025"/>
    <x v="5"/>
    <n v="50"/>
    <n v="-50000"/>
    <s v="IDR"/>
    <n v="-50000"/>
    <s v="IDR"/>
    <m/>
    <m/>
    <m/>
    <s v="R124"/>
    <s v="1096/PPC/XII/25"/>
    <s v="ADMIN &amp; DOKUMEN EKSPOR"/>
    <s v="BY HC GUANGDONG SHENGRONG EBP 2411778802"/>
    <x v="18"/>
    <x v="18"/>
    <x v="18"/>
    <s v="SP"/>
    <n v="1880288"/>
    <n v="20251222"/>
  </r>
  <r>
    <s v="22.12.2025"/>
    <x v="5"/>
    <n v="50"/>
    <n v="-50000"/>
    <s v="IDR"/>
    <n v="-50000"/>
    <s v="IDR"/>
    <m/>
    <m/>
    <m/>
    <s v="R124"/>
    <s v="1096/PPC/XII/25"/>
    <s v="ADMIN &amp; DOKUMEN EKSPOR"/>
    <s v="BY HC SG OILSEED EBP 2411778801"/>
    <x v="18"/>
    <x v="18"/>
    <x v="1"/>
    <s v="SP"/>
    <n v="1880288"/>
    <n v="20251222"/>
  </r>
  <r>
    <s v="22.12.2025"/>
    <x v="5"/>
    <n v="50"/>
    <n v="-50000"/>
    <s v="IDR"/>
    <n v="-50000"/>
    <s v="IDR"/>
    <m/>
    <m/>
    <m/>
    <s v="R124"/>
    <s v="1096/PPC/XII/25"/>
    <s v="ADMIN &amp; DOKUMEN EKSPOR"/>
    <s v="BY HC HORGOS BAIPENG EBP 2411778515 - REPROSES"/>
    <x v="18"/>
    <x v="18"/>
    <x v="1"/>
    <s v="SP"/>
    <n v="1880288"/>
    <n v="20251222"/>
  </r>
  <r>
    <s v="22.12.2025"/>
    <x v="5"/>
    <n v="50"/>
    <n v="-50000"/>
    <s v="IDR"/>
    <n v="-50000"/>
    <s v="IDR"/>
    <m/>
    <m/>
    <m/>
    <s v="R124"/>
    <s v="1096/PPC/XII/25"/>
    <s v="ADMIN &amp; DOKUMEN EKSPOR"/>
    <s v="BY HC SG OILSEED EBP 2411778726"/>
    <x v="18"/>
    <x v="18"/>
    <x v="1"/>
    <s v="SP"/>
    <n v="1880288"/>
    <n v="20251222"/>
  </r>
  <r>
    <s v="22.12.2025"/>
    <x v="5"/>
    <n v="50"/>
    <n v="-50000"/>
    <s v="IDR"/>
    <n v="-50000"/>
    <s v="IDR"/>
    <m/>
    <m/>
    <m/>
    <s v="R124"/>
    <s v="1096/PPC/XII/25"/>
    <s v="ADMIN &amp; DOKUMEN EKSPOR"/>
    <s v="BY HC HORGOS BAIPENG EBP 2411778327"/>
    <x v="18"/>
    <x v="18"/>
    <x v="1"/>
    <s v="SP"/>
    <n v="1880288"/>
    <n v="20251222"/>
  </r>
  <r>
    <s v="22.12.2025"/>
    <x v="5"/>
    <n v="50"/>
    <n v="-50000"/>
    <s v="IDR"/>
    <n v="-50000"/>
    <s v="IDR"/>
    <m/>
    <m/>
    <m/>
    <s v="R124"/>
    <s v="1096/PPC/XII/25"/>
    <s v="ADMIN &amp; DOKUMEN EKSPOR"/>
    <s v="BY HC SG OILSEED EBP 2411778680"/>
    <x v="18"/>
    <x v="18"/>
    <x v="1"/>
    <s v="SP"/>
    <n v="1880288"/>
    <n v="20251222"/>
  </r>
  <r>
    <s v="22.12.2025"/>
    <x v="5"/>
    <n v="50"/>
    <n v="-400000"/>
    <s v="IDR"/>
    <n v="-400000"/>
    <s v="IDR"/>
    <m/>
    <m/>
    <m/>
    <s v="R124"/>
    <s v="1098/PPC/XII/25"/>
    <s v="MAKANAN DAN MINUMAN"/>
    <s v="BY KONSUMSI SC MEETING 16/12/2025"/>
    <x v="7"/>
    <x v="7"/>
    <x v="22"/>
    <s v="SP"/>
    <n v="1880288"/>
    <n v="20251222"/>
  </r>
  <r>
    <s v="22.12.2025"/>
    <x v="5"/>
    <n v="50"/>
    <n v="-420000"/>
    <s v="IDR"/>
    <n v="-420000"/>
    <s v="IDR"/>
    <m/>
    <m/>
    <m/>
    <s v="R124"/>
    <s v="1101/PPC/XII/25"/>
    <s v="BAHAN BAKAR"/>
    <s v="BY TRANSPORTASI BBM 15-18/12/2025"/>
    <x v="6"/>
    <x v="6"/>
    <x v="9"/>
    <s v="SP"/>
    <n v="1880288"/>
    <n v="20251222"/>
  </r>
  <r>
    <s v="22.12.2025"/>
    <x v="5"/>
    <n v="50"/>
    <n v="-580000"/>
    <s v="IDR"/>
    <n v="-580000"/>
    <s v="IDR"/>
    <m/>
    <m/>
    <m/>
    <s v="R124"/>
    <s v="1101/PPC/XII/25"/>
    <s v="TRANSPORTASI LOKAL"/>
    <s v="BY TRANSPORTASI PARKIR TOL"/>
    <x v="5"/>
    <x v="5"/>
    <x v="9"/>
    <s v="SP"/>
    <n v="1880288"/>
    <n v="20251222"/>
  </r>
  <r>
    <s v="23.12.2025"/>
    <x v="5"/>
    <n v="50"/>
    <n v="-794848"/>
    <s v="IDR"/>
    <n v="-794848"/>
    <s v="IDR"/>
    <m/>
    <m/>
    <m/>
    <s v="R124"/>
    <s v="1103/PPC/XII/25"/>
    <s v="PBAIKN&amp;PRAWATN PRABT MATR"/>
    <s v="BY PEMBUATAN MAKET PROJECT SDA NATIONAL OLYMPICS"/>
    <x v="3"/>
    <x v="3"/>
    <x v="36"/>
    <s v="SP"/>
    <n v="1880288"/>
    <n v="20251223"/>
  </r>
  <r>
    <s v="23.12.2025"/>
    <x v="5"/>
    <n v="50"/>
    <n v="-420000"/>
    <s v="IDR"/>
    <n v="-420000"/>
    <s v="IDR"/>
    <m/>
    <m/>
    <m/>
    <s v="R124"/>
    <s v="1104/PPC/XII/25"/>
    <s v="PEMEL.BNGAN&amp;PSARANA MATRL"/>
    <s v="BY PEMB RIPET, SKRUP GYPSUM, KAPI U/ PARTISI"/>
    <x v="8"/>
    <x v="8"/>
    <x v="35"/>
    <s v="SP"/>
    <n v="1880288"/>
    <n v="20251223"/>
  </r>
  <r>
    <s v="23.12.2025"/>
    <x v="5"/>
    <n v="50"/>
    <n v="-372700"/>
    <s v="IDR"/>
    <n v="-372700"/>
    <s v="IDR"/>
    <m/>
    <m/>
    <m/>
    <s v="R124"/>
    <s v="1105/PPC/XII/25"/>
    <s v="PBAIKN&amp;PRAWATN PRABT MATR"/>
    <s v="BY PEMBUATAN MAKET PROJECT JDI NATIONAL OLYMPICS"/>
    <x v="3"/>
    <x v="3"/>
    <x v="36"/>
    <s v="SP"/>
    <n v="1880288"/>
    <n v="20251223"/>
  </r>
  <r>
    <s v="23.12.2025"/>
    <x v="5"/>
    <n v="50"/>
    <n v="-662900"/>
    <s v="IDR"/>
    <n v="-662900"/>
    <s v="IDR"/>
    <m/>
    <m/>
    <m/>
    <s v="R124"/>
    <s v="1106/PPC/XII/25"/>
    <s v="PBAIKN&amp;PRAWATN PRABT MATR"/>
    <s v="BY PORTABLE MESIN CUCI U/ TALI SAMPLER"/>
    <x v="3"/>
    <x v="3"/>
    <x v="15"/>
    <s v="SP"/>
    <n v="1880288"/>
    <n v="20251223"/>
  </r>
  <r>
    <s v="23.12.2025"/>
    <x v="5"/>
    <n v="50"/>
    <n v="-895660"/>
    <s v="IDR"/>
    <n v="-895660"/>
    <s v="IDR"/>
    <m/>
    <m/>
    <m/>
    <s v="R124"/>
    <s v="1107/PPC/XII/25"/>
    <s v="PBAIKN&amp;PRAWATN PRABT MATR"/>
    <s v="BY PEMB TALI PRUSIK U/ SAMPLER"/>
    <x v="3"/>
    <x v="3"/>
    <x v="15"/>
    <s v="SP"/>
    <n v="1880288"/>
    <n v="20251223"/>
  </r>
  <r>
    <s v="23.12.2025"/>
    <x v="5"/>
    <n v="50"/>
    <n v="-880200"/>
    <s v="IDR"/>
    <n v="-880200"/>
    <s v="IDR"/>
    <m/>
    <m/>
    <m/>
    <s v="R124"/>
    <s v="1108/PPC/XII/25"/>
    <s v="PBAIKN&amp;PRAWATN PRABT MATR"/>
    <s v="BY PEMBUATAN MAKET PROJECT SDA NATIONAL OLYMPICS"/>
    <x v="3"/>
    <x v="3"/>
    <x v="36"/>
    <s v="SP"/>
    <n v="1880288"/>
    <n v="20251223"/>
  </r>
  <r>
    <s v="23.12.2025"/>
    <x v="5"/>
    <n v="50"/>
    <n v="-610000"/>
    <s v="IDR"/>
    <n v="-610000"/>
    <s v="IDR"/>
    <m/>
    <m/>
    <m/>
    <s v="R124"/>
    <s v="1109/PPC/XII/25"/>
    <s v="PBAIKN&amp;PRAWATN PRABT MATR"/>
    <s v="BY PEMB PELAMPUNG TOTO U/ TOILET LAB"/>
    <x v="3"/>
    <x v="3"/>
    <x v="15"/>
    <s v="SP"/>
    <n v="1880288"/>
    <n v="20251223"/>
  </r>
  <r>
    <s v="23.12.2025"/>
    <x v="5"/>
    <n v="50"/>
    <n v="-137000"/>
    <s v="IDR"/>
    <n v="-137000"/>
    <s v="IDR"/>
    <m/>
    <m/>
    <m/>
    <s v="R124"/>
    <s v="1109/PPC/XII/25"/>
    <s v="TRANSPORTASI LOKAL"/>
    <s v="BY TRANSPORTASI TOL RUNGKUT PERAK"/>
    <x v="5"/>
    <x v="5"/>
    <x v="15"/>
    <s v="SP"/>
    <n v="1880288"/>
    <n v="20251223"/>
  </r>
  <r>
    <s v="23.12.2025"/>
    <x v="5"/>
    <n v="50"/>
    <n v="-113000"/>
    <s v="IDR"/>
    <n v="-113000"/>
    <s v="IDR"/>
    <m/>
    <m/>
    <m/>
    <s v="R124"/>
    <s v="1109/PPC/XII/25"/>
    <s v="PBAIKN&amp;PRAWATN PRABT MATR"/>
    <s v="BY PEMB FIRE BLANKET"/>
    <x v="3"/>
    <x v="3"/>
    <x v="15"/>
    <s v="SP"/>
    <n v="1880288"/>
    <n v="20251223"/>
  </r>
  <r>
    <s v="23.12.2025"/>
    <x v="5"/>
    <n v="50"/>
    <n v="-79460"/>
    <s v="IDR"/>
    <n v="-79460"/>
    <s v="IDR"/>
    <m/>
    <m/>
    <m/>
    <s v="R124"/>
    <s v="1109/PPC/XII/25"/>
    <s v="KIRIM DOKUMEN/SURAT"/>
    <s v="BY KIRIM SAMPLE DANONE &amp; SANTOS"/>
    <x v="15"/>
    <x v="15"/>
    <x v="15"/>
    <s v="SP"/>
    <n v="1880288"/>
    <n v="20251223"/>
  </r>
  <r>
    <s v="23.12.2025"/>
    <x v="5"/>
    <n v="50"/>
    <n v="-600000"/>
    <s v="IDR"/>
    <n v="-600000"/>
    <s v="IDR"/>
    <m/>
    <m/>
    <m/>
    <s v="R124"/>
    <s v="1110/PPC/XII/25"/>
    <s v="BAHAN BAKAR"/>
    <s v="BY TRANSPORTASI BBM 18-22/12/2025"/>
    <x v="6"/>
    <x v="6"/>
    <x v="9"/>
    <s v="SP"/>
    <n v="1880288"/>
    <n v="20251223"/>
  </r>
  <r>
    <s v="23.12.2025"/>
    <x v="5"/>
    <n v="50"/>
    <n v="-399000"/>
    <s v="IDR"/>
    <n v="-399000"/>
    <s v="IDR"/>
    <m/>
    <m/>
    <m/>
    <s v="R124"/>
    <s v="1110/PPC/XII/25"/>
    <s v="TRANSPORTASI LOKAL"/>
    <s v="BY TRANSPORTASI PARKIR TOL"/>
    <x v="5"/>
    <x v="5"/>
    <x v="9"/>
    <s v="SP"/>
    <n v="1880288"/>
    <n v="20251223"/>
  </r>
  <r>
    <s v="23.12.2025"/>
    <x v="5"/>
    <n v="50"/>
    <n v="-960000"/>
    <s v="IDR"/>
    <n v="-960000"/>
    <s v="IDR"/>
    <m/>
    <m/>
    <m/>
    <s v="R124"/>
    <s v="1092/PPC/XII/25"/>
    <s v="MAKANAN DAN MINUMAN"/>
    <s v="BY KONSUMSI MEETING STOP PLANT"/>
    <x v="7"/>
    <x v="7"/>
    <x v="12"/>
    <s v="SP"/>
    <n v="1880288"/>
    <n v="20251223"/>
  </r>
  <r>
    <s v="23.12.2025"/>
    <x v="5"/>
    <n v="50"/>
    <n v="-256380"/>
    <s v="IDR"/>
    <n v="-256380"/>
    <s v="IDR"/>
    <m/>
    <m/>
    <m/>
    <s v="R124"/>
    <s v="1111/PPC/XII/25"/>
    <s v="PEMEL.KEND&amp;A.BERAT MATRL"/>
    <s v="BY PEMB MUR BAUT REGASKERING CHILLER"/>
    <x v="2"/>
    <x v="2"/>
    <x v="28"/>
    <s v="SP"/>
    <n v="1880288"/>
    <n v="20251223"/>
  </r>
  <r>
    <s v="23.12.2025"/>
    <x v="5"/>
    <n v="50"/>
    <n v="-600000"/>
    <s v="IDR"/>
    <n v="-600000"/>
    <s v="IDR"/>
    <m/>
    <m/>
    <m/>
    <s v="R124"/>
    <s v="1099/PPC/XII/25"/>
    <s v="OLAHRAGA DAN PERMAINAN"/>
    <s v="BY OLAHRAGA 19/12/2025"/>
    <x v="0"/>
    <x v="0"/>
    <x v="0"/>
    <s v="SP"/>
    <n v="1880288"/>
    <n v="20251223"/>
  </r>
  <r>
    <s v="23.12.2025"/>
    <x v="5"/>
    <n v="50"/>
    <n v="-971000"/>
    <s v="IDR"/>
    <n v="-971000"/>
    <s v="IDR"/>
    <m/>
    <m/>
    <m/>
    <s v="R124"/>
    <s v="1100/PPC/XII/25"/>
    <s v="MAKANAN DAN MINUMAN"/>
    <s v="BY KONSUMSI 551 19/12/2025"/>
    <x v="7"/>
    <x v="7"/>
    <x v="0"/>
    <s v="SP"/>
    <n v="1880288"/>
    <n v="20251223"/>
  </r>
  <r>
    <s v="23.12.2025"/>
    <x v="5"/>
    <n v="50"/>
    <n v="-610800"/>
    <s v="IDR"/>
    <n v="-610800"/>
    <s v="IDR"/>
    <m/>
    <m/>
    <m/>
    <s v="R124"/>
    <s v="1071/PPC/XII/25"/>
    <s v="PEMEL.KEND&amp;A.BERAT MATRL"/>
    <s v="BY PEMB STOOD SS, SIKAT TEMBAGA, FERRULE SANITARY"/>
    <x v="2"/>
    <x v="2"/>
    <x v="20"/>
    <s v="SP"/>
    <n v="1880288"/>
    <n v="20251223"/>
  </r>
  <r>
    <s v="23.12.2025"/>
    <x v="5"/>
    <n v="50"/>
    <n v="-333000"/>
    <s v="IDR"/>
    <n v="-333000"/>
    <s v="IDR"/>
    <m/>
    <m/>
    <m/>
    <s v="R124"/>
    <s v="1071/PPC/XII/25"/>
    <s v="UANG MUKA BIAYA"/>
    <s v="BY REGULATOR PNEUMATIC ABIE P FP:04002500414205806"/>
    <x v="19"/>
    <x v="19"/>
    <x v="25"/>
    <s v="SP"/>
    <n v="1880288"/>
    <n v="20251223"/>
  </r>
  <r>
    <s v="23.12.2025"/>
    <x v="5"/>
    <n v="50"/>
    <n v="-974025"/>
    <s v="IDR"/>
    <n v="-974025"/>
    <s v="IDR"/>
    <m/>
    <m/>
    <m/>
    <s v="R124"/>
    <s v="1046/PPC/XII/25"/>
    <s v="UANG MUKA BIAYA"/>
    <s v="BY DN SDA LOBAL FP :04002500397046167"/>
    <x v="19"/>
    <x v="19"/>
    <x v="25"/>
    <s v="SP"/>
    <n v="1880288"/>
    <n v="20251223"/>
  </r>
  <r>
    <s v="23.12.2025"/>
    <x v="5"/>
    <n v="40"/>
    <n v="33403043"/>
    <s v="IDR"/>
    <n v="33403043"/>
    <s v="IDR"/>
    <m/>
    <m/>
    <m/>
    <s v="R124"/>
    <m/>
    <s v="BANK IN TRANSIT"/>
    <s v="PETTY CASH RUNGKUT SURABAYA PERIODE 10-23 DES 25"/>
    <x v="13"/>
    <x v="13"/>
    <x v="19"/>
    <s v="SP"/>
    <n v="12010649"/>
    <n v="20251223"/>
  </r>
  <r>
    <m/>
    <x v="6"/>
    <m/>
    <n v="0"/>
    <m/>
    <n v="0"/>
    <m/>
    <m/>
    <m/>
    <m/>
    <m/>
    <m/>
    <m/>
    <m/>
    <x v="13"/>
    <x v="13"/>
    <x v="19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6BFB336-2251-4EBD-8FBB-2E415477286F}" name="PivotTable1" cacheId="5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3">
  <location ref="A3:I161" firstHeaderRow="1" firstDataRow="2" firstDataCol="1"/>
  <pivotFields count="20">
    <pivotField showAll="0"/>
    <pivotField axis="axisCol"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/>
    <pivotField dataField="1" numFmtId="3" showAll="0"/>
    <pivotField showAll="0"/>
    <pivotField numFmtId="3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6">
        <item x="19"/>
        <item x="18"/>
        <item x="1"/>
        <item x="8"/>
        <item x="3"/>
        <item x="2"/>
        <item x="11"/>
        <item x="10"/>
        <item x="24"/>
        <item x="12"/>
        <item x="21"/>
        <item x="5"/>
        <item x="6"/>
        <item x="14"/>
        <item x="0"/>
        <item x="20"/>
        <item x="7"/>
        <item x="16"/>
        <item x="4"/>
        <item x="17"/>
        <item x="23"/>
        <item x="22"/>
        <item x="9"/>
        <item x="15"/>
        <item x="13"/>
        <item t="default"/>
      </items>
    </pivotField>
    <pivotField showAll="0">
      <items count="26">
        <item x="4"/>
        <item x="6"/>
        <item x="18"/>
        <item x="7"/>
        <item x="19"/>
        <item x="14"/>
        <item x="0"/>
        <item x="17"/>
        <item x="24"/>
        <item x="23"/>
        <item x="16"/>
        <item x="12"/>
        <item x="10"/>
        <item x="9"/>
        <item x="20"/>
        <item x="1"/>
        <item x="5"/>
        <item x="15"/>
        <item x="8"/>
        <item x="2"/>
        <item x="3"/>
        <item x="21"/>
        <item x="11"/>
        <item x="22"/>
        <item x="13"/>
        <item t="default"/>
      </items>
    </pivotField>
    <pivotField axis="axisRow" showAll="0">
      <items count="38">
        <item x="25"/>
        <item x="2"/>
        <item x="33"/>
        <item x="8"/>
        <item x="18"/>
        <item x="1"/>
        <item x="32"/>
        <item x="16"/>
        <item x="24"/>
        <item x="0"/>
        <item x="9"/>
        <item x="22"/>
        <item x="21"/>
        <item x="34"/>
        <item x="36"/>
        <item x="26"/>
        <item x="28"/>
        <item x="31"/>
        <item x="17"/>
        <item x="35"/>
        <item x="10"/>
        <item x="4"/>
        <item x="13"/>
        <item x="3"/>
        <item x="15"/>
        <item x="5"/>
        <item x="12"/>
        <item x="27"/>
        <item x="20"/>
        <item x="30"/>
        <item x="29"/>
        <item x="6"/>
        <item x="11"/>
        <item x="14"/>
        <item x="7"/>
        <item x="23"/>
        <item x="19"/>
        <item t="default"/>
      </items>
    </pivotField>
    <pivotField showAll="0"/>
    <pivotField showAll="0"/>
    <pivotField showAll="0"/>
  </pivotFields>
  <rowFields count="2">
    <field x="16"/>
    <field x="14"/>
  </rowFields>
  <rowItems count="157">
    <i>
      <x/>
    </i>
    <i r="1">
      <x/>
    </i>
    <i>
      <x v="1"/>
    </i>
    <i r="1">
      <x v="1"/>
    </i>
    <i r="1">
      <x v="2"/>
    </i>
    <i r="1">
      <x v="5"/>
    </i>
    <i>
      <x v="2"/>
    </i>
    <i r="1">
      <x v="21"/>
    </i>
    <i>
      <x v="3"/>
    </i>
    <i r="1">
      <x v="1"/>
    </i>
    <i r="1">
      <x v="2"/>
    </i>
    <i r="1">
      <x v="10"/>
    </i>
    <i r="1">
      <x v="16"/>
    </i>
    <i r="1">
      <x v="22"/>
    </i>
    <i>
      <x v="4"/>
    </i>
    <i r="1">
      <x v="1"/>
    </i>
    <i r="1">
      <x v="2"/>
    </i>
    <i>
      <x v="5"/>
    </i>
    <i r="1">
      <x v="1"/>
    </i>
    <i r="1">
      <x v="2"/>
    </i>
    <i r="1">
      <x v="5"/>
    </i>
    <i r="1">
      <x v="11"/>
    </i>
    <i r="1">
      <x v="18"/>
    </i>
    <i r="1">
      <x v="23"/>
    </i>
    <i>
      <x v="6"/>
    </i>
    <i r="1">
      <x v="4"/>
    </i>
    <i r="1">
      <x v="5"/>
    </i>
    <i r="1">
      <x v="11"/>
    </i>
    <i r="1">
      <x v="16"/>
    </i>
    <i>
      <x v="7"/>
    </i>
    <i r="1">
      <x v="4"/>
    </i>
    <i r="1">
      <x v="7"/>
    </i>
    <i r="1">
      <x v="16"/>
    </i>
    <i r="1">
      <x v="18"/>
    </i>
    <i>
      <x v="8"/>
    </i>
    <i r="1">
      <x v="5"/>
    </i>
    <i r="1">
      <x v="16"/>
    </i>
    <i r="1">
      <x v="17"/>
    </i>
    <i>
      <x v="9"/>
    </i>
    <i r="1">
      <x v="14"/>
    </i>
    <i r="1">
      <x v="16"/>
    </i>
    <i r="1">
      <x v="19"/>
    </i>
    <i r="1">
      <x v="20"/>
    </i>
    <i r="1">
      <x v="23"/>
    </i>
    <i>
      <x v="10"/>
    </i>
    <i r="1">
      <x v="3"/>
    </i>
    <i r="1">
      <x v="4"/>
    </i>
    <i r="1">
      <x v="5"/>
    </i>
    <i r="1">
      <x v="8"/>
    </i>
    <i r="1">
      <x v="9"/>
    </i>
    <i r="1">
      <x v="11"/>
    </i>
    <i r="1">
      <x v="12"/>
    </i>
    <i r="1">
      <x v="13"/>
    </i>
    <i r="1">
      <x v="16"/>
    </i>
    <i r="1">
      <x v="17"/>
    </i>
    <i>
      <x v="11"/>
    </i>
    <i r="1">
      <x v="16"/>
    </i>
    <i r="1">
      <x v="17"/>
    </i>
    <i r="1">
      <x v="23"/>
    </i>
    <i>
      <x v="12"/>
    </i>
    <i r="1">
      <x v="15"/>
    </i>
    <i r="1">
      <x v="23"/>
    </i>
    <i>
      <x v="13"/>
    </i>
    <i r="1">
      <x v="23"/>
    </i>
    <i>
      <x v="14"/>
    </i>
    <i r="1">
      <x v="4"/>
    </i>
    <i>
      <x v="15"/>
    </i>
    <i r="1">
      <x v="3"/>
    </i>
    <i r="1">
      <x v="4"/>
    </i>
    <i r="1">
      <x v="5"/>
    </i>
    <i r="1">
      <x v="16"/>
    </i>
    <i>
      <x v="16"/>
    </i>
    <i r="1">
      <x v="4"/>
    </i>
    <i r="1">
      <x v="5"/>
    </i>
    <i>
      <x v="17"/>
    </i>
    <i r="1">
      <x v="5"/>
    </i>
    <i r="1">
      <x v="16"/>
    </i>
    <i>
      <x v="18"/>
    </i>
    <i r="1">
      <x v="3"/>
    </i>
    <i r="1">
      <x v="4"/>
    </i>
    <i r="1">
      <x v="15"/>
    </i>
    <i r="1">
      <x v="16"/>
    </i>
    <i r="1">
      <x v="17"/>
    </i>
    <i>
      <x v="19"/>
    </i>
    <i r="1">
      <x v="3"/>
    </i>
    <i r="1">
      <x v="5"/>
    </i>
    <i>
      <x v="20"/>
    </i>
    <i r="1">
      <x v="4"/>
    </i>
    <i r="1">
      <x v="5"/>
    </i>
    <i r="1">
      <x v="16"/>
    </i>
    <i>
      <x v="21"/>
    </i>
    <i r="1">
      <x v="5"/>
    </i>
    <i r="1">
      <x v="16"/>
    </i>
    <i>
      <x v="22"/>
    </i>
    <i r="1">
      <x v="4"/>
    </i>
    <i r="1">
      <x v="11"/>
    </i>
    <i r="1">
      <x v="16"/>
    </i>
    <i>
      <x v="23"/>
    </i>
    <i r="1">
      <x v="4"/>
    </i>
    <i r="1">
      <x v="5"/>
    </i>
    <i r="1">
      <x v="16"/>
    </i>
    <i>
      <x v="24"/>
    </i>
    <i r="1">
      <x v="4"/>
    </i>
    <i r="1">
      <x v="11"/>
    </i>
    <i r="1">
      <x v="15"/>
    </i>
    <i r="1">
      <x v="16"/>
    </i>
    <i r="1">
      <x v="17"/>
    </i>
    <i r="1">
      <x v="22"/>
    </i>
    <i r="1">
      <x v="23"/>
    </i>
    <i>
      <x v="25"/>
    </i>
    <i r="1">
      <x v="16"/>
    </i>
    <i r="1">
      <x v="18"/>
    </i>
    <i>
      <x v="26"/>
    </i>
    <i r="1">
      <x v="3"/>
    </i>
    <i r="1">
      <x v="4"/>
    </i>
    <i r="1">
      <x v="5"/>
    </i>
    <i r="1">
      <x v="16"/>
    </i>
    <i r="1">
      <x v="17"/>
    </i>
    <i>
      <x v="27"/>
    </i>
    <i r="1">
      <x v="5"/>
    </i>
    <i r="1">
      <x v="16"/>
    </i>
    <i>
      <x v="28"/>
    </i>
    <i r="1">
      <x v="4"/>
    </i>
    <i r="1">
      <x v="5"/>
    </i>
    <i>
      <x v="29"/>
    </i>
    <i r="1">
      <x v="4"/>
    </i>
    <i r="1">
      <x v="5"/>
    </i>
    <i r="1">
      <x v="16"/>
    </i>
    <i>
      <x v="30"/>
    </i>
    <i r="1">
      <x v="3"/>
    </i>
    <i r="1">
      <x v="4"/>
    </i>
    <i r="1">
      <x v="5"/>
    </i>
    <i>
      <x v="31"/>
    </i>
    <i r="1">
      <x v="4"/>
    </i>
    <i r="1">
      <x v="5"/>
    </i>
    <i r="1">
      <x v="17"/>
    </i>
    <i>
      <x v="32"/>
    </i>
    <i r="1">
      <x v="3"/>
    </i>
    <i r="1">
      <x v="4"/>
    </i>
    <i r="1">
      <x v="5"/>
    </i>
    <i r="1">
      <x v="6"/>
    </i>
    <i r="1">
      <x v="15"/>
    </i>
    <i r="1">
      <x v="16"/>
    </i>
    <i>
      <x v="33"/>
    </i>
    <i r="1">
      <x v="3"/>
    </i>
    <i r="1">
      <x v="4"/>
    </i>
    <i r="1">
      <x v="5"/>
    </i>
    <i>
      <x v="34"/>
    </i>
    <i r="1">
      <x v="3"/>
    </i>
    <i r="1">
      <x v="4"/>
    </i>
    <i r="1">
      <x v="16"/>
    </i>
    <i r="1">
      <x v="17"/>
    </i>
    <i>
      <x v="35"/>
    </i>
    <i r="1">
      <x v="5"/>
    </i>
    <i>
      <x v="36"/>
    </i>
    <i r="1">
      <x v="24"/>
    </i>
    <i t="grand">
      <x/>
    </i>
  </rowItems>
  <colFields count="1">
    <field x="1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dataFields count="1">
    <dataField name="Sum of Amount in doc. curr." fld="3" baseField="0" baseItem="0" numFmtId="41"/>
  </dataFields>
  <formats count="2">
    <format dxfId="1">
      <pivotArea outline="0" collapsedLevelsAreSubtotals="1" fieldPosition="0"/>
    </format>
    <format dxfId="0">
      <pivotArea dataOnly="0" labelOnly="1" fieldPosition="0">
        <references count="1">
          <reference field="1" count="6">
            <x v="0"/>
            <x v="1"/>
            <x v="2"/>
            <x v="3"/>
            <x v="4"/>
            <x v="5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300"/>
  <sheetViews>
    <sheetView topLeftCell="A921" workbookViewId="0">
      <selection activeCell="C939" sqref="C939"/>
    </sheetView>
  </sheetViews>
  <sheetFormatPr defaultRowHeight="15" x14ac:dyDescent="0.25"/>
  <cols>
    <col min="1" max="1" width="26.85546875" bestFit="1" customWidth="1"/>
    <col min="2" max="2" width="26.140625" bestFit="1" customWidth="1"/>
    <col min="3" max="3" width="9" bestFit="1" customWidth="1"/>
    <col min="4" max="4" width="14.140625" bestFit="1" customWidth="1"/>
    <col min="5" max="5" width="16.85546875" bestFit="1" customWidth="1"/>
    <col min="6" max="6" width="31" bestFit="1" customWidth="1"/>
    <col min="7" max="7" width="60.42578125" bestFit="1" customWidth="1"/>
    <col min="8" max="8" width="11.42578125" bestFit="1" customWidth="1"/>
    <col min="9" max="9" width="22.42578125" bestFit="1" customWidth="1"/>
    <col min="10" max="10" width="10.140625" bestFit="1" customWidth="1"/>
    <col min="11" max="11" width="11.28515625" bestFit="1" customWidth="1"/>
    <col min="12" max="12" width="2" bestFit="1" customWidth="1"/>
    <col min="13" max="13" width="4" bestFit="1" customWidth="1"/>
    <col min="14" max="14" width="9.140625" style="4"/>
  </cols>
  <sheetData>
    <row r="1" spans="1:15" x14ac:dyDescent="0.25">
      <c r="A1" t="s">
        <v>1908</v>
      </c>
      <c r="E1" t="s">
        <v>1909</v>
      </c>
    </row>
    <row r="2" spans="1:15" x14ac:dyDescent="0.25">
      <c r="A2" t="s">
        <v>1910</v>
      </c>
      <c r="E2" t="s">
        <v>1911</v>
      </c>
      <c r="H2" t="s">
        <v>1912</v>
      </c>
    </row>
    <row r="3" spans="1:15" x14ac:dyDescent="0.25">
      <c r="A3">
        <v>3300</v>
      </c>
      <c r="E3">
        <v>3301</v>
      </c>
      <c r="F3">
        <v>10000001</v>
      </c>
    </row>
    <row r="4" spans="1:15" x14ac:dyDescent="0.25">
      <c r="A4" t="s">
        <v>32</v>
      </c>
      <c r="C4" t="s">
        <v>1913</v>
      </c>
      <c r="D4" t="s">
        <v>25</v>
      </c>
    </row>
    <row r="6" spans="1:15" x14ac:dyDescent="0.25">
      <c r="J6" s="1">
        <v>45000000</v>
      </c>
      <c r="M6" t="s">
        <v>26</v>
      </c>
    </row>
    <row r="8" spans="1:15" x14ac:dyDescent="0.25">
      <c r="B8" t="s">
        <v>6</v>
      </c>
      <c r="E8" t="s">
        <v>16</v>
      </c>
      <c r="F8" t="s">
        <v>1914</v>
      </c>
      <c r="H8" t="s">
        <v>1915</v>
      </c>
      <c r="I8" t="s">
        <v>1916</v>
      </c>
      <c r="K8" t="s">
        <v>1917</v>
      </c>
    </row>
    <row r="9" spans="1:15" x14ac:dyDescent="0.25">
      <c r="B9" t="s">
        <v>1918</v>
      </c>
      <c r="C9" t="s">
        <v>1918</v>
      </c>
      <c r="D9" t="s">
        <v>14</v>
      </c>
      <c r="G9" t="s">
        <v>1919</v>
      </c>
      <c r="N9" t="s">
        <v>1918</v>
      </c>
      <c r="O9" t="s">
        <v>14</v>
      </c>
    </row>
    <row r="10" spans="1:15" x14ac:dyDescent="0.25">
      <c r="B10" t="s">
        <v>39</v>
      </c>
      <c r="C10">
        <v>70107300</v>
      </c>
      <c r="D10" t="s">
        <v>1921</v>
      </c>
      <c r="E10" t="s">
        <v>40</v>
      </c>
      <c r="F10" t="s">
        <v>41</v>
      </c>
      <c r="G10" t="s">
        <v>42</v>
      </c>
      <c r="H10" s="1">
        <v>400000</v>
      </c>
      <c r="I10" t="s">
        <v>1920</v>
      </c>
      <c r="N10" s="4">
        <f>+C10</f>
        <v>70107300</v>
      </c>
      <c r="O10" t="str">
        <f>+D10</f>
        <v>R124D1HRDV</v>
      </c>
    </row>
    <row r="11" spans="1:15" x14ac:dyDescent="0.25">
      <c r="B11" t="s">
        <v>39</v>
      </c>
      <c r="C11">
        <v>70009110</v>
      </c>
      <c r="D11" t="s">
        <v>1923</v>
      </c>
      <c r="E11" t="s">
        <v>44</v>
      </c>
      <c r="F11" t="s">
        <v>45</v>
      </c>
      <c r="G11" t="s">
        <v>46</v>
      </c>
      <c r="H11" s="1">
        <v>100000</v>
      </c>
      <c r="I11" t="s">
        <v>1922</v>
      </c>
      <c r="N11" s="4">
        <f t="shared" ref="N11:N74" si="0">+C11</f>
        <v>70009110</v>
      </c>
      <c r="O11" t="str">
        <f t="shared" ref="O11:O74" si="1">+D11</f>
        <v>P206D1SLSS</v>
      </c>
    </row>
    <row r="12" spans="1:15" x14ac:dyDescent="0.25">
      <c r="B12" t="s">
        <v>39</v>
      </c>
      <c r="C12">
        <v>70009110</v>
      </c>
      <c r="D12" t="s">
        <v>1923</v>
      </c>
      <c r="E12" t="s">
        <v>44</v>
      </c>
      <c r="F12" t="s">
        <v>45</v>
      </c>
      <c r="G12" t="s">
        <v>47</v>
      </c>
      <c r="H12" s="1">
        <v>100000</v>
      </c>
      <c r="I12" t="s">
        <v>1922</v>
      </c>
      <c r="N12" s="4">
        <f t="shared" si="0"/>
        <v>70009110</v>
      </c>
      <c r="O12" t="str">
        <f t="shared" si="1"/>
        <v>P206D1SLSS</v>
      </c>
    </row>
    <row r="13" spans="1:15" x14ac:dyDescent="0.25">
      <c r="B13" t="s">
        <v>39</v>
      </c>
      <c r="C13">
        <v>70009110</v>
      </c>
      <c r="D13" t="s">
        <v>1923</v>
      </c>
      <c r="E13" t="s">
        <v>44</v>
      </c>
      <c r="F13" t="s">
        <v>45</v>
      </c>
      <c r="G13" t="s">
        <v>48</v>
      </c>
      <c r="H13" s="1">
        <v>150000</v>
      </c>
      <c r="I13" t="s">
        <v>1922</v>
      </c>
      <c r="N13" s="4">
        <f t="shared" si="0"/>
        <v>70009110</v>
      </c>
      <c r="O13" t="str">
        <f t="shared" si="1"/>
        <v>P206D1SLSS</v>
      </c>
    </row>
    <row r="14" spans="1:15" x14ac:dyDescent="0.25">
      <c r="B14" t="s">
        <v>39</v>
      </c>
      <c r="C14">
        <v>70009110</v>
      </c>
      <c r="D14" t="s">
        <v>1924</v>
      </c>
      <c r="E14" t="s">
        <v>44</v>
      </c>
      <c r="F14" t="s">
        <v>45</v>
      </c>
      <c r="G14" t="s">
        <v>49</v>
      </c>
      <c r="H14" s="1">
        <v>100000</v>
      </c>
      <c r="I14" t="s">
        <v>1922</v>
      </c>
      <c r="N14" s="4">
        <f t="shared" si="0"/>
        <v>70009110</v>
      </c>
      <c r="O14" t="str">
        <f t="shared" si="1"/>
        <v>C206D1SLSS</v>
      </c>
    </row>
    <row r="15" spans="1:15" x14ac:dyDescent="0.25">
      <c r="B15" t="s">
        <v>39</v>
      </c>
      <c r="C15">
        <v>70009110</v>
      </c>
      <c r="D15" t="s">
        <v>1923</v>
      </c>
      <c r="E15" t="s">
        <v>44</v>
      </c>
      <c r="F15" t="s">
        <v>45</v>
      </c>
      <c r="G15" t="s">
        <v>50</v>
      </c>
      <c r="H15" s="1">
        <v>100000</v>
      </c>
      <c r="I15" t="s">
        <v>1922</v>
      </c>
      <c r="N15" s="4">
        <f t="shared" si="0"/>
        <v>70009110</v>
      </c>
      <c r="O15" t="str">
        <f t="shared" si="1"/>
        <v>P206D1SLSS</v>
      </c>
    </row>
    <row r="16" spans="1:15" x14ac:dyDescent="0.25">
      <c r="B16" t="s">
        <v>39</v>
      </c>
      <c r="C16">
        <v>70009110</v>
      </c>
      <c r="D16" t="s">
        <v>1923</v>
      </c>
      <c r="E16" t="s">
        <v>44</v>
      </c>
      <c r="F16" t="s">
        <v>45</v>
      </c>
      <c r="G16" t="s">
        <v>51</v>
      </c>
      <c r="H16" s="1">
        <v>100000</v>
      </c>
      <c r="I16" t="s">
        <v>1922</v>
      </c>
      <c r="N16" s="4">
        <f t="shared" si="0"/>
        <v>70009110</v>
      </c>
      <c r="O16" t="str">
        <f t="shared" si="1"/>
        <v>P206D1SLSS</v>
      </c>
    </row>
    <row r="17" spans="2:15" x14ac:dyDescent="0.25">
      <c r="B17" t="s">
        <v>39</v>
      </c>
      <c r="C17">
        <v>70009110</v>
      </c>
      <c r="D17" t="s">
        <v>1924</v>
      </c>
      <c r="E17" t="s">
        <v>44</v>
      </c>
      <c r="F17" t="s">
        <v>45</v>
      </c>
      <c r="G17" t="s">
        <v>52</v>
      </c>
      <c r="H17" s="1">
        <v>100000</v>
      </c>
      <c r="I17" t="s">
        <v>1922</v>
      </c>
      <c r="N17" s="4">
        <f t="shared" si="0"/>
        <v>70009110</v>
      </c>
      <c r="O17" t="str">
        <f t="shared" si="1"/>
        <v>C206D1SLSS</v>
      </c>
    </row>
    <row r="18" spans="2:15" x14ac:dyDescent="0.25">
      <c r="B18" t="s">
        <v>39</v>
      </c>
      <c r="C18">
        <v>70009110</v>
      </c>
      <c r="D18" t="s">
        <v>1923</v>
      </c>
      <c r="E18" t="s">
        <v>44</v>
      </c>
      <c r="F18" t="s">
        <v>45</v>
      </c>
      <c r="G18" t="s">
        <v>53</v>
      </c>
      <c r="H18" s="1">
        <v>100000</v>
      </c>
      <c r="I18" t="s">
        <v>1922</v>
      </c>
      <c r="N18" s="4">
        <f t="shared" si="0"/>
        <v>70009110</v>
      </c>
      <c r="O18" t="str">
        <f t="shared" si="1"/>
        <v>P206D1SLSS</v>
      </c>
    </row>
    <row r="19" spans="2:15" x14ac:dyDescent="0.25">
      <c r="B19" t="s">
        <v>39</v>
      </c>
      <c r="C19">
        <v>70009110</v>
      </c>
      <c r="D19" t="s">
        <v>1923</v>
      </c>
      <c r="E19" t="s">
        <v>44</v>
      </c>
      <c r="F19" t="s">
        <v>45</v>
      </c>
      <c r="G19" t="s">
        <v>54</v>
      </c>
      <c r="H19" s="1">
        <v>100000</v>
      </c>
      <c r="I19" t="s">
        <v>1922</v>
      </c>
      <c r="N19" s="4">
        <f t="shared" si="0"/>
        <v>70009110</v>
      </c>
      <c r="O19" t="str">
        <f t="shared" si="1"/>
        <v>P206D1SLSS</v>
      </c>
    </row>
    <row r="20" spans="2:15" x14ac:dyDescent="0.25">
      <c r="B20" t="s">
        <v>39</v>
      </c>
      <c r="C20">
        <v>70009110</v>
      </c>
      <c r="D20" t="s">
        <v>1923</v>
      </c>
      <c r="E20" t="s">
        <v>44</v>
      </c>
      <c r="F20" t="s">
        <v>45</v>
      </c>
      <c r="G20" t="s">
        <v>55</v>
      </c>
      <c r="H20" s="1">
        <v>50000</v>
      </c>
      <c r="I20" t="s">
        <v>1922</v>
      </c>
      <c r="N20" s="4">
        <f t="shared" si="0"/>
        <v>70009110</v>
      </c>
      <c r="O20" t="str">
        <f t="shared" si="1"/>
        <v>P206D1SLSS</v>
      </c>
    </row>
    <row r="21" spans="2:15" x14ac:dyDescent="0.25">
      <c r="B21" t="s">
        <v>39</v>
      </c>
      <c r="C21">
        <v>70101202</v>
      </c>
      <c r="D21" t="s">
        <v>1926</v>
      </c>
      <c r="E21" t="s">
        <v>56</v>
      </c>
      <c r="F21" t="s">
        <v>57</v>
      </c>
      <c r="G21" t="s">
        <v>58</v>
      </c>
      <c r="H21" s="1">
        <v>940000</v>
      </c>
      <c r="I21" t="s">
        <v>1925</v>
      </c>
      <c r="N21" s="4">
        <f t="shared" si="0"/>
        <v>70101202</v>
      </c>
      <c r="O21" t="str">
        <f t="shared" si="1"/>
        <v>R124NSS</v>
      </c>
    </row>
    <row r="22" spans="2:15" x14ac:dyDescent="0.25">
      <c r="B22" t="s">
        <v>39</v>
      </c>
      <c r="C22">
        <v>70101114</v>
      </c>
      <c r="D22" t="s">
        <v>1926</v>
      </c>
      <c r="E22" t="s">
        <v>56</v>
      </c>
      <c r="F22" t="s">
        <v>59</v>
      </c>
      <c r="G22" t="s">
        <v>60</v>
      </c>
      <c r="H22" s="1">
        <v>50000</v>
      </c>
      <c r="I22" t="s">
        <v>1925</v>
      </c>
      <c r="N22" s="4">
        <f t="shared" si="0"/>
        <v>70101114</v>
      </c>
      <c r="O22" t="str">
        <f t="shared" si="1"/>
        <v>R124NSS</v>
      </c>
    </row>
    <row r="23" spans="2:15" x14ac:dyDescent="0.25">
      <c r="B23" t="s">
        <v>39</v>
      </c>
      <c r="C23">
        <v>70101202</v>
      </c>
      <c r="D23" t="s">
        <v>1928</v>
      </c>
      <c r="E23" t="s">
        <v>61</v>
      </c>
      <c r="F23" t="s">
        <v>57</v>
      </c>
      <c r="G23" t="s">
        <v>62</v>
      </c>
      <c r="H23" s="1">
        <v>110008</v>
      </c>
      <c r="I23" t="s">
        <v>1927</v>
      </c>
      <c r="N23" s="4">
        <f t="shared" si="0"/>
        <v>70101202</v>
      </c>
      <c r="O23" t="str">
        <f t="shared" si="1"/>
        <v>R124MMP</v>
      </c>
    </row>
    <row r="24" spans="2:15" x14ac:dyDescent="0.25">
      <c r="B24" t="s">
        <v>39</v>
      </c>
      <c r="C24">
        <v>70108110</v>
      </c>
      <c r="D24" t="s">
        <v>1930</v>
      </c>
      <c r="E24" t="s">
        <v>63</v>
      </c>
      <c r="F24" t="s">
        <v>64</v>
      </c>
      <c r="G24" t="s">
        <v>65</v>
      </c>
      <c r="H24" s="1">
        <v>72000</v>
      </c>
      <c r="I24" t="s">
        <v>1929</v>
      </c>
      <c r="N24" s="4">
        <f t="shared" si="0"/>
        <v>70108110</v>
      </c>
      <c r="O24" t="str">
        <f t="shared" si="1"/>
        <v>R124QMR</v>
      </c>
    </row>
    <row r="25" spans="2:15" x14ac:dyDescent="0.25">
      <c r="B25" t="s">
        <v>39</v>
      </c>
      <c r="C25">
        <v>70106100</v>
      </c>
      <c r="D25" t="s">
        <v>1923</v>
      </c>
      <c r="E25" t="s">
        <v>66</v>
      </c>
      <c r="F25" t="s">
        <v>67</v>
      </c>
      <c r="G25" t="s">
        <v>68</v>
      </c>
      <c r="H25" s="1">
        <v>210000</v>
      </c>
      <c r="I25" t="s">
        <v>1931</v>
      </c>
      <c r="N25" s="4">
        <f t="shared" si="0"/>
        <v>70106100</v>
      </c>
      <c r="O25" t="str">
        <f t="shared" si="1"/>
        <v>P206D1SLSS</v>
      </c>
    </row>
    <row r="26" spans="2:15" x14ac:dyDescent="0.25">
      <c r="B26" t="s">
        <v>39</v>
      </c>
      <c r="C26">
        <v>70108110</v>
      </c>
      <c r="D26" t="s">
        <v>1923</v>
      </c>
      <c r="E26" t="s">
        <v>66</v>
      </c>
      <c r="F26" t="s">
        <v>64</v>
      </c>
      <c r="G26" t="s">
        <v>69</v>
      </c>
      <c r="H26" s="1">
        <v>22000</v>
      </c>
      <c r="I26" t="s">
        <v>1931</v>
      </c>
      <c r="N26" s="4">
        <f t="shared" si="0"/>
        <v>70108110</v>
      </c>
      <c r="O26" t="str">
        <f t="shared" si="1"/>
        <v>P206D1SLSS</v>
      </c>
    </row>
    <row r="27" spans="2:15" x14ac:dyDescent="0.25">
      <c r="B27" t="s">
        <v>39</v>
      </c>
      <c r="C27">
        <v>70101114</v>
      </c>
      <c r="D27" t="s">
        <v>1933</v>
      </c>
      <c r="E27" t="s">
        <v>70</v>
      </c>
      <c r="F27" t="s">
        <v>59</v>
      </c>
      <c r="G27" t="s">
        <v>71</v>
      </c>
      <c r="H27" s="1">
        <v>980000</v>
      </c>
      <c r="I27" t="s">
        <v>1932</v>
      </c>
      <c r="N27" s="4">
        <f t="shared" si="0"/>
        <v>70101114</v>
      </c>
      <c r="O27" t="str">
        <f t="shared" si="1"/>
        <v>R124TCP</v>
      </c>
    </row>
    <row r="28" spans="2:15" x14ac:dyDescent="0.25">
      <c r="B28" t="s">
        <v>39</v>
      </c>
      <c r="C28">
        <v>70101114</v>
      </c>
      <c r="D28" t="s">
        <v>1935</v>
      </c>
      <c r="E28" t="s">
        <v>72</v>
      </c>
      <c r="F28" t="s">
        <v>59</v>
      </c>
      <c r="G28" t="s">
        <v>73</v>
      </c>
      <c r="H28" s="1">
        <v>243910</v>
      </c>
      <c r="I28" t="s">
        <v>1934</v>
      </c>
      <c r="N28" s="4">
        <f t="shared" si="0"/>
        <v>70101114</v>
      </c>
      <c r="O28" t="str">
        <f t="shared" si="1"/>
        <v>R124WHRS</v>
      </c>
    </row>
    <row r="29" spans="2:15" x14ac:dyDescent="0.25">
      <c r="B29" t="s">
        <v>39</v>
      </c>
      <c r="C29">
        <v>70009110</v>
      </c>
      <c r="D29" t="s">
        <v>1923</v>
      </c>
      <c r="E29" t="s">
        <v>74</v>
      </c>
      <c r="F29" t="s">
        <v>45</v>
      </c>
      <c r="G29" t="s">
        <v>75</v>
      </c>
      <c r="H29" s="1">
        <v>50000</v>
      </c>
      <c r="I29" t="s">
        <v>1936</v>
      </c>
      <c r="N29" s="4">
        <f t="shared" si="0"/>
        <v>70009110</v>
      </c>
      <c r="O29" t="str">
        <f t="shared" si="1"/>
        <v>P206D1SLSS</v>
      </c>
    </row>
    <row r="30" spans="2:15" x14ac:dyDescent="0.25">
      <c r="B30" t="s">
        <v>39</v>
      </c>
      <c r="C30">
        <v>70009110</v>
      </c>
      <c r="D30" t="s">
        <v>1923</v>
      </c>
      <c r="E30" t="s">
        <v>74</v>
      </c>
      <c r="F30" t="s">
        <v>45</v>
      </c>
      <c r="G30" t="s">
        <v>76</v>
      </c>
      <c r="H30" s="1">
        <v>50000</v>
      </c>
      <c r="I30" t="s">
        <v>1936</v>
      </c>
      <c r="N30" s="4">
        <f t="shared" si="0"/>
        <v>70009110</v>
      </c>
      <c r="O30" t="str">
        <f t="shared" si="1"/>
        <v>P206D1SLSS</v>
      </c>
    </row>
    <row r="31" spans="2:15" x14ac:dyDescent="0.25">
      <c r="B31" t="s">
        <v>39</v>
      </c>
      <c r="C31">
        <v>70009110</v>
      </c>
      <c r="D31" t="s">
        <v>1923</v>
      </c>
      <c r="E31" t="s">
        <v>74</v>
      </c>
      <c r="F31" t="s">
        <v>45</v>
      </c>
      <c r="G31" t="s">
        <v>77</v>
      </c>
      <c r="H31" s="1">
        <v>50000</v>
      </c>
      <c r="I31" t="s">
        <v>1936</v>
      </c>
      <c r="N31" s="4">
        <f t="shared" si="0"/>
        <v>70009110</v>
      </c>
      <c r="O31" t="str">
        <f t="shared" si="1"/>
        <v>P206D1SLSS</v>
      </c>
    </row>
    <row r="32" spans="2:15" x14ac:dyDescent="0.25">
      <c r="B32" t="s">
        <v>39</v>
      </c>
      <c r="C32">
        <v>70009110</v>
      </c>
      <c r="D32" t="s">
        <v>1923</v>
      </c>
      <c r="E32" t="s">
        <v>74</v>
      </c>
      <c r="F32" t="s">
        <v>45</v>
      </c>
      <c r="G32" t="s">
        <v>78</v>
      </c>
      <c r="H32" s="1">
        <v>50000</v>
      </c>
      <c r="I32" t="s">
        <v>1936</v>
      </c>
      <c r="N32" s="4">
        <f t="shared" si="0"/>
        <v>70009110</v>
      </c>
      <c r="O32" t="str">
        <f t="shared" si="1"/>
        <v>P206D1SLSS</v>
      </c>
    </row>
    <row r="33" spans="2:15" x14ac:dyDescent="0.25">
      <c r="B33" t="s">
        <v>39</v>
      </c>
      <c r="C33">
        <v>70009110</v>
      </c>
      <c r="D33" t="s">
        <v>1938</v>
      </c>
      <c r="E33" t="s">
        <v>79</v>
      </c>
      <c r="F33" t="s">
        <v>45</v>
      </c>
      <c r="G33" t="s">
        <v>80</v>
      </c>
      <c r="H33" s="1">
        <v>50000</v>
      </c>
      <c r="I33" t="s">
        <v>1937</v>
      </c>
      <c r="N33" s="4">
        <f t="shared" si="0"/>
        <v>70009110</v>
      </c>
      <c r="O33" t="str">
        <f t="shared" si="1"/>
        <v>M204D1COMM</v>
      </c>
    </row>
    <row r="34" spans="2:15" x14ac:dyDescent="0.25">
      <c r="B34" t="s">
        <v>39</v>
      </c>
      <c r="C34">
        <v>70009110</v>
      </c>
      <c r="D34" t="s">
        <v>1938</v>
      </c>
      <c r="E34" t="s">
        <v>79</v>
      </c>
      <c r="F34" t="s">
        <v>45</v>
      </c>
      <c r="G34" t="s">
        <v>81</v>
      </c>
      <c r="H34" s="1">
        <v>50000</v>
      </c>
      <c r="I34" t="s">
        <v>1937</v>
      </c>
      <c r="N34" s="4">
        <f t="shared" si="0"/>
        <v>70009110</v>
      </c>
      <c r="O34" t="str">
        <f t="shared" si="1"/>
        <v>M204D1COMM</v>
      </c>
    </row>
    <row r="35" spans="2:15" x14ac:dyDescent="0.25">
      <c r="B35" t="s">
        <v>39</v>
      </c>
      <c r="C35">
        <v>70009110</v>
      </c>
      <c r="D35" t="s">
        <v>1923</v>
      </c>
      <c r="E35" t="s">
        <v>82</v>
      </c>
      <c r="F35" t="s">
        <v>45</v>
      </c>
      <c r="G35" t="s">
        <v>83</v>
      </c>
      <c r="H35" s="1">
        <v>50000</v>
      </c>
      <c r="I35" t="s">
        <v>1939</v>
      </c>
      <c r="N35" s="4">
        <f t="shared" si="0"/>
        <v>70009110</v>
      </c>
      <c r="O35" t="str">
        <f t="shared" si="1"/>
        <v>P206D1SLSS</v>
      </c>
    </row>
    <row r="36" spans="2:15" x14ac:dyDescent="0.25">
      <c r="B36" t="s">
        <v>39</v>
      </c>
      <c r="C36">
        <v>70009110</v>
      </c>
      <c r="D36" t="s">
        <v>1923</v>
      </c>
      <c r="E36" t="s">
        <v>82</v>
      </c>
      <c r="F36" t="s">
        <v>45</v>
      </c>
      <c r="G36" t="s">
        <v>84</v>
      </c>
      <c r="H36" s="1">
        <v>50000</v>
      </c>
      <c r="I36" t="s">
        <v>1939</v>
      </c>
      <c r="N36" s="4">
        <f t="shared" si="0"/>
        <v>70009110</v>
      </c>
      <c r="O36" t="str">
        <f t="shared" si="1"/>
        <v>P206D1SLSS</v>
      </c>
    </row>
    <row r="37" spans="2:15" x14ac:dyDescent="0.25">
      <c r="B37" t="s">
        <v>85</v>
      </c>
      <c r="C37">
        <v>70009110</v>
      </c>
      <c r="D37" t="s">
        <v>1923</v>
      </c>
      <c r="E37" t="s">
        <v>82</v>
      </c>
      <c r="F37" t="s">
        <v>45</v>
      </c>
      <c r="G37" t="s">
        <v>86</v>
      </c>
      <c r="H37" s="1">
        <v>50000</v>
      </c>
      <c r="I37" t="s">
        <v>1940</v>
      </c>
      <c r="N37" s="4">
        <f t="shared" si="0"/>
        <v>70009110</v>
      </c>
      <c r="O37" t="str">
        <f t="shared" si="1"/>
        <v>P206D1SLSS</v>
      </c>
    </row>
    <row r="38" spans="2:15" x14ac:dyDescent="0.25">
      <c r="B38" t="s">
        <v>85</v>
      </c>
      <c r="C38">
        <v>70009110</v>
      </c>
      <c r="D38" t="s">
        <v>1923</v>
      </c>
      <c r="E38" t="s">
        <v>82</v>
      </c>
      <c r="F38" t="s">
        <v>45</v>
      </c>
      <c r="G38" t="s">
        <v>87</v>
      </c>
      <c r="H38" s="1">
        <v>50000</v>
      </c>
      <c r="I38" t="s">
        <v>1940</v>
      </c>
      <c r="N38" s="4">
        <f t="shared" si="0"/>
        <v>70009110</v>
      </c>
      <c r="O38" t="str">
        <f t="shared" si="1"/>
        <v>P206D1SLSS</v>
      </c>
    </row>
    <row r="39" spans="2:15" x14ac:dyDescent="0.25">
      <c r="B39" t="s">
        <v>85</v>
      </c>
      <c r="C39">
        <v>70009110</v>
      </c>
      <c r="D39" t="s">
        <v>1923</v>
      </c>
      <c r="E39" t="s">
        <v>82</v>
      </c>
      <c r="F39" t="s">
        <v>45</v>
      </c>
      <c r="G39" t="s">
        <v>88</v>
      </c>
      <c r="H39" s="1">
        <v>50000</v>
      </c>
      <c r="I39" t="s">
        <v>1940</v>
      </c>
      <c r="N39" s="4">
        <f t="shared" si="0"/>
        <v>70009110</v>
      </c>
      <c r="O39" t="str">
        <f t="shared" si="1"/>
        <v>P206D1SLSS</v>
      </c>
    </row>
    <row r="40" spans="2:15" x14ac:dyDescent="0.25">
      <c r="B40" t="s">
        <v>85</v>
      </c>
      <c r="C40">
        <v>70009110</v>
      </c>
      <c r="D40" t="s">
        <v>1923</v>
      </c>
      <c r="E40" t="s">
        <v>82</v>
      </c>
      <c r="F40" t="s">
        <v>45</v>
      </c>
      <c r="G40" t="s">
        <v>89</v>
      </c>
      <c r="H40" s="1">
        <v>50000</v>
      </c>
      <c r="I40" t="s">
        <v>1940</v>
      </c>
      <c r="N40" s="4">
        <f t="shared" si="0"/>
        <v>70009110</v>
      </c>
      <c r="O40" t="str">
        <f t="shared" si="1"/>
        <v>P206D1SLSS</v>
      </c>
    </row>
    <row r="41" spans="2:15" x14ac:dyDescent="0.25">
      <c r="B41" t="s">
        <v>85</v>
      </c>
      <c r="C41">
        <v>70009110</v>
      </c>
      <c r="D41" t="s">
        <v>1923</v>
      </c>
      <c r="E41" t="s">
        <v>82</v>
      </c>
      <c r="F41" t="s">
        <v>45</v>
      </c>
      <c r="G41" t="s">
        <v>90</v>
      </c>
      <c r="H41" s="1">
        <v>50000</v>
      </c>
      <c r="I41" t="s">
        <v>1940</v>
      </c>
      <c r="N41" s="4">
        <f t="shared" si="0"/>
        <v>70009110</v>
      </c>
      <c r="O41" t="str">
        <f t="shared" si="1"/>
        <v>P206D1SLSS</v>
      </c>
    </row>
    <row r="42" spans="2:15" x14ac:dyDescent="0.25">
      <c r="B42" t="s">
        <v>85</v>
      </c>
      <c r="C42">
        <v>70009110</v>
      </c>
      <c r="D42" t="s">
        <v>1923</v>
      </c>
      <c r="E42" t="s">
        <v>82</v>
      </c>
      <c r="F42" t="s">
        <v>45</v>
      </c>
      <c r="G42" t="s">
        <v>91</v>
      </c>
      <c r="H42" s="1">
        <v>50000</v>
      </c>
      <c r="I42" t="s">
        <v>1940</v>
      </c>
      <c r="N42" s="4">
        <f t="shared" si="0"/>
        <v>70009110</v>
      </c>
      <c r="O42" t="str">
        <f t="shared" si="1"/>
        <v>P206D1SLSS</v>
      </c>
    </row>
    <row r="43" spans="2:15" x14ac:dyDescent="0.25">
      <c r="B43" t="s">
        <v>85</v>
      </c>
      <c r="C43">
        <v>70009110</v>
      </c>
      <c r="D43" t="s">
        <v>1923</v>
      </c>
      <c r="E43" t="s">
        <v>92</v>
      </c>
      <c r="F43" t="s">
        <v>45</v>
      </c>
      <c r="G43" t="s">
        <v>93</v>
      </c>
      <c r="H43" s="1">
        <v>50000</v>
      </c>
      <c r="I43" t="s">
        <v>1941</v>
      </c>
      <c r="N43" s="4">
        <f t="shared" si="0"/>
        <v>70009110</v>
      </c>
      <c r="O43" t="str">
        <f t="shared" si="1"/>
        <v>P206D1SLSS</v>
      </c>
    </row>
    <row r="44" spans="2:15" x14ac:dyDescent="0.25">
      <c r="B44" t="s">
        <v>85</v>
      </c>
      <c r="C44">
        <v>70009110</v>
      </c>
      <c r="D44" t="s">
        <v>1938</v>
      </c>
      <c r="E44" t="s">
        <v>92</v>
      </c>
      <c r="F44" t="s">
        <v>45</v>
      </c>
      <c r="G44" t="s">
        <v>94</v>
      </c>
      <c r="H44" s="1">
        <v>50000</v>
      </c>
      <c r="I44" t="s">
        <v>1941</v>
      </c>
      <c r="N44" s="4">
        <f t="shared" si="0"/>
        <v>70009110</v>
      </c>
      <c r="O44" t="str">
        <f t="shared" si="1"/>
        <v>M204D1COMM</v>
      </c>
    </row>
    <row r="45" spans="2:15" x14ac:dyDescent="0.25">
      <c r="B45" t="s">
        <v>85</v>
      </c>
      <c r="C45">
        <v>70106400</v>
      </c>
      <c r="D45" t="s">
        <v>1943</v>
      </c>
      <c r="E45" t="s">
        <v>95</v>
      </c>
      <c r="F45" t="s">
        <v>96</v>
      </c>
      <c r="G45" t="s">
        <v>97</v>
      </c>
      <c r="H45" s="1">
        <v>630000</v>
      </c>
      <c r="I45" t="s">
        <v>1942</v>
      </c>
      <c r="N45" s="4">
        <f t="shared" si="0"/>
        <v>70106400</v>
      </c>
      <c r="O45" t="str">
        <f t="shared" si="1"/>
        <v>R124D1HRGA</v>
      </c>
    </row>
    <row r="46" spans="2:15" x14ac:dyDescent="0.25">
      <c r="B46" t="s">
        <v>85</v>
      </c>
      <c r="C46">
        <v>70106100</v>
      </c>
      <c r="D46" t="s">
        <v>1943</v>
      </c>
      <c r="E46" t="s">
        <v>95</v>
      </c>
      <c r="F46" t="s">
        <v>67</v>
      </c>
      <c r="G46" t="s">
        <v>98</v>
      </c>
      <c r="H46" s="1">
        <v>369000</v>
      </c>
      <c r="I46" t="s">
        <v>1942</v>
      </c>
      <c r="N46" s="4">
        <f t="shared" si="0"/>
        <v>70106100</v>
      </c>
      <c r="O46" t="str">
        <f t="shared" si="1"/>
        <v>R124D1HRGA</v>
      </c>
    </row>
    <row r="47" spans="2:15" x14ac:dyDescent="0.25">
      <c r="B47" t="s">
        <v>85</v>
      </c>
      <c r="C47">
        <v>70101202</v>
      </c>
      <c r="D47" t="s">
        <v>1945</v>
      </c>
      <c r="E47" t="s">
        <v>99</v>
      </c>
      <c r="F47" t="s">
        <v>57</v>
      </c>
      <c r="G47" t="s">
        <v>100</v>
      </c>
      <c r="H47" s="1">
        <v>502640</v>
      </c>
      <c r="I47" t="s">
        <v>1944</v>
      </c>
      <c r="N47" s="4">
        <f t="shared" si="0"/>
        <v>70101202</v>
      </c>
      <c r="O47" t="str">
        <f t="shared" si="1"/>
        <v>R124MIN</v>
      </c>
    </row>
    <row r="48" spans="2:15" x14ac:dyDescent="0.25">
      <c r="B48" t="s">
        <v>85</v>
      </c>
      <c r="C48">
        <v>70106100</v>
      </c>
      <c r="D48" t="s">
        <v>1923</v>
      </c>
      <c r="E48" t="s">
        <v>101</v>
      </c>
      <c r="F48" t="s">
        <v>67</v>
      </c>
      <c r="G48" t="s">
        <v>102</v>
      </c>
      <c r="H48" s="1">
        <v>184000</v>
      </c>
      <c r="I48" t="s">
        <v>1946</v>
      </c>
      <c r="N48" s="4">
        <f t="shared" si="0"/>
        <v>70106100</v>
      </c>
      <c r="O48" t="str">
        <f t="shared" si="1"/>
        <v>P206D1SLSS</v>
      </c>
    </row>
    <row r="49" spans="2:15" x14ac:dyDescent="0.25">
      <c r="B49" t="s">
        <v>85</v>
      </c>
      <c r="C49">
        <v>70009110</v>
      </c>
      <c r="D49" t="s">
        <v>1923</v>
      </c>
      <c r="E49" t="s">
        <v>103</v>
      </c>
      <c r="F49" t="s">
        <v>45</v>
      </c>
      <c r="G49" t="s">
        <v>104</v>
      </c>
      <c r="H49" s="1">
        <v>50000</v>
      </c>
      <c r="I49" t="s">
        <v>1947</v>
      </c>
      <c r="N49" s="4">
        <f t="shared" si="0"/>
        <v>70009110</v>
      </c>
      <c r="O49" t="str">
        <f t="shared" si="1"/>
        <v>P206D1SLSS</v>
      </c>
    </row>
    <row r="50" spans="2:15" x14ac:dyDescent="0.25">
      <c r="B50" t="s">
        <v>85</v>
      </c>
      <c r="C50">
        <v>70009110</v>
      </c>
      <c r="D50" t="s">
        <v>1923</v>
      </c>
      <c r="E50" t="s">
        <v>103</v>
      </c>
      <c r="F50" t="s">
        <v>45</v>
      </c>
      <c r="G50" t="s">
        <v>105</v>
      </c>
      <c r="H50" s="1">
        <v>50000</v>
      </c>
      <c r="I50" t="s">
        <v>1947</v>
      </c>
      <c r="N50" s="4">
        <f t="shared" si="0"/>
        <v>70009110</v>
      </c>
      <c r="O50" t="str">
        <f t="shared" si="1"/>
        <v>P206D1SLSS</v>
      </c>
    </row>
    <row r="51" spans="2:15" x14ac:dyDescent="0.25">
      <c r="B51" t="s">
        <v>85</v>
      </c>
      <c r="C51">
        <v>70009110</v>
      </c>
      <c r="D51" t="s">
        <v>1923</v>
      </c>
      <c r="E51" t="s">
        <v>103</v>
      </c>
      <c r="F51" t="s">
        <v>45</v>
      </c>
      <c r="G51" t="s">
        <v>106</v>
      </c>
      <c r="H51" s="1">
        <v>50000</v>
      </c>
      <c r="I51" t="s">
        <v>1947</v>
      </c>
      <c r="N51" s="4">
        <f t="shared" si="0"/>
        <v>70009110</v>
      </c>
      <c r="O51" t="str">
        <f t="shared" si="1"/>
        <v>P206D1SLSS</v>
      </c>
    </row>
    <row r="52" spans="2:15" x14ac:dyDescent="0.25">
      <c r="B52" t="s">
        <v>85</v>
      </c>
      <c r="C52">
        <v>70009110</v>
      </c>
      <c r="D52" t="s">
        <v>1938</v>
      </c>
      <c r="E52" t="s">
        <v>107</v>
      </c>
      <c r="F52" t="s">
        <v>45</v>
      </c>
      <c r="G52" t="s">
        <v>108</v>
      </c>
      <c r="H52" s="1">
        <v>50000</v>
      </c>
      <c r="I52" t="s">
        <v>1941</v>
      </c>
      <c r="N52" s="4">
        <f t="shared" si="0"/>
        <v>70009110</v>
      </c>
      <c r="O52" t="str">
        <f t="shared" si="1"/>
        <v>M204D1COMM</v>
      </c>
    </row>
    <row r="53" spans="2:15" x14ac:dyDescent="0.25">
      <c r="B53" t="s">
        <v>85</v>
      </c>
      <c r="C53">
        <v>70009110</v>
      </c>
      <c r="D53" t="s">
        <v>1938</v>
      </c>
      <c r="E53" t="s">
        <v>107</v>
      </c>
      <c r="F53" t="s">
        <v>45</v>
      </c>
      <c r="G53" t="s">
        <v>109</v>
      </c>
      <c r="H53" s="1">
        <v>50000</v>
      </c>
      <c r="I53" t="s">
        <v>1941</v>
      </c>
      <c r="N53" s="4">
        <f t="shared" si="0"/>
        <v>70009110</v>
      </c>
      <c r="O53" t="str">
        <f t="shared" si="1"/>
        <v>M204D1COMM</v>
      </c>
    </row>
    <row r="54" spans="2:15" x14ac:dyDescent="0.25">
      <c r="B54" t="s">
        <v>85</v>
      </c>
      <c r="C54">
        <v>70009110</v>
      </c>
      <c r="D54" t="s">
        <v>1938</v>
      </c>
      <c r="E54" t="s">
        <v>107</v>
      </c>
      <c r="F54" t="s">
        <v>45</v>
      </c>
      <c r="G54" t="s">
        <v>110</v>
      </c>
      <c r="H54" s="1">
        <v>50000</v>
      </c>
      <c r="I54" t="s">
        <v>1941</v>
      </c>
      <c r="N54" s="4">
        <f t="shared" si="0"/>
        <v>70009110</v>
      </c>
      <c r="O54" t="str">
        <f t="shared" si="1"/>
        <v>M204D1COMM</v>
      </c>
    </row>
    <row r="55" spans="2:15" x14ac:dyDescent="0.25">
      <c r="B55" t="s">
        <v>85</v>
      </c>
      <c r="C55">
        <v>70009110</v>
      </c>
      <c r="D55" t="s">
        <v>1923</v>
      </c>
      <c r="E55" t="s">
        <v>111</v>
      </c>
      <c r="F55" t="s">
        <v>45</v>
      </c>
      <c r="G55" t="s">
        <v>112</v>
      </c>
      <c r="H55" s="1">
        <v>200000</v>
      </c>
      <c r="I55" t="s">
        <v>1922</v>
      </c>
      <c r="N55" s="4">
        <f t="shared" si="0"/>
        <v>70009110</v>
      </c>
      <c r="O55" t="str">
        <f t="shared" si="1"/>
        <v>P206D1SLSS</v>
      </c>
    </row>
    <row r="56" spans="2:15" x14ac:dyDescent="0.25">
      <c r="B56" t="s">
        <v>85</v>
      </c>
      <c r="C56">
        <v>70009110</v>
      </c>
      <c r="D56" t="s">
        <v>1938</v>
      </c>
      <c r="E56" t="s">
        <v>111</v>
      </c>
      <c r="F56" t="s">
        <v>45</v>
      </c>
      <c r="G56" t="s">
        <v>113</v>
      </c>
      <c r="H56" s="1">
        <v>100000</v>
      </c>
      <c r="I56" t="s">
        <v>1922</v>
      </c>
      <c r="N56" s="4">
        <f t="shared" si="0"/>
        <v>70009110</v>
      </c>
      <c r="O56" t="str">
        <f t="shared" si="1"/>
        <v>M204D1COMM</v>
      </c>
    </row>
    <row r="57" spans="2:15" x14ac:dyDescent="0.25">
      <c r="B57" t="s">
        <v>85</v>
      </c>
      <c r="C57">
        <v>70009110</v>
      </c>
      <c r="D57" t="s">
        <v>1924</v>
      </c>
      <c r="E57" t="s">
        <v>111</v>
      </c>
      <c r="F57" t="s">
        <v>45</v>
      </c>
      <c r="G57" t="s">
        <v>114</v>
      </c>
      <c r="H57" s="1">
        <v>50000</v>
      </c>
      <c r="I57" t="s">
        <v>1922</v>
      </c>
      <c r="N57" s="4">
        <f t="shared" si="0"/>
        <v>70009110</v>
      </c>
      <c r="O57" t="str">
        <f t="shared" si="1"/>
        <v>C206D1SLSS</v>
      </c>
    </row>
    <row r="58" spans="2:15" x14ac:dyDescent="0.25">
      <c r="B58" t="s">
        <v>85</v>
      </c>
      <c r="C58">
        <v>70009110</v>
      </c>
      <c r="D58" t="s">
        <v>1923</v>
      </c>
      <c r="E58" t="s">
        <v>111</v>
      </c>
      <c r="F58" t="s">
        <v>45</v>
      </c>
      <c r="G58" t="s">
        <v>115</v>
      </c>
      <c r="H58" s="1">
        <v>50000</v>
      </c>
      <c r="I58" t="s">
        <v>1922</v>
      </c>
      <c r="N58" s="4">
        <f t="shared" si="0"/>
        <v>70009110</v>
      </c>
      <c r="O58" t="str">
        <f t="shared" si="1"/>
        <v>P206D1SLSS</v>
      </c>
    </row>
    <row r="59" spans="2:15" x14ac:dyDescent="0.25">
      <c r="B59" t="s">
        <v>85</v>
      </c>
      <c r="C59">
        <v>70009110</v>
      </c>
      <c r="D59" t="s">
        <v>1923</v>
      </c>
      <c r="E59" t="s">
        <v>111</v>
      </c>
      <c r="F59" t="s">
        <v>45</v>
      </c>
      <c r="G59" t="s">
        <v>116</v>
      </c>
      <c r="H59" s="1">
        <v>50000</v>
      </c>
      <c r="I59" t="s">
        <v>1922</v>
      </c>
      <c r="N59" s="4">
        <f t="shared" si="0"/>
        <v>70009110</v>
      </c>
      <c r="O59" t="str">
        <f t="shared" si="1"/>
        <v>P206D1SLSS</v>
      </c>
    </row>
    <row r="60" spans="2:15" x14ac:dyDescent="0.25">
      <c r="B60" t="s">
        <v>85</v>
      </c>
      <c r="C60">
        <v>70009110</v>
      </c>
      <c r="D60" t="s">
        <v>1924</v>
      </c>
      <c r="E60" t="s">
        <v>111</v>
      </c>
      <c r="F60" t="s">
        <v>45</v>
      </c>
      <c r="G60" t="s">
        <v>117</v>
      </c>
      <c r="H60" s="1">
        <v>50000</v>
      </c>
      <c r="I60" t="s">
        <v>1922</v>
      </c>
      <c r="N60" s="4">
        <f t="shared" si="0"/>
        <v>70009110</v>
      </c>
      <c r="O60" t="str">
        <f t="shared" si="1"/>
        <v>C206D1SLSS</v>
      </c>
    </row>
    <row r="61" spans="2:15" x14ac:dyDescent="0.25">
      <c r="B61" t="s">
        <v>85</v>
      </c>
      <c r="C61">
        <v>70009110</v>
      </c>
      <c r="D61" t="s">
        <v>1923</v>
      </c>
      <c r="E61" t="s">
        <v>111</v>
      </c>
      <c r="F61" t="s">
        <v>45</v>
      </c>
      <c r="G61" t="s">
        <v>118</v>
      </c>
      <c r="H61" s="1">
        <v>50000</v>
      </c>
      <c r="I61" t="s">
        <v>1922</v>
      </c>
      <c r="N61" s="4">
        <f t="shared" si="0"/>
        <v>70009110</v>
      </c>
      <c r="O61" t="str">
        <f t="shared" si="1"/>
        <v>P206D1SLSS</v>
      </c>
    </row>
    <row r="62" spans="2:15" x14ac:dyDescent="0.25">
      <c r="B62" t="s">
        <v>85</v>
      </c>
      <c r="C62">
        <v>70009110</v>
      </c>
      <c r="D62" t="s">
        <v>1923</v>
      </c>
      <c r="E62" t="s">
        <v>111</v>
      </c>
      <c r="F62" t="s">
        <v>45</v>
      </c>
      <c r="G62" t="s">
        <v>119</v>
      </c>
      <c r="H62" s="1">
        <v>50000</v>
      </c>
      <c r="I62" t="s">
        <v>1922</v>
      </c>
      <c r="N62" s="4">
        <f t="shared" si="0"/>
        <v>70009110</v>
      </c>
      <c r="O62" t="str">
        <f t="shared" si="1"/>
        <v>P206D1SLSS</v>
      </c>
    </row>
    <row r="63" spans="2:15" x14ac:dyDescent="0.25">
      <c r="B63" t="s">
        <v>85</v>
      </c>
      <c r="C63">
        <v>70009110</v>
      </c>
      <c r="D63" t="s">
        <v>1924</v>
      </c>
      <c r="E63" t="s">
        <v>111</v>
      </c>
      <c r="F63" t="s">
        <v>45</v>
      </c>
      <c r="G63" t="s">
        <v>120</v>
      </c>
      <c r="H63" s="1">
        <v>50000</v>
      </c>
      <c r="I63" t="s">
        <v>1922</v>
      </c>
      <c r="N63" s="4">
        <f t="shared" si="0"/>
        <v>70009110</v>
      </c>
      <c r="O63" t="str">
        <f t="shared" si="1"/>
        <v>C206D1SLSS</v>
      </c>
    </row>
    <row r="64" spans="2:15" x14ac:dyDescent="0.25">
      <c r="B64" t="s">
        <v>85</v>
      </c>
      <c r="C64">
        <v>70009110</v>
      </c>
      <c r="D64" t="s">
        <v>1923</v>
      </c>
      <c r="E64" t="s">
        <v>111</v>
      </c>
      <c r="F64" t="s">
        <v>45</v>
      </c>
      <c r="G64" t="s">
        <v>121</v>
      </c>
      <c r="H64" s="1">
        <v>50000</v>
      </c>
      <c r="I64" t="s">
        <v>1922</v>
      </c>
      <c r="N64" s="4">
        <f t="shared" si="0"/>
        <v>70009110</v>
      </c>
      <c r="O64" t="str">
        <f t="shared" si="1"/>
        <v>P206D1SLSS</v>
      </c>
    </row>
    <row r="65" spans="2:15" x14ac:dyDescent="0.25">
      <c r="B65" t="s">
        <v>85</v>
      </c>
      <c r="C65">
        <v>70009110</v>
      </c>
      <c r="D65" t="s">
        <v>1923</v>
      </c>
      <c r="E65" t="s">
        <v>111</v>
      </c>
      <c r="F65" t="s">
        <v>45</v>
      </c>
      <c r="G65" t="s">
        <v>122</v>
      </c>
      <c r="H65" s="1">
        <v>50000</v>
      </c>
      <c r="I65" t="s">
        <v>1922</v>
      </c>
      <c r="N65" s="4">
        <f t="shared" si="0"/>
        <v>70009110</v>
      </c>
      <c r="O65" t="str">
        <f t="shared" si="1"/>
        <v>P206D1SLSS</v>
      </c>
    </row>
    <row r="66" spans="2:15" x14ac:dyDescent="0.25">
      <c r="B66" t="s">
        <v>85</v>
      </c>
      <c r="C66">
        <v>70101202</v>
      </c>
      <c r="D66" t="s">
        <v>1948</v>
      </c>
      <c r="E66" t="s">
        <v>123</v>
      </c>
      <c r="F66" t="s">
        <v>57</v>
      </c>
      <c r="G66" t="s">
        <v>124</v>
      </c>
      <c r="H66" s="1">
        <v>93000</v>
      </c>
      <c r="I66" t="s">
        <v>1934</v>
      </c>
      <c r="N66" s="4">
        <f t="shared" si="0"/>
        <v>70101202</v>
      </c>
      <c r="O66" t="str">
        <f t="shared" si="1"/>
        <v>R124WHFSB</v>
      </c>
    </row>
    <row r="67" spans="2:15" x14ac:dyDescent="0.25">
      <c r="B67" t="s">
        <v>85</v>
      </c>
      <c r="C67">
        <v>70107600</v>
      </c>
      <c r="D67" t="s">
        <v>1943</v>
      </c>
      <c r="E67" t="s">
        <v>125</v>
      </c>
      <c r="F67" t="s">
        <v>126</v>
      </c>
      <c r="G67" t="s">
        <v>127</v>
      </c>
      <c r="H67" s="1">
        <v>973200</v>
      </c>
      <c r="I67" t="s">
        <v>1920</v>
      </c>
      <c r="N67" s="4">
        <f t="shared" si="0"/>
        <v>70107600</v>
      </c>
      <c r="O67" t="str">
        <f t="shared" si="1"/>
        <v>R124D1HRGA</v>
      </c>
    </row>
    <row r="68" spans="2:15" x14ac:dyDescent="0.25">
      <c r="B68" t="s">
        <v>85</v>
      </c>
      <c r="C68">
        <v>70101102</v>
      </c>
      <c r="D68" t="s">
        <v>1943</v>
      </c>
      <c r="E68" t="s">
        <v>128</v>
      </c>
      <c r="F68" t="s">
        <v>129</v>
      </c>
      <c r="G68" t="s">
        <v>130</v>
      </c>
      <c r="H68" s="1">
        <v>990000</v>
      </c>
      <c r="I68" t="s">
        <v>1949</v>
      </c>
      <c r="N68" s="4">
        <f t="shared" si="0"/>
        <v>70101102</v>
      </c>
      <c r="O68" t="str">
        <f t="shared" si="1"/>
        <v>R124D1HRGA</v>
      </c>
    </row>
    <row r="69" spans="2:15" x14ac:dyDescent="0.25">
      <c r="B69" t="s">
        <v>85</v>
      </c>
      <c r="C69">
        <v>70101114</v>
      </c>
      <c r="D69" t="s">
        <v>1951</v>
      </c>
      <c r="E69" t="s">
        <v>131</v>
      </c>
      <c r="F69" t="s">
        <v>59</v>
      </c>
      <c r="G69" t="s">
        <v>132</v>
      </c>
      <c r="H69" s="1">
        <v>825000</v>
      </c>
      <c r="I69" t="s">
        <v>1950</v>
      </c>
      <c r="N69" s="4">
        <f t="shared" si="0"/>
        <v>70101114</v>
      </c>
      <c r="O69" t="str">
        <f t="shared" si="1"/>
        <v>R124REF</v>
      </c>
    </row>
    <row r="70" spans="2:15" x14ac:dyDescent="0.25">
      <c r="B70" t="s">
        <v>85</v>
      </c>
      <c r="C70">
        <v>70101102</v>
      </c>
      <c r="D70" t="s">
        <v>1943</v>
      </c>
      <c r="E70" t="s">
        <v>133</v>
      </c>
      <c r="F70" t="s">
        <v>129</v>
      </c>
      <c r="G70" t="s">
        <v>134</v>
      </c>
      <c r="H70" s="1">
        <v>685420</v>
      </c>
      <c r="I70" t="s">
        <v>1949</v>
      </c>
      <c r="N70" s="4">
        <f t="shared" si="0"/>
        <v>70101102</v>
      </c>
      <c r="O70" t="str">
        <f t="shared" si="1"/>
        <v>R124D1HRGA</v>
      </c>
    </row>
    <row r="71" spans="2:15" x14ac:dyDescent="0.25">
      <c r="B71" t="s">
        <v>85</v>
      </c>
      <c r="C71">
        <v>70101202</v>
      </c>
      <c r="D71" t="s">
        <v>1945</v>
      </c>
      <c r="E71" t="s">
        <v>135</v>
      </c>
      <c r="F71" t="s">
        <v>57</v>
      </c>
      <c r="G71" t="s">
        <v>136</v>
      </c>
      <c r="H71" s="1">
        <v>460060</v>
      </c>
      <c r="I71" t="s">
        <v>1944</v>
      </c>
      <c r="N71" s="4">
        <f t="shared" si="0"/>
        <v>70101202</v>
      </c>
      <c r="O71" t="str">
        <f t="shared" si="1"/>
        <v>R124MIN</v>
      </c>
    </row>
    <row r="72" spans="2:15" x14ac:dyDescent="0.25">
      <c r="B72" t="s">
        <v>85</v>
      </c>
      <c r="C72">
        <v>70107300</v>
      </c>
      <c r="D72" t="s">
        <v>1921</v>
      </c>
      <c r="E72" t="s">
        <v>137</v>
      </c>
      <c r="F72" t="s">
        <v>41</v>
      </c>
      <c r="G72" t="s">
        <v>138</v>
      </c>
      <c r="H72" s="1">
        <v>186599</v>
      </c>
      <c r="I72" t="s">
        <v>1920</v>
      </c>
      <c r="N72" s="4">
        <f t="shared" si="0"/>
        <v>70107300</v>
      </c>
      <c r="O72" t="str">
        <f t="shared" si="1"/>
        <v>R124D1HRDV</v>
      </c>
    </row>
    <row r="73" spans="2:15" x14ac:dyDescent="0.25">
      <c r="B73" t="s">
        <v>85</v>
      </c>
      <c r="C73">
        <v>70101114</v>
      </c>
      <c r="D73" t="s">
        <v>1953</v>
      </c>
      <c r="E73" t="s">
        <v>139</v>
      </c>
      <c r="F73" t="s">
        <v>59</v>
      </c>
      <c r="G73" t="s">
        <v>140</v>
      </c>
      <c r="H73" s="1">
        <v>143900</v>
      </c>
      <c r="I73" t="s">
        <v>1952</v>
      </c>
      <c r="N73" s="4">
        <f t="shared" si="0"/>
        <v>70101114</v>
      </c>
      <c r="O73" t="str">
        <f t="shared" si="1"/>
        <v>R124MNT</v>
      </c>
    </row>
    <row r="74" spans="2:15" x14ac:dyDescent="0.25">
      <c r="B74" t="s">
        <v>85</v>
      </c>
      <c r="C74">
        <v>70101114</v>
      </c>
      <c r="D74" t="s">
        <v>1955</v>
      </c>
      <c r="E74" t="s">
        <v>141</v>
      </c>
      <c r="F74" t="s">
        <v>59</v>
      </c>
      <c r="G74" t="s">
        <v>142</v>
      </c>
      <c r="H74" s="1">
        <v>504050</v>
      </c>
      <c r="I74" t="s">
        <v>1954</v>
      </c>
      <c r="N74" s="4">
        <f t="shared" si="0"/>
        <v>70101114</v>
      </c>
      <c r="O74" t="str">
        <f t="shared" si="1"/>
        <v>R124WHP</v>
      </c>
    </row>
    <row r="75" spans="2:15" x14ac:dyDescent="0.25">
      <c r="B75" t="s">
        <v>85</v>
      </c>
      <c r="C75">
        <v>70101202</v>
      </c>
      <c r="D75" t="s">
        <v>1933</v>
      </c>
      <c r="E75" t="s">
        <v>143</v>
      </c>
      <c r="F75" t="s">
        <v>57</v>
      </c>
      <c r="G75" t="s">
        <v>144</v>
      </c>
      <c r="H75" s="1">
        <v>210000</v>
      </c>
      <c r="I75" t="s">
        <v>1956</v>
      </c>
      <c r="N75" s="4">
        <f t="shared" ref="N75:N138" si="2">+C75</f>
        <v>70101202</v>
      </c>
      <c r="O75" t="str">
        <f t="shared" ref="O75:O138" si="3">+D75</f>
        <v>R124TCP</v>
      </c>
    </row>
    <row r="76" spans="2:15" x14ac:dyDescent="0.25">
      <c r="B76" t="s">
        <v>85</v>
      </c>
      <c r="C76">
        <v>70115100</v>
      </c>
      <c r="D76" t="s">
        <v>1938</v>
      </c>
      <c r="E76" t="s">
        <v>145</v>
      </c>
      <c r="F76" t="s">
        <v>146</v>
      </c>
      <c r="G76" t="s">
        <v>147</v>
      </c>
      <c r="H76" s="1">
        <v>863500</v>
      </c>
      <c r="I76" t="s">
        <v>1947</v>
      </c>
      <c r="N76" s="4">
        <f t="shared" si="2"/>
        <v>70115100</v>
      </c>
      <c r="O76" t="str">
        <f t="shared" si="3"/>
        <v>M204D1COMM</v>
      </c>
    </row>
    <row r="77" spans="2:15" x14ac:dyDescent="0.25">
      <c r="B77" t="s">
        <v>85</v>
      </c>
      <c r="C77">
        <v>70107600</v>
      </c>
      <c r="D77" t="s">
        <v>1953</v>
      </c>
      <c r="E77" t="s">
        <v>148</v>
      </c>
      <c r="F77" t="s">
        <v>126</v>
      </c>
      <c r="G77" t="s">
        <v>149</v>
      </c>
      <c r="H77" s="1">
        <v>50000</v>
      </c>
      <c r="I77" t="s">
        <v>1957</v>
      </c>
      <c r="N77" s="4">
        <f t="shared" si="2"/>
        <v>70107600</v>
      </c>
      <c r="O77" t="str">
        <f t="shared" si="3"/>
        <v>R124MNT</v>
      </c>
    </row>
    <row r="78" spans="2:15" x14ac:dyDescent="0.25">
      <c r="B78" t="s">
        <v>85</v>
      </c>
      <c r="C78">
        <v>70115100</v>
      </c>
      <c r="D78" t="s">
        <v>1959</v>
      </c>
      <c r="E78" t="s">
        <v>150</v>
      </c>
      <c r="F78" t="s">
        <v>146</v>
      </c>
      <c r="G78" t="s">
        <v>151</v>
      </c>
      <c r="H78" s="1">
        <v>680000</v>
      </c>
      <c r="I78" t="s">
        <v>1958</v>
      </c>
      <c r="N78" s="4">
        <f t="shared" si="2"/>
        <v>70115100</v>
      </c>
      <c r="O78" t="str">
        <f t="shared" si="3"/>
        <v>R124QCA</v>
      </c>
    </row>
    <row r="79" spans="2:15" x14ac:dyDescent="0.25">
      <c r="B79" t="s">
        <v>85</v>
      </c>
      <c r="C79">
        <v>70101114</v>
      </c>
      <c r="D79" t="s">
        <v>1959</v>
      </c>
      <c r="E79" t="s">
        <v>150</v>
      </c>
      <c r="F79" t="s">
        <v>59</v>
      </c>
      <c r="G79" t="s">
        <v>152</v>
      </c>
      <c r="H79" s="1">
        <v>144900</v>
      </c>
      <c r="I79" t="s">
        <v>1958</v>
      </c>
      <c r="N79" s="4">
        <f t="shared" si="2"/>
        <v>70101114</v>
      </c>
      <c r="O79" t="str">
        <f t="shared" si="3"/>
        <v>R124QCA</v>
      </c>
    </row>
    <row r="80" spans="2:15" x14ac:dyDescent="0.25">
      <c r="B80" t="s">
        <v>85</v>
      </c>
      <c r="C80">
        <v>70115100</v>
      </c>
      <c r="D80" t="s">
        <v>1959</v>
      </c>
      <c r="E80" t="s">
        <v>153</v>
      </c>
      <c r="F80" t="s">
        <v>146</v>
      </c>
      <c r="G80" t="s">
        <v>151</v>
      </c>
      <c r="H80" s="1">
        <v>680000</v>
      </c>
      <c r="I80" t="s">
        <v>1958</v>
      </c>
      <c r="N80" s="4">
        <f t="shared" si="2"/>
        <v>70115100</v>
      </c>
      <c r="O80" t="str">
        <f t="shared" si="3"/>
        <v>R124QCA</v>
      </c>
    </row>
    <row r="81" spans="2:15" x14ac:dyDescent="0.25">
      <c r="B81" t="s">
        <v>85</v>
      </c>
      <c r="C81">
        <v>70106100</v>
      </c>
      <c r="D81" t="s">
        <v>1959</v>
      </c>
      <c r="E81" t="s">
        <v>153</v>
      </c>
      <c r="F81" t="s">
        <v>67</v>
      </c>
      <c r="G81" t="s">
        <v>154</v>
      </c>
      <c r="H81" s="1">
        <v>217000</v>
      </c>
      <c r="I81" t="s">
        <v>1958</v>
      </c>
      <c r="N81" s="4">
        <f t="shared" si="2"/>
        <v>70106100</v>
      </c>
      <c r="O81" t="str">
        <f t="shared" si="3"/>
        <v>R124QCA</v>
      </c>
    </row>
    <row r="82" spans="2:15" x14ac:dyDescent="0.25">
      <c r="B82" t="s">
        <v>85</v>
      </c>
      <c r="C82">
        <v>70101114</v>
      </c>
      <c r="D82" t="s">
        <v>1948</v>
      </c>
      <c r="E82" t="s">
        <v>155</v>
      </c>
      <c r="F82" t="s">
        <v>59</v>
      </c>
      <c r="G82" t="s">
        <v>156</v>
      </c>
      <c r="H82" s="1">
        <v>48000</v>
      </c>
      <c r="I82" t="s">
        <v>1934</v>
      </c>
      <c r="N82" s="4">
        <f t="shared" si="2"/>
        <v>70101114</v>
      </c>
      <c r="O82" t="str">
        <f t="shared" si="3"/>
        <v>R124WHFSB</v>
      </c>
    </row>
    <row r="83" spans="2:15" x14ac:dyDescent="0.25">
      <c r="B83" t="s">
        <v>85</v>
      </c>
      <c r="C83">
        <v>70009110</v>
      </c>
      <c r="D83" t="s">
        <v>1938</v>
      </c>
      <c r="E83" t="s">
        <v>157</v>
      </c>
      <c r="F83" t="s">
        <v>45</v>
      </c>
      <c r="G83" t="s">
        <v>158</v>
      </c>
      <c r="H83" s="1">
        <v>50000</v>
      </c>
      <c r="I83" t="s">
        <v>1936</v>
      </c>
      <c r="N83" s="4">
        <f t="shared" si="2"/>
        <v>70009110</v>
      </c>
      <c r="O83" t="str">
        <f t="shared" si="3"/>
        <v>M204D1COMM</v>
      </c>
    </row>
    <row r="84" spans="2:15" x14ac:dyDescent="0.25">
      <c r="B84" t="s">
        <v>85</v>
      </c>
      <c r="C84">
        <v>70009110</v>
      </c>
      <c r="D84" t="s">
        <v>1923</v>
      </c>
      <c r="E84" t="s">
        <v>157</v>
      </c>
      <c r="F84" t="s">
        <v>45</v>
      </c>
      <c r="G84" t="s">
        <v>159</v>
      </c>
      <c r="H84" s="1">
        <v>50000</v>
      </c>
      <c r="I84" t="s">
        <v>1936</v>
      </c>
      <c r="N84" s="4">
        <f t="shared" si="2"/>
        <v>70009110</v>
      </c>
      <c r="O84" t="str">
        <f t="shared" si="3"/>
        <v>P206D1SLSS</v>
      </c>
    </row>
    <row r="85" spans="2:15" x14ac:dyDescent="0.25">
      <c r="B85" t="s">
        <v>85</v>
      </c>
      <c r="C85">
        <v>70009110</v>
      </c>
      <c r="D85" t="s">
        <v>1923</v>
      </c>
      <c r="E85" t="s">
        <v>157</v>
      </c>
      <c r="F85" t="s">
        <v>45</v>
      </c>
      <c r="G85" t="s">
        <v>160</v>
      </c>
      <c r="H85" s="1">
        <v>50000</v>
      </c>
      <c r="I85" t="s">
        <v>1936</v>
      </c>
      <c r="N85" s="4">
        <f t="shared" si="2"/>
        <v>70009110</v>
      </c>
      <c r="O85" t="str">
        <f t="shared" si="3"/>
        <v>P206D1SLSS</v>
      </c>
    </row>
    <row r="86" spans="2:15" x14ac:dyDescent="0.25">
      <c r="B86" t="s">
        <v>85</v>
      </c>
      <c r="C86">
        <v>70102300</v>
      </c>
      <c r="D86" t="s">
        <v>1961</v>
      </c>
      <c r="E86" t="s">
        <v>161</v>
      </c>
      <c r="F86" t="s">
        <v>162</v>
      </c>
      <c r="G86" t="s">
        <v>163</v>
      </c>
      <c r="H86" s="1">
        <v>286400</v>
      </c>
      <c r="I86" t="s">
        <v>1960</v>
      </c>
      <c r="N86" s="4">
        <f t="shared" si="2"/>
        <v>70102300</v>
      </c>
      <c r="O86" t="str">
        <f t="shared" si="3"/>
        <v>R124D1EHFS</v>
      </c>
    </row>
    <row r="87" spans="2:15" x14ac:dyDescent="0.25">
      <c r="B87" t="s">
        <v>85</v>
      </c>
      <c r="C87">
        <v>70107600</v>
      </c>
      <c r="D87" t="s">
        <v>1961</v>
      </c>
      <c r="E87" t="s">
        <v>161</v>
      </c>
      <c r="F87" t="s">
        <v>126</v>
      </c>
      <c r="G87" t="s">
        <v>164</v>
      </c>
      <c r="H87" s="1">
        <v>156280</v>
      </c>
      <c r="I87" t="s">
        <v>1960</v>
      </c>
      <c r="N87" s="4">
        <f t="shared" si="2"/>
        <v>70107600</v>
      </c>
      <c r="O87" t="str">
        <f t="shared" si="3"/>
        <v>R124D1EHFS</v>
      </c>
    </row>
    <row r="88" spans="2:15" x14ac:dyDescent="0.25">
      <c r="B88" t="s">
        <v>85</v>
      </c>
      <c r="C88">
        <v>70101114</v>
      </c>
      <c r="D88" t="s">
        <v>1962</v>
      </c>
      <c r="E88" t="s">
        <v>165</v>
      </c>
      <c r="F88" t="s">
        <v>59</v>
      </c>
      <c r="G88" t="s">
        <v>166</v>
      </c>
      <c r="H88" s="1">
        <v>172150</v>
      </c>
      <c r="I88" t="s">
        <v>1941</v>
      </c>
      <c r="N88" s="4">
        <f t="shared" si="2"/>
        <v>70101114</v>
      </c>
      <c r="O88" t="str">
        <f t="shared" si="3"/>
        <v>R124LOG</v>
      </c>
    </row>
    <row r="89" spans="2:15" x14ac:dyDescent="0.25">
      <c r="B89" t="s">
        <v>85</v>
      </c>
      <c r="C89">
        <v>70106400</v>
      </c>
      <c r="D89" t="s">
        <v>1943</v>
      </c>
      <c r="E89" t="s">
        <v>167</v>
      </c>
      <c r="F89" t="s">
        <v>96</v>
      </c>
      <c r="G89" t="s">
        <v>168</v>
      </c>
      <c r="H89" s="1">
        <v>830000</v>
      </c>
      <c r="I89" t="s">
        <v>1942</v>
      </c>
      <c r="N89" s="4">
        <f t="shared" si="2"/>
        <v>70106400</v>
      </c>
      <c r="O89" t="str">
        <f t="shared" si="3"/>
        <v>R124D1HRGA</v>
      </c>
    </row>
    <row r="90" spans="2:15" x14ac:dyDescent="0.25">
      <c r="B90" t="s">
        <v>85</v>
      </c>
      <c r="C90">
        <v>70106100</v>
      </c>
      <c r="D90" t="s">
        <v>1943</v>
      </c>
      <c r="E90" t="s">
        <v>167</v>
      </c>
      <c r="F90" t="s">
        <v>67</v>
      </c>
      <c r="G90" t="s">
        <v>98</v>
      </c>
      <c r="H90" s="1">
        <v>168900</v>
      </c>
      <c r="I90" t="s">
        <v>1942</v>
      </c>
      <c r="N90" s="4">
        <f t="shared" si="2"/>
        <v>70106100</v>
      </c>
      <c r="O90" t="str">
        <f t="shared" si="3"/>
        <v>R124D1HRGA</v>
      </c>
    </row>
    <row r="91" spans="2:15" x14ac:dyDescent="0.25">
      <c r="B91" t="s">
        <v>85</v>
      </c>
      <c r="C91">
        <v>70107600</v>
      </c>
      <c r="D91" t="s">
        <v>1962</v>
      </c>
      <c r="E91" t="s">
        <v>169</v>
      </c>
      <c r="F91" t="s">
        <v>126</v>
      </c>
      <c r="G91" t="s">
        <v>170</v>
      </c>
      <c r="H91" s="1">
        <v>325000</v>
      </c>
      <c r="I91" t="s">
        <v>1963</v>
      </c>
      <c r="N91" s="4">
        <f t="shared" si="2"/>
        <v>70107600</v>
      </c>
      <c r="O91" t="str">
        <f t="shared" si="3"/>
        <v>R124LOG</v>
      </c>
    </row>
    <row r="92" spans="2:15" x14ac:dyDescent="0.25">
      <c r="B92" t="s">
        <v>85</v>
      </c>
      <c r="C92">
        <v>70101230</v>
      </c>
      <c r="D92" t="s">
        <v>1948</v>
      </c>
      <c r="E92" t="s">
        <v>171</v>
      </c>
      <c r="F92" t="s">
        <v>172</v>
      </c>
      <c r="G92" t="s">
        <v>173</v>
      </c>
      <c r="H92" s="1">
        <v>900000</v>
      </c>
      <c r="I92" t="s">
        <v>1934</v>
      </c>
      <c r="N92" s="4">
        <f t="shared" si="2"/>
        <v>70101230</v>
      </c>
      <c r="O92" t="str">
        <f t="shared" si="3"/>
        <v>R124WHFSB</v>
      </c>
    </row>
    <row r="93" spans="2:15" x14ac:dyDescent="0.25">
      <c r="B93" t="s">
        <v>85</v>
      </c>
      <c r="C93">
        <v>70101230</v>
      </c>
      <c r="D93" t="s">
        <v>1948</v>
      </c>
      <c r="E93" t="s">
        <v>174</v>
      </c>
      <c r="F93" t="s">
        <v>172</v>
      </c>
      <c r="G93" t="s">
        <v>173</v>
      </c>
      <c r="H93" s="1">
        <v>900000</v>
      </c>
      <c r="I93" t="s">
        <v>1934</v>
      </c>
      <c r="N93" s="4">
        <f t="shared" si="2"/>
        <v>70101230</v>
      </c>
      <c r="O93" t="str">
        <f t="shared" si="3"/>
        <v>R124WHFSB</v>
      </c>
    </row>
    <row r="94" spans="2:15" x14ac:dyDescent="0.25">
      <c r="B94" t="s">
        <v>85</v>
      </c>
      <c r="C94">
        <v>70101114</v>
      </c>
      <c r="D94" t="s">
        <v>1948</v>
      </c>
      <c r="E94" t="s">
        <v>174</v>
      </c>
      <c r="F94" t="s">
        <v>59</v>
      </c>
      <c r="G94" t="s">
        <v>175</v>
      </c>
      <c r="H94" s="1">
        <v>76000</v>
      </c>
      <c r="I94" t="s">
        <v>1934</v>
      </c>
      <c r="N94" s="4">
        <f t="shared" si="2"/>
        <v>70101114</v>
      </c>
      <c r="O94" t="str">
        <f t="shared" si="3"/>
        <v>R124WHFSB</v>
      </c>
    </row>
    <row r="95" spans="2:15" x14ac:dyDescent="0.25">
      <c r="B95" t="s">
        <v>85</v>
      </c>
      <c r="C95">
        <v>70107600</v>
      </c>
      <c r="D95" t="s">
        <v>1930</v>
      </c>
      <c r="E95" t="s">
        <v>176</v>
      </c>
      <c r="F95" t="s">
        <v>126</v>
      </c>
      <c r="G95" t="s">
        <v>177</v>
      </c>
      <c r="H95" s="1">
        <v>915600</v>
      </c>
      <c r="I95" t="s">
        <v>1929</v>
      </c>
      <c r="N95" s="4">
        <f t="shared" si="2"/>
        <v>70107600</v>
      </c>
      <c r="O95" t="str">
        <f t="shared" si="3"/>
        <v>R124QMR</v>
      </c>
    </row>
    <row r="96" spans="2:15" x14ac:dyDescent="0.25">
      <c r="B96" t="s">
        <v>85</v>
      </c>
      <c r="C96">
        <v>70101202</v>
      </c>
      <c r="D96" t="s">
        <v>1924</v>
      </c>
      <c r="E96" t="s">
        <v>178</v>
      </c>
      <c r="F96" t="s">
        <v>57</v>
      </c>
      <c r="G96" t="s">
        <v>179</v>
      </c>
      <c r="H96" s="1">
        <v>420000</v>
      </c>
      <c r="I96" t="s">
        <v>1964</v>
      </c>
      <c r="N96" s="4">
        <f t="shared" si="2"/>
        <v>70101202</v>
      </c>
      <c r="O96" t="str">
        <f t="shared" si="3"/>
        <v>C206D1SLSS</v>
      </c>
    </row>
    <row r="97" spans="2:15" x14ac:dyDescent="0.25">
      <c r="B97" t="s">
        <v>85</v>
      </c>
      <c r="C97">
        <v>70101202</v>
      </c>
      <c r="D97" t="s">
        <v>1923</v>
      </c>
      <c r="E97" t="s">
        <v>180</v>
      </c>
      <c r="F97" t="s">
        <v>57</v>
      </c>
      <c r="G97" t="s">
        <v>181</v>
      </c>
      <c r="H97" s="1">
        <v>328000</v>
      </c>
      <c r="I97" t="s">
        <v>1946</v>
      </c>
      <c r="N97" s="4">
        <f t="shared" si="2"/>
        <v>70101202</v>
      </c>
      <c r="O97" t="str">
        <f t="shared" si="3"/>
        <v>P206D1SLSS</v>
      </c>
    </row>
    <row r="98" spans="2:15" x14ac:dyDescent="0.25">
      <c r="B98" t="s">
        <v>85</v>
      </c>
      <c r="C98">
        <v>70009110</v>
      </c>
      <c r="D98" t="s">
        <v>1938</v>
      </c>
      <c r="E98" t="s">
        <v>182</v>
      </c>
      <c r="F98" t="s">
        <v>45</v>
      </c>
      <c r="G98" t="s">
        <v>183</v>
      </c>
      <c r="H98" s="1">
        <v>50000</v>
      </c>
      <c r="I98" t="s">
        <v>1941</v>
      </c>
      <c r="N98" s="4">
        <f t="shared" si="2"/>
        <v>70009110</v>
      </c>
      <c r="O98" t="str">
        <f t="shared" si="3"/>
        <v>M204D1COMM</v>
      </c>
    </row>
    <row r="99" spans="2:15" x14ac:dyDescent="0.25">
      <c r="B99" t="s">
        <v>85</v>
      </c>
      <c r="C99">
        <v>70009110</v>
      </c>
      <c r="D99" t="s">
        <v>1923</v>
      </c>
      <c r="E99" t="s">
        <v>184</v>
      </c>
      <c r="F99" t="s">
        <v>45</v>
      </c>
      <c r="G99" t="s">
        <v>185</v>
      </c>
      <c r="H99" s="1">
        <v>50000</v>
      </c>
      <c r="I99" t="s">
        <v>1947</v>
      </c>
      <c r="N99" s="4">
        <f t="shared" si="2"/>
        <v>70009110</v>
      </c>
      <c r="O99" t="str">
        <f t="shared" si="3"/>
        <v>P206D1SLSS</v>
      </c>
    </row>
    <row r="100" spans="2:15" x14ac:dyDescent="0.25">
      <c r="B100" t="s">
        <v>85</v>
      </c>
      <c r="C100">
        <v>70009110</v>
      </c>
      <c r="D100" t="s">
        <v>1923</v>
      </c>
      <c r="E100" t="s">
        <v>184</v>
      </c>
      <c r="F100" t="s">
        <v>45</v>
      </c>
      <c r="G100" t="s">
        <v>186</v>
      </c>
      <c r="H100" s="1">
        <v>50000</v>
      </c>
      <c r="I100" t="s">
        <v>1947</v>
      </c>
      <c r="N100" s="4">
        <f t="shared" si="2"/>
        <v>70009110</v>
      </c>
      <c r="O100" t="str">
        <f t="shared" si="3"/>
        <v>P206D1SLSS</v>
      </c>
    </row>
    <row r="101" spans="2:15" x14ac:dyDescent="0.25">
      <c r="B101" t="s">
        <v>85</v>
      </c>
      <c r="C101">
        <v>70009110</v>
      </c>
      <c r="D101" t="s">
        <v>1923</v>
      </c>
      <c r="E101" t="s">
        <v>184</v>
      </c>
      <c r="F101" t="s">
        <v>45</v>
      </c>
      <c r="G101" t="s">
        <v>187</v>
      </c>
      <c r="H101" s="1">
        <v>50000</v>
      </c>
      <c r="I101" t="s">
        <v>1947</v>
      </c>
      <c r="N101" s="4">
        <f t="shared" si="2"/>
        <v>70009110</v>
      </c>
      <c r="O101" t="str">
        <f t="shared" si="3"/>
        <v>P206D1SLSS</v>
      </c>
    </row>
    <row r="102" spans="2:15" x14ac:dyDescent="0.25">
      <c r="B102" t="s">
        <v>85</v>
      </c>
      <c r="C102">
        <v>70101114</v>
      </c>
      <c r="D102" t="s">
        <v>1943</v>
      </c>
      <c r="E102" t="s">
        <v>188</v>
      </c>
      <c r="F102" t="s">
        <v>59</v>
      </c>
      <c r="G102" t="s">
        <v>189</v>
      </c>
      <c r="H102" s="1">
        <v>809000</v>
      </c>
      <c r="I102" t="s">
        <v>1949</v>
      </c>
      <c r="N102" s="4">
        <f t="shared" si="2"/>
        <v>70101114</v>
      </c>
      <c r="O102" t="str">
        <f t="shared" si="3"/>
        <v>R124D1HRGA</v>
      </c>
    </row>
    <row r="103" spans="2:15" x14ac:dyDescent="0.25">
      <c r="B103" t="s">
        <v>85</v>
      </c>
      <c r="C103">
        <v>70106400</v>
      </c>
      <c r="D103" t="s">
        <v>1943</v>
      </c>
      <c r="E103" t="s">
        <v>190</v>
      </c>
      <c r="F103" t="s">
        <v>96</v>
      </c>
      <c r="G103" t="s">
        <v>191</v>
      </c>
      <c r="H103" s="1">
        <v>500000</v>
      </c>
      <c r="I103" t="s">
        <v>1942</v>
      </c>
      <c r="N103" s="4">
        <f t="shared" si="2"/>
        <v>70106400</v>
      </c>
      <c r="O103" t="str">
        <f t="shared" si="3"/>
        <v>R124D1HRGA</v>
      </c>
    </row>
    <row r="104" spans="2:15" x14ac:dyDescent="0.25">
      <c r="B104" t="s">
        <v>85</v>
      </c>
      <c r="C104">
        <v>70106100</v>
      </c>
      <c r="D104" t="s">
        <v>1943</v>
      </c>
      <c r="E104" t="s">
        <v>190</v>
      </c>
      <c r="F104" t="s">
        <v>67</v>
      </c>
      <c r="G104" t="s">
        <v>98</v>
      </c>
      <c r="H104" s="1">
        <v>499500</v>
      </c>
      <c r="I104" t="s">
        <v>1942</v>
      </c>
      <c r="N104" s="4">
        <f t="shared" si="2"/>
        <v>70106100</v>
      </c>
      <c r="O104" t="str">
        <f t="shared" si="3"/>
        <v>R124D1HRGA</v>
      </c>
    </row>
    <row r="105" spans="2:15" x14ac:dyDescent="0.25">
      <c r="B105" t="s">
        <v>85</v>
      </c>
      <c r="C105">
        <v>70105300</v>
      </c>
      <c r="D105" t="s">
        <v>1943</v>
      </c>
      <c r="E105" t="s">
        <v>192</v>
      </c>
      <c r="F105" t="s">
        <v>193</v>
      </c>
      <c r="G105" t="s">
        <v>194</v>
      </c>
      <c r="H105" s="1">
        <v>57800</v>
      </c>
      <c r="I105" t="s">
        <v>1949</v>
      </c>
      <c r="N105" s="4">
        <f t="shared" si="2"/>
        <v>70105300</v>
      </c>
      <c r="O105" t="str">
        <f t="shared" si="3"/>
        <v>R124D1HRGA</v>
      </c>
    </row>
    <row r="106" spans="2:15" x14ac:dyDescent="0.25">
      <c r="B106" t="s">
        <v>85</v>
      </c>
      <c r="C106">
        <v>70107300</v>
      </c>
      <c r="D106" t="s">
        <v>1921</v>
      </c>
      <c r="E106" t="s">
        <v>195</v>
      </c>
      <c r="F106" t="s">
        <v>41</v>
      </c>
      <c r="G106" t="s">
        <v>196</v>
      </c>
      <c r="H106" s="1">
        <v>600000</v>
      </c>
      <c r="I106" t="s">
        <v>1920</v>
      </c>
      <c r="N106" s="4">
        <f t="shared" si="2"/>
        <v>70107300</v>
      </c>
      <c r="O106" t="str">
        <f t="shared" si="3"/>
        <v>R124D1HRDV</v>
      </c>
    </row>
    <row r="107" spans="2:15" x14ac:dyDescent="0.25">
      <c r="B107" t="s">
        <v>85</v>
      </c>
      <c r="C107">
        <v>70106400</v>
      </c>
      <c r="D107" t="s">
        <v>1943</v>
      </c>
      <c r="E107" t="s">
        <v>197</v>
      </c>
      <c r="F107" t="s">
        <v>96</v>
      </c>
      <c r="G107" t="s">
        <v>198</v>
      </c>
      <c r="H107" s="1">
        <v>770000</v>
      </c>
      <c r="I107" t="s">
        <v>1942</v>
      </c>
      <c r="N107" s="4">
        <f t="shared" si="2"/>
        <v>70106400</v>
      </c>
      <c r="O107" t="str">
        <f t="shared" si="3"/>
        <v>R124D1HRGA</v>
      </c>
    </row>
    <row r="108" spans="2:15" x14ac:dyDescent="0.25">
      <c r="B108" t="s">
        <v>85</v>
      </c>
      <c r="C108">
        <v>70106100</v>
      </c>
      <c r="D108" t="s">
        <v>1943</v>
      </c>
      <c r="E108" t="s">
        <v>197</v>
      </c>
      <c r="F108" t="s">
        <v>67</v>
      </c>
      <c r="G108" t="s">
        <v>98</v>
      </c>
      <c r="H108" s="1">
        <v>229500</v>
      </c>
      <c r="I108" t="s">
        <v>1942</v>
      </c>
      <c r="N108" s="4">
        <f t="shared" si="2"/>
        <v>70106100</v>
      </c>
      <c r="O108" t="str">
        <f t="shared" si="3"/>
        <v>R124D1HRGA</v>
      </c>
    </row>
    <row r="109" spans="2:15" x14ac:dyDescent="0.25">
      <c r="B109" t="s">
        <v>199</v>
      </c>
      <c r="C109">
        <v>70101102</v>
      </c>
      <c r="D109" t="s">
        <v>1951</v>
      </c>
      <c r="E109" t="s">
        <v>200</v>
      </c>
      <c r="F109" t="s">
        <v>129</v>
      </c>
      <c r="G109" t="s">
        <v>201</v>
      </c>
      <c r="H109" s="1">
        <v>856000</v>
      </c>
      <c r="I109" t="s">
        <v>1950</v>
      </c>
      <c r="N109" s="4">
        <f t="shared" si="2"/>
        <v>70101102</v>
      </c>
      <c r="O109" t="str">
        <f t="shared" si="3"/>
        <v>R124REF</v>
      </c>
    </row>
    <row r="110" spans="2:15" x14ac:dyDescent="0.25">
      <c r="B110" t="s">
        <v>199</v>
      </c>
      <c r="C110">
        <v>70107600</v>
      </c>
      <c r="D110" t="s">
        <v>1938</v>
      </c>
      <c r="E110" t="s">
        <v>202</v>
      </c>
      <c r="F110" t="s">
        <v>126</v>
      </c>
      <c r="G110" t="s">
        <v>203</v>
      </c>
      <c r="H110" s="1">
        <v>945000</v>
      </c>
      <c r="I110" t="s">
        <v>1929</v>
      </c>
      <c r="N110" s="4">
        <f t="shared" si="2"/>
        <v>70107600</v>
      </c>
      <c r="O110" t="str">
        <f t="shared" si="3"/>
        <v>M204D1COMM</v>
      </c>
    </row>
    <row r="111" spans="2:15" x14ac:dyDescent="0.25">
      <c r="B111" t="s">
        <v>199</v>
      </c>
      <c r="C111">
        <v>70106400</v>
      </c>
      <c r="D111" t="s">
        <v>1943</v>
      </c>
      <c r="E111" t="s">
        <v>204</v>
      </c>
      <c r="F111" t="s">
        <v>96</v>
      </c>
      <c r="G111" t="s">
        <v>205</v>
      </c>
      <c r="H111" s="1">
        <v>300000</v>
      </c>
      <c r="I111" t="s">
        <v>1942</v>
      </c>
      <c r="N111" s="4">
        <f t="shared" si="2"/>
        <v>70106400</v>
      </c>
      <c r="O111" t="str">
        <f t="shared" si="3"/>
        <v>R124D1HRGA</v>
      </c>
    </row>
    <row r="112" spans="2:15" x14ac:dyDescent="0.25">
      <c r="B112" t="s">
        <v>199</v>
      </c>
      <c r="C112">
        <v>70106100</v>
      </c>
      <c r="D112" t="s">
        <v>1943</v>
      </c>
      <c r="E112" t="s">
        <v>204</v>
      </c>
      <c r="F112" t="s">
        <v>67</v>
      </c>
      <c r="G112" t="s">
        <v>98</v>
      </c>
      <c r="H112" s="1">
        <v>700000</v>
      </c>
      <c r="I112" t="s">
        <v>1942</v>
      </c>
      <c r="N112" s="4">
        <f t="shared" si="2"/>
        <v>70106100</v>
      </c>
      <c r="O112" t="str">
        <f t="shared" si="3"/>
        <v>R124D1HRGA</v>
      </c>
    </row>
    <row r="113" spans="2:15" x14ac:dyDescent="0.25">
      <c r="B113" t="s">
        <v>199</v>
      </c>
      <c r="C113">
        <v>70009110</v>
      </c>
      <c r="D113" t="s">
        <v>1923</v>
      </c>
      <c r="E113" t="s">
        <v>206</v>
      </c>
      <c r="F113" t="s">
        <v>45</v>
      </c>
      <c r="G113" t="s">
        <v>207</v>
      </c>
      <c r="H113" s="1">
        <v>50000</v>
      </c>
      <c r="I113" t="s">
        <v>1965</v>
      </c>
      <c r="N113" s="4">
        <f t="shared" si="2"/>
        <v>70009110</v>
      </c>
      <c r="O113" t="str">
        <f t="shared" si="3"/>
        <v>P206D1SLSS</v>
      </c>
    </row>
    <row r="114" spans="2:15" x14ac:dyDescent="0.25">
      <c r="B114" t="s">
        <v>199</v>
      </c>
      <c r="C114">
        <v>70009110</v>
      </c>
      <c r="D114" t="s">
        <v>1923</v>
      </c>
      <c r="E114" t="s">
        <v>206</v>
      </c>
      <c r="F114" t="s">
        <v>45</v>
      </c>
      <c r="G114" t="s">
        <v>208</v>
      </c>
      <c r="H114" s="1">
        <v>50000</v>
      </c>
      <c r="I114" t="s">
        <v>1965</v>
      </c>
      <c r="N114" s="4">
        <f t="shared" si="2"/>
        <v>70009110</v>
      </c>
      <c r="O114" t="str">
        <f t="shared" si="3"/>
        <v>P206D1SLSS</v>
      </c>
    </row>
    <row r="115" spans="2:15" x14ac:dyDescent="0.25">
      <c r="B115" t="s">
        <v>199</v>
      </c>
      <c r="C115">
        <v>70101114</v>
      </c>
      <c r="D115" t="s">
        <v>1943</v>
      </c>
      <c r="E115" t="s">
        <v>209</v>
      </c>
      <c r="F115" t="s">
        <v>59</v>
      </c>
      <c r="G115" t="s">
        <v>210</v>
      </c>
      <c r="H115" s="1">
        <v>991458</v>
      </c>
      <c r="I115" t="s">
        <v>1949</v>
      </c>
      <c r="N115" s="4">
        <f t="shared" si="2"/>
        <v>70101114</v>
      </c>
      <c r="O115" t="str">
        <f t="shared" si="3"/>
        <v>R124D1HRGA</v>
      </c>
    </row>
    <row r="116" spans="2:15" x14ac:dyDescent="0.25">
      <c r="B116" t="s">
        <v>199</v>
      </c>
      <c r="C116">
        <v>70009110</v>
      </c>
      <c r="D116" t="s">
        <v>1923</v>
      </c>
      <c r="E116" t="s">
        <v>211</v>
      </c>
      <c r="F116" t="s">
        <v>45</v>
      </c>
      <c r="G116" t="s">
        <v>212</v>
      </c>
      <c r="H116" s="1">
        <v>50000</v>
      </c>
      <c r="I116" t="s">
        <v>1936</v>
      </c>
      <c r="N116" s="4">
        <f t="shared" si="2"/>
        <v>70009110</v>
      </c>
      <c r="O116" t="str">
        <f t="shared" si="3"/>
        <v>P206D1SLSS</v>
      </c>
    </row>
    <row r="117" spans="2:15" x14ac:dyDescent="0.25">
      <c r="B117" t="s">
        <v>199</v>
      </c>
      <c r="C117">
        <v>70009110</v>
      </c>
      <c r="D117" t="s">
        <v>1923</v>
      </c>
      <c r="E117" t="s">
        <v>211</v>
      </c>
      <c r="F117" t="s">
        <v>45</v>
      </c>
      <c r="G117" t="s">
        <v>213</v>
      </c>
      <c r="H117" s="1">
        <v>50000</v>
      </c>
      <c r="I117" t="s">
        <v>1936</v>
      </c>
      <c r="N117" s="4">
        <f t="shared" si="2"/>
        <v>70009110</v>
      </c>
      <c r="O117" t="str">
        <f t="shared" si="3"/>
        <v>P206D1SLSS</v>
      </c>
    </row>
    <row r="118" spans="2:15" x14ac:dyDescent="0.25">
      <c r="B118" t="s">
        <v>199</v>
      </c>
      <c r="C118">
        <v>70009110</v>
      </c>
      <c r="D118" t="s">
        <v>1923</v>
      </c>
      <c r="E118" t="s">
        <v>211</v>
      </c>
      <c r="F118" t="s">
        <v>45</v>
      </c>
      <c r="G118" t="s">
        <v>214</v>
      </c>
      <c r="H118" s="1">
        <v>50000</v>
      </c>
      <c r="I118" t="s">
        <v>1936</v>
      </c>
      <c r="N118" s="4">
        <f t="shared" si="2"/>
        <v>70009110</v>
      </c>
      <c r="O118" t="str">
        <f t="shared" si="3"/>
        <v>P206D1SLSS</v>
      </c>
    </row>
    <row r="119" spans="2:15" x14ac:dyDescent="0.25">
      <c r="B119" t="s">
        <v>199</v>
      </c>
      <c r="C119">
        <v>70009110</v>
      </c>
      <c r="D119" t="s">
        <v>1923</v>
      </c>
      <c r="E119" t="s">
        <v>215</v>
      </c>
      <c r="F119" t="s">
        <v>45</v>
      </c>
      <c r="G119" t="s">
        <v>216</v>
      </c>
      <c r="H119" s="1">
        <v>50000</v>
      </c>
      <c r="I119" t="s">
        <v>1941</v>
      </c>
      <c r="N119" s="4">
        <f t="shared" si="2"/>
        <v>70009110</v>
      </c>
      <c r="O119" t="str">
        <f t="shared" si="3"/>
        <v>P206D1SLSS</v>
      </c>
    </row>
    <row r="120" spans="2:15" x14ac:dyDescent="0.25">
      <c r="B120" t="s">
        <v>199</v>
      </c>
      <c r="C120">
        <v>70009110</v>
      </c>
      <c r="D120" t="s">
        <v>1923</v>
      </c>
      <c r="E120" t="s">
        <v>215</v>
      </c>
      <c r="F120" t="s">
        <v>45</v>
      </c>
      <c r="G120" t="s">
        <v>216</v>
      </c>
      <c r="H120" s="1">
        <v>50000</v>
      </c>
      <c r="I120" t="s">
        <v>1941</v>
      </c>
      <c r="N120" s="4">
        <f t="shared" si="2"/>
        <v>70009110</v>
      </c>
      <c r="O120" t="str">
        <f t="shared" si="3"/>
        <v>P206D1SLSS</v>
      </c>
    </row>
    <row r="121" spans="2:15" x14ac:dyDescent="0.25">
      <c r="B121" t="s">
        <v>199</v>
      </c>
      <c r="C121">
        <v>70107600</v>
      </c>
      <c r="D121" t="s">
        <v>1921</v>
      </c>
      <c r="E121" t="s">
        <v>217</v>
      </c>
      <c r="F121" t="s">
        <v>126</v>
      </c>
      <c r="G121" t="s">
        <v>218</v>
      </c>
      <c r="H121" s="1">
        <v>952000</v>
      </c>
      <c r="I121" t="s">
        <v>1966</v>
      </c>
      <c r="N121" s="4">
        <f t="shared" si="2"/>
        <v>70107600</v>
      </c>
      <c r="O121" t="str">
        <f t="shared" si="3"/>
        <v>R124D1HRDV</v>
      </c>
    </row>
    <row r="122" spans="2:15" x14ac:dyDescent="0.25">
      <c r="B122" t="s">
        <v>199</v>
      </c>
      <c r="C122">
        <v>70106400</v>
      </c>
      <c r="D122" t="s">
        <v>1943</v>
      </c>
      <c r="E122" t="s">
        <v>219</v>
      </c>
      <c r="F122" t="s">
        <v>96</v>
      </c>
      <c r="G122" t="s">
        <v>220</v>
      </c>
      <c r="H122" s="1">
        <v>580000</v>
      </c>
      <c r="I122" t="s">
        <v>1942</v>
      </c>
      <c r="N122" s="4">
        <f t="shared" si="2"/>
        <v>70106400</v>
      </c>
      <c r="O122" t="str">
        <f t="shared" si="3"/>
        <v>R124D1HRGA</v>
      </c>
    </row>
    <row r="123" spans="2:15" x14ac:dyDescent="0.25">
      <c r="B123" t="s">
        <v>199</v>
      </c>
      <c r="C123">
        <v>70106100</v>
      </c>
      <c r="D123" t="s">
        <v>1943</v>
      </c>
      <c r="E123" t="s">
        <v>219</v>
      </c>
      <c r="F123" t="s">
        <v>67</v>
      </c>
      <c r="G123" t="s">
        <v>98</v>
      </c>
      <c r="H123" s="1">
        <v>420000</v>
      </c>
      <c r="I123" t="s">
        <v>1942</v>
      </c>
      <c r="N123" s="4">
        <f t="shared" si="2"/>
        <v>70106100</v>
      </c>
      <c r="O123" t="str">
        <f t="shared" si="3"/>
        <v>R124D1HRGA</v>
      </c>
    </row>
    <row r="124" spans="2:15" x14ac:dyDescent="0.25">
      <c r="B124" t="s">
        <v>221</v>
      </c>
      <c r="C124">
        <v>70009110</v>
      </c>
      <c r="D124" t="s">
        <v>1967</v>
      </c>
      <c r="E124" t="s">
        <v>222</v>
      </c>
      <c r="F124" t="s">
        <v>45</v>
      </c>
      <c r="G124" t="s">
        <v>223</v>
      </c>
      <c r="H124" s="1">
        <v>50000</v>
      </c>
      <c r="I124" t="s">
        <v>1940</v>
      </c>
      <c r="N124" s="4">
        <f t="shared" si="2"/>
        <v>70009110</v>
      </c>
      <c r="O124" t="str">
        <f t="shared" si="3"/>
        <v>P206D1SLSC</v>
      </c>
    </row>
    <row r="125" spans="2:15" x14ac:dyDescent="0.25">
      <c r="B125" t="s">
        <v>221</v>
      </c>
      <c r="C125">
        <v>70009110</v>
      </c>
      <c r="D125" t="s">
        <v>1923</v>
      </c>
      <c r="E125" t="s">
        <v>222</v>
      </c>
      <c r="F125" t="s">
        <v>45</v>
      </c>
      <c r="G125" t="s">
        <v>224</v>
      </c>
      <c r="H125" s="1">
        <v>50000</v>
      </c>
      <c r="I125" t="s">
        <v>1940</v>
      </c>
      <c r="N125" s="4">
        <f t="shared" si="2"/>
        <v>70009110</v>
      </c>
      <c r="O125" t="str">
        <f t="shared" si="3"/>
        <v>P206D1SLSS</v>
      </c>
    </row>
    <row r="126" spans="2:15" x14ac:dyDescent="0.25">
      <c r="B126" t="s">
        <v>221</v>
      </c>
      <c r="C126">
        <v>70009110</v>
      </c>
      <c r="D126" t="s">
        <v>1923</v>
      </c>
      <c r="E126" t="s">
        <v>222</v>
      </c>
      <c r="F126" t="s">
        <v>45</v>
      </c>
      <c r="G126" t="s">
        <v>225</v>
      </c>
      <c r="H126" s="1">
        <v>50000</v>
      </c>
      <c r="I126" t="s">
        <v>1940</v>
      </c>
      <c r="N126" s="4">
        <f t="shared" si="2"/>
        <v>70009110</v>
      </c>
      <c r="O126" t="str">
        <f t="shared" si="3"/>
        <v>P206D1SLSS</v>
      </c>
    </row>
    <row r="127" spans="2:15" x14ac:dyDescent="0.25">
      <c r="B127" t="s">
        <v>221</v>
      </c>
      <c r="C127">
        <v>70009110</v>
      </c>
      <c r="D127" t="s">
        <v>1967</v>
      </c>
      <c r="E127" t="s">
        <v>222</v>
      </c>
      <c r="F127" t="s">
        <v>45</v>
      </c>
      <c r="G127" t="s">
        <v>226</v>
      </c>
      <c r="H127" s="1">
        <v>50000</v>
      </c>
      <c r="I127" t="s">
        <v>1940</v>
      </c>
      <c r="N127" s="4">
        <f t="shared" si="2"/>
        <v>70009110</v>
      </c>
      <c r="O127" t="str">
        <f t="shared" si="3"/>
        <v>P206D1SLSC</v>
      </c>
    </row>
    <row r="128" spans="2:15" x14ac:dyDescent="0.25">
      <c r="B128" t="s">
        <v>221</v>
      </c>
      <c r="C128">
        <v>70009110</v>
      </c>
      <c r="D128" t="s">
        <v>1923</v>
      </c>
      <c r="E128" t="s">
        <v>222</v>
      </c>
      <c r="F128" t="s">
        <v>45</v>
      </c>
      <c r="G128" t="s">
        <v>227</v>
      </c>
      <c r="H128" s="1">
        <v>50000</v>
      </c>
      <c r="I128" t="s">
        <v>1940</v>
      </c>
      <c r="N128" s="4">
        <f t="shared" si="2"/>
        <v>70009110</v>
      </c>
      <c r="O128" t="str">
        <f t="shared" si="3"/>
        <v>P206D1SLSS</v>
      </c>
    </row>
    <row r="129" spans="2:15" x14ac:dyDescent="0.25">
      <c r="B129" t="s">
        <v>221</v>
      </c>
      <c r="C129">
        <v>70009110</v>
      </c>
      <c r="D129" t="s">
        <v>1967</v>
      </c>
      <c r="E129" t="s">
        <v>222</v>
      </c>
      <c r="F129" t="s">
        <v>45</v>
      </c>
      <c r="G129" t="s">
        <v>228</v>
      </c>
      <c r="H129" s="1">
        <v>50000</v>
      </c>
      <c r="I129" t="s">
        <v>1940</v>
      </c>
      <c r="N129" s="4">
        <f t="shared" si="2"/>
        <v>70009110</v>
      </c>
      <c r="O129" t="str">
        <f t="shared" si="3"/>
        <v>P206D1SLSC</v>
      </c>
    </row>
    <row r="130" spans="2:15" x14ac:dyDescent="0.25">
      <c r="B130" t="s">
        <v>221</v>
      </c>
      <c r="C130">
        <v>70009110</v>
      </c>
      <c r="D130" t="s">
        <v>1923</v>
      </c>
      <c r="E130" t="s">
        <v>222</v>
      </c>
      <c r="F130" t="s">
        <v>45</v>
      </c>
      <c r="G130" t="s">
        <v>229</v>
      </c>
      <c r="H130" s="1">
        <v>50000</v>
      </c>
      <c r="I130" t="s">
        <v>1940</v>
      </c>
      <c r="N130" s="4">
        <f t="shared" si="2"/>
        <v>70009110</v>
      </c>
      <c r="O130" t="str">
        <f t="shared" si="3"/>
        <v>P206D1SLSS</v>
      </c>
    </row>
    <row r="131" spans="2:15" x14ac:dyDescent="0.25">
      <c r="B131" t="s">
        <v>221</v>
      </c>
      <c r="C131">
        <v>70009110</v>
      </c>
      <c r="D131" t="s">
        <v>1923</v>
      </c>
      <c r="E131" t="s">
        <v>222</v>
      </c>
      <c r="F131" t="s">
        <v>45</v>
      </c>
      <c r="G131" t="s">
        <v>230</v>
      </c>
      <c r="H131" s="1">
        <v>50000</v>
      </c>
      <c r="I131" t="s">
        <v>1940</v>
      </c>
      <c r="N131" s="4">
        <f t="shared" si="2"/>
        <v>70009110</v>
      </c>
      <c r="O131" t="str">
        <f t="shared" si="3"/>
        <v>P206D1SLSS</v>
      </c>
    </row>
    <row r="132" spans="2:15" x14ac:dyDescent="0.25">
      <c r="B132" t="s">
        <v>221</v>
      </c>
      <c r="C132">
        <v>70009110</v>
      </c>
      <c r="D132" t="s">
        <v>1938</v>
      </c>
      <c r="E132" t="s">
        <v>231</v>
      </c>
      <c r="F132" t="s">
        <v>45</v>
      </c>
      <c r="G132" t="s">
        <v>232</v>
      </c>
      <c r="H132" s="1">
        <v>50000</v>
      </c>
      <c r="I132" t="s">
        <v>1968</v>
      </c>
      <c r="N132" s="4">
        <f t="shared" si="2"/>
        <v>70009110</v>
      </c>
      <c r="O132" t="str">
        <f t="shared" si="3"/>
        <v>M204D1COMM</v>
      </c>
    </row>
    <row r="133" spans="2:15" x14ac:dyDescent="0.25">
      <c r="B133" t="s">
        <v>221</v>
      </c>
      <c r="C133">
        <v>70009110</v>
      </c>
      <c r="D133" t="s">
        <v>1938</v>
      </c>
      <c r="E133" t="s">
        <v>231</v>
      </c>
      <c r="F133" t="s">
        <v>45</v>
      </c>
      <c r="G133" t="s">
        <v>233</v>
      </c>
      <c r="H133" s="1">
        <v>50000</v>
      </c>
      <c r="I133" t="s">
        <v>1968</v>
      </c>
      <c r="N133" s="4">
        <f t="shared" si="2"/>
        <v>70009110</v>
      </c>
      <c r="O133" t="str">
        <f t="shared" si="3"/>
        <v>M204D1COMM</v>
      </c>
    </row>
    <row r="134" spans="2:15" x14ac:dyDescent="0.25">
      <c r="B134" t="s">
        <v>221</v>
      </c>
      <c r="C134">
        <v>70009110</v>
      </c>
      <c r="D134" t="s">
        <v>1924</v>
      </c>
      <c r="E134" t="s">
        <v>231</v>
      </c>
      <c r="F134" t="s">
        <v>45</v>
      </c>
      <c r="G134" t="s">
        <v>234</v>
      </c>
      <c r="H134" s="1">
        <v>50000</v>
      </c>
      <c r="I134" t="s">
        <v>1968</v>
      </c>
      <c r="N134" s="4">
        <f t="shared" si="2"/>
        <v>70009110</v>
      </c>
      <c r="O134" t="str">
        <f t="shared" si="3"/>
        <v>C206D1SLSS</v>
      </c>
    </row>
    <row r="135" spans="2:15" x14ac:dyDescent="0.25">
      <c r="B135" t="s">
        <v>221</v>
      </c>
      <c r="C135">
        <v>70009110</v>
      </c>
      <c r="D135" t="s">
        <v>1923</v>
      </c>
      <c r="E135" t="s">
        <v>231</v>
      </c>
      <c r="F135" t="s">
        <v>45</v>
      </c>
      <c r="G135" t="s">
        <v>235</v>
      </c>
      <c r="H135" s="1">
        <v>50000</v>
      </c>
      <c r="I135" t="s">
        <v>1968</v>
      </c>
      <c r="N135" s="4">
        <f t="shared" si="2"/>
        <v>70009110</v>
      </c>
      <c r="O135" t="str">
        <f t="shared" si="3"/>
        <v>P206D1SLSS</v>
      </c>
    </row>
    <row r="136" spans="2:15" x14ac:dyDescent="0.25">
      <c r="B136" t="s">
        <v>221</v>
      </c>
      <c r="C136">
        <v>70009110</v>
      </c>
      <c r="D136" t="s">
        <v>1923</v>
      </c>
      <c r="E136" t="s">
        <v>231</v>
      </c>
      <c r="F136" t="s">
        <v>45</v>
      </c>
      <c r="G136" t="s">
        <v>236</v>
      </c>
      <c r="H136" s="1">
        <v>50000</v>
      </c>
      <c r="I136" t="s">
        <v>1968</v>
      </c>
      <c r="N136" s="4">
        <f t="shared" si="2"/>
        <v>70009110</v>
      </c>
      <c r="O136" t="str">
        <f t="shared" si="3"/>
        <v>P206D1SLSS</v>
      </c>
    </row>
    <row r="137" spans="2:15" x14ac:dyDescent="0.25">
      <c r="B137" t="s">
        <v>221</v>
      </c>
      <c r="C137">
        <v>70009110</v>
      </c>
      <c r="D137" t="s">
        <v>1923</v>
      </c>
      <c r="E137" t="s">
        <v>231</v>
      </c>
      <c r="F137" t="s">
        <v>45</v>
      </c>
      <c r="G137" t="s">
        <v>237</v>
      </c>
      <c r="H137" s="1">
        <v>50000</v>
      </c>
      <c r="I137" t="s">
        <v>1968</v>
      </c>
      <c r="N137" s="4">
        <f t="shared" si="2"/>
        <v>70009110</v>
      </c>
      <c r="O137" t="str">
        <f t="shared" si="3"/>
        <v>P206D1SLSS</v>
      </c>
    </row>
    <row r="138" spans="2:15" x14ac:dyDescent="0.25">
      <c r="B138" t="s">
        <v>221</v>
      </c>
      <c r="C138">
        <v>70009110</v>
      </c>
      <c r="D138" t="s">
        <v>1923</v>
      </c>
      <c r="E138" t="s">
        <v>231</v>
      </c>
      <c r="F138" t="s">
        <v>45</v>
      </c>
      <c r="G138" t="s">
        <v>238</v>
      </c>
      <c r="H138" s="1">
        <v>50000</v>
      </c>
      <c r="I138" t="s">
        <v>1968</v>
      </c>
      <c r="N138" s="4">
        <f t="shared" si="2"/>
        <v>70009110</v>
      </c>
      <c r="O138" t="str">
        <f t="shared" si="3"/>
        <v>P206D1SLSS</v>
      </c>
    </row>
    <row r="139" spans="2:15" x14ac:dyDescent="0.25">
      <c r="B139" t="s">
        <v>221</v>
      </c>
      <c r="C139">
        <v>70009110</v>
      </c>
      <c r="D139" t="s">
        <v>1938</v>
      </c>
      <c r="E139" t="s">
        <v>231</v>
      </c>
      <c r="F139" t="s">
        <v>45</v>
      </c>
      <c r="G139" t="s">
        <v>239</v>
      </c>
      <c r="H139" s="1">
        <v>100000</v>
      </c>
      <c r="I139" t="s">
        <v>1968</v>
      </c>
      <c r="N139" s="4">
        <f t="shared" ref="N139:N202" si="4">+C139</f>
        <v>70009110</v>
      </c>
      <c r="O139" t="str">
        <f t="shared" ref="O139:O202" si="5">+D139</f>
        <v>M204D1COMM</v>
      </c>
    </row>
    <row r="140" spans="2:15" x14ac:dyDescent="0.25">
      <c r="B140" t="s">
        <v>221</v>
      </c>
      <c r="C140">
        <v>70009110</v>
      </c>
      <c r="D140" t="s">
        <v>1923</v>
      </c>
      <c r="E140" t="s">
        <v>231</v>
      </c>
      <c r="F140" t="s">
        <v>45</v>
      </c>
      <c r="G140" t="s">
        <v>240</v>
      </c>
      <c r="H140" s="1">
        <v>50000</v>
      </c>
      <c r="I140" t="s">
        <v>1968</v>
      </c>
      <c r="N140" s="4">
        <f t="shared" si="4"/>
        <v>70009110</v>
      </c>
      <c r="O140" t="str">
        <f t="shared" si="5"/>
        <v>P206D1SLSS</v>
      </c>
    </row>
    <row r="141" spans="2:15" x14ac:dyDescent="0.25">
      <c r="B141" t="s">
        <v>221</v>
      </c>
      <c r="C141">
        <v>70009110</v>
      </c>
      <c r="D141" t="s">
        <v>1923</v>
      </c>
      <c r="E141" t="s">
        <v>231</v>
      </c>
      <c r="F141" t="s">
        <v>45</v>
      </c>
      <c r="G141" t="s">
        <v>241</v>
      </c>
      <c r="H141" s="1">
        <v>50000</v>
      </c>
      <c r="I141" t="s">
        <v>1968</v>
      </c>
      <c r="N141" s="4">
        <f t="shared" si="4"/>
        <v>70009110</v>
      </c>
      <c r="O141" t="str">
        <f t="shared" si="5"/>
        <v>P206D1SLSS</v>
      </c>
    </row>
    <row r="142" spans="2:15" x14ac:dyDescent="0.25">
      <c r="B142" t="s">
        <v>221</v>
      </c>
      <c r="C142">
        <v>70009110</v>
      </c>
      <c r="D142" t="s">
        <v>1923</v>
      </c>
      <c r="E142" t="s">
        <v>231</v>
      </c>
      <c r="F142" t="s">
        <v>45</v>
      </c>
      <c r="G142" t="s">
        <v>242</v>
      </c>
      <c r="H142" s="1">
        <v>50000</v>
      </c>
      <c r="I142" t="s">
        <v>1968</v>
      </c>
      <c r="N142" s="4">
        <f t="shared" si="4"/>
        <v>70009110</v>
      </c>
      <c r="O142" t="str">
        <f t="shared" si="5"/>
        <v>P206D1SLSS</v>
      </c>
    </row>
    <row r="143" spans="2:15" x14ac:dyDescent="0.25">
      <c r="B143" t="s">
        <v>221</v>
      </c>
      <c r="C143">
        <v>70009110</v>
      </c>
      <c r="D143" t="s">
        <v>1923</v>
      </c>
      <c r="E143" t="s">
        <v>231</v>
      </c>
      <c r="F143" t="s">
        <v>45</v>
      </c>
      <c r="G143" t="s">
        <v>243</v>
      </c>
      <c r="H143" s="1">
        <v>50000</v>
      </c>
      <c r="I143" t="s">
        <v>1968</v>
      </c>
      <c r="N143" s="4">
        <f t="shared" si="4"/>
        <v>70009110</v>
      </c>
      <c r="O143" t="str">
        <f t="shared" si="5"/>
        <v>P206D1SLSS</v>
      </c>
    </row>
    <row r="144" spans="2:15" x14ac:dyDescent="0.25">
      <c r="B144" t="s">
        <v>221</v>
      </c>
      <c r="C144">
        <v>70009110</v>
      </c>
      <c r="D144" t="s">
        <v>1938</v>
      </c>
      <c r="E144" t="s">
        <v>231</v>
      </c>
      <c r="F144" t="s">
        <v>45</v>
      </c>
      <c r="G144" t="s">
        <v>244</v>
      </c>
      <c r="H144" s="1">
        <v>100000</v>
      </c>
      <c r="I144" t="s">
        <v>1968</v>
      </c>
      <c r="N144" s="4">
        <f t="shared" si="4"/>
        <v>70009110</v>
      </c>
      <c r="O144" t="str">
        <f t="shared" si="5"/>
        <v>M204D1COMM</v>
      </c>
    </row>
    <row r="145" spans="2:15" x14ac:dyDescent="0.25">
      <c r="B145" t="s">
        <v>221</v>
      </c>
      <c r="C145">
        <v>70009110</v>
      </c>
      <c r="D145" t="s">
        <v>1923</v>
      </c>
      <c r="E145" t="s">
        <v>231</v>
      </c>
      <c r="F145" t="s">
        <v>45</v>
      </c>
      <c r="G145" t="s">
        <v>245</v>
      </c>
      <c r="H145" s="1">
        <v>50000</v>
      </c>
      <c r="I145" t="s">
        <v>1968</v>
      </c>
      <c r="N145" s="4">
        <f t="shared" si="4"/>
        <v>70009110</v>
      </c>
      <c r="O145" t="str">
        <f t="shared" si="5"/>
        <v>P206D1SLSS</v>
      </c>
    </row>
    <row r="146" spans="2:15" x14ac:dyDescent="0.25">
      <c r="B146" t="s">
        <v>221</v>
      </c>
      <c r="C146">
        <v>70009110</v>
      </c>
      <c r="D146" t="s">
        <v>1923</v>
      </c>
      <c r="E146" t="s">
        <v>231</v>
      </c>
      <c r="F146" t="s">
        <v>45</v>
      </c>
      <c r="G146" t="s">
        <v>246</v>
      </c>
      <c r="H146" s="1">
        <v>50000</v>
      </c>
      <c r="I146" t="s">
        <v>1968</v>
      </c>
      <c r="N146" s="4">
        <f t="shared" si="4"/>
        <v>70009110</v>
      </c>
      <c r="O146" t="str">
        <f t="shared" si="5"/>
        <v>P206D1SLSS</v>
      </c>
    </row>
    <row r="147" spans="2:15" x14ac:dyDescent="0.25">
      <c r="B147" t="s">
        <v>221</v>
      </c>
      <c r="C147">
        <v>70009110</v>
      </c>
      <c r="D147" t="s">
        <v>1923</v>
      </c>
      <c r="E147" t="s">
        <v>231</v>
      </c>
      <c r="F147" t="s">
        <v>45</v>
      </c>
      <c r="G147" t="s">
        <v>247</v>
      </c>
      <c r="H147" s="1">
        <v>50000</v>
      </c>
      <c r="I147" t="s">
        <v>1968</v>
      </c>
      <c r="N147" s="4">
        <f t="shared" si="4"/>
        <v>70009110</v>
      </c>
      <c r="O147" t="str">
        <f t="shared" si="5"/>
        <v>P206D1SLSS</v>
      </c>
    </row>
    <row r="148" spans="2:15" x14ac:dyDescent="0.25">
      <c r="B148" t="s">
        <v>221</v>
      </c>
      <c r="C148">
        <v>70009110</v>
      </c>
      <c r="D148" t="s">
        <v>1923</v>
      </c>
      <c r="E148" t="s">
        <v>231</v>
      </c>
      <c r="F148" t="s">
        <v>45</v>
      </c>
      <c r="G148" t="s">
        <v>248</v>
      </c>
      <c r="H148" s="1">
        <v>50000</v>
      </c>
      <c r="I148" t="s">
        <v>1968</v>
      </c>
      <c r="N148" s="4">
        <f t="shared" si="4"/>
        <v>70009110</v>
      </c>
      <c r="O148" t="str">
        <f t="shared" si="5"/>
        <v>P206D1SLSS</v>
      </c>
    </row>
    <row r="149" spans="2:15" x14ac:dyDescent="0.25">
      <c r="B149" t="s">
        <v>221</v>
      </c>
      <c r="C149" t="s">
        <v>251</v>
      </c>
      <c r="D149" t="s">
        <v>1933</v>
      </c>
      <c r="F149" t="s">
        <v>249</v>
      </c>
      <c r="H149">
        <v>0</v>
      </c>
      <c r="I149" t="s">
        <v>1969</v>
      </c>
      <c r="N149" s="4" t="str">
        <f t="shared" si="4"/>
        <v>16.07.2025</v>
      </c>
      <c r="O149" t="str">
        <f t="shared" si="5"/>
        <v>R124TCP</v>
      </c>
    </row>
    <row r="150" spans="2:15" x14ac:dyDescent="0.25">
      <c r="B150" t="s">
        <v>251</v>
      </c>
      <c r="C150">
        <v>70101114</v>
      </c>
      <c r="D150" t="s">
        <v>1933</v>
      </c>
      <c r="F150" t="s">
        <v>59</v>
      </c>
      <c r="G150" t="s">
        <v>252</v>
      </c>
      <c r="H150" s="1">
        <v>629000</v>
      </c>
      <c r="I150" t="s">
        <v>1956</v>
      </c>
      <c r="N150" s="4">
        <f t="shared" si="4"/>
        <v>70101114</v>
      </c>
      <c r="O150" t="str">
        <f t="shared" si="5"/>
        <v>R124TCP</v>
      </c>
    </row>
    <row r="151" spans="2:15" x14ac:dyDescent="0.25">
      <c r="B151" t="s">
        <v>251</v>
      </c>
      <c r="C151">
        <v>70101202</v>
      </c>
      <c r="D151" t="s">
        <v>1971</v>
      </c>
      <c r="F151" t="s">
        <v>57</v>
      </c>
      <c r="G151" t="s">
        <v>253</v>
      </c>
      <c r="H151" s="1">
        <v>303100</v>
      </c>
      <c r="I151" t="s">
        <v>1970</v>
      </c>
      <c r="N151" s="4">
        <f t="shared" si="4"/>
        <v>70101202</v>
      </c>
      <c r="O151" t="str">
        <f t="shared" si="5"/>
        <v>R124REF3</v>
      </c>
    </row>
    <row r="152" spans="2:15" x14ac:dyDescent="0.25">
      <c r="B152" t="s">
        <v>251</v>
      </c>
      <c r="C152">
        <v>70107100</v>
      </c>
      <c r="D152" t="s">
        <v>1943</v>
      </c>
      <c r="F152" t="s">
        <v>254</v>
      </c>
      <c r="G152" t="s">
        <v>255</v>
      </c>
      <c r="H152" s="1">
        <v>290500</v>
      </c>
      <c r="I152" t="s">
        <v>1949</v>
      </c>
      <c r="N152" s="4">
        <f t="shared" si="4"/>
        <v>70107100</v>
      </c>
      <c r="O152" t="str">
        <f t="shared" si="5"/>
        <v>R124D1HRGA</v>
      </c>
    </row>
    <row r="153" spans="2:15" x14ac:dyDescent="0.25">
      <c r="B153" t="s">
        <v>251</v>
      </c>
      <c r="C153">
        <v>70108110</v>
      </c>
      <c r="D153" t="s">
        <v>1930</v>
      </c>
      <c r="F153" t="s">
        <v>64</v>
      </c>
      <c r="G153" t="s">
        <v>256</v>
      </c>
      <c r="H153" s="1">
        <v>304800</v>
      </c>
      <c r="I153" t="s">
        <v>1929</v>
      </c>
      <c r="N153" s="4">
        <f t="shared" si="4"/>
        <v>70108110</v>
      </c>
      <c r="O153" t="str">
        <f t="shared" si="5"/>
        <v>R124QMR</v>
      </c>
    </row>
    <row r="154" spans="2:15" x14ac:dyDescent="0.25">
      <c r="B154" t="s">
        <v>251</v>
      </c>
      <c r="C154">
        <v>70107300</v>
      </c>
      <c r="D154" t="s">
        <v>1921</v>
      </c>
      <c r="F154" t="s">
        <v>41</v>
      </c>
      <c r="G154" t="s">
        <v>257</v>
      </c>
      <c r="H154" s="1">
        <v>500000</v>
      </c>
      <c r="I154" t="s">
        <v>1920</v>
      </c>
      <c r="N154" s="4">
        <f t="shared" si="4"/>
        <v>70107300</v>
      </c>
      <c r="O154" t="str">
        <f t="shared" si="5"/>
        <v>R124D1HRDV</v>
      </c>
    </row>
    <row r="155" spans="2:15" x14ac:dyDescent="0.25">
      <c r="B155" t="s">
        <v>251</v>
      </c>
      <c r="C155">
        <v>70107600</v>
      </c>
      <c r="D155" t="s">
        <v>1943</v>
      </c>
      <c r="F155" t="s">
        <v>126</v>
      </c>
      <c r="G155" t="s">
        <v>258</v>
      </c>
      <c r="H155" s="1">
        <v>331500</v>
      </c>
      <c r="I155" t="s">
        <v>1949</v>
      </c>
      <c r="N155" s="4">
        <f t="shared" si="4"/>
        <v>70107600</v>
      </c>
      <c r="O155" t="str">
        <f t="shared" si="5"/>
        <v>R124D1HRGA</v>
      </c>
    </row>
    <row r="156" spans="2:15" x14ac:dyDescent="0.25">
      <c r="B156" t="s">
        <v>251</v>
      </c>
      <c r="C156">
        <v>70119300</v>
      </c>
      <c r="D156" t="s">
        <v>1973</v>
      </c>
      <c r="F156" t="s">
        <v>259</v>
      </c>
      <c r="G156" t="s">
        <v>260</v>
      </c>
      <c r="H156" s="1">
        <v>1000000</v>
      </c>
      <c r="I156" t="s">
        <v>1972</v>
      </c>
      <c r="N156" s="4">
        <f t="shared" si="4"/>
        <v>70119300</v>
      </c>
      <c r="O156" t="str">
        <f t="shared" si="5"/>
        <v>R124D1PRCN</v>
      </c>
    </row>
    <row r="157" spans="2:15" x14ac:dyDescent="0.25">
      <c r="B157" t="s">
        <v>251</v>
      </c>
      <c r="C157">
        <v>70101102</v>
      </c>
      <c r="D157" t="s">
        <v>1951</v>
      </c>
      <c r="F157" t="s">
        <v>129</v>
      </c>
      <c r="G157" t="s">
        <v>261</v>
      </c>
      <c r="H157" s="1">
        <v>153000</v>
      </c>
      <c r="I157" t="s">
        <v>1950</v>
      </c>
      <c r="N157" s="4">
        <f t="shared" si="4"/>
        <v>70101102</v>
      </c>
      <c r="O157" t="str">
        <f t="shared" si="5"/>
        <v>R124REF</v>
      </c>
    </row>
    <row r="158" spans="2:15" x14ac:dyDescent="0.25">
      <c r="B158" t="s">
        <v>251</v>
      </c>
      <c r="C158">
        <v>70009110</v>
      </c>
      <c r="D158" t="s">
        <v>1923</v>
      </c>
      <c r="F158" t="s">
        <v>45</v>
      </c>
      <c r="G158" t="s">
        <v>262</v>
      </c>
      <c r="H158" s="1">
        <v>50000</v>
      </c>
      <c r="I158" t="s">
        <v>1947</v>
      </c>
      <c r="N158" s="4">
        <f t="shared" si="4"/>
        <v>70009110</v>
      </c>
      <c r="O158" t="str">
        <f t="shared" si="5"/>
        <v>P206D1SLSS</v>
      </c>
    </row>
    <row r="159" spans="2:15" x14ac:dyDescent="0.25">
      <c r="B159" t="s">
        <v>251</v>
      </c>
      <c r="C159">
        <v>70009110</v>
      </c>
      <c r="D159" t="s">
        <v>1923</v>
      </c>
      <c r="F159" t="s">
        <v>45</v>
      </c>
      <c r="G159" t="s">
        <v>263</v>
      </c>
      <c r="H159" s="1">
        <v>50000</v>
      </c>
      <c r="I159" t="s">
        <v>1947</v>
      </c>
      <c r="N159" s="4">
        <f t="shared" si="4"/>
        <v>70009110</v>
      </c>
      <c r="O159" t="str">
        <f t="shared" si="5"/>
        <v>P206D1SLSS</v>
      </c>
    </row>
    <row r="160" spans="2:15" x14ac:dyDescent="0.25">
      <c r="B160" t="s">
        <v>251</v>
      </c>
      <c r="C160">
        <v>70009110</v>
      </c>
      <c r="D160" t="s">
        <v>1923</v>
      </c>
      <c r="F160" t="s">
        <v>45</v>
      </c>
      <c r="G160" t="s">
        <v>264</v>
      </c>
      <c r="H160" s="1">
        <v>50000</v>
      </c>
      <c r="I160" t="s">
        <v>1947</v>
      </c>
      <c r="N160" s="4">
        <f t="shared" si="4"/>
        <v>70009110</v>
      </c>
      <c r="O160" t="str">
        <f t="shared" si="5"/>
        <v>P206D1SLSS</v>
      </c>
    </row>
    <row r="161" spans="2:15" x14ac:dyDescent="0.25">
      <c r="B161" t="s">
        <v>251</v>
      </c>
      <c r="C161">
        <v>70009110</v>
      </c>
      <c r="D161" t="s">
        <v>1923</v>
      </c>
      <c r="F161" t="s">
        <v>45</v>
      </c>
      <c r="G161" t="s">
        <v>265</v>
      </c>
      <c r="H161" s="1">
        <v>50000</v>
      </c>
      <c r="I161" t="s">
        <v>1941</v>
      </c>
      <c r="N161" s="4">
        <f t="shared" si="4"/>
        <v>70009110</v>
      </c>
      <c r="O161" t="str">
        <f t="shared" si="5"/>
        <v>P206D1SLSS</v>
      </c>
    </row>
    <row r="162" spans="2:15" x14ac:dyDescent="0.25">
      <c r="B162" t="s">
        <v>251</v>
      </c>
      <c r="C162">
        <v>70101102</v>
      </c>
      <c r="D162" t="s">
        <v>1962</v>
      </c>
      <c r="F162" t="s">
        <v>129</v>
      </c>
      <c r="G162" t="s">
        <v>266</v>
      </c>
      <c r="H162" s="1">
        <v>60000</v>
      </c>
      <c r="I162" t="s">
        <v>1941</v>
      </c>
      <c r="N162" s="4">
        <f t="shared" si="4"/>
        <v>70101102</v>
      </c>
      <c r="O162" t="str">
        <f t="shared" si="5"/>
        <v>R124LOG</v>
      </c>
    </row>
    <row r="163" spans="2:15" x14ac:dyDescent="0.25">
      <c r="B163" t="s">
        <v>251</v>
      </c>
      <c r="C163">
        <v>70106400</v>
      </c>
      <c r="D163" t="s">
        <v>1943</v>
      </c>
      <c r="F163" t="s">
        <v>96</v>
      </c>
      <c r="G163" t="s">
        <v>267</v>
      </c>
      <c r="H163" s="1">
        <v>770000</v>
      </c>
      <c r="I163" t="s">
        <v>1942</v>
      </c>
      <c r="N163" s="4">
        <f t="shared" si="4"/>
        <v>70106400</v>
      </c>
      <c r="O163" t="str">
        <f t="shared" si="5"/>
        <v>R124D1HRGA</v>
      </c>
    </row>
    <row r="164" spans="2:15" x14ac:dyDescent="0.25">
      <c r="B164" t="s">
        <v>251</v>
      </c>
      <c r="C164">
        <v>70106100</v>
      </c>
      <c r="D164" t="s">
        <v>1943</v>
      </c>
      <c r="F164" t="s">
        <v>67</v>
      </c>
      <c r="G164" t="s">
        <v>98</v>
      </c>
      <c r="H164" s="1">
        <v>229900</v>
      </c>
      <c r="I164" t="s">
        <v>1942</v>
      </c>
      <c r="N164" s="4">
        <f t="shared" si="4"/>
        <v>70106100</v>
      </c>
      <c r="O164" t="str">
        <f t="shared" si="5"/>
        <v>R124D1HRGA</v>
      </c>
    </row>
    <row r="165" spans="2:15" x14ac:dyDescent="0.25">
      <c r="B165" t="s">
        <v>251</v>
      </c>
      <c r="C165">
        <v>70009110</v>
      </c>
      <c r="D165" t="s">
        <v>1938</v>
      </c>
      <c r="F165" t="s">
        <v>45</v>
      </c>
      <c r="G165" t="s">
        <v>268</v>
      </c>
      <c r="H165" s="1">
        <v>50000</v>
      </c>
      <c r="I165" t="s">
        <v>1936</v>
      </c>
      <c r="N165" s="4">
        <f t="shared" si="4"/>
        <v>70009110</v>
      </c>
      <c r="O165" t="str">
        <f t="shared" si="5"/>
        <v>M204D1COMM</v>
      </c>
    </row>
    <row r="166" spans="2:15" x14ac:dyDescent="0.25">
      <c r="B166" t="s">
        <v>251</v>
      </c>
      <c r="C166">
        <v>70009110</v>
      </c>
      <c r="D166" t="s">
        <v>1923</v>
      </c>
      <c r="F166" t="s">
        <v>45</v>
      </c>
      <c r="G166" t="s">
        <v>269</v>
      </c>
      <c r="H166" s="1">
        <v>50000</v>
      </c>
      <c r="I166" t="s">
        <v>1936</v>
      </c>
      <c r="N166" s="4">
        <f t="shared" si="4"/>
        <v>70009110</v>
      </c>
      <c r="O166" t="str">
        <f t="shared" si="5"/>
        <v>P206D1SLSS</v>
      </c>
    </row>
    <row r="167" spans="2:15" x14ac:dyDescent="0.25">
      <c r="B167" t="s">
        <v>251</v>
      </c>
      <c r="C167">
        <v>70009110</v>
      </c>
      <c r="D167" t="s">
        <v>1923</v>
      </c>
      <c r="F167" t="s">
        <v>45</v>
      </c>
      <c r="G167" t="s">
        <v>270</v>
      </c>
      <c r="H167" s="1">
        <v>50000</v>
      </c>
      <c r="I167" t="s">
        <v>1936</v>
      </c>
      <c r="N167" s="4">
        <f t="shared" si="4"/>
        <v>70009110</v>
      </c>
      <c r="O167" t="str">
        <f t="shared" si="5"/>
        <v>P206D1SLSS</v>
      </c>
    </row>
    <row r="168" spans="2:15" x14ac:dyDescent="0.25">
      <c r="B168" t="s">
        <v>251</v>
      </c>
      <c r="C168">
        <v>70009110</v>
      </c>
      <c r="D168" t="s">
        <v>1938</v>
      </c>
      <c r="F168" t="s">
        <v>45</v>
      </c>
      <c r="G168" t="s">
        <v>271</v>
      </c>
      <c r="H168" s="1">
        <v>50000</v>
      </c>
      <c r="I168" t="s">
        <v>1936</v>
      </c>
      <c r="N168" s="4">
        <f t="shared" si="4"/>
        <v>70009110</v>
      </c>
      <c r="O168" t="str">
        <f t="shared" si="5"/>
        <v>M204D1COMM</v>
      </c>
    </row>
    <row r="169" spans="2:15" x14ac:dyDescent="0.25">
      <c r="B169" t="s">
        <v>251</v>
      </c>
      <c r="C169">
        <v>70009110</v>
      </c>
      <c r="D169" t="s">
        <v>1923</v>
      </c>
      <c r="F169" t="s">
        <v>45</v>
      </c>
      <c r="G169" t="s">
        <v>272</v>
      </c>
      <c r="H169" s="1">
        <v>50000</v>
      </c>
      <c r="I169" t="s">
        <v>1936</v>
      </c>
      <c r="N169" s="4">
        <f t="shared" si="4"/>
        <v>70009110</v>
      </c>
      <c r="O169" t="str">
        <f t="shared" si="5"/>
        <v>P206D1SLSS</v>
      </c>
    </row>
    <row r="170" spans="2:15" x14ac:dyDescent="0.25">
      <c r="B170" t="s">
        <v>273</v>
      </c>
      <c r="C170">
        <v>70108100</v>
      </c>
      <c r="D170" t="s">
        <v>1933</v>
      </c>
      <c r="F170" t="s">
        <v>274</v>
      </c>
      <c r="G170" t="s">
        <v>275</v>
      </c>
      <c r="H170" s="1">
        <v>962500</v>
      </c>
      <c r="I170" t="s">
        <v>1956</v>
      </c>
      <c r="N170" s="4">
        <f t="shared" si="4"/>
        <v>70108100</v>
      </c>
      <c r="O170" t="str">
        <f t="shared" si="5"/>
        <v>R124TCP</v>
      </c>
    </row>
    <row r="171" spans="2:15" x14ac:dyDescent="0.25">
      <c r="B171" t="s">
        <v>273</v>
      </c>
      <c r="C171">
        <v>70106400</v>
      </c>
      <c r="D171" t="s">
        <v>1943</v>
      </c>
      <c r="F171" t="s">
        <v>96</v>
      </c>
      <c r="G171" t="s">
        <v>276</v>
      </c>
      <c r="H171" s="1">
        <v>590000</v>
      </c>
      <c r="I171" t="s">
        <v>1942</v>
      </c>
      <c r="N171" s="4">
        <f t="shared" si="4"/>
        <v>70106400</v>
      </c>
      <c r="O171" t="str">
        <f t="shared" si="5"/>
        <v>R124D1HRGA</v>
      </c>
    </row>
    <row r="172" spans="2:15" x14ac:dyDescent="0.25">
      <c r="B172" t="s">
        <v>273</v>
      </c>
      <c r="C172">
        <v>70106100</v>
      </c>
      <c r="D172" t="s">
        <v>1943</v>
      </c>
      <c r="F172" t="s">
        <v>67</v>
      </c>
      <c r="G172" t="s">
        <v>98</v>
      </c>
      <c r="H172" s="1">
        <v>407500</v>
      </c>
      <c r="I172" t="s">
        <v>1942</v>
      </c>
      <c r="N172" s="4">
        <f t="shared" si="4"/>
        <v>70106100</v>
      </c>
      <c r="O172" t="str">
        <f t="shared" si="5"/>
        <v>R124D1HRGA</v>
      </c>
    </row>
    <row r="173" spans="2:15" x14ac:dyDescent="0.25">
      <c r="B173" t="s">
        <v>273</v>
      </c>
      <c r="C173">
        <v>70101114</v>
      </c>
      <c r="D173" t="s">
        <v>1955</v>
      </c>
      <c r="F173" t="s">
        <v>59</v>
      </c>
      <c r="G173" t="s">
        <v>277</v>
      </c>
      <c r="H173" s="1">
        <v>331727</v>
      </c>
      <c r="I173" t="s">
        <v>1954</v>
      </c>
      <c r="N173" s="4">
        <f t="shared" si="4"/>
        <v>70101114</v>
      </c>
      <c r="O173" t="str">
        <f t="shared" si="5"/>
        <v>R124WHP</v>
      </c>
    </row>
    <row r="174" spans="2:15" x14ac:dyDescent="0.25">
      <c r="B174" t="s">
        <v>273</v>
      </c>
      <c r="C174">
        <v>70101114</v>
      </c>
      <c r="D174" t="s">
        <v>1959</v>
      </c>
      <c r="F174" t="s">
        <v>59</v>
      </c>
      <c r="G174" t="s">
        <v>278</v>
      </c>
      <c r="H174" s="1">
        <v>963404</v>
      </c>
      <c r="I174" t="s">
        <v>1958</v>
      </c>
      <c r="N174" s="4">
        <f t="shared" si="4"/>
        <v>70101114</v>
      </c>
      <c r="O174" t="str">
        <f t="shared" si="5"/>
        <v>R124QCA</v>
      </c>
    </row>
    <row r="175" spans="2:15" x14ac:dyDescent="0.25">
      <c r="B175" t="s">
        <v>273</v>
      </c>
      <c r="C175">
        <v>70115100</v>
      </c>
      <c r="D175" t="s">
        <v>1938</v>
      </c>
      <c r="F175" t="s">
        <v>146</v>
      </c>
      <c r="G175" t="s">
        <v>279</v>
      </c>
      <c r="H175" s="1">
        <v>714500</v>
      </c>
      <c r="I175" t="s">
        <v>1947</v>
      </c>
      <c r="N175" s="4">
        <f t="shared" si="4"/>
        <v>70115100</v>
      </c>
      <c r="O175" t="str">
        <f t="shared" si="5"/>
        <v>M204D1COMM</v>
      </c>
    </row>
    <row r="176" spans="2:15" x14ac:dyDescent="0.25">
      <c r="B176" t="s">
        <v>273</v>
      </c>
      <c r="C176">
        <v>70102300</v>
      </c>
      <c r="D176" t="s">
        <v>1961</v>
      </c>
      <c r="F176" t="s">
        <v>162</v>
      </c>
      <c r="G176" t="s">
        <v>280</v>
      </c>
      <c r="H176" s="1">
        <v>830500</v>
      </c>
      <c r="I176" t="s">
        <v>1960</v>
      </c>
      <c r="N176" s="4">
        <f t="shared" si="4"/>
        <v>70102300</v>
      </c>
      <c r="O176" t="str">
        <f t="shared" si="5"/>
        <v>R124D1EHFS</v>
      </c>
    </row>
    <row r="177" spans="2:15" x14ac:dyDescent="0.25">
      <c r="B177" t="s">
        <v>273</v>
      </c>
      <c r="C177">
        <v>70110110</v>
      </c>
      <c r="D177" t="s">
        <v>1921</v>
      </c>
      <c r="F177" t="s">
        <v>281</v>
      </c>
      <c r="G177" t="s">
        <v>282</v>
      </c>
      <c r="H177" s="1">
        <v>700000</v>
      </c>
      <c r="I177" t="s">
        <v>1974</v>
      </c>
      <c r="N177" s="4">
        <f t="shared" si="4"/>
        <v>70110110</v>
      </c>
      <c r="O177" t="str">
        <f t="shared" si="5"/>
        <v>R124D1HRDV</v>
      </c>
    </row>
    <row r="178" spans="2:15" x14ac:dyDescent="0.25">
      <c r="B178" t="s">
        <v>273</v>
      </c>
      <c r="C178">
        <v>70107600</v>
      </c>
      <c r="D178" t="s">
        <v>1975</v>
      </c>
      <c r="F178" t="s">
        <v>126</v>
      </c>
      <c r="G178" t="s">
        <v>283</v>
      </c>
      <c r="H178" s="1">
        <v>500000</v>
      </c>
      <c r="I178" t="s">
        <v>1920</v>
      </c>
      <c r="N178" s="4">
        <f t="shared" si="4"/>
        <v>70107600</v>
      </c>
      <c r="O178" t="str">
        <f t="shared" si="5"/>
        <v>R124D1MGMT</v>
      </c>
    </row>
    <row r="179" spans="2:15" x14ac:dyDescent="0.25">
      <c r="B179" t="s">
        <v>284</v>
      </c>
      <c r="C179">
        <v>70101202</v>
      </c>
      <c r="D179" t="s">
        <v>1977</v>
      </c>
      <c r="E179" t="s">
        <v>285</v>
      </c>
      <c r="F179" t="s">
        <v>57</v>
      </c>
      <c r="G179" t="s">
        <v>286</v>
      </c>
      <c r="H179" s="1">
        <v>991000</v>
      </c>
      <c r="I179" t="s">
        <v>1976</v>
      </c>
      <c r="N179" s="4">
        <f t="shared" si="4"/>
        <v>70101202</v>
      </c>
      <c r="O179" t="str">
        <f t="shared" si="5"/>
        <v>R124WTT</v>
      </c>
    </row>
    <row r="180" spans="2:15" x14ac:dyDescent="0.25">
      <c r="B180" t="s">
        <v>284</v>
      </c>
      <c r="C180">
        <v>70101114</v>
      </c>
      <c r="D180" t="s">
        <v>1926</v>
      </c>
      <c r="E180" t="s">
        <v>287</v>
      </c>
      <c r="F180" t="s">
        <v>59</v>
      </c>
      <c r="G180" t="s">
        <v>288</v>
      </c>
      <c r="H180" s="1">
        <v>904127</v>
      </c>
      <c r="I180" t="s">
        <v>1925</v>
      </c>
      <c r="N180" s="4">
        <f t="shared" si="4"/>
        <v>70101114</v>
      </c>
      <c r="O180" t="str">
        <f t="shared" si="5"/>
        <v>R124NSS</v>
      </c>
    </row>
    <row r="181" spans="2:15" x14ac:dyDescent="0.25">
      <c r="B181" t="s">
        <v>284</v>
      </c>
      <c r="C181">
        <v>70009110</v>
      </c>
      <c r="D181" t="s">
        <v>1923</v>
      </c>
      <c r="E181" t="s">
        <v>289</v>
      </c>
      <c r="F181" t="s">
        <v>45</v>
      </c>
      <c r="G181" t="s">
        <v>290</v>
      </c>
      <c r="H181" s="1">
        <v>50000</v>
      </c>
      <c r="I181" t="s">
        <v>1936</v>
      </c>
      <c r="N181" s="4">
        <f t="shared" si="4"/>
        <v>70009110</v>
      </c>
      <c r="O181" t="str">
        <f t="shared" si="5"/>
        <v>P206D1SLSS</v>
      </c>
    </row>
    <row r="182" spans="2:15" x14ac:dyDescent="0.25">
      <c r="B182" t="s">
        <v>284</v>
      </c>
      <c r="C182">
        <v>70009110</v>
      </c>
      <c r="D182" t="s">
        <v>1923</v>
      </c>
      <c r="E182" t="s">
        <v>289</v>
      </c>
      <c r="F182" t="s">
        <v>45</v>
      </c>
      <c r="G182" t="s">
        <v>291</v>
      </c>
      <c r="H182" s="1">
        <v>50000</v>
      </c>
      <c r="I182" t="s">
        <v>1936</v>
      </c>
      <c r="N182" s="4">
        <f t="shared" si="4"/>
        <v>70009110</v>
      </c>
      <c r="O182" t="str">
        <f t="shared" si="5"/>
        <v>P206D1SLSS</v>
      </c>
    </row>
    <row r="183" spans="2:15" x14ac:dyDescent="0.25">
      <c r="B183" t="s">
        <v>284</v>
      </c>
      <c r="C183">
        <v>70009110</v>
      </c>
      <c r="D183" t="s">
        <v>1923</v>
      </c>
      <c r="E183" t="s">
        <v>289</v>
      </c>
      <c r="F183" t="s">
        <v>45</v>
      </c>
      <c r="G183" t="s">
        <v>292</v>
      </c>
      <c r="H183" s="1">
        <v>50000</v>
      </c>
      <c r="I183" t="s">
        <v>1936</v>
      </c>
      <c r="N183" s="4">
        <f t="shared" si="4"/>
        <v>70009110</v>
      </c>
      <c r="O183" t="str">
        <f t="shared" si="5"/>
        <v>P206D1SLSS</v>
      </c>
    </row>
    <row r="184" spans="2:15" x14ac:dyDescent="0.25">
      <c r="B184" t="s">
        <v>284</v>
      </c>
      <c r="C184">
        <v>70009110</v>
      </c>
      <c r="D184" t="s">
        <v>1923</v>
      </c>
      <c r="E184" t="s">
        <v>289</v>
      </c>
      <c r="F184" t="s">
        <v>45</v>
      </c>
      <c r="G184" t="s">
        <v>293</v>
      </c>
      <c r="H184" s="1">
        <v>200000</v>
      </c>
      <c r="I184" t="s">
        <v>1936</v>
      </c>
      <c r="N184" s="4">
        <f t="shared" si="4"/>
        <v>70009110</v>
      </c>
      <c r="O184" t="str">
        <f t="shared" si="5"/>
        <v>P206D1SLSS</v>
      </c>
    </row>
    <row r="185" spans="2:15" x14ac:dyDescent="0.25">
      <c r="B185" t="s">
        <v>284</v>
      </c>
      <c r="C185">
        <v>70115100</v>
      </c>
      <c r="D185" t="s">
        <v>1959</v>
      </c>
      <c r="E185" t="s">
        <v>294</v>
      </c>
      <c r="F185" t="s">
        <v>146</v>
      </c>
      <c r="G185" t="s">
        <v>295</v>
      </c>
      <c r="H185" s="1">
        <v>301000</v>
      </c>
      <c r="I185" t="s">
        <v>1958</v>
      </c>
      <c r="N185" s="4">
        <f t="shared" si="4"/>
        <v>70115100</v>
      </c>
      <c r="O185" t="str">
        <f t="shared" si="5"/>
        <v>R124QCA</v>
      </c>
    </row>
    <row r="186" spans="2:15" x14ac:dyDescent="0.25">
      <c r="B186" t="s">
        <v>284</v>
      </c>
      <c r="C186">
        <v>70101114</v>
      </c>
      <c r="D186" t="s">
        <v>1959</v>
      </c>
      <c r="E186" t="s">
        <v>294</v>
      </c>
      <c r="F186" t="s">
        <v>59</v>
      </c>
      <c r="G186" t="s">
        <v>296</v>
      </c>
      <c r="H186" s="1">
        <v>264000</v>
      </c>
      <c r="I186" t="s">
        <v>1958</v>
      </c>
      <c r="N186" s="4">
        <f t="shared" si="4"/>
        <v>70101114</v>
      </c>
      <c r="O186" t="str">
        <f t="shared" si="5"/>
        <v>R124QCA</v>
      </c>
    </row>
    <row r="187" spans="2:15" x14ac:dyDescent="0.25">
      <c r="B187" t="s">
        <v>284</v>
      </c>
      <c r="C187">
        <v>70119300</v>
      </c>
      <c r="D187" t="s">
        <v>1959</v>
      </c>
      <c r="E187" t="s">
        <v>294</v>
      </c>
      <c r="F187" t="s">
        <v>259</v>
      </c>
      <c r="G187" t="s">
        <v>297</v>
      </c>
      <c r="H187" s="1">
        <v>44000</v>
      </c>
      <c r="I187" t="s">
        <v>1958</v>
      </c>
      <c r="N187" s="4">
        <f t="shared" si="4"/>
        <v>70119300</v>
      </c>
      <c r="O187" t="str">
        <f t="shared" si="5"/>
        <v>R124QCA</v>
      </c>
    </row>
    <row r="188" spans="2:15" x14ac:dyDescent="0.25">
      <c r="B188" t="s">
        <v>284</v>
      </c>
      <c r="C188">
        <v>70009110</v>
      </c>
      <c r="D188" t="s">
        <v>1923</v>
      </c>
      <c r="E188" t="s">
        <v>298</v>
      </c>
      <c r="F188" t="s">
        <v>45</v>
      </c>
      <c r="G188" t="s">
        <v>299</v>
      </c>
      <c r="H188" s="1">
        <v>50000</v>
      </c>
      <c r="I188" t="s">
        <v>1947</v>
      </c>
      <c r="N188" s="4">
        <f t="shared" si="4"/>
        <v>70009110</v>
      </c>
      <c r="O188" t="str">
        <f t="shared" si="5"/>
        <v>P206D1SLSS</v>
      </c>
    </row>
    <row r="189" spans="2:15" x14ac:dyDescent="0.25">
      <c r="B189" t="s">
        <v>284</v>
      </c>
      <c r="C189">
        <v>70009110</v>
      </c>
      <c r="D189" t="s">
        <v>1923</v>
      </c>
      <c r="E189" t="s">
        <v>298</v>
      </c>
      <c r="F189" t="s">
        <v>45</v>
      </c>
      <c r="G189" t="s">
        <v>300</v>
      </c>
      <c r="H189" s="1">
        <v>50000</v>
      </c>
      <c r="I189" t="s">
        <v>1947</v>
      </c>
      <c r="N189" s="4">
        <f t="shared" si="4"/>
        <v>70009110</v>
      </c>
      <c r="O189" t="str">
        <f t="shared" si="5"/>
        <v>P206D1SLSS</v>
      </c>
    </row>
    <row r="190" spans="2:15" x14ac:dyDescent="0.25">
      <c r="B190" t="s">
        <v>284</v>
      </c>
      <c r="C190">
        <v>70009110</v>
      </c>
      <c r="D190" t="s">
        <v>1923</v>
      </c>
      <c r="E190" t="s">
        <v>298</v>
      </c>
      <c r="F190" t="s">
        <v>45</v>
      </c>
      <c r="G190" t="s">
        <v>301</v>
      </c>
      <c r="H190" s="1">
        <v>50000</v>
      </c>
      <c r="I190" t="s">
        <v>1947</v>
      </c>
      <c r="N190" s="4">
        <f t="shared" si="4"/>
        <v>70009110</v>
      </c>
      <c r="O190" t="str">
        <f t="shared" si="5"/>
        <v>P206D1SLSS</v>
      </c>
    </row>
    <row r="191" spans="2:15" x14ac:dyDescent="0.25">
      <c r="B191" t="s">
        <v>284</v>
      </c>
      <c r="C191">
        <v>70115100</v>
      </c>
      <c r="D191" t="s">
        <v>1959</v>
      </c>
      <c r="E191" t="s">
        <v>302</v>
      </c>
      <c r="F191" t="s">
        <v>146</v>
      </c>
      <c r="G191" t="s">
        <v>303</v>
      </c>
      <c r="H191" s="1">
        <v>727500</v>
      </c>
      <c r="I191" t="s">
        <v>1958</v>
      </c>
      <c r="N191" s="4">
        <f t="shared" si="4"/>
        <v>70115100</v>
      </c>
      <c r="O191" t="str">
        <f t="shared" si="5"/>
        <v>R124QCA</v>
      </c>
    </row>
    <row r="192" spans="2:15" x14ac:dyDescent="0.25">
      <c r="B192" t="s">
        <v>284</v>
      </c>
      <c r="C192">
        <v>70119300</v>
      </c>
      <c r="D192" t="s">
        <v>1959</v>
      </c>
      <c r="E192" t="s">
        <v>302</v>
      </c>
      <c r="F192" t="s">
        <v>259</v>
      </c>
      <c r="G192" t="s">
        <v>304</v>
      </c>
      <c r="H192" s="1">
        <v>43000</v>
      </c>
      <c r="I192" t="s">
        <v>1958</v>
      </c>
      <c r="N192" s="4">
        <f t="shared" si="4"/>
        <v>70119300</v>
      </c>
      <c r="O192" t="str">
        <f t="shared" si="5"/>
        <v>R124QCA</v>
      </c>
    </row>
    <row r="193" spans="2:15" x14ac:dyDescent="0.25">
      <c r="B193" t="s">
        <v>284</v>
      </c>
      <c r="C193">
        <v>70101114</v>
      </c>
      <c r="D193" t="s">
        <v>1959</v>
      </c>
      <c r="E193" t="s">
        <v>302</v>
      </c>
      <c r="F193" t="s">
        <v>59</v>
      </c>
      <c r="G193" t="s">
        <v>305</v>
      </c>
      <c r="H193" s="1">
        <v>57000</v>
      </c>
      <c r="I193" t="s">
        <v>1958</v>
      </c>
      <c r="N193" s="4">
        <f t="shared" si="4"/>
        <v>70101114</v>
      </c>
      <c r="O193" t="str">
        <f t="shared" si="5"/>
        <v>R124QCA</v>
      </c>
    </row>
    <row r="194" spans="2:15" x14ac:dyDescent="0.25">
      <c r="B194" t="s">
        <v>284</v>
      </c>
      <c r="C194">
        <v>70107600</v>
      </c>
      <c r="D194" t="s">
        <v>1921</v>
      </c>
      <c r="E194" t="s">
        <v>306</v>
      </c>
      <c r="F194" t="s">
        <v>126</v>
      </c>
      <c r="G194" t="s">
        <v>307</v>
      </c>
      <c r="H194" s="1">
        <v>180000</v>
      </c>
      <c r="I194" t="s">
        <v>1966</v>
      </c>
      <c r="N194" s="4">
        <f t="shared" si="4"/>
        <v>70107600</v>
      </c>
      <c r="O194" t="str">
        <f t="shared" si="5"/>
        <v>R124D1HRDV</v>
      </c>
    </row>
    <row r="195" spans="2:15" x14ac:dyDescent="0.25">
      <c r="B195" t="s">
        <v>284</v>
      </c>
      <c r="C195">
        <v>70009110</v>
      </c>
      <c r="D195" t="s">
        <v>1967</v>
      </c>
      <c r="E195" t="s">
        <v>308</v>
      </c>
      <c r="F195" t="s">
        <v>45</v>
      </c>
      <c r="G195" t="s">
        <v>309</v>
      </c>
      <c r="H195" s="1">
        <v>50000</v>
      </c>
      <c r="I195" t="s">
        <v>1936</v>
      </c>
      <c r="N195" s="4">
        <f t="shared" si="4"/>
        <v>70009110</v>
      </c>
      <c r="O195" t="str">
        <f t="shared" si="5"/>
        <v>P206D1SLSC</v>
      </c>
    </row>
    <row r="196" spans="2:15" x14ac:dyDescent="0.25">
      <c r="B196" t="s">
        <v>284</v>
      </c>
      <c r="C196">
        <v>70009110</v>
      </c>
      <c r="D196" t="s">
        <v>1967</v>
      </c>
      <c r="E196" t="s">
        <v>308</v>
      </c>
      <c r="F196" t="s">
        <v>45</v>
      </c>
      <c r="G196" t="s">
        <v>310</v>
      </c>
      <c r="H196" s="1">
        <v>50000</v>
      </c>
      <c r="I196" t="s">
        <v>1936</v>
      </c>
      <c r="N196" s="4">
        <f t="shared" si="4"/>
        <v>70009110</v>
      </c>
      <c r="O196" t="str">
        <f t="shared" si="5"/>
        <v>P206D1SLSC</v>
      </c>
    </row>
    <row r="197" spans="2:15" x14ac:dyDescent="0.25">
      <c r="B197" t="s">
        <v>284</v>
      </c>
      <c r="C197">
        <v>70009110</v>
      </c>
      <c r="D197" t="s">
        <v>1923</v>
      </c>
      <c r="E197" t="s">
        <v>308</v>
      </c>
      <c r="F197" t="s">
        <v>45</v>
      </c>
      <c r="G197" t="s">
        <v>311</v>
      </c>
      <c r="H197" s="1">
        <v>50000</v>
      </c>
      <c r="I197" t="s">
        <v>1936</v>
      </c>
      <c r="N197" s="4">
        <f t="shared" si="4"/>
        <v>70009110</v>
      </c>
      <c r="O197" t="str">
        <f t="shared" si="5"/>
        <v>P206D1SLSS</v>
      </c>
    </row>
    <row r="198" spans="2:15" x14ac:dyDescent="0.25">
      <c r="B198" t="s">
        <v>284</v>
      </c>
      <c r="C198">
        <v>70009110</v>
      </c>
      <c r="D198" t="s">
        <v>1967</v>
      </c>
      <c r="E198" t="s">
        <v>308</v>
      </c>
      <c r="F198" t="s">
        <v>45</v>
      </c>
      <c r="G198" t="s">
        <v>312</v>
      </c>
      <c r="H198" s="1">
        <v>50000</v>
      </c>
      <c r="I198" t="s">
        <v>1936</v>
      </c>
      <c r="N198" s="4">
        <f t="shared" si="4"/>
        <v>70009110</v>
      </c>
      <c r="O198" t="str">
        <f t="shared" si="5"/>
        <v>P206D1SLSC</v>
      </c>
    </row>
    <row r="199" spans="2:15" x14ac:dyDescent="0.25">
      <c r="B199" t="s">
        <v>284</v>
      </c>
      <c r="C199">
        <v>70009110</v>
      </c>
      <c r="D199" t="s">
        <v>1923</v>
      </c>
      <c r="E199" t="s">
        <v>308</v>
      </c>
      <c r="F199" t="s">
        <v>45</v>
      </c>
      <c r="G199" t="s">
        <v>313</v>
      </c>
      <c r="H199" s="1">
        <v>50000</v>
      </c>
      <c r="I199" t="s">
        <v>1936</v>
      </c>
      <c r="N199" s="4">
        <f t="shared" si="4"/>
        <v>70009110</v>
      </c>
      <c r="O199" t="str">
        <f t="shared" si="5"/>
        <v>P206D1SLSS</v>
      </c>
    </row>
    <row r="200" spans="2:15" x14ac:dyDescent="0.25">
      <c r="B200" t="s">
        <v>284</v>
      </c>
      <c r="C200">
        <v>70107300</v>
      </c>
      <c r="D200" t="s">
        <v>1921</v>
      </c>
      <c r="E200" t="s">
        <v>314</v>
      </c>
      <c r="F200" t="s">
        <v>41</v>
      </c>
      <c r="G200" t="s">
        <v>315</v>
      </c>
      <c r="H200" s="1">
        <v>500000</v>
      </c>
      <c r="I200" t="s">
        <v>1920</v>
      </c>
      <c r="N200" s="4">
        <f t="shared" si="4"/>
        <v>70107300</v>
      </c>
      <c r="O200" t="str">
        <f t="shared" si="5"/>
        <v>R124D1HRDV</v>
      </c>
    </row>
    <row r="201" spans="2:15" x14ac:dyDescent="0.25">
      <c r="B201" t="s">
        <v>284</v>
      </c>
      <c r="C201">
        <v>70106400</v>
      </c>
      <c r="D201" t="s">
        <v>1943</v>
      </c>
      <c r="E201" t="s">
        <v>316</v>
      </c>
      <c r="F201" t="s">
        <v>96</v>
      </c>
      <c r="G201" t="s">
        <v>317</v>
      </c>
      <c r="H201" s="1">
        <v>710000</v>
      </c>
      <c r="I201" t="s">
        <v>1942</v>
      </c>
      <c r="N201" s="4">
        <f t="shared" si="4"/>
        <v>70106400</v>
      </c>
      <c r="O201" t="str">
        <f t="shared" si="5"/>
        <v>R124D1HRGA</v>
      </c>
    </row>
    <row r="202" spans="2:15" x14ac:dyDescent="0.25">
      <c r="B202" t="s">
        <v>284</v>
      </c>
      <c r="C202">
        <v>70106100</v>
      </c>
      <c r="D202" t="s">
        <v>1943</v>
      </c>
      <c r="E202" t="s">
        <v>316</v>
      </c>
      <c r="F202" t="s">
        <v>67</v>
      </c>
      <c r="G202" t="s">
        <v>98</v>
      </c>
      <c r="H202" s="1">
        <v>290000</v>
      </c>
      <c r="I202" t="s">
        <v>1942</v>
      </c>
      <c r="N202" s="4">
        <f t="shared" si="4"/>
        <v>70106100</v>
      </c>
      <c r="O202" t="str">
        <f t="shared" si="5"/>
        <v>R124D1HRGA</v>
      </c>
    </row>
    <row r="203" spans="2:15" x14ac:dyDescent="0.25">
      <c r="B203" t="s">
        <v>284</v>
      </c>
      <c r="C203">
        <v>70101202</v>
      </c>
      <c r="D203" t="s">
        <v>1928</v>
      </c>
      <c r="E203" t="s">
        <v>318</v>
      </c>
      <c r="F203" t="s">
        <v>57</v>
      </c>
      <c r="G203" t="s">
        <v>319</v>
      </c>
      <c r="H203" s="1">
        <v>212000</v>
      </c>
      <c r="I203" t="s">
        <v>1952</v>
      </c>
      <c r="N203" s="4">
        <f t="shared" ref="N203:N266" si="6">+C203</f>
        <v>70101202</v>
      </c>
      <c r="O203" t="str">
        <f t="shared" ref="O203:O266" si="7">+D203</f>
        <v>R124MMP</v>
      </c>
    </row>
    <row r="204" spans="2:15" x14ac:dyDescent="0.25">
      <c r="B204" t="s">
        <v>284</v>
      </c>
      <c r="C204">
        <v>70009110</v>
      </c>
      <c r="D204" t="s">
        <v>1923</v>
      </c>
      <c r="E204" t="s">
        <v>320</v>
      </c>
      <c r="F204" t="s">
        <v>45</v>
      </c>
      <c r="G204" t="s">
        <v>321</v>
      </c>
      <c r="H204" s="1">
        <v>50000</v>
      </c>
      <c r="I204" t="s">
        <v>1940</v>
      </c>
      <c r="N204" s="4">
        <f t="shared" si="6"/>
        <v>70009110</v>
      </c>
      <c r="O204" t="str">
        <f t="shared" si="7"/>
        <v>P206D1SLSS</v>
      </c>
    </row>
    <row r="205" spans="2:15" x14ac:dyDescent="0.25">
      <c r="B205" t="s">
        <v>284</v>
      </c>
      <c r="C205">
        <v>70009110</v>
      </c>
      <c r="D205" t="s">
        <v>1923</v>
      </c>
      <c r="E205" t="s">
        <v>320</v>
      </c>
      <c r="F205" t="s">
        <v>45</v>
      </c>
      <c r="G205" t="s">
        <v>322</v>
      </c>
      <c r="H205" s="1">
        <v>50000</v>
      </c>
      <c r="I205" t="s">
        <v>1940</v>
      </c>
      <c r="N205" s="4">
        <f t="shared" si="6"/>
        <v>70009110</v>
      </c>
      <c r="O205" t="str">
        <f t="shared" si="7"/>
        <v>P206D1SLSS</v>
      </c>
    </row>
    <row r="206" spans="2:15" x14ac:dyDescent="0.25">
      <c r="B206" t="s">
        <v>284</v>
      </c>
      <c r="C206">
        <v>70009110</v>
      </c>
      <c r="D206" t="s">
        <v>1923</v>
      </c>
      <c r="E206" t="s">
        <v>320</v>
      </c>
      <c r="F206" t="s">
        <v>45</v>
      </c>
      <c r="G206" t="s">
        <v>323</v>
      </c>
      <c r="H206" s="1">
        <v>50000</v>
      </c>
      <c r="I206" t="s">
        <v>1940</v>
      </c>
      <c r="N206" s="4">
        <f t="shared" si="6"/>
        <v>70009110</v>
      </c>
      <c r="O206" t="str">
        <f t="shared" si="7"/>
        <v>P206D1SLSS</v>
      </c>
    </row>
    <row r="207" spans="2:15" x14ac:dyDescent="0.25">
      <c r="B207" t="s">
        <v>284</v>
      </c>
      <c r="C207">
        <v>70009110</v>
      </c>
      <c r="D207" t="s">
        <v>1923</v>
      </c>
      <c r="E207" t="s">
        <v>320</v>
      </c>
      <c r="F207" t="s">
        <v>45</v>
      </c>
      <c r="G207" t="s">
        <v>324</v>
      </c>
      <c r="H207" s="1">
        <v>50000</v>
      </c>
      <c r="I207" t="s">
        <v>1940</v>
      </c>
      <c r="N207" s="4">
        <f t="shared" si="6"/>
        <v>70009110</v>
      </c>
      <c r="O207" t="str">
        <f t="shared" si="7"/>
        <v>P206D1SLSS</v>
      </c>
    </row>
    <row r="208" spans="2:15" x14ac:dyDescent="0.25">
      <c r="B208" t="s">
        <v>284</v>
      </c>
      <c r="C208">
        <v>70009110</v>
      </c>
      <c r="D208" t="s">
        <v>1967</v>
      </c>
      <c r="E208" t="s">
        <v>320</v>
      </c>
      <c r="F208" t="s">
        <v>45</v>
      </c>
      <c r="G208" t="s">
        <v>325</v>
      </c>
      <c r="H208" s="1">
        <v>50000</v>
      </c>
      <c r="I208" t="s">
        <v>1940</v>
      </c>
      <c r="N208" s="4">
        <f t="shared" si="6"/>
        <v>70009110</v>
      </c>
      <c r="O208" t="str">
        <f t="shared" si="7"/>
        <v>P206D1SLSC</v>
      </c>
    </row>
    <row r="209" spans="2:15" x14ac:dyDescent="0.25">
      <c r="B209" t="s">
        <v>284</v>
      </c>
      <c r="C209">
        <v>70009110</v>
      </c>
      <c r="D209" t="s">
        <v>1923</v>
      </c>
      <c r="E209" t="s">
        <v>320</v>
      </c>
      <c r="F209" t="s">
        <v>45</v>
      </c>
      <c r="G209" t="s">
        <v>326</v>
      </c>
      <c r="H209" s="1">
        <v>50000</v>
      </c>
      <c r="I209" t="s">
        <v>1940</v>
      </c>
      <c r="N209" s="4">
        <f t="shared" si="6"/>
        <v>70009110</v>
      </c>
      <c r="O209" t="str">
        <f t="shared" si="7"/>
        <v>P206D1SLSS</v>
      </c>
    </row>
    <row r="210" spans="2:15" x14ac:dyDescent="0.25">
      <c r="B210" t="s">
        <v>284</v>
      </c>
      <c r="C210">
        <v>70009110</v>
      </c>
      <c r="D210" t="s">
        <v>1923</v>
      </c>
      <c r="E210" t="s">
        <v>320</v>
      </c>
      <c r="F210" t="s">
        <v>45</v>
      </c>
      <c r="G210" t="s">
        <v>327</v>
      </c>
      <c r="H210" s="1">
        <v>50000</v>
      </c>
      <c r="I210" t="s">
        <v>1940</v>
      </c>
      <c r="N210" s="4">
        <f t="shared" si="6"/>
        <v>70009110</v>
      </c>
      <c r="O210" t="str">
        <f t="shared" si="7"/>
        <v>P206D1SLSS</v>
      </c>
    </row>
    <row r="211" spans="2:15" x14ac:dyDescent="0.25">
      <c r="B211" t="s">
        <v>284</v>
      </c>
      <c r="C211">
        <v>70009110</v>
      </c>
      <c r="D211" t="s">
        <v>1923</v>
      </c>
      <c r="E211" t="s">
        <v>320</v>
      </c>
      <c r="F211" t="s">
        <v>45</v>
      </c>
      <c r="G211" t="s">
        <v>328</v>
      </c>
      <c r="H211" s="1">
        <v>50000</v>
      </c>
      <c r="I211" t="s">
        <v>1940</v>
      </c>
      <c r="N211" s="4">
        <f t="shared" si="6"/>
        <v>70009110</v>
      </c>
      <c r="O211" t="str">
        <f t="shared" si="7"/>
        <v>P206D1SLSS</v>
      </c>
    </row>
    <row r="212" spans="2:15" x14ac:dyDescent="0.25">
      <c r="B212" t="s">
        <v>284</v>
      </c>
      <c r="C212">
        <v>70009110</v>
      </c>
      <c r="D212" t="s">
        <v>1923</v>
      </c>
      <c r="E212" t="s">
        <v>320</v>
      </c>
      <c r="F212" t="s">
        <v>45</v>
      </c>
      <c r="G212" t="s">
        <v>329</v>
      </c>
      <c r="H212" s="1">
        <v>50000</v>
      </c>
      <c r="I212" t="s">
        <v>1940</v>
      </c>
      <c r="N212" s="4">
        <f t="shared" si="6"/>
        <v>70009110</v>
      </c>
      <c r="O212" t="str">
        <f t="shared" si="7"/>
        <v>P206D1SLSS</v>
      </c>
    </row>
    <row r="213" spans="2:15" x14ac:dyDescent="0.25">
      <c r="B213" t="s">
        <v>284</v>
      </c>
      <c r="C213">
        <v>70009110</v>
      </c>
      <c r="D213" t="s">
        <v>1938</v>
      </c>
      <c r="E213" t="s">
        <v>330</v>
      </c>
      <c r="F213" t="s">
        <v>45</v>
      </c>
      <c r="G213" t="s">
        <v>331</v>
      </c>
      <c r="H213" s="1">
        <v>50000</v>
      </c>
      <c r="I213" t="s">
        <v>1941</v>
      </c>
      <c r="N213" s="4">
        <f t="shared" si="6"/>
        <v>70009110</v>
      </c>
      <c r="O213" t="str">
        <f t="shared" si="7"/>
        <v>M204D1COMM</v>
      </c>
    </row>
    <row r="214" spans="2:15" x14ac:dyDescent="0.25">
      <c r="B214" t="s">
        <v>284</v>
      </c>
      <c r="C214">
        <v>70009110</v>
      </c>
      <c r="D214" t="s">
        <v>1938</v>
      </c>
      <c r="E214" t="s">
        <v>330</v>
      </c>
      <c r="F214" t="s">
        <v>45</v>
      </c>
      <c r="G214" t="s">
        <v>332</v>
      </c>
      <c r="H214" s="1">
        <v>50000</v>
      </c>
      <c r="I214" t="s">
        <v>1941</v>
      </c>
      <c r="N214" s="4">
        <f t="shared" si="6"/>
        <v>70009110</v>
      </c>
      <c r="O214" t="str">
        <f t="shared" si="7"/>
        <v>M204D1COMM</v>
      </c>
    </row>
    <row r="215" spans="2:15" x14ac:dyDescent="0.25">
      <c r="B215" t="s">
        <v>284</v>
      </c>
      <c r="C215">
        <v>70009110</v>
      </c>
      <c r="D215" t="s">
        <v>1938</v>
      </c>
      <c r="E215" t="s">
        <v>330</v>
      </c>
      <c r="F215" t="s">
        <v>45</v>
      </c>
      <c r="G215" t="s">
        <v>333</v>
      </c>
      <c r="H215" s="1">
        <v>50000</v>
      </c>
      <c r="I215" t="s">
        <v>1941</v>
      </c>
      <c r="N215" s="4">
        <f t="shared" si="6"/>
        <v>70009110</v>
      </c>
      <c r="O215" t="str">
        <f t="shared" si="7"/>
        <v>M204D1COMM</v>
      </c>
    </row>
    <row r="216" spans="2:15" x14ac:dyDescent="0.25">
      <c r="B216" t="s">
        <v>284</v>
      </c>
      <c r="C216">
        <v>70001110</v>
      </c>
      <c r="D216" t="s">
        <v>1938</v>
      </c>
      <c r="E216" t="s">
        <v>330</v>
      </c>
      <c r="F216" t="s">
        <v>334</v>
      </c>
      <c r="G216" t="s">
        <v>335</v>
      </c>
      <c r="H216" s="1">
        <v>3000</v>
      </c>
      <c r="I216" t="s">
        <v>1941</v>
      </c>
      <c r="N216" s="4">
        <f t="shared" si="6"/>
        <v>70001110</v>
      </c>
      <c r="O216" t="str">
        <f t="shared" si="7"/>
        <v>M204D1COMM</v>
      </c>
    </row>
    <row r="217" spans="2:15" x14ac:dyDescent="0.25">
      <c r="B217" t="s">
        <v>284</v>
      </c>
      <c r="C217">
        <v>70108100</v>
      </c>
      <c r="D217" t="s">
        <v>1943</v>
      </c>
      <c r="E217" t="s">
        <v>336</v>
      </c>
      <c r="F217" t="s">
        <v>274</v>
      </c>
      <c r="G217" t="s">
        <v>337</v>
      </c>
      <c r="H217" s="1">
        <v>286200</v>
      </c>
      <c r="I217" t="s">
        <v>1949</v>
      </c>
      <c r="N217" s="4">
        <f t="shared" si="6"/>
        <v>70108100</v>
      </c>
      <c r="O217" t="str">
        <f t="shared" si="7"/>
        <v>R124D1HRGA</v>
      </c>
    </row>
    <row r="218" spans="2:15" x14ac:dyDescent="0.25">
      <c r="B218" t="s">
        <v>284</v>
      </c>
      <c r="C218">
        <v>70101114</v>
      </c>
      <c r="D218" t="s">
        <v>1943</v>
      </c>
      <c r="E218" t="s">
        <v>336</v>
      </c>
      <c r="F218" t="s">
        <v>59</v>
      </c>
      <c r="G218" t="s">
        <v>338</v>
      </c>
      <c r="H218" s="1">
        <v>183680</v>
      </c>
      <c r="I218" t="s">
        <v>1949</v>
      </c>
      <c r="N218" s="4">
        <f t="shared" si="6"/>
        <v>70101114</v>
      </c>
      <c r="O218" t="str">
        <f t="shared" si="7"/>
        <v>R124D1HRGA</v>
      </c>
    </row>
    <row r="219" spans="2:15" x14ac:dyDescent="0.25">
      <c r="B219" t="s">
        <v>284</v>
      </c>
      <c r="C219">
        <v>70009110</v>
      </c>
      <c r="D219" t="s">
        <v>1923</v>
      </c>
      <c r="E219" t="s">
        <v>339</v>
      </c>
      <c r="F219" t="s">
        <v>45</v>
      </c>
      <c r="G219" t="s">
        <v>340</v>
      </c>
      <c r="H219" s="1">
        <v>50000</v>
      </c>
      <c r="I219" t="s">
        <v>1941</v>
      </c>
      <c r="N219" s="4">
        <f t="shared" si="6"/>
        <v>70009110</v>
      </c>
      <c r="O219" t="str">
        <f t="shared" si="7"/>
        <v>P206D1SLSS</v>
      </c>
    </row>
    <row r="220" spans="2:15" x14ac:dyDescent="0.25">
      <c r="B220" t="s">
        <v>284</v>
      </c>
      <c r="C220">
        <v>70009110</v>
      </c>
      <c r="D220" t="s">
        <v>1938</v>
      </c>
      <c r="E220" t="s">
        <v>341</v>
      </c>
      <c r="F220" t="s">
        <v>45</v>
      </c>
      <c r="G220" t="s">
        <v>342</v>
      </c>
      <c r="H220" s="1">
        <v>100000</v>
      </c>
      <c r="I220" t="s">
        <v>1965</v>
      </c>
      <c r="N220" s="4">
        <f t="shared" si="6"/>
        <v>70009110</v>
      </c>
      <c r="O220" t="str">
        <f t="shared" si="7"/>
        <v>M204D1COMM</v>
      </c>
    </row>
    <row r="221" spans="2:15" x14ac:dyDescent="0.25">
      <c r="B221" t="s">
        <v>284</v>
      </c>
      <c r="C221">
        <v>70009110</v>
      </c>
      <c r="D221" t="s">
        <v>1923</v>
      </c>
      <c r="E221" t="s">
        <v>343</v>
      </c>
      <c r="F221" t="s">
        <v>45</v>
      </c>
      <c r="G221" t="s">
        <v>344</v>
      </c>
      <c r="H221" s="1">
        <v>50000</v>
      </c>
      <c r="I221" t="s">
        <v>1947</v>
      </c>
      <c r="N221" s="4">
        <f t="shared" si="6"/>
        <v>70009110</v>
      </c>
      <c r="O221" t="str">
        <f t="shared" si="7"/>
        <v>P206D1SLSS</v>
      </c>
    </row>
    <row r="222" spans="2:15" x14ac:dyDescent="0.25">
      <c r="B222" t="s">
        <v>284</v>
      </c>
      <c r="C222">
        <v>70009110</v>
      </c>
      <c r="D222" t="s">
        <v>1923</v>
      </c>
      <c r="E222" t="s">
        <v>343</v>
      </c>
      <c r="F222" t="s">
        <v>45</v>
      </c>
      <c r="G222" t="s">
        <v>345</v>
      </c>
      <c r="H222" s="1">
        <v>50000</v>
      </c>
      <c r="I222" t="s">
        <v>1947</v>
      </c>
      <c r="N222" s="4">
        <f t="shared" si="6"/>
        <v>70009110</v>
      </c>
      <c r="O222" t="str">
        <f t="shared" si="7"/>
        <v>P206D1SLSS</v>
      </c>
    </row>
    <row r="223" spans="2:15" x14ac:dyDescent="0.25">
      <c r="B223" t="s">
        <v>284</v>
      </c>
      <c r="C223">
        <v>70009110</v>
      </c>
      <c r="D223" t="s">
        <v>1923</v>
      </c>
      <c r="E223" t="s">
        <v>343</v>
      </c>
      <c r="F223" t="s">
        <v>45</v>
      </c>
      <c r="G223" t="s">
        <v>346</v>
      </c>
      <c r="H223" s="1">
        <v>50000</v>
      </c>
      <c r="I223" t="s">
        <v>1947</v>
      </c>
      <c r="N223" s="4">
        <f t="shared" si="6"/>
        <v>70009110</v>
      </c>
      <c r="O223" t="str">
        <f t="shared" si="7"/>
        <v>P206D1SLSS</v>
      </c>
    </row>
    <row r="224" spans="2:15" x14ac:dyDescent="0.25">
      <c r="B224" t="s">
        <v>284</v>
      </c>
      <c r="C224">
        <v>70101202</v>
      </c>
      <c r="D224" t="s">
        <v>1945</v>
      </c>
      <c r="E224" t="s">
        <v>347</v>
      </c>
      <c r="F224" t="s">
        <v>57</v>
      </c>
      <c r="G224" t="s">
        <v>348</v>
      </c>
      <c r="H224" s="1">
        <v>831000</v>
      </c>
      <c r="I224" t="s">
        <v>1944</v>
      </c>
      <c r="N224" s="4">
        <f t="shared" si="6"/>
        <v>70101202</v>
      </c>
      <c r="O224" t="str">
        <f t="shared" si="7"/>
        <v>R124MIN</v>
      </c>
    </row>
    <row r="225" spans="2:15" x14ac:dyDescent="0.25">
      <c r="B225" t="s">
        <v>284</v>
      </c>
      <c r="C225">
        <v>70106400</v>
      </c>
      <c r="D225" t="s">
        <v>1943</v>
      </c>
      <c r="E225" t="s">
        <v>349</v>
      </c>
      <c r="F225" t="s">
        <v>96</v>
      </c>
      <c r="G225" t="s">
        <v>350</v>
      </c>
      <c r="H225" s="1">
        <v>790000</v>
      </c>
      <c r="I225" t="s">
        <v>1942</v>
      </c>
      <c r="N225" s="4">
        <f t="shared" si="6"/>
        <v>70106400</v>
      </c>
      <c r="O225" t="str">
        <f t="shared" si="7"/>
        <v>R124D1HRGA</v>
      </c>
    </row>
    <row r="226" spans="2:15" x14ac:dyDescent="0.25">
      <c r="B226" t="s">
        <v>284</v>
      </c>
      <c r="C226">
        <v>70106100</v>
      </c>
      <c r="D226" t="s">
        <v>1943</v>
      </c>
      <c r="E226" t="s">
        <v>349</v>
      </c>
      <c r="F226" t="s">
        <v>67</v>
      </c>
      <c r="G226" t="s">
        <v>98</v>
      </c>
      <c r="H226" s="1">
        <v>209500</v>
      </c>
      <c r="I226" t="s">
        <v>1942</v>
      </c>
      <c r="N226" s="4">
        <f t="shared" si="6"/>
        <v>70106100</v>
      </c>
      <c r="O226" t="str">
        <f t="shared" si="7"/>
        <v>R124D1HRGA</v>
      </c>
    </row>
    <row r="227" spans="2:15" x14ac:dyDescent="0.25">
      <c r="B227" t="s">
        <v>284</v>
      </c>
      <c r="C227">
        <v>70108100</v>
      </c>
      <c r="D227" t="s">
        <v>1979</v>
      </c>
      <c r="E227" t="s">
        <v>351</v>
      </c>
      <c r="F227" t="s">
        <v>274</v>
      </c>
      <c r="G227" t="s">
        <v>352</v>
      </c>
      <c r="H227" s="1">
        <v>383350</v>
      </c>
      <c r="I227" t="s">
        <v>1978</v>
      </c>
      <c r="N227" s="4">
        <f t="shared" si="6"/>
        <v>70108100</v>
      </c>
      <c r="O227" t="str">
        <f t="shared" si="7"/>
        <v>R124D1FRCO</v>
      </c>
    </row>
    <row r="228" spans="2:15" x14ac:dyDescent="0.25">
      <c r="B228" t="s">
        <v>284</v>
      </c>
      <c r="C228">
        <v>70107600</v>
      </c>
      <c r="D228" t="s">
        <v>1975</v>
      </c>
      <c r="E228" t="s">
        <v>353</v>
      </c>
      <c r="F228" t="s">
        <v>126</v>
      </c>
      <c r="G228" t="s">
        <v>354</v>
      </c>
      <c r="H228" s="1">
        <v>889800</v>
      </c>
      <c r="I228" t="s">
        <v>1920</v>
      </c>
      <c r="N228" s="4">
        <f t="shared" si="6"/>
        <v>70107600</v>
      </c>
      <c r="O228" t="str">
        <f t="shared" si="7"/>
        <v>R124D1MGMT</v>
      </c>
    </row>
    <row r="229" spans="2:15" x14ac:dyDescent="0.25">
      <c r="B229" t="s">
        <v>284</v>
      </c>
      <c r="C229">
        <v>70101202</v>
      </c>
      <c r="D229" t="s">
        <v>1943</v>
      </c>
      <c r="E229" t="s">
        <v>355</v>
      </c>
      <c r="F229" t="s">
        <v>57</v>
      </c>
      <c r="G229" t="s">
        <v>356</v>
      </c>
      <c r="H229" s="1">
        <v>275000</v>
      </c>
      <c r="I229" t="s">
        <v>1949</v>
      </c>
      <c r="N229" s="4">
        <f t="shared" si="6"/>
        <v>70101202</v>
      </c>
      <c r="O229" t="str">
        <f t="shared" si="7"/>
        <v>R124D1HRGA</v>
      </c>
    </row>
    <row r="230" spans="2:15" x14ac:dyDescent="0.25">
      <c r="B230" t="s">
        <v>357</v>
      </c>
      <c r="C230">
        <v>70107600</v>
      </c>
      <c r="D230" t="s">
        <v>1962</v>
      </c>
      <c r="E230" t="s">
        <v>358</v>
      </c>
      <c r="F230" t="s">
        <v>126</v>
      </c>
      <c r="G230" t="s">
        <v>359</v>
      </c>
      <c r="H230" s="1">
        <v>362500</v>
      </c>
      <c r="I230" t="s">
        <v>1963</v>
      </c>
      <c r="N230" s="4">
        <f t="shared" si="6"/>
        <v>70107600</v>
      </c>
      <c r="O230" t="str">
        <f t="shared" si="7"/>
        <v>R124LOG</v>
      </c>
    </row>
    <row r="231" spans="2:15" x14ac:dyDescent="0.25">
      <c r="B231" t="s">
        <v>357</v>
      </c>
      <c r="C231">
        <v>70106400</v>
      </c>
      <c r="D231" t="s">
        <v>1943</v>
      </c>
      <c r="E231" t="s">
        <v>360</v>
      </c>
      <c r="F231" t="s">
        <v>96</v>
      </c>
      <c r="G231" t="s">
        <v>361</v>
      </c>
      <c r="H231" s="1">
        <v>420000</v>
      </c>
      <c r="I231" t="s">
        <v>1942</v>
      </c>
      <c r="N231" s="4">
        <f t="shared" si="6"/>
        <v>70106400</v>
      </c>
      <c r="O231" t="str">
        <f t="shared" si="7"/>
        <v>R124D1HRGA</v>
      </c>
    </row>
    <row r="232" spans="2:15" x14ac:dyDescent="0.25">
      <c r="B232" t="s">
        <v>357</v>
      </c>
      <c r="C232">
        <v>70106100</v>
      </c>
      <c r="D232" t="s">
        <v>1943</v>
      </c>
      <c r="E232" t="s">
        <v>362</v>
      </c>
      <c r="F232" t="s">
        <v>67</v>
      </c>
      <c r="G232" t="s">
        <v>98</v>
      </c>
      <c r="H232" s="1">
        <v>579500</v>
      </c>
      <c r="I232" t="s">
        <v>1942</v>
      </c>
      <c r="N232" s="4">
        <f t="shared" si="6"/>
        <v>70106100</v>
      </c>
      <c r="O232" t="str">
        <f t="shared" si="7"/>
        <v>R124D1HRGA</v>
      </c>
    </row>
    <row r="233" spans="2:15" x14ac:dyDescent="0.25">
      <c r="B233" t="s">
        <v>357</v>
      </c>
      <c r="C233">
        <v>70107300</v>
      </c>
      <c r="D233" t="s">
        <v>1921</v>
      </c>
      <c r="E233" t="s">
        <v>363</v>
      </c>
      <c r="F233" t="s">
        <v>41</v>
      </c>
      <c r="G233" t="s">
        <v>364</v>
      </c>
      <c r="H233" s="1">
        <v>600000</v>
      </c>
      <c r="I233" t="s">
        <v>1920</v>
      </c>
      <c r="N233" s="4">
        <f t="shared" si="6"/>
        <v>70107300</v>
      </c>
      <c r="O233" t="str">
        <f t="shared" si="7"/>
        <v>R124D1HRDV</v>
      </c>
    </row>
    <row r="234" spans="2:15" x14ac:dyDescent="0.25">
      <c r="B234" t="s">
        <v>357</v>
      </c>
      <c r="C234">
        <v>70107600</v>
      </c>
      <c r="D234" t="s">
        <v>1943</v>
      </c>
      <c r="E234" t="s">
        <v>362</v>
      </c>
      <c r="F234" t="s">
        <v>126</v>
      </c>
      <c r="G234" t="s">
        <v>365</v>
      </c>
      <c r="H234" s="1">
        <v>900300</v>
      </c>
      <c r="I234" t="s">
        <v>1920</v>
      </c>
      <c r="N234" s="4">
        <f t="shared" si="6"/>
        <v>70107600</v>
      </c>
      <c r="O234" t="str">
        <f t="shared" si="7"/>
        <v>R124D1HRGA</v>
      </c>
    </row>
    <row r="235" spans="2:15" x14ac:dyDescent="0.25">
      <c r="B235" t="s">
        <v>357</v>
      </c>
      <c r="C235">
        <v>70119300</v>
      </c>
      <c r="D235" t="s">
        <v>1923</v>
      </c>
      <c r="E235" t="s">
        <v>366</v>
      </c>
      <c r="F235" t="s">
        <v>259</v>
      </c>
      <c r="G235" t="s">
        <v>367</v>
      </c>
      <c r="H235" s="1">
        <v>1000000</v>
      </c>
      <c r="I235" t="s">
        <v>1941</v>
      </c>
      <c r="N235" s="4">
        <f t="shared" si="6"/>
        <v>70119300</v>
      </c>
      <c r="O235" t="str">
        <f t="shared" si="7"/>
        <v>P206D1SLSS</v>
      </c>
    </row>
    <row r="236" spans="2:15" x14ac:dyDescent="0.25">
      <c r="B236" t="s">
        <v>357</v>
      </c>
      <c r="C236">
        <v>70001110</v>
      </c>
      <c r="D236" t="s">
        <v>1938</v>
      </c>
      <c r="E236" t="s">
        <v>368</v>
      </c>
      <c r="F236" t="s">
        <v>334</v>
      </c>
      <c r="G236" t="s">
        <v>369</v>
      </c>
      <c r="H236" s="1">
        <v>26000</v>
      </c>
      <c r="I236" t="s">
        <v>1941</v>
      </c>
      <c r="N236" s="4">
        <f t="shared" si="6"/>
        <v>70001110</v>
      </c>
      <c r="O236" t="str">
        <f t="shared" si="7"/>
        <v>M204D1COMM</v>
      </c>
    </row>
    <row r="237" spans="2:15" x14ac:dyDescent="0.25">
      <c r="B237" t="s">
        <v>370</v>
      </c>
      <c r="C237">
        <v>70101114</v>
      </c>
      <c r="D237" t="s">
        <v>1943</v>
      </c>
      <c r="E237" t="s">
        <v>371</v>
      </c>
      <c r="F237" t="s">
        <v>59</v>
      </c>
      <c r="G237" t="s">
        <v>372</v>
      </c>
      <c r="H237" s="1">
        <v>421000</v>
      </c>
      <c r="I237" t="s">
        <v>1949</v>
      </c>
      <c r="N237" s="4">
        <f t="shared" si="6"/>
        <v>70101114</v>
      </c>
      <c r="O237" t="str">
        <f t="shared" si="7"/>
        <v>R124D1HRGA</v>
      </c>
    </row>
    <row r="238" spans="2:15" x14ac:dyDescent="0.25">
      <c r="B238" t="s">
        <v>370</v>
      </c>
      <c r="C238">
        <v>70101202</v>
      </c>
      <c r="D238" t="s">
        <v>1971</v>
      </c>
      <c r="E238" t="s">
        <v>373</v>
      </c>
      <c r="F238" t="s">
        <v>57</v>
      </c>
      <c r="G238" t="s">
        <v>374</v>
      </c>
      <c r="H238" s="1">
        <v>345000</v>
      </c>
      <c r="I238" t="s">
        <v>1980</v>
      </c>
      <c r="N238" s="4">
        <f t="shared" si="6"/>
        <v>70101202</v>
      </c>
      <c r="O238" t="str">
        <f t="shared" si="7"/>
        <v>R124REF3</v>
      </c>
    </row>
    <row r="239" spans="2:15" x14ac:dyDescent="0.25">
      <c r="B239" t="s">
        <v>370</v>
      </c>
      <c r="C239" t="s">
        <v>370</v>
      </c>
      <c r="D239" t="s">
        <v>1943</v>
      </c>
      <c r="E239" t="s">
        <v>373</v>
      </c>
      <c r="F239" t="s">
        <v>375</v>
      </c>
      <c r="G239" t="s">
        <v>376</v>
      </c>
      <c r="H239" s="1">
        <v>131000</v>
      </c>
      <c r="I239" t="s">
        <v>1980</v>
      </c>
      <c r="N239" s="4" t="str">
        <f t="shared" si="6"/>
        <v>29.07.2025</v>
      </c>
      <c r="O239" t="str">
        <f t="shared" si="7"/>
        <v>R124D1HRGA</v>
      </c>
    </row>
    <row r="240" spans="2:15" x14ac:dyDescent="0.25">
      <c r="B240" t="s">
        <v>370</v>
      </c>
      <c r="C240" t="s">
        <v>383</v>
      </c>
      <c r="D240" t="s">
        <v>1943</v>
      </c>
      <c r="F240" t="s">
        <v>249</v>
      </c>
      <c r="G240" t="s">
        <v>377</v>
      </c>
      <c r="H240">
        <v>0</v>
      </c>
      <c r="I240" t="s">
        <v>1969</v>
      </c>
      <c r="N240" s="4" t="str">
        <f t="shared" si="6"/>
        <v>04.08.2025</v>
      </c>
      <c r="O240" t="str">
        <f t="shared" si="7"/>
        <v>R124D1HRGA</v>
      </c>
    </row>
    <row r="241" spans="2:15" x14ac:dyDescent="0.25">
      <c r="B241" t="s">
        <v>383</v>
      </c>
      <c r="C241">
        <v>70107100</v>
      </c>
      <c r="D241" t="s">
        <v>1943</v>
      </c>
      <c r="E241" t="s">
        <v>384</v>
      </c>
      <c r="F241" t="s">
        <v>254</v>
      </c>
      <c r="G241" t="s">
        <v>385</v>
      </c>
      <c r="H241" s="1">
        <v>800000</v>
      </c>
      <c r="I241" t="s">
        <v>1949</v>
      </c>
      <c r="N241" s="4">
        <f t="shared" si="6"/>
        <v>70107100</v>
      </c>
      <c r="O241" t="str">
        <f t="shared" si="7"/>
        <v>R124D1HRGA</v>
      </c>
    </row>
    <row r="242" spans="2:15" x14ac:dyDescent="0.25">
      <c r="B242" t="s">
        <v>383</v>
      </c>
      <c r="C242">
        <v>70009110</v>
      </c>
      <c r="D242" t="s">
        <v>1923</v>
      </c>
      <c r="E242" t="s">
        <v>386</v>
      </c>
      <c r="F242" t="s">
        <v>45</v>
      </c>
      <c r="G242" t="s">
        <v>387</v>
      </c>
      <c r="H242" s="1">
        <v>50000</v>
      </c>
      <c r="I242" t="s">
        <v>1968</v>
      </c>
      <c r="N242" s="4">
        <f t="shared" si="6"/>
        <v>70009110</v>
      </c>
      <c r="O242" t="str">
        <f t="shared" si="7"/>
        <v>P206D1SLSS</v>
      </c>
    </row>
    <row r="243" spans="2:15" x14ac:dyDescent="0.25">
      <c r="B243" t="s">
        <v>383</v>
      </c>
      <c r="C243">
        <v>70009110</v>
      </c>
      <c r="D243" t="s">
        <v>1923</v>
      </c>
      <c r="E243" t="s">
        <v>386</v>
      </c>
      <c r="F243" t="s">
        <v>45</v>
      </c>
      <c r="G243" t="s">
        <v>388</v>
      </c>
      <c r="H243" s="1">
        <v>50000</v>
      </c>
      <c r="I243" t="s">
        <v>1968</v>
      </c>
      <c r="N243" s="4">
        <f t="shared" si="6"/>
        <v>70009110</v>
      </c>
      <c r="O243" t="str">
        <f t="shared" si="7"/>
        <v>P206D1SLSS</v>
      </c>
    </row>
    <row r="244" spans="2:15" x14ac:dyDescent="0.25">
      <c r="B244" t="s">
        <v>383</v>
      </c>
      <c r="C244">
        <v>70009110</v>
      </c>
      <c r="D244" t="s">
        <v>1938</v>
      </c>
      <c r="E244" t="s">
        <v>386</v>
      </c>
      <c r="F244" t="s">
        <v>45</v>
      </c>
      <c r="G244" t="s">
        <v>389</v>
      </c>
      <c r="H244" s="1">
        <v>50000</v>
      </c>
      <c r="I244" t="s">
        <v>1968</v>
      </c>
      <c r="N244" s="4">
        <f t="shared" si="6"/>
        <v>70009110</v>
      </c>
      <c r="O244" t="str">
        <f t="shared" si="7"/>
        <v>M204D1COMM</v>
      </c>
    </row>
    <row r="245" spans="2:15" x14ac:dyDescent="0.25">
      <c r="B245" t="s">
        <v>383</v>
      </c>
      <c r="C245">
        <v>70009110</v>
      </c>
      <c r="D245" t="s">
        <v>1938</v>
      </c>
      <c r="E245" t="s">
        <v>386</v>
      </c>
      <c r="F245" t="s">
        <v>45</v>
      </c>
      <c r="G245" t="s">
        <v>390</v>
      </c>
      <c r="H245" s="1">
        <v>50000</v>
      </c>
      <c r="I245" t="s">
        <v>1968</v>
      </c>
      <c r="N245" s="4">
        <f t="shared" si="6"/>
        <v>70009110</v>
      </c>
      <c r="O245" t="str">
        <f t="shared" si="7"/>
        <v>M204D1COMM</v>
      </c>
    </row>
    <row r="246" spans="2:15" x14ac:dyDescent="0.25">
      <c r="B246" t="s">
        <v>383</v>
      </c>
      <c r="C246">
        <v>70009110</v>
      </c>
      <c r="D246" t="s">
        <v>1923</v>
      </c>
      <c r="E246" t="s">
        <v>386</v>
      </c>
      <c r="F246" t="s">
        <v>45</v>
      </c>
      <c r="G246" t="s">
        <v>391</v>
      </c>
      <c r="H246" s="1">
        <v>50000</v>
      </c>
      <c r="I246" t="s">
        <v>1968</v>
      </c>
      <c r="N246" s="4">
        <f t="shared" si="6"/>
        <v>70009110</v>
      </c>
      <c r="O246" t="str">
        <f t="shared" si="7"/>
        <v>P206D1SLSS</v>
      </c>
    </row>
    <row r="247" spans="2:15" x14ac:dyDescent="0.25">
      <c r="B247" t="s">
        <v>383</v>
      </c>
      <c r="C247">
        <v>70009110</v>
      </c>
      <c r="D247" t="s">
        <v>1923</v>
      </c>
      <c r="E247" t="s">
        <v>386</v>
      </c>
      <c r="F247" t="s">
        <v>45</v>
      </c>
      <c r="G247" t="s">
        <v>392</v>
      </c>
      <c r="H247" s="1">
        <v>50000</v>
      </c>
      <c r="I247" t="s">
        <v>1968</v>
      </c>
      <c r="N247" s="4">
        <f t="shared" si="6"/>
        <v>70009110</v>
      </c>
      <c r="O247" t="str">
        <f t="shared" si="7"/>
        <v>P206D1SLSS</v>
      </c>
    </row>
    <row r="248" spans="2:15" x14ac:dyDescent="0.25">
      <c r="B248" t="s">
        <v>383</v>
      </c>
      <c r="C248">
        <v>70009110</v>
      </c>
      <c r="D248" t="s">
        <v>1924</v>
      </c>
      <c r="E248" t="s">
        <v>386</v>
      </c>
      <c r="F248" t="s">
        <v>45</v>
      </c>
      <c r="G248" t="s">
        <v>393</v>
      </c>
      <c r="H248" s="1">
        <v>50000</v>
      </c>
      <c r="I248" t="s">
        <v>1968</v>
      </c>
      <c r="N248" s="4">
        <f t="shared" si="6"/>
        <v>70009110</v>
      </c>
      <c r="O248" t="str">
        <f t="shared" si="7"/>
        <v>C206D1SLSS</v>
      </c>
    </row>
    <row r="249" spans="2:15" x14ac:dyDescent="0.25">
      <c r="B249" t="s">
        <v>383</v>
      </c>
      <c r="C249">
        <v>70009110</v>
      </c>
      <c r="D249" t="s">
        <v>1924</v>
      </c>
      <c r="E249" t="s">
        <v>386</v>
      </c>
      <c r="F249" t="s">
        <v>45</v>
      </c>
      <c r="G249" t="s">
        <v>394</v>
      </c>
      <c r="H249" s="1">
        <v>50000</v>
      </c>
      <c r="I249" t="s">
        <v>1968</v>
      </c>
      <c r="N249" s="4">
        <f t="shared" si="6"/>
        <v>70009110</v>
      </c>
      <c r="O249" t="str">
        <f t="shared" si="7"/>
        <v>C206D1SLSS</v>
      </c>
    </row>
    <row r="250" spans="2:15" x14ac:dyDescent="0.25">
      <c r="B250" t="s">
        <v>383</v>
      </c>
      <c r="C250">
        <v>70009110</v>
      </c>
      <c r="D250" t="s">
        <v>1923</v>
      </c>
      <c r="E250" t="s">
        <v>386</v>
      </c>
      <c r="F250" t="s">
        <v>45</v>
      </c>
      <c r="G250" t="s">
        <v>395</v>
      </c>
      <c r="H250" s="1">
        <v>50000</v>
      </c>
      <c r="I250" t="s">
        <v>1968</v>
      </c>
      <c r="N250" s="4">
        <f t="shared" si="6"/>
        <v>70009110</v>
      </c>
      <c r="O250" t="str">
        <f t="shared" si="7"/>
        <v>P206D1SLSS</v>
      </c>
    </row>
    <row r="251" spans="2:15" x14ac:dyDescent="0.25">
      <c r="B251" t="s">
        <v>383</v>
      </c>
      <c r="C251">
        <v>70009110</v>
      </c>
      <c r="D251" t="s">
        <v>1923</v>
      </c>
      <c r="E251" t="s">
        <v>386</v>
      </c>
      <c r="F251" t="s">
        <v>45</v>
      </c>
      <c r="G251" t="s">
        <v>396</v>
      </c>
      <c r="H251" s="1">
        <v>50000</v>
      </c>
      <c r="I251" t="s">
        <v>1968</v>
      </c>
      <c r="N251" s="4">
        <f t="shared" si="6"/>
        <v>70009110</v>
      </c>
      <c r="O251" t="str">
        <f t="shared" si="7"/>
        <v>P206D1SLSS</v>
      </c>
    </row>
    <row r="252" spans="2:15" x14ac:dyDescent="0.25">
      <c r="B252" t="s">
        <v>383</v>
      </c>
      <c r="C252">
        <v>70106100</v>
      </c>
      <c r="D252" t="s">
        <v>1943</v>
      </c>
      <c r="E252" t="s">
        <v>397</v>
      </c>
      <c r="F252" t="s">
        <v>67</v>
      </c>
      <c r="G252" t="s">
        <v>398</v>
      </c>
      <c r="H252" s="1">
        <v>369000</v>
      </c>
      <c r="I252" t="s">
        <v>1942</v>
      </c>
      <c r="N252" s="4">
        <f t="shared" si="6"/>
        <v>70106100</v>
      </c>
      <c r="O252" t="str">
        <f t="shared" si="7"/>
        <v>R124D1HRGA</v>
      </c>
    </row>
    <row r="253" spans="2:15" x14ac:dyDescent="0.25">
      <c r="B253" t="s">
        <v>383</v>
      </c>
      <c r="C253">
        <v>70106400</v>
      </c>
      <c r="D253" t="s">
        <v>1943</v>
      </c>
      <c r="E253" t="s">
        <v>397</v>
      </c>
      <c r="F253" t="s">
        <v>96</v>
      </c>
      <c r="G253" t="s">
        <v>399</v>
      </c>
      <c r="H253" s="1">
        <v>630000</v>
      </c>
      <c r="I253" t="s">
        <v>1942</v>
      </c>
      <c r="N253" s="4">
        <f t="shared" si="6"/>
        <v>70106400</v>
      </c>
      <c r="O253" t="str">
        <f t="shared" si="7"/>
        <v>R124D1HRGA</v>
      </c>
    </row>
    <row r="254" spans="2:15" x14ac:dyDescent="0.25">
      <c r="B254" t="s">
        <v>383</v>
      </c>
      <c r="C254">
        <v>70107600</v>
      </c>
      <c r="D254" t="s">
        <v>1979</v>
      </c>
      <c r="E254" t="s">
        <v>400</v>
      </c>
      <c r="F254" t="s">
        <v>126</v>
      </c>
      <c r="G254" t="s">
        <v>401</v>
      </c>
      <c r="H254" s="1">
        <v>75000</v>
      </c>
      <c r="I254" t="s">
        <v>1981</v>
      </c>
      <c r="N254" s="4">
        <f t="shared" si="6"/>
        <v>70107600</v>
      </c>
      <c r="O254" t="str">
        <f t="shared" si="7"/>
        <v>R124D1FRCO</v>
      </c>
    </row>
    <row r="255" spans="2:15" x14ac:dyDescent="0.25">
      <c r="B255" t="s">
        <v>383</v>
      </c>
      <c r="C255">
        <v>70106100</v>
      </c>
      <c r="D255" t="s">
        <v>1923</v>
      </c>
      <c r="E255" t="s">
        <v>402</v>
      </c>
      <c r="F255" t="s">
        <v>67</v>
      </c>
      <c r="G255" t="s">
        <v>403</v>
      </c>
      <c r="H255" s="1">
        <v>202000</v>
      </c>
      <c r="I255" t="s">
        <v>1982</v>
      </c>
      <c r="N255" s="4">
        <f t="shared" si="6"/>
        <v>70106100</v>
      </c>
      <c r="O255" t="str">
        <f t="shared" si="7"/>
        <v>P206D1SLSS</v>
      </c>
    </row>
    <row r="256" spans="2:15" x14ac:dyDescent="0.25">
      <c r="B256" t="s">
        <v>383</v>
      </c>
      <c r="C256">
        <v>70108110</v>
      </c>
      <c r="D256" t="s">
        <v>1923</v>
      </c>
      <c r="E256" t="s">
        <v>402</v>
      </c>
      <c r="F256" t="s">
        <v>64</v>
      </c>
      <c r="G256" t="s">
        <v>404</v>
      </c>
      <c r="H256" s="1">
        <v>23000</v>
      </c>
      <c r="I256" t="s">
        <v>1982</v>
      </c>
      <c r="N256" s="4">
        <f t="shared" si="6"/>
        <v>70108110</v>
      </c>
      <c r="O256" t="str">
        <f t="shared" si="7"/>
        <v>P206D1SLSS</v>
      </c>
    </row>
    <row r="257" spans="2:15" x14ac:dyDescent="0.25">
      <c r="B257" t="s">
        <v>383</v>
      </c>
      <c r="C257">
        <v>70106100</v>
      </c>
      <c r="D257" t="s">
        <v>1923</v>
      </c>
      <c r="E257" t="s">
        <v>405</v>
      </c>
      <c r="F257" t="s">
        <v>67</v>
      </c>
      <c r="G257" t="s">
        <v>406</v>
      </c>
      <c r="H257" s="1">
        <v>180000</v>
      </c>
      <c r="I257" t="s">
        <v>1983</v>
      </c>
      <c r="N257" s="4">
        <f t="shared" si="6"/>
        <v>70106100</v>
      </c>
      <c r="O257" t="str">
        <f t="shared" si="7"/>
        <v>P206D1SLSS</v>
      </c>
    </row>
    <row r="258" spans="2:15" x14ac:dyDescent="0.25">
      <c r="B258" t="s">
        <v>383</v>
      </c>
      <c r="C258">
        <v>70108100</v>
      </c>
      <c r="D258" t="s">
        <v>1943</v>
      </c>
      <c r="E258" t="s">
        <v>407</v>
      </c>
      <c r="F258" t="s">
        <v>274</v>
      </c>
      <c r="G258" t="s">
        <v>408</v>
      </c>
      <c r="H258" s="1">
        <v>961000</v>
      </c>
      <c r="I258" t="s">
        <v>1949</v>
      </c>
      <c r="N258" s="4">
        <f t="shared" si="6"/>
        <v>70108100</v>
      </c>
      <c r="O258" t="str">
        <f t="shared" si="7"/>
        <v>R124D1HRGA</v>
      </c>
    </row>
    <row r="259" spans="2:15" x14ac:dyDescent="0.25">
      <c r="B259" t="s">
        <v>383</v>
      </c>
      <c r="C259">
        <v>70009110</v>
      </c>
      <c r="D259" t="s">
        <v>1924</v>
      </c>
      <c r="E259" t="s">
        <v>409</v>
      </c>
      <c r="F259" t="s">
        <v>45</v>
      </c>
      <c r="G259" t="s">
        <v>410</v>
      </c>
      <c r="H259" s="1">
        <v>150000</v>
      </c>
      <c r="I259" t="s">
        <v>1984</v>
      </c>
      <c r="N259" s="4">
        <f t="shared" si="6"/>
        <v>70009110</v>
      </c>
      <c r="O259" t="str">
        <f t="shared" si="7"/>
        <v>C206D1SLSS</v>
      </c>
    </row>
    <row r="260" spans="2:15" x14ac:dyDescent="0.25">
      <c r="B260" t="s">
        <v>383</v>
      </c>
      <c r="C260">
        <v>70009110</v>
      </c>
      <c r="D260" t="s">
        <v>1923</v>
      </c>
      <c r="E260" t="s">
        <v>409</v>
      </c>
      <c r="F260" t="s">
        <v>45</v>
      </c>
      <c r="G260" t="s">
        <v>411</v>
      </c>
      <c r="H260" s="1">
        <v>100000</v>
      </c>
      <c r="I260" t="s">
        <v>1984</v>
      </c>
      <c r="N260" s="4">
        <f t="shared" si="6"/>
        <v>70009110</v>
      </c>
      <c r="O260" t="str">
        <f t="shared" si="7"/>
        <v>P206D1SLSS</v>
      </c>
    </row>
    <row r="261" spans="2:15" x14ac:dyDescent="0.25">
      <c r="B261" t="s">
        <v>383</v>
      </c>
      <c r="C261">
        <v>70009110</v>
      </c>
      <c r="D261" t="s">
        <v>1923</v>
      </c>
      <c r="E261" t="s">
        <v>409</v>
      </c>
      <c r="F261" t="s">
        <v>45</v>
      </c>
      <c r="G261" t="s">
        <v>412</v>
      </c>
      <c r="H261" s="1">
        <v>100000</v>
      </c>
      <c r="I261" t="s">
        <v>1984</v>
      </c>
      <c r="N261" s="4">
        <f t="shared" si="6"/>
        <v>70009110</v>
      </c>
      <c r="O261" t="str">
        <f t="shared" si="7"/>
        <v>P206D1SLSS</v>
      </c>
    </row>
    <row r="262" spans="2:15" x14ac:dyDescent="0.25">
      <c r="B262" t="s">
        <v>383</v>
      </c>
      <c r="C262">
        <v>70009110</v>
      </c>
      <c r="D262" t="s">
        <v>1924</v>
      </c>
      <c r="E262" t="s">
        <v>409</v>
      </c>
      <c r="F262" t="s">
        <v>45</v>
      </c>
      <c r="G262" t="s">
        <v>413</v>
      </c>
      <c r="H262" s="1">
        <v>150000</v>
      </c>
      <c r="I262" t="s">
        <v>1984</v>
      </c>
      <c r="N262" s="4">
        <f t="shared" si="6"/>
        <v>70009110</v>
      </c>
      <c r="O262" t="str">
        <f t="shared" si="7"/>
        <v>C206D1SLSS</v>
      </c>
    </row>
    <row r="263" spans="2:15" x14ac:dyDescent="0.25">
      <c r="B263" t="s">
        <v>383</v>
      </c>
      <c r="C263">
        <v>70009110</v>
      </c>
      <c r="D263" t="s">
        <v>1923</v>
      </c>
      <c r="E263" t="s">
        <v>409</v>
      </c>
      <c r="F263" t="s">
        <v>45</v>
      </c>
      <c r="G263" t="s">
        <v>414</v>
      </c>
      <c r="H263" s="1">
        <v>100000</v>
      </c>
      <c r="I263" t="s">
        <v>1984</v>
      </c>
      <c r="N263" s="4">
        <f t="shared" si="6"/>
        <v>70009110</v>
      </c>
      <c r="O263" t="str">
        <f t="shared" si="7"/>
        <v>P206D1SLSS</v>
      </c>
    </row>
    <row r="264" spans="2:15" x14ac:dyDescent="0.25">
      <c r="B264" t="s">
        <v>383</v>
      </c>
      <c r="C264">
        <v>70009110</v>
      </c>
      <c r="D264" t="s">
        <v>1923</v>
      </c>
      <c r="E264" t="s">
        <v>409</v>
      </c>
      <c r="F264" t="s">
        <v>45</v>
      </c>
      <c r="G264" t="s">
        <v>415</v>
      </c>
      <c r="H264" s="1">
        <v>100000</v>
      </c>
      <c r="I264" t="s">
        <v>1984</v>
      </c>
      <c r="N264" s="4">
        <f t="shared" si="6"/>
        <v>70009110</v>
      </c>
      <c r="O264" t="str">
        <f t="shared" si="7"/>
        <v>P206D1SLSS</v>
      </c>
    </row>
    <row r="265" spans="2:15" x14ac:dyDescent="0.25">
      <c r="B265" t="s">
        <v>383</v>
      </c>
      <c r="C265">
        <v>70009110</v>
      </c>
      <c r="D265" t="s">
        <v>1924</v>
      </c>
      <c r="E265" t="s">
        <v>409</v>
      </c>
      <c r="F265" t="s">
        <v>45</v>
      </c>
      <c r="G265" t="s">
        <v>416</v>
      </c>
      <c r="H265" s="1">
        <v>50000</v>
      </c>
      <c r="I265" t="s">
        <v>1984</v>
      </c>
      <c r="N265" s="4">
        <f t="shared" si="6"/>
        <v>70009110</v>
      </c>
      <c r="O265" t="str">
        <f t="shared" si="7"/>
        <v>C206D1SLSS</v>
      </c>
    </row>
    <row r="266" spans="2:15" x14ac:dyDescent="0.25">
      <c r="B266" t="s">
        <v>383</v>
      </c>
      <c r="C266">
        <v>70009110</v>
      </c>
      <c r="D266" t="s">
        <v>1923</v>
      </c>
      <c r="E266" t="s">
        <v>409</v>
      </c>
      <c r="F266" t="s">
        <v>45</v>
      </c>
      <c r="G266" t="s">
        <v>417</v>
      </c>
      <c r="H266" s="1">
        <v>50000</v>
      </c>
      <c r="I266" t="s">
        <v>1984</v>
      </c>
      <c r="N266" s="4">
        <f t="shared" si="6"/>
        <v>70009110</v>
      </c>
      <c r="O266" t="str">
        <f t="shared" si="7"/>
        <v>P206D1SLSS</v>
      </c>
    </row>
    <row r="267" spans="2:15" x14ac:dyDescent="0.25">
      <c r="B267" t="s">
        <v>383</v>
      </c>
      <c r="C267">
        <v>70009110</v>
      </c>
      <c r="D267" t="s">
        <v>1923</v>
      </c>
      <c r="E267" t="s">
        <v>409</v>
      </c>
      <c r="F267" t="s">
        <v>45</v>
      </c>
      <c r="G267" t="s">
        <v>418</v>
      </c>
      <c r="H267" s="1">
        <v>50000</v>
      </c>
      <c r="I267" t="s">
        <v>1984</v>
      </c>
      <c r="N267" s="4">
        <f t="shared" ref="N267:N330" si="8">+C267</f>
        <v>70009110</v>
      </c>
      <c r="O267" t="str">
        <f t="shared" ref="O267:O330" si="9">+D267</f>
        <v>P206D1SLSS</v>
      </c>
    </row>
    <row r="268" spans="2:15" x14ac:dyDescent="0.25">
      <c r="B268" t="s">
        <v>383</v>
      </c>
      <c r="C268">
        <v>70009110</v>
      </c>
      <c r="D268" t="s">
        <v>1924</v>
      </c>
      <c r="E268" t="s">
        <v>409</v>
      </c>
      <c r="F268" t="s">
        <v>45</v>
      </c>
      <c r="G268" t="s">
        <v>419</v>
      </c>
      <c r="H268" s="1">
        <v>50000</v>
      </c>
      <c r="I268" t="s">
        <v>1984</v>
      </c>
      <c r="N268" s="4">
        <f t="shared" si="8"/>
        <v>70009110</v>
      </c>
      <c r="O268" t="str">
        <f t="shared" si="9"/>
        <v>C206D1SLSS</v>
      </c>
    </row>
    <row r="269" spans="2:15" x14ac:dyDescent="0.25">
      <c r="B269" t="s">
        <v>383</v>
      </c>
      <c r="C269">
        <v>70009110</v>
      </c>
      <c r="D269" t="s">
        <v>1923</v>
      </c>
      <c r="E269" t="s">
        <v>409</v>
      </c>
      <c r="F269" t="s">
        <v>45</v>
      </c>
      <c r="G269" t="s">
        <v>420</v>
      </c>
      <c r="H269" s="1">
        <v>50000</v>
      </c>
      <c r="I269" t="s">
        <v>1984</v>
      </c>
      <c r="N269" s="4">
        <f t="shared" si="8"/>
        <v>70009110</v>
      </c>
      <c r="O269" t="str">
        <f t="shared" si="9"/>
        <v>P206D1SLSS</v>
      </c>
    </row>
    <row r="270" spans="2:15" x14ac:dyDescent="0.25">
      <c r="B270" t="s">
        <v>383</v>
      </c>
      <c r="C270">
        <v>70009110</v>
      </c>
      <c r="D270" t="s">
        <v>1923</v>
      </c>
      <c r="E270" t="s">
        <v>409</v>
      </c>
      <c r="F270" t="s">
        <v>45</v>
      </c>
      <c r="G270" t="s">
        <v>421</v>
      </c>
      <c r="H270" s="1">
        <v>50000</v>
      </c>
      <c r="I270" t="s">
        <v>1984</v>
      </c>
      <c r="N270" s="4">
        <f t="shared" si="8"/>
        <v>70009110</v>
      </c>
      <c r="O270" t="str">
        <f t="shared" si="9"/>
        <v>P206D1SLSS</v>
      </c>
    </row>
    <row r="271" spans="2:15" x14ac:dyDescent="0.25">
      <c r="B271" t="s">
        <v>383</v>
      </c>
      <c r="C271">
        <v>70009110</v>
      </c>
      <c r="D271" t="s">
        <v>1923</v>
      </c>
      <c r="E271" t="s">
        <v>386</v>
      </c>
      <c r="F271" t="s">
        <v>45</v>
      </c>
      <c r="G271" t="s">
        <v>422</v>
      </c>
      <c r="H271" s="1">
        <v>50000</v>
      </c>
      <c r="I271" t="s">
        <v>1968</v>
      </c>
      <c r="N271" s="4">
        <f t="shared" si="8"/>
        <v>70009110</v>
      </c>
      <c r="O271" t="str">
        <f t="shared" si="9"/>
        <v>P206D1SLSS</v>
      </c>
    </row>
    <row r="272" spans="2:15" x14ac:dyDescent="0.25">
      <c r="B272" t="s">
        <v>383</v>
      </c>
      <c r="C272">
        <v>70009110</v>
      </c>
      <c r="D272" t="s">
        <v>1923</v>
      </c>
      <c r="E272" t="s">
        <v>386</v>
      </c>
      <c r="F272" t="s">
        <v>45</v>
      </c>
      <c r="G272" t="s">
        <v>422</v>
      </c>
      <c r="H272" s="1">
        <v>50000</v>
      </c>
      <c r="I272" t="s">
        <v>1968</v>
      </c>
      <c r="N272" s="4">
        <f t="shared" si="8"/>
        <v>70009110</v>
      </c>
      <c r="O272" t="str">
        <f t="shared" si="9"/>
        <v>P206D1SLSS</v>
      </c>
    </row>
    <row r="273" spans="2:15" x14ac:dyDescent="0.25">
      <c r="B273" t="s">
        <v>383</v>
      </c>
      <c r="C273">
        <v>70009110</v>
      </c>
      <c r="D273" t="s">
        <v>1923</v>
      </c>
      <c r="E273" t="s">
        <v>423</v>
      </c>
      <c r="F273" t="s">
        <v>45</v>
      </c>
      <c r="G273" t="s">
        <v>424</v>
      </c>
      <c r="H273" s="1">
        <v>50000</v>
      </c>
      <c r="I273" t="s">
        <v>1936</v>
      </c>
      <c r="N273" s="4">
        <f t="shared" si="8"/>
        <v>70009110</v>
      </c>
      <c r="O273" t="str">
        <f t="shared" si="9"/>
        <v>P206D1SLSS</v>
      </c>
    </row>
    <row r="274" spans="2:15" x14ac:dyDescent="0.25">
      <c r="B274" t="s">
        <v>383</v>
      </c>
      <c r="C274">
        <v>70009110</v>
      </c>
      <c r="D274" t="s">
        <v>1967</v>
      </c>
      <c r="E274" t="s">
        <v>423</v>
      </c>
      <c r="F274" t="s">
        <v>45</v>
      </c>
      <c r="G274" t="s">
        <v>425</v>
      </c>
      <c r="H274" s="1">
        <v>50000</v>
      </c>
      <c r="I274" t="s">
        <v>1936</v>
      </c>
      <c r="N274" s="4">
        <f t="shared" si="8"/>
        <v>70009110</v>
      </c>
      <c r="O274" t="str">
        <f t="shared" si="9"/>
        <v>P206D1SLSC</v>
      </c>
    </row>
    <row r="275" spans="2:15" x14ac:dyDescent="0.25">
      <c r="B275" t="s">
        <v>383</v>
      </c>
      <c r="C275">
        <v>70009110</v>
      </c>
      <c r="D275" t="s">
        <v>1923</v>
      </c>
      <c r="E275" t="s">
        <v>423</v>
      </c>
      <c r="F275" t="s">
        <v>45</v>
      </c>
      <c r="G275" t="s">
        <v>426</v>
      </c>
      <c r="H275" s="1">
        <v>50000</v>
      </c>
      <c r="I275" t="s">
        <v>1936</v>
      </c>
      <c r="N275" s="4">
        <f t="shared" si="8"/>
        <v>70009110</v>
      </c>
      <c r="O275" t="str">
        <f t="shared" si="9"/>
        <v>P206D1SLSS</v>
      </c>
    </row>
    <row r="276" spans="2:15" x14ac:dyDescent="0.25">
      <c r="B276" t="s">
        <v>383</v>
      </c>
      <c r="C276">
        <v>70009110</v>
      </c>
      <c r="D276" t="s">
        <v>1923</v>
      </c>
      <c r="E276" t="s">
        <v>423</v>
      </c>
      <c r="F276" t="s">
        <v>45</v>
      </c>
      <c r="G276" t="s">
        <v>427</v>
      </c>
      <c r="H276" s="1">
        <v>50000</v>
      </c>
      <c r="I276" t="s">
        <v>1936</v>
      </c>
      <c r="N276" s="4">
        <f t="shared" si="8"/>
        <v>70009110</v>
      </c>
      <c r="O276" t="str">
        <f t="shared" si="9"/>
        <v>P206D1SLSS</v>
      </c>
    </row>
    <row r="277" spans="2:15" x14ac:dyDescent="0.25">
      <c r="B277" t="s">
        <v>383</v>
      </c>
      <c r="C277">
        <v>70009110</v>
      </c>
      <c r="D277" t="s">
        <v>1923</v>
      </c>
      <c r="E277" t="s">
        <v>428</v>
      </c>
      <c r="F277" t="s">
        <v>45</v>
      </c>
      <c r="G277" t="s">
        <v>429</v>
      </c>
      <c r="H277" s="1">
        <v>50000</v>
      </c>
      <c r="I277" t="s">
        <v>1985</v>
      </c>
      <c r="N277" s="4">
        <f t="shared" si="8"/>
        <v>70009110</v>
      </c>
      <c r="O277" t="str">
        <f t="shared" si="9"/>
        <v>P206D1SLSS</v>
      </c>
    </row>
    <row r="278" spans="2:15" x14ac:dyDescent="0.25">
      <c r="B278" t="s">
        <v>383</v>
      </c>
      <c r="C278">
        <v>70009110</v>
      </c>
      <c r="D278" t="s">
        <v>1923</v>
      </c>
      <c r="E278" t="s">
        <v>428</v>
      </c>
      <c r="F278" t="s">
        <v>45</v>
      </c>
      <c r="G278" t="s">
        <v>430</v>
      </c>
      <c r="H278" s="1">
        <v>50000</v>
      </c>
      <c r="I278" t="s">
        <v>1985</v>
      </c>
      <c r="N278" s="4">
        <f t="shared" si="8"/>
        <v>70009110</v>
      </c>
      <c r="O278" t="str">
        <f t="shared" si="9"/>
        <v>P206D1SLSS</v>
      </c>
    </row>
    <row r="279" spans="2:15" x14ac:dyDescent="0.25">
      <c r="B279" t="s">
        <v>383</v>
      </c>
      <c r="C279">
        <v>70009110</v>
      </c>
      <c r="D279" t="s">
        <v>1938</v>
      </c>
      <c r="E279" t="s">
        <v>431</v>
      </c>
      <c r="F279" t="s">
        <v>45</v>
      </c>
      <c r="G279" t="s">
        <v>432</v>
      </c>
      <c r="H279" s="1">
        <v>50000</v>
      </c>
      <c r="I279" t="s">
        <v>1941</v>
      </c>
      <c r="N279" s="4">
        <f t="shared" si="8"/>
        <v>70009110</v>
      </c>
      <c r="O279" t="str">
        <f t="shared" si="9"/>
        <v>M204D1COMM</v>
      </c>
    </row>
    <row r="280" spans="2:15" x14ac:dyDescent="0.25">
      <c r="B280" t="s">
        <v>383</v>
      </c>
      <c r="C280">
        <v>70009110</v>
      </c>
      <c r="D280" t="s">
        <v>1923</v>
      </c>
      <c r="E280" t="s">
        <v>431</v>
      </c>
      <c r="F280" t="s">
        <v>45</v>
      </c>
      <c r="G280" t="s">
        <v>433</v>
      </c>
      <c r="H280" s="1">
        <v>50000</v>
      </c>
      <c r="I280" t="s">
        <v>1941</v>
      </c>
      <c r="N280" s="4">
        <f t="shared" si="8"/>
        <v>70009110</v>
      </c>
      <c r="O280" t="str">
        <f t="shared" si="9"/>
        <v>P206D1SLSS</v>
      </c>
    </row>
    <row r="281" spans="2:15" x14ac:dyDescent="0.25">
      <c r="B281" t="s">
        <v>383</v>
      </c>
      <c r="C281">
        <v>70107600</v>
      </c>
      <c r="D281" t="s">
        <v>1962</v>
      </c>
      <c r="E281" t="s">
        <v>434</v>
      </c>
      <c r="F281" t="s">
        <v>126</v>
      </c>
      <c r="G281" t="s">
        <v>435</v>
      </c>
      <c r="H281" s="1">
        <v>150000</v>
      </c>
      <c r="I281" t="s">
        <v>1963</v>
      </c>
      <c r="N281" s="4">
        <f t="shared" si="8"/>
        <v>70107600</v>
      </c>
      <c r="O281" t="str">
        <f t="shared" si="9"/>
        <v>R124LOG</v>
      </c>
    </row>
    <row r="282" spans="2:15" x14ac:dyDescent="0.25">
      <c r="B282" t="s">
        <v>383</v>
      </c>
      <c r="C282">
        <v>70101114</v>
      </c>
      <c r="D282" t="s">
        <v>1953</v>
      </c>
      <c r="E282" t="s">
        <v>436</v>
      </c>
      <c r="F282" t="s">
        <v>59</v>
      </c>
      <c r="G282" t="s">
        <v>437</v>
      </c>
      <c r="H282" s="1">
        <v>45000</v>
      </c>
      <c r="I282" t="s">
        <v>1986</v>
      </c>
      <c r="N282" s="4">
        <f t="shared" si="8"/>
        <v>70101114</v>
      </c>
      <c r="O282" t="str">
        <f t="shared" si="9"/>
        <v>R124MNT</v>
      </c>
    </row>
    <row r="283" spans="2:15" x14ac:dyDescent="0.25">
      <c r="B283" t="s">
        <v>383</v>
      </c>
      <c r="C283">
        <v>70107500</v>
      </c>
      <c r="D283" t="s">
        <v>1973</v>
      </c>
      <c r="E283" t="s">
        <v>438</v>
      </c>
      <c r="F283" t="s">
        <v>439</v>
      </c>
      <c r="G283" t="s">
        <v>440</v>
      </c>
      <c r="H283" s="1">
        <v>600000</v>
      </c>
      <c r="I283" t="s">
        <v>1974</v>
      </c>
      <c r="N283" s="4">
        <f t="shared" si="8"/>
        <v>70107500</v>
      </c>
      <c r="O283" t="str">
        <f t="shared" si="9"/>
        <v>R124D1PRCN</v>
      </c>
    </row>
    <row r="284" spans="2:15" x14ac:dyDescent="0.25">
      <c r="B284" t="s">
        <v>383</v>
      </c>
      <c r="C284">
        <v>70106400</v>
      </c>
      <c r="D284" t="s">
        <v>1943</v>
      </c>
      <c r="E284" t="s">
        <v>441</v>
      </c>
      <c r="F284" t="s">
        <v>96</v>
      </c>
      <c r="G284" t="s">
        <v>442</v>
      </c>
      <c r="H284" s="1">
        <v>600000</v>
      </c>
      <c r="I284" t="s">
        <v>1942</v>
      </c>
      <c r="N284" s="4">
        <f t="shared" si="8"/>
        <v>70106400</v>
      </c>
      <c r="O284" t="str">
        <f t="shared" si="9"/>
        <v>R124D1HRGA</v>
      </c>
    </row>
    <row r="285" spans="2:15" x14ac:dyDescent="0.25">
      <c r="B285" t="s">
        <v>383</v>
      </c>
      <c r="C285">
        <v>70106100</v>
      </c>
      <c r="D285" t="s">
        <v>1943</v>
      </c>
      <c r="E285" t="s">
        <v>441</v>
      </c>
      <c r="F285" t="s">
        <v>67</v>
      </c>
      <c r="G285" t="s">
        <v>443</v>
      </c>
      <c r="H285" s="1">
        <v>399000</v>
      </c>
      <c r="I285" t="s">
        <v>1942</v>
      </c>
      <c r="N285" s="4">
        <f t="shared" si="8"/>
        <v>70106100</v>
      </c>
      <c r="O285" t="str">
        <f t="shared" si="9"/>
        <v>R124D1HRGA</v>
      </c>
    </row>
    <row r="286" spans="2:15" x14ac:dyDescent="0.25">
      <c r="B286" t="s">
        <v>383</v>
      </c>
      <c r="C286">
        <v>70101202</v>
      </c>
      <c r="D286" t="s">
        <v>1979</v>
      </c>
      <c r="E286" t="s">
        <v>444</v>
      </c>
      <c r="F286" t="s">
        <v>57</v>
      </c>
      <c r="G286" t="s">
        <v>445</v>
      </c>
      <c r="H286" s="1">
        <v>269000</v>
      </c>
      <c r="I286" t="s">
        <v>1949</v>
      </c>
      <c r="N286" s="4">
        <f t="shared" si="8"/>
        <v>70101202</v>
      </c>
      <c r="O286" t="str">
        <f t="shared" si="9"/>
        <v>R124D1FRCO</v>
      </c>
    </row>
    <row r="287" spans="2:15" x14ac:dyDescent="0.25">
      <c r="B287" t="s">
        <v>383</v>
      </c>
      <c r="C287">
        <v>70107600</v>
      </c>
      <c r="D287" t="s">
        <v>1953</v>
      </c>
      <c r="E287" t="s">
        <v>446</v>
      </c>
      <c r="F287" t="s">
        <v>126</v>
      </c>
      <c r="G287" t="s">
        <v>447</v>
      </c>
      <c r="H287" s="1">
        <v>25000</v>
      </c>
      <c r="I287" t="s">
        <v>1987</v>
      </c>
      <c r="N287" s="4">
        <f t="shared" si="8"/>
        <v>70107600</v>
      </c>
      <c r="O287" t="str">
        <f t="shared" si="9"/>
        <v>R124MNT</v>
      </c>
    </row>
    <row r="288" spans="2:15" x14ac:dyDescent="0.25">
      <c r="B288" t="s">
        <v>383</v>
      </c>
      <c r="C288">
        <v>70101114</v>
      </c>
      <c r="D288" t="s">
        <v>1943</v>
      </c>
      <c r="E288" t="s">
        <v>448</v>
      </c>
      <c r="F288" t="s">
        <v>59</v>
      </c>
      <c r="G288" t="s">
        <v>449</v>
      </c>
      <c r="H288" s="1">
        <v>988500</v>
      </c>
      <c r="I288" t="s">
        <v>1949</v>
      </c>
      <c r="N288" s="4">
        <f t="shared" si="8"/>
        <v>70101114</v>
      </c>
      <c r="O288" t="str">
        <f t="shared" si="9"/>
        <v>R124D1HRGA</v>
      </c>
    </row>
    <row r="289" spans="2:15" x14ac:dyDescent="0.25">
      <c r="B289" t="s">
        <v>382</v>
      </c>
      <c r="C289">
        <v>70101102</v>
      </c>
      <c r="D289" t="s">
        <v>1948</v>
      </c>
      <c r="E289" t="s">
        <v>450</v>
      </c>
      <c r="F289" t="s">
        <v>129</v>
      </c>
      <c r="G289" t="s">
        <v>451</v>
      </c>
      <c r="H289" s="1">
        <v>166300</v>
      </c>
      <c r="I289" t="s">
        <v>1988</v>
      </c>
      <c r="N289" s="4">
        <f t="shared" si="8"/>
        <v>70101102</v>
      </c>
      <c r="O289" t="str">
        <f t="shared" si="9"/>
        <v>R124WHFSB</v>
      </c>
    </row>
    <row r="290" spans="2:15" x14ac:dyDescent="0.25">
      <c r="B290" t="s">
        <v>382</v>
      </c>
      <c r="C290">
        <v>70101114</v>
      </c>
      <c r="D290" t="s">
        <v>1948</v>
      </c>
      <c r="E290" t="s">
        <v>450</v>
      </c>
      <c r="F290" t="s">
        <v>59</v>
      </c>
      <c r="G290" t="s">
        <v>452</v>
      </c>
      <c r="H290" s="1">
        <v>220000</v>
      </c>
      <c r="I290" t="s">
        <v>1988</v>
      </c>
      <c r="N290" s="4">
        <f t="shared" si="8"/>
        <v>70101114</v>
      </c>
      <c r="O290" t="str">
        <f t="shared" si="9"/>
        <v>R124WHFSB</v>
      </c>
    </row>
    <row r="291" spans="2:15" x14ac:dyDescent="0.25">
      <c r="B291" t="s">
        <v>453</v>
      </c>
      <c r="C291">
        <v>70009110</v>
      </c>
      <c r="D291" t="s">
        <v>1938</v>
      </c>
      <c r="E291" t="s">
        <v>454</v>
      </c>
      <c r="F291" t="s">
        <v>45</v>
      </c>
      <c r="G291" t="s">
        <v>455</v>
      </c>
      <c r="H291" s="1">
        <v>50000</v>
      </c>
      <c r="I291" t="s">
        <v>1941</v>
      </c>
      <c r="N291" s="4">
        <f t="shared" si="8"/>
        <v>70009110</v>
      </c>
      <c r="O291" t="str">
        <f t="shared" si="9"/>
        <v>M204D1COMM</v>
      </c>
    </row>
    <row r="292" spans="2:15" x14ac:dyDescent="0.25">
      <c r="B292" t="s">
        <v>453</v>
      </c>
      <c r="C292">
        <v>70009110</v>
      </c>
      <c r="D292" t="s">
        <v>1938</v>
      </c>
      <c r="E292" t="s">
        <v>454</v>
      </c>
      <c r="F292" t="s">
        <v>45</v>
      </c>
      <c r="G292" t="s">
        <v>456</v>
      </c>
      <c r="H292" s="1">
        <v>50000</v>
      </c>
      <c r="I292" t="s">
        <v>1941</v>
      </c>
      <c r="N292" s="4">
        <f t="shared" si="8"/>
        <v>70009110</v>
      </c>
      <c r="O292" t="str">
        <f t="shared" si="9"/>
        <v>M204D1COMM</v>
      </c>
    </row>
    <row r="293" spans="2:15" x14ac:dyDescent="0.25">
      <c r="B293" t="s">
        <v>453</v>
      </c>
      <c r="C293">
        <v>70001110</v>
      </c>
      <c r="D293" t="s">
        <v>1938</v>
      </c>
      <c r="E293" t="s">
        <v>454</v>
      </c>
      <c r="F293" t="s">
        <v>334</v>
      </c>
      <c r="G293" t="s">
        <v>457</v>
      </c>
      <c r="H293" s="1">
        <v>2000</v>
      </c>
      <c r="I293" t="s">
        <v>1941</v>
      </c>
      <c r="N293" s="4">
        <f t="shared" si="8"/>
        <v>70001110</v>
      </c>
      <c r="O293" t="str">
        <f t="shared" si="9"/>
        <v>M204D1COMM</v>
      </c>
    </row>
    <row r="294" spans="2:15" x14ac:dyDescent="0.25">
      <c r="B294" t="s">
        <v>453</v>
      </c>
      <c r="C294">
        <v>70001110</v>
      </c>
      <c r="D294" t="s">
        <v>1938</v>
      </c>
      <c r="E294" t="s">
        <v>454</v>
      </c>
      <c r="F294" t="s">
        <v>334</v>
      </c>
      <c r="G294" t="s">
        <v>458</v>
      </c>
      <c r="H294" s="1">
        <v>3000</v>
      </c>
      <c r="I294" t="s">
        <v>1941</v>
      </c>
      <c r="N294" s="4">
        <f t="shared" si="8"/>
        <v>70001110</v>
      </c>
      <c r="O294" t="str">
        <f t="shared" si="9"/>
        <v>M204D1COMM</v>
      </c>
    </row>
    <row r="295" spans="2:15" x14ac:dyDescent="0.25">
      <c r="B295" t="s">
        <v>453</v>
      </c>
      <c r="C295">
        <v>70107300</v>
      </c>
      <c r="D295" t="s">
        <v>1921</v>
      </c>
      <c r="E295" t="s">
        <v>459</v>
      </c>
      <c r="F295" t="s">
        <v>41</v>
      </c>
      <c r="G295" t="s">
        <v>460</v>
      </c>
      <c r="H295" s="1">
        <v>500000</v>
      </c>
      <c r="I295" t="s">
        <v>1920</v>
      </c>
      <c r="N295" s="4">
        <f t="shared" si="8"/>
        <v>70107300</v>
      </c>
      <c r="O295" t="str">
        <f t="shared" si="9"/>
        <v>R124D1HRDV</v>
      </c>
    </row>
    <row r="296" spans="2:15" x14ac:dyDescent="0.25">
      <c r="B296" t="s">
        <v>453</v>
      </c>
      <c r="C296">
        <v>70009110</v>
      </c>
      <c r="D296" t="s">
        <v>1923</v>
      </c>
      <c r="E296" t="s">
        <v>461</v>
      </c>
      <c r="F296" t="s">
        <v>45</v>
      </c>
      <c r="G296" t="s">
        <v>462</v>
      </c>
      <c r="H296" s="1">
        <v>50000</v>
      </c>
      <c r="I296" t="s">
        <v>1936</v>
      </c>
      <c r="N296" s="4">
        <f t="shared" si="8"/>
        <v>70009110</v>
      </c>
      <c r="O296" t="str">
        <f t="shared" si="9"/>
        <v>P206D1SLSS</v>
      </c>
    </row>
    <row r="297" spans="2:15" x14ac:dyDescent="0.25">
      <c r="B297" t="s">
        <v>453</v>
      </c>
      <c r="C297">
        <v>70009110</v>
      </c>
      <c r="D297" t="s">
        <v>1923</v>
      </c>
      <c r="E297" t="s">
        <v>461</v>
      </c>
      <c r="F297" t="s">
        <v>45</v>
      </c>
      <c r="G297" t="s">
        <v>463</v>
      </c>
      <c r="H297" s="1">
        <v>50000</v>
      </c>
      <c r="I297" t="s">
        <v>1936</v>
      </c>
      <c r="N297" s="4">
        <f t="shared" si="8"/>
        <v>70009110</v>
      </c>
      <c r="O297" t="str">
        <f t="shared" si="9"/>
        <v>P206D1SLSS</v>
      </c>
    </row>
    <row r="298" spans="2:15" x14ac:dyDescent="0.25">
      <c r="B298" t="s">
        <v>453</v>
      </c>
      <c r="C298">
        <v>70009110</v>
      </c>
      <c r="D298" t="s">
        <v>1923</v>
      </c>
      <c r="E298" t="s">
        <v>461</v>
      </c>
      <c r="F298" t="s">
        <v>45</v>
      </c>
      <c r="G298" t="s">
        <v>464</v>
      </c>
      <c r="H298" s="1">
        <v>50000</v>
      </c>
      <c r="I298" t="s">
        <v>1936</v>
      </c>
      <c r="N298" s="4">
        <f t="shared" si="8"/>
        <v>70009110</v>
      </c>
      <c r="O298" t="str">
        <f t="shared" si="9"/>
        <v>P206D1SLSS</v>
      </c>
    </row>
    <row r="299" spans="2:15" x14ac:dyDescent="0.25">
      <c r="B299" t="s">
        <v>453</v>
      </c>
      <c r="C299">
        <v>70009110</v>
      </c>
      <c r="D299" t="s">
        <v>1924</v>
      </c>
      <c r="E299" t="s">
        <v>461</v>
      </c>
      <c r="F299" t="s">
        <v>45</v>
      </c>
      <c r="G299" t="s">
        <v>465</v>
      </c>
      <c r="H299" s="1">
        <v>50000</v>
      </c>
      <c r="I299" t="s">
        <v>1936</v>
      </c>
      <c r="N299" s="4">
        <f t="shared" si="8"/>
        <v>70009110</v>
      </c>
      <c r="O299" t="str">
        <f t="shared" si="9"/>
        <v>C206D1SLSS</v>
      </c>
    </row>
    <row r="300" spans="2:15" x14ac:dyDescent="0.25">
      <c r="B300" t="s">
        <v>453</v>
      </c>
      <c r="C300">
        <v>70009110</v>
      </c>
      <c r="D300" t="s">
        <v>1924</v>
      </c>
      <c r="E300" t="s">
        <v>461</v>
      </c>
      <c r="F300" t="s">
        <v>45</v>
      </c>
      <c r="G300" t="s">
        <v>466</v>
      </c>
      <c r="H300" s="1">
        <v>50000</v>
      </c>
      <c r="I300" t="s">
        <v>1936</v>
      </c>
      <c r="N300" s="4">
        <f t="shared" si="8"/>
        <v>70009110</v>
      </c>
      <c r="O300" t="str">
        <f t="shared" si="9"/>
        <v>C206D1SLSS</v>
      </c>
    </row>
    <row r="301" spans="2:15" x14ac:dyDescent="0.25">
      <c r="B301" t="s">
        <v>453</v>
      </c>
      <c r="C301">
        <v>70009110</v>
      </c>
      <c r="D301" t="s">
        <v>1923</v>
      </c>
      <c r="E301" t="s">
        <v>461</v>
      </c>
      <c r="F301" t="s">
        <v>45</v>
      </c>
      <c r="G301" t="s">
        <v>467</v>
      </c>
      <c r="H301" s="1">
        <v>50000</v>
      </c>
      <c r="I301" t="s">
        <v>1936</v>
      </c>
      <c r="N301" s="4">
        <f t="shared" si="8"/>
        <v>70009110</v>
      </c>
      <c r="O301" t="str">
        <f t="shared" si="9"/>
        <v>P206D1SLSS</v>
      </c>
    </row>
    <row r="302" spans="2:15" x14ac:dyDescent="0.25">
      <c r="B302" t="s">
        <v>453</v>
      </c>
      <c r="C302">
        <v>70009110</v>
      </c>
      <c r="D302" t="s">
        <v>1923</v>
      </c>
      <c r="E302" t="s">
        <v>461</v>
      </c>
      <c r="F302" t="s">
        <v>45</v>
      </c>
      <c r="G302" t="s">
        <v>468</v>
      </c>
      <c r="H302" s="1">
        <v>50000</v>
      </c>
      <c r="I302" t="s">
        <v>1936</v>
      </c>
      <c r="N302" s="4">
        <f t="shared" si="8"/>
        <v>70009110</v>
      </c>
      <c r="O302" t="str">
        <f t="shared" si="9"/>
        <v>P206D1SLSS</v>
      </c>
    </row>
    <row r="303" spans="2:15" x14ac:dyDescent="0.25">
      <c r="B303" t="s">
        <v>453</v>
      </c>
      <c r="C303">
        <v>70101114</v>
      </c>
      <c r="D303" t="s">
        <v>1943</v>
      </c>
      <c r="E303" t="s">
        <v>469</v>
      </c>
      <c r="F303" t="s">
        <v>59</v>
      </c>
      <c r="G303" t="s">
        <v>470</v>
      </c>
      <c r="H303" s="1">
        <v>890000</v>
      </c>
      <c r="I303" t="s">
        <v>1949</v>
      </c>
      <c r="N303" s="4">
        <f t="shared" si="8"/>
        <v>70101114</v>
      </c>
      <c r="O303" t="str">
        <f t="shared" si="9"/>
        <v>R124D1HRGA</v>
      </c>
    </row>
    <row r="304" spans="2:15" x14ac:dyDescent="0.25">
      <c r="B304" t="s">
        <v>453</v>
      </c>
      <c r="C304">
        <v>70106400</v>
      </c>
      <c r="D304" t="s">
        <v>1943</v>
      </c>
      <c r="E304" t="s">
        <v>471</v>
      </c>
      <c r="F304" t="s">
        <v>96</v>
      </c>
      <c r="G304" t="s">
        <v>472</v>
      </c>
      <c r="H304" s="1">
        <v>580000</v>
      </c>
      <c r="I304" t="s">
        <v>1942</v>
      </c>
      <c r="N304" s="4">
        <f t="shared" si="8"/>
        <v>70106400</v>
      </c>
      <c r="O304" t="str">
        <f t="shared" si="9"/>
        <v>R124D1HRGA</v>
      </c>
    </row>
    <row r="305" spans="2:15" x14ac:dyDescent="0.25">
      <c r="B305" t="s">
        <v>453</v>
      </c>
      <c r="C305">
        <v>70106100</v>
      </c>
      <c r="D305" t="s">
        <v>1943</v>
      </c>
      <c r="E305" t="s">
        <v>471</v>
      </c>
      <c r="F305" t="s">
        <v>67</v>
      </c>
      <c r="G305" t="s">
        <v>473</v>
      </c>
      <c r="H305" s="1">
        <v>415000</v>
      </c>
      <c r="I305" t="s">
        <v>1942</v>
      </c>
      <c r="N305" s="4">
        <f t="shared" si="8"/>
        <v>70106100</v>
      </c>
      <c r="O305" t="str">
        <f t="shared" si="9"/>
        <v>R124D1HRGA</v>
      </c>
    </row>
    <row r="306" spans="2:15" x14ac:dyDescent="0.25">
      <c r="B306" t="s">
        <v>453</v>
      </c>
      <c r="C306">
        <v>70105300</v>
      </c>
      <c r="D306" t="s">
        <v>1943</v>
      </c>
      <c r="E306" t="s">
        <v>474</v>
      </c>
      <c r="F306" t="s">
        <v>193</v>
      </c>
      <c r="G306" t="s">
        <v>475</v>
      </c>
      <c r="H306" s="1">
        <v>57800</v>
      </c>
      <c r="I306" t="s">
        <v>1949</v>
      </c>
      <c r="N306" s="4">
        <f t="shared" si="8"/>
        <v>70105300</v>
      </c>
      <c r="O306" t="str">
        <f t="shared" si="9"/>
        <v>R124D1HRGA</v>
      </c>
    </row>
    <row r="307" spans="2:15" x14ac:dyDescent="0.25">
      <c r="B307" t="s">
        <v>476</v>
      </c>
      <c r="C307">
        <v>70009110</v>
      </c>
      <c r="D307" t="s">
        <v>1923</v>
      </c>
      <c r="E307" t="s">
        <v>477</v>
      </c>
      <c r="F307" t="s">
        <v>45</v>
      </c>
      <c r="G307" t="s">
        <v>478</v>
      </c>
      <c r="H307" s="1">
        <v>50000</v>
      </c>
      <c r="I307" t="s">
        <v>1984</v>
      </c>
      <c r="N307" s="4">
        <f t="shared" si="8"/>
        <v>70009110</v>
      </c>
      <c r="O307" t="str">
        <f t="shared" si="9"/>
        <v>P206D1SLSS</v>
      </c>
    </row>
    <row r="308" spans="2:15" x14ac:dyDescent="0.25">
      <c r="B308" t="s">
        <v>476</v>
      </c>
      <c r="C308">
        <v>70009110</v>
      </c>
      <c r="D308" t="s">
        <v>1923</v>
      </c>
      <c r="E308" t="s">
        <v>477</v>
      </c>
      <c r="F308" t="s">
        <v>45</v>
      </c>
      <c r="G308" t="s">
        <v>479</v>
      </c>
      <c r="H308" s="1">
        <v>50000</v>
      </c>
      <c r="I308" t="s">
        <v>1984</v>
      </c>
      <c r="N308" s="4">
        <f t="shared" si="8"/>
        <v>70009110</v>
      </c>
      <c r="O308" t="str">
        <f t="shared" si="9"/>
        <v>P206D1SLSS</v>
      </c>
    </row>
    <row r="309" spans="2:15" x14ac:dyDescent="0.25">
      <c r="B309" t="s">
        <v>476</v>
      </c>
      <c r="C309">
        <v>70009110</v>
      </c>
      <c r="D309" t="s">
        <v>1924</v>
      </c>
      <c r="E309" t="s">
        <v>477</v>
      </c>
      <c r="F309" t="s">
        <v>45</v>
      </c>
      <c r="G309" t="s">
        <v>480</v>
      </c>
      <c r="H309" s="1">
        <v>50000</v>
      </c>
      <c r="I309" t="s">
        <v>1984</v>
      </c>
      <c r="N309" s="4">
        <f t="shared" si="8"/>
        <v>70009110</v>
      </c>
      <c r="O309" t="str">
        <f t="shared" si="9"/>
        <v>C206D1SLSS</v>
      </c>
    </row>
    <row r="310" spans="2:15" x14ac:dyDescent="0.25">
      <c r="B310" t="s">
        <v>476</v>
      </c>
      <c r="C310">
        <v>70009110</v>
      </c>
      <c r="D310" t="s">
        <v>1923</v>
      </c>
      <c r="E310" t="s">
        <v>477</v>
      </c>
      <c r="F310" t="s">
        <v>45</v>
      </c>
      <c r="G310" t="s">
        <v>481</v>
      </c>
      <c r="H310" s="1">
        <v>50000</v>
      </c>
      <c r="I310" t="s">
        <v>1984</v>
      </c>
      <c r="N310" s="4">
        <f t="shared" si="8"/>
        <v>70009110</v>
      </c>
      <c r="O310" t="str">
        <f t="shared" si="9"/>
        <v>P206D1SLSS</v>
      </c>
    </row>
    <row r="311" spans="2:15" x14ac:dyDescent="0.25">
      <c r="B311" t="s">
        <v>476</v>
      </c>
      <c r="C311">
        <v>70009110</v>
      </c>
      <c r="D311" t="s">
        <v>1923</v>
      </c>
      <c r="E311" t="s">
        <v>477</v>
      </c>
      <c r="F311" t="s">
        <v>45</v>
      </c>
      <c r="G311" t="s">
        <v>482</v>
      </c>
      <c r="H311" s="1">
        <v>50000</v>
      </c>
      <c r="I311" t="s">
        <v>1984</v>
      </c>
      <c r="N311" s="4">
        <f t="shared" si="8"/>
        <v>70009110</v>
      </c>
      <c r="O311" t="str">
        <f t="shared" si="9"/>
        <v>P206D1SLSS</v>
      </c>
    </row>
    <row r="312" spans="2:15" x14ac:dyDescent="0.25">
      <c r="B312" t="s">
        <v>476</v>
      </c>
      <c r="C312">
        <v>70009110</v>
      </c>
      <c r="D312" t="s">
        <v>1923</v>
      </c>
      <c r="E312" t="s">
        <v>477</v>
      </c>
      <c r="F312" t="s">
        <v>45</v>
      </c>
      <c r="G312" t="s">
        <v>483</v>
      </c>
      <c r="H312" s="1">
        <v>50000</v>
      </c>
      <c r="I312" t="s">
        <v>1984</v>
      </c>
      <c r="N312" s="4">
        <f t="shared" si="8"/>
        <v>70009110</v>
      </c>
      <c r="O312" t="str">
        <f t="shared" si="9"/>
        <v>P206D1SLSS</v>
      </c>
    </row>
    <row r="313" spans="2:15" x14ac:dyDescent="0.25">
      <c r="B313" t="s">
        <v>476</v>
      </c>
      <c r="C313">
        <v>70009110</v>
      </c>
      <c r="D313" t="s">
        <v>1923</v>
      </c>
      <c r="E313" t="s">
        <v>477</v>
      </c>
      <c r="F313" t="s">
        <v>45</v>
      </c>
      <c r="G313" t="s">
        <v>484</v>
      </c>
      <c r="H313" s="1">
        <v>50000</v>
      </c>
      <c r="I313" t="s">
        <v>1984</v>
      </c>
      <c r="N313" s="4">
        <f t="shared" si="8"/>
        <v>70009110</v>
      </c>
      <c r="O313" t="str">
        <f t="shared" si="9"/>
        <v>P206D1SLSS</v>
      </c>
    </row>
    <row r="314" spans="2:15" x14ac:dyDescent="0.25">
      <c r="B314" t="s">
        <v>476</v>
      </c>
      <c r="C314">
        <v>70101202</v>
      </c>
      <c r="D314" t="s">
        <v>1924</v>
      </c>
      <c r="E314" t="s">
        <v>485</v>
      </c>
      <c r="F314" t="s">
        <v>57</v>
      </c>
      <c r="G314" t="s">
        <v>179</v>
      </c>
      <c r="H314" s="1">
        <v>520000</v>
      </c>
      <c r="I314" t="s">
        <v>1982</v>
      </c>
      <c r="N314" s="4">
        <f t="shared" si="8"/>
        <v>70101202</v>
      </c>
      <c r="O314" t="str">
        <f t="shared" si="9"/>
        <v>C206D1SLSS</v>
      </c>
    </row>
    <row r="315" spans="2:15" x14ac:dyDescent="0.25">
      <c r="B315" t="s">
        <v>476</v>
      </c>
      <c r="C315">
        <v>70101202</v>
      </c>
      <c r="D315" t="s">
        <v>1923</v>
      </c>
      <c r="E315" t="s">
        <v>486</v>
      </c>
      <c r="F315" t="s">
        <v>57</v>
      </c>
      <c r="G315" t="s">
        <v>181</v>
      </c>
      <c r="H315" s="1">
        <v>321000</v>
      </c>
      <c r="I315" t="s">
        <v>1983</v>
      </c>
      <c r="N315" s="4">
        <f t="shared" si="8"/>
        <v>70101202</v>
      </c>
      <c r="O315" t="str">
        <f t="shared" si="9"/>
        <v>P206D1SLSS</v>
      </c>
    </row>
    <row r="316" spans="2:15" x14ac:dyDescent="0.25">
      <c r="B316" t="s">
        <v>476</v>
      </c>
      <c r="C316">
        <v>70009110</v>
      </c>
      <c r="D316" t="s">
        <v>1938</v>
      </c>
      <c r="E316" t="s">
        <v>487</v>
      </c>
      <c r="F316" t="s">
        <v>45</v>
      </c>
      <c r="G316" t="s">
        <v>488</v>
      </c>
      <c r="H316" s="1">
        <v>50000</v>
      </c>
      <c r="I316" t="s">
        <v>1941</v>
      </c>
      <c r="N316" s="4">
        <f t="shared" si="8"/>
        <v>70009110</v>
      </c>
      <c r="O316" t="str">
        <f t="shared" si="9"/>
        <v>M204D1COMM</v>
      </c>
    </row>
    <row r="317" spans="2:15" x14ac:dyDescent="0.25">
      <c r="B317" t="s">
        <v>476</v>
      </c>
      <c r="C317">
        <v>70009110</v>
      </c>
      <c r="D317" t="s">
        <v>1938</v>
      </c>
      <c r="E317" t="s">
        <v>487</v>
      </c>
      <c r="F317" t="s">
        <v>45</v>
      </c>
      <c r="G317" t="s">
        <v>489</v>
      </c>
      <c r="H317" s="1">
        <v>50000</v>
      </c>
      <c r="I317" t="s">
        <v>1941</v>
      </c>
      <c r="N317" s="4">
        <f t="shared" si="8"/>
        <v>70009110</v>
      </c>
      <c r="O317" t="str">
        <f t="shared" si="9"/>
        <v>M204D1COMM</v>
      </c>
    </row>
    <row r="318" spans="2:15" x14ac:dyDescent="0.25">
      <c r="B318" t="s">
        <v>476</v>
      </c>
      <c r="C318">
        <v>70009110</v>
      </c>
      <c r="D318" t="s">
        <v>1938</v>
      </c>
      <c r="E318" t="s">
        <v>487</v>
      </c>
      <c r="F318" t="s">
        <v>45</v>
      </c>
      <c r="G318" t="s">
        <v>490</v>
      </c>
      <c r="H318" s="1">
        <v>50000</v>
      </c>
      <c r="I318" t="s">
        <v>1941</v>
      </c>
      <c r="N318" s="4">
        <f t="shared" si="8"/>
        <v>70009110</v>
      </c>
      <c r="O318" t="str">
        <f t="shared" si="9"/>
        <v>M204D1COMM</v>
      </c>
    </row>
    <row r="319" spans="2:15" x14ac:dyDescent="0.25">
      <c r="B319" t="s">
        <v>476</v>
      </c>
      <c r="C319">
        <v>70107600</v>
      </c>
      <c r="D319" t="s">
        <v>1961</v>
      </c>
      <c r="E319" t="s">
        <v>491</v>
      </c>
      <c r="F319" t="s">
        <v>126</v>
      </c>
      <c r="G319" t="s">
        <v>492</v>
      </c>
      <c r="H319" s="1">
        <v>601500</v>
      </c>
      <c r="I319" t="s">
        <v>1989</v>
      </c>
      <c r="N319" s="4">
        <f t="shared" si="8"/>
        <v>70107600</v>
      </c>
      <c r="O319" t="str">
        <f t="shared" si="9"/>
        <v>R124D1EHFS</v>
      </c>
    </row>
    <row r="320" spans="2:15" x14ac:dyDescent="0.25">
      <c r="B320" t="s">
        <v>476</v>
      </c>
      <c r="C320">
        <v>70108110</v>
      </c>
      <c r="D320" t="s">
        <v>1961</v>
      </c>
      <c r="E320" t="s">
        <v>493</v>
      </c>
      <c r="F320" t="s">
        <v>64</v>
      </c>
      <c r="G320" t="s">
        <v>494</v>
      </c>
      <c r="H320" s="1">
        <v>347000</v>
      </c>
      <c r="I320" t="s">
        <v>1960</v>
      </c>
      <c r="N320" s="4">
        <f t="shared" si="8"/>
        <v>70108110</v>
      </c>
      <c r="O320" t="str">
        <f t="shared" si="9"/>
        <v>R124D1EHFS</v>
      </c>
    </row>
    <row r="321" spans="2:15" x14ac:dyDescent="0.25">
      <c r="B321" t="s">
        <v>476</v>
      </c>
      <c r="C321">
        <v>70107600</v>
      </c>
      <c r="D321" t="s">
        <v>1961</v>
      </c>
      <c r="E321" t="s">
        <v>493</v>
      </c>
      <c r="F321" t="s">
        <v>126</v>
      </c>
      <c r="G321" t="s">
        <v>164</v>
      </c>
      <c r="H321" s="1">
        <v>165000</v>
      </c>
      <c r="I321" t="s">
        <v>1960</v>
      </c>
      <c r="N321" s="4">
        <f t="shared" si="8"/>
        <v>70107600</v>
      </c>
      <c r="O321" t="str">
        <f t="shared" si="9"/>
        <v>R124D1EHFS</v>
      </c>
    </row>
    <row r="322" spans="2:15" x14ac:dyDescent="0.25">
      <c r="B322" t="s">
        <v>476</v>
      </c>
      <c r="C322">
        <v>70009110</v>
      </c>
      <c r="D322" t="s">
        <v>1923</v>
      </c>
      <c r="E322" t="s">
        <v>495</v>
      </c>
      <c r="F322" t="s">
        <v>45</v>
      </c>
      <c r="G322" t="s">
        <v>496</v>
      </c>
      <c r="H322" s="1">
        <v>50000</v>
      </c>
      <c r="I322" t="s">
        <v>1990</v>
      </c>
      <c r="N322" s="4">
        <f t="shared" si="8"/>
        <v>70009110</v>
      </c>
      <c r="O322" t="str">
        <f t="shared" si="9"/>
        <v>P206D1SLSS</v>
      </c>
    </row>
    <row r="323" spans="2:15" x14ac:dyDescent="0.25">
      <c r="B323" t="s">
        <v>476</v>
      </c>
      <c r="C323">
        <v>70009110</v>
      </c>
      <c r="D323" t="s">
        <v>1923</v>
      </c>
      <c r="E323" t="s">
        <v>495</v>
      </c>
      <c r="F323" t="s">
        <v>45</v>
      </c>
      <c r="G323" t="s">
        <v>497</v>
      </c>
      <c r="H323" s="1">
        <v>50000</v>
      </c>
      <c r="I323" t="s">
        <v>1990</v>
      </c>
      <c r="N323" s="4">
        <f t="shared" si="8"/>
        <v>70009110</v>
      </c>
      <c r="O323" t="str">
        <f t="shared" si="9"/>
        <v>P206D1SLSS</v>
      </c>
    </row>
    <row r="324" spans="2:15" x14ac:dyDescent="0.25">
      <c r="B324" t="s">
        <v>476</v>
      </c>
      <c r="C324">
        <v>70101114</v>
      </c>
      <c r="D324" t="s">
        <v>1992</v>
      </c>
      <c r="E324" t="s">
        <v>498</v>
      </c>
      <c r="F324" t="s">
        <v>59</v>
      </c>
      <c r="G324" t="s">
        <v>499</v>
      </c>
      <c r="H324" s="1">
        <v>145000</v>
      </c>
      <c r="I324" t="s">
        <v>1991</v>
      </c>
      <c r="N324" s="4">
        <f t="shared" si="8"/>
        <v>70101114</v>
      </c>
      <c r="O324" t="str">
        <f t="shared" si="9"/>
        <v>R124FPO</v>
      </c>
    </row>
    <row r="325" spans="2:15" x14ac:dyDescent="0.25">
      <c r="B325" t="s">
        <v>476</v>
      </c>
      <c r="C325">
        <v>70106400</v>
      </c>
      <c r="D325" t="s">
        <v>1943</v>
      </c>
      <c r="E325" t="s">
        <v>500</v>
      </c>
      <c r="F325" t="s">
        <v>96</v>
      </c>
      <c r="G325" t="s">
        <v>501</v>
      </c>
      <c r="H325" s="1">
        <v>560000</v>
      </c>
      <c r="I325" t="s">
        <v>1942</v>
      </c>
      <c r="N325" s="4">
        <f t="shared" si="8"/>
        <v>70106400</v>
      </c>
      <c r="O325" t="str">
        <f t="shared" si="9"/>
        <v>R124D1HRGA</v>
      </c>
    </row>
    <row r="326" spans="2:15" x14ac:dyDescent="0.25">
      <c r="B326" t="s">
        <v>476</v>
      </c>
      <c r="C326">
        <v>70106100</v>
      </c>
      <c r="D326" t="s">
        <v>1943</v>
      </c>
      <c r="E326" t="s">
        <v>500</v>
      </c>
      <c r="F326" t="s">
        <v>67</v>
      </c>
      <c r="G326" t="s">
        <v>98</v>
      </c>
      <c r="H326" s="1">
        <v>440000</v>
      </c>
      <c r="I326" t="s">
        <v>1942</v>
      </c>
      <c r="N326" s="4">
        <f t="shared" si="8"/>
        <v>70106100</v>
      </c>
      <c r="O326" t="str">
        <f t="shared" si="9"/>
        <v>R124D1HRGA</v>
      </c>
    </row>
    <row r="327" spans="2:15" x14ac:dyDescent="0.25">
      <c r="B327" t="s">
        <v>476</v>
      </c>
      <c r="C327">
        <v>70009110</v>
      </c>
      <c r="D327" t="s">
        <v>1938</v>
      </c>
      <c r="E327" t="s">
        <v>502</v>
      </c>
      <c r="F327" t="s">
        <v>45</v>
      </c>
      <c r="G327" t="s">
        <v>503</v>
      </c>
      <c r="H327" s="1">
        <v>50000</v>
      </c>
      <c r="I327" t="s">
        <v>1941</v>
      </c>
      <c r="N327" s="4">
        <f t="shared" si="8"/>
        <v>70009110</v>
      </c>
      <c r="O327" t="str">
        <f t="shared" si="9"/>
        <v>M204D1COMM</v>
      </c>
    </row>
    <row r="328" spans="2:15" x14ac:dyDescent="0.25">
      <c r="B328" t="s">
        <v>476</v>
      </c>
      <c r="C328">
        <v>70009110</v>
      </c>
      <c r="D328" t="s">
        <v>1924</v>
      </c>
      <c r="E328" t="s">
        <v>502</v>
      </c>
      <c r="F328" t="s">
        <v>45</v>
      </c>
      <c r="G328" t="s">
        <v>504</v>
      </c>
      <c r="H328" s="1">
        <v>50000</v>
      </c>
      <c r="I328" t="s">
        <v>1941</v>
      </c>
      <c r="N328" s="4">
        <f t="shared" si="8"/>
        <v>70009110</v>
      </c>
      <c r="O328" t="str">
        <f t="shared" si="9"/>
        <v>C206D1SLSS</v>
      </c>
    </row>
    <row r="329" spans="2:15" x14ac:dyDescent="0.25">
      <c r="B329" t="s">
        <v>476</v>
      </c>
      <c r="C329">
        <v>70009110</v>
      </c>
      <c r="D329" t="s">
        <v>1924</v>
      </c>
      <c r="E329" t="s">
        <v>502</v>
      </c>
      <c r="F329" t="s">
        <v>45</v>
      </c>
      <c r="G329" t="s">
        <v>505</v>
      </c>
      <c r="H329" s="1">
        <v>50000</v>
      </c>
      <c r="I329" t="s">
        <v>1941</v>
      </c>
      <c r="N329" s="4">
        <f t="shared" si="8"/>
        <v>70009110</v>
      </c>
      <c r="O329" t="str">
        <f t="shared" si="9"/>
        <v>C206D1SLSS</v>
      </c>
    </row>
    <row r="330" spans="2:15" x14ac:dyDescent="0.25">
      <c r="B330" t="s">
        <v>476</v>
      </c>
      <c r="C330">
        <v>70107300</v>
      </c>
      <c r="D330" t="s">
        <v>1921</v>
      </c>
      <c r="E330" t="s">
        <v>506</v>
      </c>
      <c r="F330" t="s">
        <v>41</v>
      </c>
      <c r="G330" t="s">
        <v>507</v>
      </c>
      <c r="H330" s="1">
        <v>500000</v>
      </c>
      <c r="I330" t="s">
        <v>1920</v>
      </c>
      <c r="N330" s="4">
        <f t="shared" si="8"/>
        <v>70107300</v>
      </c>
      <c r="O330" t="str">
        <f t="shared" si="9"/>
        <v>R124D1HRDV</v>
      </c>
    </row>
    <row r="331" spans="2:15" x14ac:dyDescent="0.25">
      <c r="B331" t="s">
        <v>476</v>
      </c>
      <c r="C331">
        <v>70009110</v>
      </c>
      <c r="D331" t="s">
        <v>1923</v>
      </c>
      <c r="E331" t="s">
        <v>508</v>
      </c>
      <c r="F331" t="s">
        <v>45</v>
      </c>
      <c r="G331" t="s">
        <v>509</v>
      </c>
      <c r="H331" s="1">
        <v>50000</v>
      </c>
      <c r="I331" t="s">
        <v>1941</v>
      </c>
      <c r="N331" s="4">
        <f t="shared" ref="N331:N394" si="10">+C331</f>
        <v>70009110</v>
      </c>
      <c r="O331" t="str">
        <f t="shared" ref="O331:O394" si="11">+D331</f>
        <v>P206D1SLSS</v>
      </c>
    </row>
    <row r="332" spans="2:15" x14ac:dyDescent="0.25">
      <c r="B332" t="s">
        <v>476</v>
      </c>
      <c r="C332">
        <v>70009110</v>
      </c>
      <c r="D332" t="s">
        <v>1923</v>
      </c>
      <c r="E332" t="s">
        <v>508</v>
      </c>
      <c r="F332" t="s">
        <v>45</v>
      </c>
      <c r="G332" t="s">
        <v>509</v>
      </c>
      <c r="H332" s="1">
        <v>50000</v>
      </c>
      <c r="I332" t="s">
        <v>1941</v>
      </c>
      <c r="N332" s="4">
        <f t="shared" si="10"/>
        <v>70009110</v>
      </c>
      <c r="O332" t="str">
        <f t="shared" si="11"/>
        <v>P206D1SLSS</v>
      </c>
    </row>
    <row r="333" spans="2:15" x14ac:dyDescent="0.25">
      <c r="B333" t="s">
        <v>476</v>
      </c>
      <c r="C333">
        <v>70009110</v>
      </c>
      <c r="D333" t="s">
        <v>1924</v>
      </c>
      <c r="E333" t="s">
        <v>508</v>
      </c>
      <c r="F333" t="s">
        <v>45</v>
      </c>
      <c r="G333" t="s">
        <v>510</v>
      </c>
      <c r="H333" s="1">
        <v>50000</v>
      </c>
      <c r="I333" t="s">
        <v>1941</v>
      </c>
      <c r="N333" s="4">
        <f t="shared" si="10"/>
        <v>70009110</v>
      </c>
      <c r="O333" t="str">
        <f t="shared" si="11"/>
        <v>C206D1SLSS</v>
      </c>
    </row>
    <row r="334" spans="2:15" x14ac:dyDescent="0.25">
      <c r="B334" t="s">
        <v>476</v>
      </c>
      <c r="C334">
        <v>70115100</v>
      </c>
      <c r="D334" t="s">
        <v>1938</v>
      </c>
      <c r="E334" t="s">
        <v>511</v>
      </c>
      <c r="F334" t="s">
        <v>146</v>
      </c>
      <c r="G334" t="s">
        <v>512</v>
      </c>
      <c r="H334" s="1">
        <v>860000</v>
      </c>
      <c r="I334" t="s">
        <v>1993</v>
      </c>
      <c r="N334" s="4">
        <f t="shared" si="10"/>
        <v>70115100</v>
      </c>
      <c r="O334" t="str">
        <f t="shared" si="11"/>
        <v>M204D1COMM</v>
      </c>
    </row>
    <row r="335" spans="2:15" x14ac:dyDescent="0.25">
      <c r="B335" t="s">
        <v>476</v>
      </c>
      <c r="C335">
        <v>70115100</v>
      </c>
      <c r="D335" t="s">
        <v>1938</v>
      </c>
      <c r="E335" t="s">
        <v>513</v>
      </c>
      <c r="F335" t="s">
        <v>146</v>
      </c>
      <c r="G335" t="s">
        <v>514</v>
      </c>
      <c r="H335" s="1">
        <v>789000</v>
      </c>
      <c r="I335" t="s">
        <v>1993</v>
      </c>
      <c r="N335" s="4">
        <f t="shared" si="10"/>
        <v>70115100</v>
      </c>
      <c r="O335" t="str">
        <f t="shared" si="11"/>
        <v>M204D1COMM</v>
      </c>
    </row>
    <row r="336" spans="2:15" x14ac:dyDescent="0.25">
      <c r="B336" t="s">
        <v>476</v>
      </c>
      <c r="C336">
        <v>70115100</v>
      </c>
      <c r="D336" t="s">
        <v>1938</v>
      </c>
      <c r="E336" t="s">
        <v>515</v>
      </c>
      <c r="F336" t="s">
        <v>146</v>
      </c>
      <c r="G336" t="s">
        <v>516</v>
      </c>
      <c r="H336" s="1">
        <v>800000</v>
      </c>
      <c r="I336" t="s">
        <v>1993</v>
      </c>
      <c r="N336" s="4">
        <f t="shared" si="10"/>
        <v>70115100</v>
      </c>
      <c r="O336" t="str">
        <f t="shared" si="11"/>
        <v>M204D1COMM</v>
      </c>
    </row>
    <row r="337" spans="2:15" x14ac:dyDescent="0.25">
      <c r="B337" t="s">
        <v>476</v>
      </c>
      <c r="C337">
        <v>70115100</v>
      </c>
      <c r="D337" t="s">
        <v>1959</v>
      </c>
      <c r="E337" t="s">
        <v>517</v>
      </c>
      <c r="F337" t="s">
        <v>146</v>
      </c>
      <c r="G337" t="s">
        <v>295</v>
      </c>
      <c r="H337" s="1">
        <v>525000</v>
      </c>
      <c r="I337" t="s">
        <v>1958</v>
      </c>
      <c r="N337" s="4">
        <f t="shared" si="10"/>
        <v>70115100</v>
      </c>
      <c r="O337" t="str">
        <f t="shared" si="11"/>
        <v>R124QCA</v>
      </c>
    </row>
    <row r="338" spans="2:15" x14ac:dyDescent="0.25">
      <c r="B338" t="s">
        <v>476</v>
      </c>
      <c r="C338">
        <v>70119300</v>
      </c>
      <c r="D338" t="s">
        <v>1959</v>
      </c>
      <c r="E338" t="s">
        <v>517</v>
      </c>
      <c r="F338" t="s">
        <v>518</v>
      </c>
      <c r="G338" t="s">
        <v>519</v>
      </c>
      <c r="H338" s="1">
        <v>90900</v>
      </c>
      <c r="I338" t="s">
        <v>1958</v>
      </c>
      <c r="N338" s="4">
        <f t="shared" si="10"/>
        <v>70119300</v>
      </c>
      <c r="O338" t="str">
        <f t="shared" si="11"/>
        <v>R124QCA</v>
      </c>
    </row>
    <row r="339" spans="2:15" x14ac:dyDescent="0.25">
      <c r="B339" t="s">
        <v>476</v>
      </c>
      <c r="C339">
        <v>70107600</v>
      </c>
      <c r="D339" t="s">
        <v>1959</v>
      </c>
      <c r="E339" t="s">
        <v>517</v>
      </c>
      <c r="F339" t="s">
        <v>126</v>
      </c>
      <c r="G339" t="s">
        <v>520</v>
      </c>
      <c r="H339" s="1">
        <v>120000</v>
      </c>
      <c r="I339" t="s">
        <v>1958</v>
      </c>
      <c r="N339" s="4">
        <f t="shared" si="10"/>
        <v>70107600</v>
      </c>
      <c r="O339" t="str">
        <f t="shared" si="11"/>
        <v>R124QCA</v>
      </c>
    </row>
    <row r="340" spans="2:15" x14ac:dyDescent="0.25">
      <c r="B340" t="s">
        <v>476</v>
      </c>
      <c r="C340">
        <v>70101114</v>
      </c>
      <c r="D340" t="s">
        <v>1959</v>
      </c>
      <c r="E340" t="s">
        <v>517</v>
      </c>
      <c r="F340" t="s">
        <v>59</v>
      </c>
      <c r="G340" t="s">
        <v>521</v>
      </c>
      <c r="H340" s="1">
        <v>87976</v>
      </c>
      <c r="I340" t="s">
        <v>1958</v>
      </c>
      <c r="N340" s="4">
        <f t="shared" si="10"/>
        <v>70101114</v>
      </c>
      <c r="O340" t="str">
        <f t="shared" si="11"/>
        <v>R124QCA</v>
      </c>
    </row>
    <row r="341" spans="2:15" x14ac:dyDescent="0.25">
      <c r="B341" t="s">
        <v>476</v>
      </c>
      <c r="C341">
        <v>70115100</v>
      </c>
      <c r="D341" t="s">
        <v>1959</v>
      </c>
      <c r="E341" t="s">
        <v>522</v>
      </c>
      <c r="F341" t="s">
        <v>146</v>
      </c>
      <c r="G341" t="s">
        <v>516</v>
      </c>
      <c r="H341" s="1">
        <v>800000</v>
      </c>
      <c r="I341" t="s">
        <v>1993</v>
      </c>
      <c r="N341" s="4">
        <f t="shared" si="10"/>
        <v>70115100</v>
      </c>
      <c r="O341" t="str">
        <f t="shared" si="11"/>
        <v>R124QCA</v>
      </c>
    </row>
    <row r="342" spans="2:15" x14ac:dyDescent="0.25">
      <c r="B342" t="s">
        <v>476</v>
      </c>
      <c r="C342">
        <v>70115100</v>
      </c>
      <c r="D342" t="s">
        <v>1959</v>
      </c>
      <c r="E342" t="s">
        <v>523</v>
      </c>
      <c r="F342" t="s">
        <v>146</v>
      </c>
      <c r="G342" t="s">
        <v>516</v>
      </c>
      <c r="H342" s="1">
        <v>960000</v>
      </c>
      <c r="I342" t="s">
        <v>1993</v>
      </c>
      <c r="N342" s="4">
        <f t="shared" si="10"/>
        <v>70115100</v>
      </c>
      <c r="O342" t="str">
        <f t="shared" si="11"/>
        <v>R124QCA</v>
      </c>
    </row>
    <row r="343" spans="2:15" x14ac:dyDescent="0.25">
      <c r="B343" t="s">
        <v>476</v>
      </c>
      <c r="C343">
        <v>70101114</v>
      </c>
      <c r="D343" t="s">
        <v>1943</v>
      </c>
      <c r="E343" t="s">
        <v>524</v>
      </c>
      <c r="F343" t="s">
        <v>59</v>
      </c>
      <c r="G343" t="s">
        <v>525</v>
      </c>
      <c r="H343" s="1">
        <v>513514</v>
      </c>
      <c r="I343" t="s">
        <v>1949</v>
      </c>
      <c r="N343" s="4">
        <f t="shared" si="10"/>
        <v>70101114</v>
      </c>
      <c r="O343" t="str">
        <f t="shared" si="11"/>
        <v>R124D1HRGA</v>
      </c>
    </row>
    <row r="344" spans="2:15" x14ac:dyDescent="0.25">
      <c r="B344" t="s">
        <v>476</v>
      </c>
      <c r="C344">
        <v>70106400</v>
      </c>
      <c r="D344" t="s">
        <v>1943</v>
      </c>
      <c r="E344" t="s">
        <v>526</v>
      </c>
      <c r="F344" t="s">
        <v>96</v>
      </c>
      <c r="G344" t="s">
        <v>527</v>
      </c>
      <c r="H344" s="1">
        <v>850000</v>
      </c>
      <c r="I344" t="s">
        <v>1942</v>
      </c>
      <c r="N344" s="4">
        <f t="shared" si="10"/>
        <v>70106400</v>
      </c>
      <c r="O344" t="str">
        <f t="shared" si="11"/>
        <v>R124D1HRGA</v>
      </c>
    </row>
    <row r="345" spans="2:15" x14ac:dyDescent="0.25">
      <c r="B345" t="s">
        <v>476</v>
      </c>
      <c r="C345">
        <v>70106100</v>
      </c>
      <c r="D345" t="s">
        <v>1943</v>
      </c>
      <c r="E345" t="s">
        <v>526</v>
      </c>
      <c r="F345" t="s">
        <v>67</v>
      </c>
      <c r="G345" t="s">
        <v>98</v>
      </c>
      <c r="H345" s="1">
        <v>148500</v>
      </c>
      <c r="I345" t="s">
        <v>1942</v>
      </c>
      <c r="N345" s="4">
        <f t="shared" si="10"/>
        <v>70106100</v>
      </c>
      <c r="O345" t="str">
        <f t="shared" si="11"/>
        <v>R124D1HRGA</v>
      </c>
    </row>
    <row r="346" spans="2:15" x14ac:dyDescent="0.25">
      <c r="B346" t="s">
        <v>476</v>
      </c>
      <c r="C346">
        <v>70107100</v>
      </c>
      <c r="D346" t="s">
        <v>1943</v>
      </c>
      <c r="E346" t="s">
        <v>528</v>
      </c>
      <c r="F346" t="s">
        <v>254</v>
      </c>
      <c r="G346" t="s">
        <v>529</v>
      </c>
      <c r="H346" s="1">
        <v>290500</v>
      </c>
      <c r="I346" t="s">
        <v>1949</v>
      </c>
      <c r="N346" s="4">
        <f t="shared" si="10"/>
        <v>70107100</v>
      </c>
      <c r="O346" t="str">
        <f t="shared" si="11"/>
        <v>R124D1HRGA</v>
      </c>
    </row>
    <row r="347" spans="2:15" x14ac:dyDescent="0.25">
      <c r="B347" t="s">
        <v>476</v>
      </c>
      <c r="C347">
        <v>70001110</v>
      </c>
      <c r="D347" t="s">
        <v>1923</v>
      </c>
      <c r="E347" t="s">
        <v>530</v>
      </c>
      <c r="F347" t="s">
        <v>334</v>
      </c>
      <c r="G347" t="s">
        <v>531</v>
      </c>
      <c r="H347" s="1">
        <v>868100</v>
      </c>
      <c r="I347" t="s">
        <v>1936</v>
      </c>
      <c r="N347" s="4">
        <f t="shared" si="10"/>
        <v>70001110</v>
      </c>
      <c r="O347" t="str">
        <f t="shared" si="11"/>
        <v>P206D1SLSS</v>
      </c>
    </row>
    <row r="348" spans="2:15" x14ac:dyDescent="0.25">
      <c r="B348" t="s">
        <v>476</v>
      </c>
      <c r="C348">
        <v>70009110</v>
      </c>
      <c r="D348" t="s">
        <v>1924</v>
      </c>
      <c r="E348" t="s">
        <v>532</v>
      </c>
      <c r="F348" t="s">
        <v>45</v>
      </c>
      <c r="G348" t="s">
        <v>533</v>
      </c>
      <c r="H348" s="1">
        <v>50000</v>
      </c>
      <c r="I348" t="s">
        <v>1941</v>
      </c>
      <c r="N348" s="4">
        <f t="shared" si="10"/>
        <v>70009110</v>
      </c>
      <c r="O348" t="str">
        <f t="shared" si="11"/>
        <v>C206D1SLSS</v>
      </c>
    </row>
    <row r="349" spans="2:15" x14ac:dyDescent="0.25">
      <c r="B349" t="s">
        <v>476</v>
      </c>
      <c r="C349">
        <v>70009110</v>
      </c>
      <c r="D349" t="s">
        <v>1967</v>
      </c>
      <c r="E349" t="s">
        <v>534</v>
      </c>
      <c r="F349" t="s">
        <v>45</v>
      </c>
      <c r="G349" t="s">
        <v>535</v>
      </c>
      <c r="H349" s="1">
        <v>50000</v>
      </c>
      <c r="I349" t="s">
        <v>1993</v>
      </c>
      <c r="N349" s="4">
        <f t="shared" si="10"/>
        <v>70009110</v>
      </c>
      <c r="O349" t="str">
        <f t="shared" si="11"/>
        <v>P206D1SLSC</v>
      </c>
    </row>
    <row r="350" spans="2:15" x14ac:dyDescent="0.25">
      <c r="B350" t="s">
        <v>476</v>
      </c>
      <c r="C350">
        <v>70009110</v>
      </c>
      <c r="D350" t="s">
        <v>1923</v>
      </c>
      <c r="E350" t="s">
        <v>534</v>
      </c>
      <c r="F350" t="s">
        <v>45</v>
      </c>
      <c r="G350" t="s">
        <v>536</v>
      </c>
      <c r="H350" s="1">
        <v>50000</v>
      </c>
      <c r="I350" t="s">
        <v>1993</v>
      </c>
      <c r="N350" s="4">
        <f t="shared" si="10"/>
        <v>70009110</v>
      </c>
      <c r="O350" t="str">
        <f t="shared" si="11"/>
        <v>P206D1SLSS</v>
      </c>
    </row>
    <row r="351" spans="2:15" x14ac:dyDescent="0.25">
      <c r="B351" t="s">
        <v>476</v>
      </c>
      <c r="C351">
        <v>70009110</v>
      </c>
      <c r="D351" t="s">
        <v>1938</v>
      </c>
      <c r="E351" t="s">
        <v>534</v>
      </c>
      <c r="F351" t="s">
        <v>45</v>
      </c>
      <c r="G351" t="s">
        <v>537</v>
      </c>
      <c r="H351" s="1">
        <v>50000</v>
      </c>
      <c r="I351" t="s">
        <v>1993</v>
      </c>
      <c r="N351" s="4">
        <f t="shared" si="10"/>
        <v>70009110</v>
      </c>
      <c r="O351" t="str">
        <f t="shared" si="11"/>
        <v>M204D1COMM</v>
      </c>
    </row>
    <row r="352" spans="2:15" x14ac:dyDescent="0.25">
      <c r="B352" t="s">
        <v>476</v>
      </c>
      <c r="C352">
        <v>70009110</v>
      </c>
      <c r="D352" t="s">
        <v>1967</v>
      </c>
      <c r="E352" t="s">
        <v>534</v>
      </c>
      <c r="F352" t="s">
        <v>45</v>
      </c>
      <c r="G352" t="s">
        <v>538</v>
      </c>
      <c r="H352" s="1">
        <v>50000</v>
      </c>
      <c r="I352" t="s">
        <v>1993</v>
      </c>
      <c r="N352" s="4">
        <f t="shared" si="10"/>
        <v>70009110</v>
      </c>
      <c r="O352" t="str">
        <f t="shared" si="11"/>
        <v>P206D1SLSC</v>
      </c>
    </row>
    <row r="353" spans="2:15" x14ac:dyDescent="0.25">
      <c r="B353" t="s">
        <v>476</v>
      </c>
      <c r="C353">
        <v>70009110</v>
      </c>
      <c r="D353" t="s">
        <v>1967</v>
      </c>
      <c r="E353" t="s">
        <v>534</v>
      </c>
      <c r="F353" t="s">
        <v>45</v>
      </c>
      <c r="G353" t="s">
        <v>539</v>
      </c>
      <c r="H353" s="1">
        <v>50000</v>
      </c>
      <c r="I353" t="s">
        <v>1993</v>
      </c>
      <c r="N353" s="4">
        <f t="shared" si="10"/>
        <v>70009110</v>
      </c>
      <c r="O353" t="str">
        <f t="shared" si="11"/>
        <v>P206D1SLSC</v>
      </c>
    </row>
    <row r="354" spans="2:15" x14ac:dyDescent="0.25">
      <c r="B354" t="s">
        <v>476</v>
      </c>
      <c r="C354">
        <v>70009110</v>
      </c>
      <c r="D354" t="s">
        <v>1967</v>
      </c>
      <c r="E354" t="s">
        <v>534</v>
      </c>
      <c r="F354" t="s">
        <v>45</v>
      </c>
      <c r="G354" t="s">
        <v>540</v>
      </c>
      <c r="H354" s="1">
        <v>50000</v>
      </c>
      <c r="I354" t="s">
        <v>1993</v>
      </c>
      <c r="N354" s="4">
        <f t="shared" si="10"/>
        <v>70009110</v>
      </c>
      <c r="O354" t="str">
        <f t="shared" si="11"/>
        <v>P206D1SLSC</v>
      </c>
    </row>
    <row r="355" spans="2:15" x14ac:dyDescent="0.25">
      <c r="B355" t="s">
        <v>476</v>
      </c>
      <c r="C355">
        <v>70101202</v>
      </c>
      <c r="D355" t="s">
        <v>1995</v>
      </c>
      <c r="E355" t="s">
        <v>541</v>
      </c>
      <c r="F355" t="s">
        <v>57</v>
      </c>
      <c r="G355" t="s">
        <v>542</v>
      </c>
      <c r="H355" s="1">
        <v>310000</v>
      </c>
      <c r="I355" t="s">
        <v>1994</v>
      </c>
      <c r="N355" s="4">
        <f t="shared" si="10"/>
        <v>70101202</v>
      </c>
      <c r="O355" t="str">
        <f t="shared" si="11"/>
        <v>R124REF2</v>
      </c>
    </row>
    <row r="356" spans="2:15" x14ac:dyDescent="0.25">
      <c r="B356" t="s">
        <v>543</v>
      </c>
      <c r="C356">
        <v>70009110</v>
      </c>
      <c r="D356" t="s">
        <v>1923</v>
      </c>
      <c r="E356" t="s">
        <v>544</v>
      </c>
      <c r="F356" t="s">
        <v>45</v>
      </c>
      <c r="G356" t="s">
        <v>545</v>
      </c>
      <c r="H356" s="1">
        <v>50000</v>
      </c>
      <c r="I356" t="s">
        <v>1940</v>
      </c>
      <c r="N356" s="4">
        <f t="shared" si="10"/>
        <v>70009110</v>
      </c>
      <c r="O356" t="str">
        <f t="shared" si="11"/>
        <v>P206D1SLSS</v>
      </c>
    </row>
    <row r="357" spans="2:15" x14ac:dyDescent="0.25">
      <c r="B357" t="s">
        <v>543</v>
      </c>
      <c r="C357">
        <v>70009110</v>
      </c>
      <c r="D357" t="s">
        <v>1923</v>
      </c>
      <c r="E357" t="s">
        <v>544</v>
      </c>
      <c r="F357" t="s">
        <v>45</v>
      </c>
      <c r="G357" t="s">
        <v>546</v>
      </c>
      <c r="H357" s="1">
        <v>50000</v>
      </c>
      <c r="I357" t="s">
        <v>1940</v>
      </c>
      <c r="N357" s="4">
        <f t="shared" si="10"/>
        <v>70009110</v>
      </c>
      <c r="O357" t="str">
        <f t="shared" si="11"/>
        <v>P206D1SLSS</v>
      </c>
    </row>
    <row r="358" spans="2:15" x14ac:dyDescent="0.25">
      <c r="B358" t="s">
        <v>543</v>
      </c>
      <c r="C358">
        <v>70009110</v>
      </c>
      <c r="D358" t="s">
        <v>1923</v>
      </c>
      <c r="E358" t="s">
        <v>544</v>
      </c>
      <c r="F358" t="s">
        <v>45</v>
      </c>
      <c r="G358" t="s">
        <v>547</v>
      </c>
      <c r="H358" s="1">
        <v>50000</v>
      </c>
      <c r="I358" t="s">
        <v>1940</v>
      </c>
      <c r="N358" s="4">
        <f t="shared" si="10"/>
        <v>70009110</v>
      </c>
      <c r="O358" t="str">
        <f t="shared" si="11"/>
        <v>P206D1SLSS</v>
      </c>
    </row>
    <row r="359" spans="2:15" x14ac:dyDescent="0.25">
      <c r="B359" t="s">
        <v>543</v>
      </c>
      <c r="C359">
        <v>70009110</v>
      </c>
      <c r="D359" t="s">
        <v>1923</v>
      </c>
      <c r="E359" t="s">
        <v>544</v>
      </c>
      <c r="F359" t="s">
        <v>45</v>
      </c>
      <c r="G359" t="s">
        <v>548</v>
      </c>
      <c r="H359" s="1">
        <v>50000</v>
      </c>
      <c r="I359" t="s">
        <v>1940</v>
      </c>
      <c r="N359" s="4">
        <f t="shared" si="10"/>
        <v>70009110</v>
      </c>
      <c r="O359" t="str">
        <f t="shared" si="11"/>
        <v>P206D1SLSS</v>
      </c>
    </row>
    <row r="360" spans="2:15" x14ac:dyDescent="0.25">
      <c r="B360" t="s">
        <v>543</v>
      </c>
      <c r="C360">
        <v>70009110</v>
      </c>
      <c r="D360" t="s">
        <v>1967</v>
      </c>
      <c r="E360" t="s">
        <v>544</v>
      </c>
      <c r="F360" t="s">
        <v>45</v>
      </c>
      <c r="G360" t="s">
        <v>549</v>
      </c>
      <c r="H360" s="1">
        <v>50000</v>
      </c>
      <c r="I360" t="s">
        <v>1940</v>
      </c>
      <c r="N360" s="4">
        <f t="shared" si="10"/>
        <v>70009110</v>
      </c>
      <c r="O360" t="str">
        <f t="shared" si="11"/>
        <v>P206D1SLSC</v>
      </c>
    </row>
    <row r="361" spans="2:15" x14ac:dyDescent="0.25">
      <c r="B361" t="s">
        <v>543</v>
      </c>
      <c r="C361">
        <v>70009110</v>
      </c>
      <c r="D361" t="s">
        <v>1923</v>
      </c>
      <c r="E361" t="s">
        <v>544</v>
      </c>
      <c r="F361" t="s">
        <v>45</v>
      </c>
      <c r="G361" t="s">
        <v>550</v>
      </c>
      <c r="H361" s="1">
        <v>50000</v>
      </c>
      <c r="I361" t="s">
        <v>1940</v>
      </c>
      <c r="N361" s="4">
        <f t="shared" si="10"/>
        <v>70009110</v>
      </c>
      <c r="O361" t="str">
        <f t="shared" si="11"/>
        <v>P206D1SLSS</v>
      </c>
    </row>
    <row r="362" spans="2:15" x14ac:dyDescent="0.25">
      <c r="B362" t="s">
        <v>543</v>
      </c>
      <c r="C362">
        <v>70009110</v>
      </c>
      <c r="D362" t="s">
        <v>1923</v>
      </c>
      <c r="E362" t="s">
        <v>544</v>
      </c>
      <c r="F362" t="s">
        <v>45</v>
      </c>
      <c r="G362" t="s">
        <v>551</v>
      </c>
      <c r="H362" s="1">
        <v>50000</v>
      </c>
      <c r="I362" t="s">
        <v>1940</v>
      </c>
      <c r="N362" s="4">
        <f t="shared" si="10"/>
        <v>70009110</v>
      </c>
      <c r="O362" t="str">
        <f t="shared" si="11"/>
        <v>P206D1SLSS</v>
      </c>
    </row>
    <row r="363" spans="2:15" x14ac:dyDescent="0.25">
      <c r="B363" t="s">
        <v>543</v>
      </c>
      <c r="C363">
        <v>70009110</v>
      </c>
      <c r="D363" t="s">
        <v>1967</v>
      </c>
      <c r="E363" t="s">
        <v>544</v>
      </c>
      <c r="F363" t="s">
        <v>45</v>
      </c>
      <c r="G363" t="s">
        <v>552</v>
      </c>
      <c r="H363" s="1">
        <v>50000</v>
      </c>
      <c r="I363" t="s">
        <v>1940</v>
      </c>
      <c r="N363" s="4">
        <f t="shared" si="10"/>
        <v>70009110</v>
      </c>
      <c r="O363" t="str">
        <f t="shared" si="11"/>
        <v>P206D1SLSC</v>
      </c>
    </row>
    <row r="364" spans="2:15" x14ac:dyDescent="0.25">
      <c r="B364" t="s">
        <v>543</v>
      </c>
      <c r="C364">
        <v>70009110</v>
      </c>
      <c r="D364" t="s">
        <v>1923</v>
      </c>
      <c r="E364" t="s">
        <v>544</v>
      </c>
      <c r="F364" t="s">
        <v>45</v>
      </c>
      <c r="G364" t="s">
        <v>553</v>
      </c>
      <c r="H364" s="1">
        <v>50000</v>
      </c>
      <c r="I364" t="s">
        <v>1940</v>
      </c>
      <c r="N364" s="4">
        <f t="shared" si="10"/>
        <v>70009110</v>
      </c>
      <c r="O364" t="str">
        <f t="shared" si="11"/>
        <v>P206D1SLSS</v>
      </c>
    </row>
    <row r="365" spans="2:15" x14ac:dyDescent="0.25">
      <c r="B365" t="s">
        <v>543</v>
      </c>
      <c r="C365">
        <v>70009110</v>
      </c>
      <c r="D365" t="s">
        <v>1923</v>
      </c>
      <c r="E365" t="s">
        <v>544</v>
      </c>
      <c r="F365" t="s">
        <v>45</v>
      </c>
      <c r="G365" t="s">
        <v>554</v>
      </c>
      <c r="H365" s="1">
        <v>50000</v>
      </c>
      <c r="I365" t="s">
        <v>1940</v>
      </c>
      <c r="N365" s="4">
        <f t="shared" si="10"/>
        <v>70009110</v>
      </c>
      <c r="O365" t="str">
        <f t="shared" si="11"/>
        <v>P206D1SLSS</v>
      </c>
    </row>
    <row r="366" spans="2:15" x14ac:dyDescent="0.25">
      <c r="B366" t="s">
        <v>543</v>
      </c>
      <c r="C366">
        <v>70009110</v>
      </c>
      <c r="D366" t="s">
        <v>1923</v>
      </c>
      <c r="E366" t="s">
        <v>544</v>
      </c>
      <c r="F366" t="s">
        <v>45</v>
      </c>
      <c r="G366" t="s">
        <v>555</v>
      </c>
      <c r="H366" s="1">
        <v>50000</v>
      </c>
      <c r="I366" t="s">
        <v>1940</v>
      </c>
      <c r="N366" s="4">
        <f t="shared" si="10"/>
        <v>70009110</v>
      </c>
      <c r="O366" t="str">
        <f t="shared" si="11"/>
        <v>P206D1SLSS</v>
      </c>
    </row>
    <row r="367" spans="2:15" x14ac:dyDescent="0.25">
      <c r="B367" t="s">
        <v>543</v>
      </c>
      <c r="C367">
        <v>70119300</v>
      </c>
      <c r="D367" t="s">
        <v>1923</v>
      </c>
      <c r="E367" t="s">
        <v>544</v>
      </c>
      <c r="F367" t="s">
        <v>259</v>
      </c>
      <c r="G367" t="s">
        <v>556</v>
      </c>
      <c r="H367" s="1">
        <v>50000</v>
      </c>
      <c r="I367" t="s">
        <v>1940</v>
      </c>
      <c r="N367" s="4">
        <f t="shared" si="10"/>
        <v>70119300</v>
      </c>
      <c r="O367" t="str">
        <f t="shared" si="11"/>
        <v>P206D1SLSS</v>
      </c>
    </row>
    <row r="368" spans="2:15" x14ac:dyDescent="0.25">
      <c r="B368" t="s">
        <v>543</v>
      </c>
      <c r="C368">
        <v>70001110</v>
      </c>
      <c r="D368" t="s">
        <v>1938</v>
      </c>
      <c r="E368" t="s">
        <v>544</v>
      </c>
      <c r="F368" t="s">
        <v>334</v>
      </c>
      <c r="G368" t="s">
        <v>557</v>
      </c>
      <c r="H368" s="1">
        <v>13000</v>
      </c>
      <c r="I368" t="s">
        <v>1940</v>
      </c>
      <c r="N368" s="4">
        <f t="shared" si="10"/>
        <v>70001110</v>
      </c>
      <c r="O368" t="str">
        <f t="shared" si="11"/>
        <v>M204D1COMM</v>
      </c>
    </row>
    <row r="369" spans="2:15" x14ac:dyDescent="0.25">
      <c r="B369" t="s">
        <v>543</v>
      </c>
      <c r="C369">
        <v>70101114</v>
      </c>
      <c r="D369" t="s">
        <v>1943</v>
      </c>
      <c r="E369" t="s">
        <v>558</v>
      </c>
      <c r="F369" t="s">
        <v>59</v>
      </c>
      <c r="G369" t="s">
        <v>559</v>
      </c>
      <c r="H369" s="1">
        <v>298088</v>
      </c>
      <c r="I369" t="s">
        <v>1949</v>
      </c>
      <c r="N369" s="4">
        <f t="shared" si="10"/>
        <v>70101114</v>
      </c>
      <c r="O369" t="str">
        <f t="shared" si="11"/>
        <v>R124D1HRGA</v>
      </c>
    </row>
    <row r="370" spans="2:15" x14ac:dyDescent="0.25">
      <c r="B370" t="s">
        <v>543</v>
      </c>
      <c r="C370">
        <v>70009110</v>
      </c>
      <c r="D370" t="s">
        <v>1938</v>
      </c>
      <c r="E370" t="s">
        <v>560</v>
      </c>
      <c r="F370" t="s">
        <v>45</v>
      </c>
      <c r="G370" t="s">
        <v>561</v>
      </c>
      <c r="H370" s="1">
        <v>50000</v>
      </c>
      <c r="I370" t="s">
        <v>1936</v>
      </c>
      <c r="N370" s="4">
        <f t="shared" si="10"/>
        <v>70009110</v>
      </c>
      <c r="O370" t="str">
        <f t="shared" si="11"/>
        <v>M204D1COMM</v>
      </c>
    </row>
    <row r="371" spans="2:15" x14ac:dyDescent="0.25">
      <c r="B371" t="s">
        <v>543</v>
      </c>
      <c r="C371">
        <v>70009110</v>
      </c>
      <c r="D371" t="s">
        <v>1923</v>
      </c>
      <c r="E371" t="s">
        <v>560</v>
      </c>
      <c r="F371" t="s">
        <v>45</v>
      </c>
      <c r="G371" t="s">
        <v>562</v>
      </c>
      <c r="H371" s="1">
        <v>50000</v>
      </c>
      <c r="I371" t="s">
        <v>1936</v>
      </c>
      <c r="N371" s="4">
        <f t="shared" si="10"/>
        <v>70009110</v>
      </c>
      <c r="O371" t="str">
        <f t="shared" si="11"/>
        <v>P206D1SLSS</v>
      </c>
    </row>
    <row r="372" spans="2:15" x14ac:dyDescent="0.25">
      <c r="B372" t="s">
        <v>543</v>
      </c>
      <c r="C372">
        <v>70009110</v>
      </c>
      <c r="D372" t="s">
        <v>1923</v>
      </c>
      <c r="E372" t="s">
        <v>560</v>
      </c>
      <c r="F372" t="s">
        <v>45</v>
      </c>
      <c r="G372" t="s">
        <v>563</v>
      </c>
      <c r="H372" s="1">
        <v>50000</v>
      </c>
      <c r="I372" t="s">
        <v>1936</v>
      </c>
      <c r="N372" s="4">
        <f t="shared" si="10"/>
        <v>70009110</v>
      </c>
      <c r="O372" t="str">
        <f t="shared" si="11"/>
        <v>P206D1SLSS</v>
      </c>
    </row>
    <row r="373" spans="2:15" x14ac:dyDescent="0.25">
      <c r="B373" t="s">
        <v>543</v>
      </c>
      <c r="C373">
        <v>70009110</v>
      </c>
      <c r="D373" t="s">
        <v>1923</v>
      </c>
      <c r="E373" t="s">
        <v>560</v>
      </c>
      <c r="F373" t="s">
        <v>45</v>
      </c>
      <c r="G373" t="s">
        <v>564</v>
      </c>
      <c r="H373" s="1">
        <v>50000</v>
      </c>
      <c r="I373" t="s">
        <v>1936</v>
      </c>
      <c r="N373" s="4">
        <f t="shared" si="10"/>
        <v>70009110</v>
      </c>
      <c r="O373" t="str">
        <f t="shared" si="11"/>
        <v>P206D1SLSS</v>
      </c>
    </row>
    <row r="374" spans="2:15" x14ac:dyDescent="0.25">
      <c r="B374" t="s">
        <v>565</v>
      </c>
      <c r="C374">
        <v>70101114</v>
      </c>
      <c r="D374" t="s">
        <v>1945</v>
      </c>
      <c r="E374" t="s">
        <v>566</v>
      </c>
      <c r="F374" t="s">
        <v>59</v>
      </c>
      <c r="G374" t="s">
        <v>567</v>
      </c>
      <c r="H374" s="1">
        <v>816000</v>
      </c>
      <c r="I374" t="s">
        <v>1944</v>
      </c>
      <c r="N374" s="4">
        <f t="shared" si="10"/>
        <v>70101114</v>
      </c>
      <c r="O374" t="str">
        <f t="shared" si="11"/>
        <v>R124MIN</v>
      </c>
    </row>
    <row r="375" spans="2:15" x14ac:dyDescent="0.25">
      <c r="B375" t="s">
        <v>565</v>
      </c>
      <c r="C375">
        <v>70106400</v>
      </c>
      <c r="D375" t="s">
        <v>1943</v>
      </c>
      <c r="E375" t="s">
        <v>568</v>
      </c>
      <c r="F375" t="s">
        <v>96</v>
      </c>
      <c r="G375" t="s">
        <v>569</v>
      </c>
      <c r="H375" s="1">
        <v>740000</v>
      </c>
      <c r="I375" t="s">
        <v>1942</v>
      </c>
      <c r="N375" s="4">
        <f t="shared" si="10"/>
        <v>70106400</v>
      </c>
      <c r="O375" t="str">
        <f t="shared" si="11"/>
        <v>R124D1HRGA</v>
      </c>
    </row>
    <row r="376" spans="2:15" x14ac:dyDescent="0.25">
      <c r="B376" t="s">
        <v>565</v>
      </c>
      <c r="C376">
        <v>70106100</v>
      </c>
      <c r="D376" t="s">
        <v>1943</v>
      </c>
      <c r="E376" t="s">
        <v>568</v>
      </c>
      <c r="F376" t="s">
        <v>67</v>
      </c>
      <c r="G376" t="s">
        <v>98</v>
      </c>
      <c r="H376" s="1">
        <v>260000</v>
      </c>
      <c r="I376" t="s">
        <v>1942</v>
      </c>
      <c r="N376" s="4">
        <f t="shared" si="10"/>
        <v>70106100</v>
      </c>
      <c r="O376" t="str">
        <f t="shared" si="11"/>
        <v>R124D1HRGA</v>
      </c>
    </row>
    <row r="377" spans="2:15" x14ac:dyDescent="0.25">
      <c r="B377" t="s">
        <v>565</v>
      </c>
      <c r="C377">
        <v>70009110</v>
      </c>
      <c r="D377" t="s">
        <v>1923</v>
      </c>
      <c r="E377" t="s">
        <v>570</v>
      </c>
      <c r="F377" t="s">
        <v>45</v>
      </c>
      <c r="G377" t="s">
        <v>571</v>
      </c>
      <c r="H377" s="1">
        <v>250000</v>
      </c>
      <c r="I377" t="s">
        <v>1984</v>
      </c>
      <c r="N377" s="4">
        <f t="shared" si="10"/>
        <v>70009110</v>
      </c>
      <c r="O377" t="str">
        <f t="shared" si="11"/>
        <v>P206D1SLSS</v>
      </c>
    </row>
    <row r="378" spans="2:15" x14ac:dyDescent="0.25">
      <c r="B378" t="s">
        <v>565</v>
      </c>
      <c r="C378">
        <v>70009110</v>
      </c>
      <c r="D378" t="s">
        <v>1923</v>
      </c>
      <c r="E378" t="s">
        <v>570</v>
      </c>
      <c r="F378" t="s">
        <v>45</v>
      </c>
      <c r="G378" t="s">
        <v>572</v>
      </c>
      <c r="H378" s="1">
        <v>250000</v>
      </c>
      <c r="I378" t="s">
        <v>1984</v>
      </c>
      <c r="N378" s="4">
        <f t="shared" si="10"/>
        <v>70009110</v>
      </c>
      <c r="O378" t="str">
        <f t="shared" si="11"/>
        <v>P206D1SLSS</v>
      </c>
    </row>
    <row r="379" spans="2:15" x14ac:dyDescent="0.25">
      <c r="B379" t="s">
        <v>565</v>
      </c>
      <c r="C379">
        <v>70009110</v>
      </c>
      <c r="D379" t="s">
        <v>1924</v>
      </c>
      <c r="E379" t="s">
        <v>570</v>
      </c>
      <c r="F379" t="s">
        <v>45</v>
      </c>
      <c r="G379" t="s">
        <v>573</v>
      </c>
      <c r="H379" s="1">
        <v>150000</v>
      </c>
      <c r="I379" t="s">
        <v>1984</v>
      </c>
      <c r="N379" s="4">
        <f t="shared" si="10"/>
        <v>70009110</v>
      </c>
      <c r="O379" t="str">
        <f t="shared" si="11"/>
        <v>C206D1SLSS</v>
      </c>
    </row>
    <row r="380" spans="2:15" x14ac:dyDescent="0.25">
      <c r="B380" t="s">
        <v>565</v>
      </c>
      <c r="C380">
        <v>70009110</v>
      </c>
      <c r="D380" t="s">
        <v>1923</v>
      </c>
      <c r="E380" t="s">
        <v>570</v>
      </c>
      <c r="F380" t="s">
        <v>45</v>
      </c>
      <c r="G380" t="s">
        <v>573</v>
      </c>
      <c r="H380" s="1">
        <v>200000</v>
      </c>
      <c r="I380" t="s">
        <v>1984</v>
      </c>
      <c r="N380" s="4">
        <f t="shared" si="10"/>
        <v>70009110</v>
      </c>
      <c r="O380" t="str">
        <f t="shared" si="11"/>
        <v>P206D1SLSS</v>
      </c>
    </row>
    <row r="381" spans="2:15" x14ac:dyDescent="0.25">
      <c r="B381" t="s">
        <v>565</v>
      </c>
      <c r="C381">
        <v>70009110</v>
      </c>
      <c r="D381" t="s">
        <v>1923</v>
      </c>
      <c r="E381" t="s">
        <v>570</v>
      </c>
      <c r="F381" t="s">
        <v>45</v>
      </c>
      <c r="G381" t="s">
        <v>573</v>
      </c>
      <c r="H381" s="1">
        <v>150000</v>
      </c>
      <c r="I381" t="s">
        <v>1984</v>
      </c>
      <c r="N381" s="4">
        <f t="shared" si="10"/>
        <v>70009110</v>
      </c>
      <c r="O381" t="str">
        <f t="shared" si="11"/>
        <v>P206D1SLSS</v>
      </c>
    </row>
    <row r="382" spans="2:15" x14ac:dyDescent="0.25">
      <c r="B382" t="s">
        <v>565</v>
      </c>
      <c r="C382">
        <v>70101102</v>
      </c>
      <c r="D382" t="s">
        <v>1943</v>
      </c>
      <c r="E382" t="s">
        <v>574</v>
      </c>
      <c r="F382" t="s">
        <v>129</v>
      </c>
      <c r="G382" t="s">
        <v>575</v>
      </c>
      <c r="H382" s="1">
        <v>972000</v>
      </c>
      <c r="I382" t="s">
        <v>1949</v>
      </c>
      <c r="N382" s="4">
        <f t="shared" si="10"/>
        <v>70101102</v>
      </c>
      <c r="O382" t="str">
        <f t="shared" si="11"/>
        <v>R124D1HRGA</v>
      </c>
    </row>
    <row r="383" spans="2:15" x14ac:dyDescent="0.25">
      <c r="B383" t="s">
        <v>565</v>
      </c>
      <c r="C383">
        <v>70009110</v>
      </c>
      <c r="D383" t="s">
        <v>1938</v>
      </c>
      <c r="E383" t="s">
        <v>576</v>
      </c>
      <c r="F383" t="s">
        <v>45</v>
      </c>
      <c r="G383" t="s">
        <v>577</v>
      </c>
      <c r="H383" s="1">
        <v>50000</v>
      </c>
      <c r="I383" t="s">
        <v>1941</v>
      </c>
      <c r="N383" s="4">
        <f t="shared" si="10"/>
        <v>70009110</v>
      </c>
      <c r="O383" t="str">
        <f t="shared" si="11"/>
        <v>M204D1COMM</v>
      </c>
    </row>
    <row r="384" spans="2:15" x14ac:dyDescent="0.25">
      <c r="B384" t="s">
        <v>565</v>
      </c>
      <c r="C384">
        <v>70009110</v>
      </c>
      <c r="D384" t="s">
        <v>1938</v>
      </c>
      <c r="E384" t="s">
        <v>576</v>
      </c>
      <c r="F384" t="s">
        <v>45</v>
      </c>
      <c r="G384" t="s">
        <v>578</v>
      </c>
      <c r="H384" s="1">
        <v>50000</v>
      </c>
      <c r="I384" t="s">
        <v>1941</v>
      </c>
      <c r="N384" s="4">
        <f t="shared" si="10"/>
        <v>70009110</v>
      </c>
      <c r="O384" t="str">
        <f t="shared" si="11"/>
        <v>M204D1COMM</v>
      </c>
    </row>
    <row r="385" spans="2:15" x14ac:dyDescent="0.25">
      <c r="B385" t="s">
        <v>565</v>
      </c>
      <c r="C385">
        <v>70009110</v>
      </c>
      <c r="D385" t="s">
        <v>1938</v>
      </c>
      <c r="E385" t="s">
        <v>576</v>
      </c>
      <c r="F385" t="s">
        <v>45</v>
      </c>
      <c r="G385" t="s">
        <v>579</v>
      </c>
      <c r="H385" s="1">
        <v>50000</v>
      </c>
      <c r="I385" t="s">
        <v>1941</v>
      </c>
      <c r="N385" s="4">
        <f t="shared" si="10"/>
        <v>70009110</v>
      </c>
      <c r="O385" t="str">
        <f t="shared" si="11"/>
        <v>M204D1COMM</v>
      </c>
    </row>
    <row r="386" spans="2:15" x14ac:dyDescent="0.25">
      <c r="B386" t="s">
        <v>565</v>
      </c>
      <c r="C386">
        <v>70107100</v>
      </c>
      <c r="D386" t="s">
        <v>1943</v>
      </c>
      <c r="E386" t="s">
        <v>580</v>
      </c>
      <c r="F386" t="s">
        <v>254</v>
      </c>
      <c r="G386" t="s">
        <v>581</v>
      </c>
      <c r="H386" s="1">
        <v>800000</v>
      </c>
      <c r="I386" t="s">
        <v>1949</v>
      </c>
      <c r="N386" s="4">
        <f t="shared" si="10"/>
        <v>70107100</v>
      </c>
      <c r="O386" t="str">
        <f t="shared" si="11"/>
        <v>R124D1HRGA</v>
      </c>
    </row>
    <row r="387" spans="2:15" x14ac:dyDescent="0.25">
      <c r="B387" t="s">
        <v>582</v>
      </c>
      <c r="C387">
        <v>70106400</v>
      </c>
      <c r="D387" t="s">
        <v>1943</v>
      </c>
      <c r="E387" t="s">
        <v>583</v>
      </c>
      <c r="F387" t="s">
        <v>96</v>
      </c>
      <c r="G387" t="s">
        <v>584</v>
      </c>
      <c r="H387" s="1">
        <v>750000</v>
      </c>
      <c r="I387" t="s">
        <v>1942</v>
      </c>
      <c r="N387" s="4">
        <f t="shared" si="10"/>
        <v>70106400</v>
      </c>
      <c r="O387" t="str">
        <f t="shared" si="11"/>
        <v>R124D1HRGA</v>
      </c>
    </row>
    <row r="388" spans="2:15" x14ac:dyDescent="0.25">
      <c r="B388" t="s">
        <v>582</v>
      </c>
      <c r="C388">
        <v>70106100</v>
      </c>
      <c r="D388" t="s">
        <v>1943</v>
      </c>
      <c r="E388" t="s">
        <v>583</v>
      </c>
      <c r="F388" t="s">
        <v>67</v>
      </c>
      <c r="G388" t="s">
        <v>98</v>
      </c>
      <c r="H388" s="1">
        <v>248500</v>
      </c>
      <c r="I388" t="s">
        <v>1942</v>
      </c>
      <c r="N388" s="4">
        <f t="shared" si="10"/>
        <v>70106100</v>
      </c>
      <c r="O388" t="str">
        <f t="shared" si="11"/>
        <v>R124D1HRGA</v>
      </c>
    </row>
    <row r="389" spans="2:15" x14ac:dyDescent="0.25">
      <c r="B389" t="s">
        <v>582</v>
      </c>
      <c r="C389">
        <v>70101202</v>
      </c>
      <c r="D389" t="s">
        <v>1928</v>
      </c>
      <c r="E389" t="s">
        <v>585</v>
      </c>
      <c r="F389" t="s">
        <v>57</v>
      </c>
      <c r="G389" t="s">
        <v>586</v>
      </c>
      <c r="H389" s="1">
        <v>428500</v>
      </c>
      <c r="I389" t="s">
        <v>1952</v>
      </c>
      <c r="N389" s="4">
        <f t="shared" si="10"/>
        <v>70101202</v>
      </c>
      <c r="O389" t="str">
        <f t="shared" si="11"/>
        <v>R124MMP</v>
      </c>
    </row>
    <row r="390" spans="2:15" x14ac:dyDescent="0.25">
      <c r="B390" t="s">
        <v>582</v>
      </c>
      <c r="C390">
        <v>70108110</v>
      </c>
      <c r="D390" t="s">
        <v>1930</v>
      </c>
      <c r="E390" t="s">
        <v>587</v>
      </c>
      <c r="F390" t="s">
        <v>64</v>
      </c>
      <c r="G390" t="s">
        <v>588</v>
      </c>
      <c r="H390" s="1">
        <v>71400</v>
      </c>
      <c r="I390" t="s">
        <v>1996</v>
      </c>
      <c r="N390" s="4">
        <f t="shared" si="10"/>
        <v>70108110</v>
      </c>
      <c r="O390" t="str">
        <f t="shared" si="11"/>
        <v>R124QMR</v>
      </c>
    </row>
    <row r="391" spans="2:15" x14ac:dyDescent="0.25">
      <c r="B391" t="s">
        <v>589</v>
      </c>
      <c r="C391">
        <v>70106400</v>
      </c>
      <c r="D391" t="s">
        <v>1943</v>
      </c>
      <c r="E391" t="s">
        <v>590</v>
      </c>
      <c r="F391" t="s">
        <v>96</v>
      </c>
      <c r="G391" t="s">
        <v>591</v>
      </c>
      <c r="H391" s="1">
        <v>440000</v>
      </c>
      <c r="I391" t="s">
        <v>1942</v>
      </c>
      <c r="N391" s="4">
        <f t="shared" si="10"/>
        <v>70106400</v>
      </c>
      <c r="O391" t="str">
        <f t="shared" si="11"/>
        <v>R124D1HRGA</v>
      </c>
    </row>
    <row r="392" spans="2:15" x14ac:dyDescent="0.25">
      <c r="B392" t="s">
        <v>589</v>
      </c>
      <c r="C392">
        <v>70106100</v>
      </c>
      <c r="D392" t="s">
        <v>1943</v>
      </c>
      <c r="E392" t="s">
        <v>590</v>
      </c>
      <c r="F392" t="s">
        <v>67</v>
      </c>
      <c r="G392" t="s">
        <v>98</v>
      </c>
      <c r="H392" s="1">
        <v>558000</v>
      </c>
      <c r="I392" t="s">
        <v>1942</v>
      </c>
      <c r="N392" s="4">
        <f t="shared" si="10"/>
        <v>70106100</v>
      </c>
      <c r="O392" t="str">
        <f t="shared" si="11"/>
        <v>R124D1HRGA</v>
      </c>
    </row>
    <row r="393" spans="2:15" x14ac:dyDescent="0.25">
      <c r="B393" t="s">
        <v>589</v>
      </c>
      <c r="C393">
        <v>70107600</v>
      </c>
      <c r="D393" t="s">
        <v>1921</v>
      </c>
      <c r="E393" t="s">
        <v>592</v>
      </c>
      <c r="F393" t="s">
        <v>126</v>
      </c>
      <c r="G393" t="s">
        <v>593</v>
      </c>
      <c r="H393" s="1">
        <v>95000</v>
      </c>
      <c r="I393" t="s">
        <v>1966</v>
      </c>
      <c r="N393" s="4">
        <f t="shared" si="10"/>
        <v>70107600</v>
      </c>
      <c r="O393" t="str">
        <f t="shared" si="11"/>
        <v>R124D1HRDV</v>
      </c>
    </row>
    <row r="394" spans="2:15" x14ac:dyDescent="0.25">
      <c r="B394" t="s">
        <v>589</v>
      </c>
      <c r="C394">
        <v>70101202</v>
      </c>
      <c r="D394" t="s">
        <v>1951</v>
      </c>
      <c r="E394" t="s">
        <v>594</v>
      </c>
      <c r="F394" t="s">
        <v>57</v>
      </c>
      <c r="G394" t="s">
        <v>595</v>
      </c>
      <c r="H394" s="1">
        <v>604000</v>
      </c>
      <c r="I394" t="s">
        <v>1950</v>
      </c>
      <c r="N394" s="4">
        <f t="shared" si="10"/>
        <v>70101202</v>
      </c>
      <c r="O394" t="str">
        <f t="shared" si="11"/>
        <v>R124REF</v>
      </c>
    </row>
    <row r="395" spans="2:15" x14ac:dyDescent="0.25">
      <c r="B395" t="s">
        <v>589</v>
      </c>
      <c r="C395" t="s">
        <v>589</v>
      </c>
      <c r="D395" t="s">
        <v>1921</v>
      </c>
      <c r="E395" t="s">
        <v>594</v>
      </c>
      <c r="F395" t="s">
        <v>375</v>
      </c>
      <c r="G395" t="s">
        <v>596</v>
      </c>
      <c r="H395" s="1">
        <v>280000</v>
      </c>
      <c r="I395" t="s">
        <v>1950</v>
      </c>
      <c r="N395" s="4" t="str">
        <f t="shared" ref="N395:N458" si="12">+C395</f>
        <v>20.08.2025</v>
      </c>
      <c r="O395" t="str">
        <f t="shared" ref="O395:O458" si="13">+D395</f>
        <v>R124D1HRDV</v>
      </c>
    </row>
    <row r="396" spans="2:15" x14ac:dyDescent="0.25">
      <c r="B396" t="s">
        <v>589</v>
      </c>
      <c r="C396" t="s">
        <v>589</v>
      </c>
      <c r="D396" t="s">
        <v>1921</v>
      </c>
      <c r="E396" t="s">
        <v>597</v>
      </c>
      <c r="F396" t="s">
        <v>375</v>
      </c>
      <c r="G396" t="s">
        <v>598</v>
      </c>
      <c r="H396" s="1">
        <v>650000</v>
      </c>
      <c r="I396" t="s">
        <v>1950</v>
      </c>
      <c r="N396" s="4" t="str">
        <f t="shared" si="12"/>
        <v>20.08.2025</v>
      </c>
      <c r="O396" t="str">
        <f t="shared" si="13"/>
        <v>R124D1HRDV</v>
      </c>
    </row>
    <row r="397" spans="2:15" x14ac:dyDescent="0.25">
      <c r="B397" t="s">
        <v>589</v>
      </c>
      <c r="C397" t="s">
        <v>605</v>
      </c>
      <c r="D397" t="s">
        <v>1921</v>
      </c>
      <c r="F397" t="s">
        <v>249</v>
      </c>
      <c r="G397" t="s">
        <v>599</v>
      </c>
      <c r="H397">
        <v>0</v>
      </c>
      <c r="I397" t="s">
        <v>1969</v>
      </c>
      <c r="N397" s="4" t="str">
        <f t="shared" si="12"/>
        <v>02.09.2025</v>
      </c>
      <c r="O397" t="str">
        <f t="shared" si="13"/>
        <v>R124D1HRDV</v>
      </c>
    </row>
    <row r="398" spans="2:15" x14ac:dyDescent="0.25">
      <c r="B398" t="s">
        <v>605</v>
      </c>
      <c r="C398">
        <v>70107300</v>
      </c>
      <c r="D398" t="s">
        <v>1921</v>
      </c>
      <c r="E398" t="s">
        <v>606</v>
      </c>
      <c r="F398" t="s">
        <v>41</v>
      </c>
      <c r="G398" t="s">
        <v>607</v>
      </c>
      <c r="H398" s="1">
        <v>500000</v>
      </c>
      <c r="I398" t="s">
        <v>1920</v>
      </c>
      <c r="N398" s="4">
        <f t="shared" si="12"/>
        <v>70107300</v>
      </c>
      <c r="O398" t="str">
        <f t="shared" si="13"/>
        <v>R124D1HRDV</v>
      </c>
    </row>
    <row r="399" spans="2:15" x14ac:dyDescent="0.25">
      <c r="B399" t="s">
        <v>605</v>
      </c>
      <c r="C399">
        <v>70009110</v>
      </c>
      <c r="D399" t="s">
        <v>1967</v>
      </c>
      <c r="E399" t="s">
        <v>608</v>
      </c>
      <c r="F399" t="s">
        <v>45</v>
      </c>
      <c r="G399" t="s">
        <v>609</v>
      </c>
      <c r="H399" s="1">
        <v>50000</v>
      </c>
      <c r="I399" t="s">
        <v>1985</v>
      </c>
      <c r="N399" s="4">
        <f t="shared" si="12"/>
        <v>70009110</v>
      </c>
      <c r="O399" t="str">
        <f t="shared" si="13"/>
        <v>P206D1SLSC</v>
      </c>
    </row>
    <row r="400" spans="2:15" x14ac:dyDescent="0.25">
      <c r="B400" t="s">
        <v>605</v>
      </c>
      <c r="C400">
        <v>70009110</v>
      </c>
      <c r="D400" t="s">
        <v>1967</v>
      </c>
      <c r="E400" t="s">
        <v>608</v>
      </c>
      <c r="F400" t="s">
        <v>45</v>
      </c>
      <c r="G400" t="s">
        <v>610</v>
      </c>
      <c r="H400" s="1">
        <v>50000</v>
      </c>
      <c r="I400" t="s">
        <v>1985</v>
      </c>
      <c r="N400" s="4">
        <f t="shared" si="12"/>
        <v>70009110</v>
      </c>
      <c r="O400" t="str">
        <f t="shared" si="13"/>
        <v>P206D1SLSC</v>
      </c>
    </row>
    <row r="401" spans="2:15" x14ac:dyDescent="0.25">
      <c r="B401" t="s">
        <v>605</v>
      </c>
      <c r="C401">
        <v>70009110</v>
      </c>
      <c r="D401" t="s">
        <v>1967</v>
      </c>
      <c r="E401" t="s">
        <v>608</v>
      </c>
      <c r="F401" t="s">
        <v>45</v>
      </c>
      <c r="G401" t="s">
        <v>611</v>
      </c>
      <c r="H401" s="1">
        <v>50000</v>
      </c>
      <c r="I401" t="s">
        <v>1985</v>
      </c>
      <c r="N401" s="4">
        <f t="shared" si="12"/>
        <v>70009110</v>
      </c>
      <c r="O401" t="str">
        <f t="shared" si="13"/>
        <v>P206D1SLSC</v>
      </c>
    </row>
    <row r="402" spans="2:15" x14ac:dyDescent="0.25">
      <c r="B402" t="s">
        <v>605</v>
      </c>
      <c r="C402">
        <v>70009110</v>
      </c>
      <c r="D402" t="s">
        <v>1967</v>
      </c>
      <c r="E402" t="s">
        <v>608</v>
      </c>
      <c r="F402" t="s">
        <v>45</v>
      </c>
      <c r="G402" t="s">
        <v>612</v>
      </c>
      <c r="H402" s="1">
        <v>50000</v>
      </c>
      <c r="I402" t="s">
        <v>1985</v>
      </c>
      <c r="N402" s="4">
        <f t="shared" si="12"/>
        <v>70009110</v>
      </c>
      <c r="O402" t="str">
        <f t="shared" si="13"/>
        <v>P206D1SLSC</v>
      </c>
    </row>
    <row r="403" spans="2:15" x14ac:dyDescent="0.25">
      <c r="B403" t="s">
        <v>605</v>
      </c>
      <c r="C403">
        <v>70009110</v>
      </c>
      <c r="D403" t="s">
        <v>1967</v>
      </c>
      <c r="E403" t="s">
        <v>608</v>
      </c>
      <c r="F403" t="s">
        <v>45</v>
      </c>
      <c r="G403" t="s">
        <v>613</v>
      </c>
      <c r="H403" s="1">
        <v>50000</v>
      </c>
      <c r="I403" t="s">
        <v>1985</v>
      </c>
      <c r="N403" s="4">
        <f t="shared" si="12"/>
        <v>70009110</v>
      </c>
      <c r="O403" t="str">
        <f t="shared" si="13"/>
        <v>P206D1SLSC</v>
      </c>
    </row>
    <row r="404" spans="2:15" x14ac:dyDescent="0.25">
      <c r="B404" t="s">
        <v>605</v>
      </c>
      <c r="C404">
        <v>70009110</v>
      </c>
      <c r="D404" t="s">
        <v>1923</v>
      </c>
      <c r="E404" t="s">
        <v>614</v>
      </c>
      <c r="F404" t="s">
        <v>45</v>
      </c>
      <c r="G404" t="s">
        <v>615</v>
      </c>
      <c r="H404" s="1">
        <v>50000</v>
      </c>
      <c r="I404" t="s">
        <v>1997</v>
      </c>
      <c r="N404" s="4">
        <f t="shared" si="12"/>
        <v>70009110</v>
      </c>
      <c r="O404" t="str">
        <f t="shared" si="13"/>
        <v>P206D1SLSS</v>
      </c>
    </row>
    <row r="405" spans="2:15" x14ac:dyDescent="0.25">
      <c r="B405" t="s">
        <v>605</v>
      </c>
      <c r="C405">
        <v>70009110</v>
      </c>
      <c r="D405" t="s">
        <v>1923</v>
      </c>
      <c r="E405" t="s">
        <v>614</v>
      </c>
      <c r="F405" t="s">
        <v>45</v>
      </c>
      <c r="G405" t="s">
        <v>616</v>
      </c>
      <c r="H405" s="1">
        <v>50000</v>
      </c>
      <c r="I405" t="s">
        <v>1997</v>
      </c>
      <c r="N405" s="4">
        <f t="shared" si="12"/>
        <v>70009110</v>
      </c>
      <c r="O405" t="str">
        <f t="shared" si="13"/>
        <v>P206D1SLSS</v>
      </c>
    </row>
    <row r="406" spans="2:15" x14ac:dyDescent="0.25">
      <c r="B406" t="s">
        <v>605</v>
      </c>
      <c r="C406">
        <v>70009110</v>
      </c>
      <c r="D406" t="s">
        <v>1923</v>
      </c>
      <c r="E406" t="s">
        <v>614</v>
      </c>
      <c r="F406" t="s">
        <v>45</v>
      </c>
      <c r="G406" t="s">
        <v>617</v>
      </c>
      <c r="H406" s="1">
        <v>50000</v>
      </c>
      <c r="I406" t="s">
        <v>1997</v>
      </c>
      <c r="N406" s="4">
        <f t="shared" si="12"/>
        <v>70009110</v>
      </c>
      <c r="O406" t="str">
        <f t="shared" si="13"/>
        <v>P206D1SLSS</v>
      </c>
    </row>
    <row r="407" spans="2:15" x14ac:dyDescent="0.25">
      <c r="B407" t="s">
        <v>605</v>
      </c>
      <c r="C407">
        <v>70009110</v>
      </c>
      <c r="D407" t="s">
        <v>1923</v>
      </c>
      <c r="E407" t="s">
        <v>614</v>
      </c>
      <c r="F407" t="s">
        <v>45</v>
      </c>
      <c r="G407" t="s">
        <v>618</v>
      </c>
      <c r="H407" s="1">
        <v>50000</v>
      </c>
      <c r="I407" t="s">
        <v>1997</v>
      </c>
      <c r="N407" s="4">
        <f t="shared" si="12"/>
        <v>70009110</v>
      </c>
      <c r="O407" t="str">
        <f t="shared" si="13"/>
        <v>P206D1SLSS</v>
      </c>
    </row>
    <row r="408" spans="2:15" x14ac:dyDescent="0.25">
      <c r="B408" t="s">
        <v>605</v>
      </c>
      <c r="C408">
        <v>70009110</v>
      </c>
      <c r="D408" t="s">
        <v>1923</v>
      </c>
      <c r="E408" t="s">
        <v>614</v>
      </c>
      <c r="F408" t="s">
        <v>45</v>
      </c>
      <c r="G408" t="s">
        <v>619</v>
      </c>
      <c r="H408" s="1">
        <v>50000</v>
      </c>
      <c r="I408" t="s">
        <v>1997</v>
      </c>
      <c r="N408" s="4">
        <f t="shared" si="12"/>
        <v>70009110</v>
      </c>
      <c r="O408" t="str">
        <f t="shared" si="13"/>
        <v>P206D1SLSS</v>
      </c>
    </row>
    <row r="409" spans="2:15" x14ac:dyDescent="0.25">
      <c r="B409" t="s">
        <v>605</v>
      </c>
      <c r="C409">
        <v>70009110</v>
      </c>
      <c r="D409" t="s">
        <v>1923</v>
      </c>
      <c r="E409" t="s">
        <v>614</v>
      </c>
      <c r="F409" t="s">
        <v>45</v>
      </c>
      <c r="G409" t="s">
        <v>620</v>
      </c>
      <c r="H409" s="1">
        <v>50000</v>
      </c>
      <c r="I409" t="s">
        <v>1997</v>
      </c>
      <c r="N409" s="4">
        <f t="shared" si="12"/>
        <v>70009110</v>
      </c>
      <c r="O409" t="str">
        <f t="shared" si="13"/>
        <v>P206D1SLSS</v>
      </c>
    </row>
    <row r="410" spans="2:15" x14ac:dyDescent="0.25">
      <c r="B410" t="s">
        <v>605</v>
      </c>
      <c r="C410">
        <v>70009110</v>
      </c>
      <c r="D410" t="s">
        <v>1924</v>
      </c>
      <c r="E410" t="s">
        <v>614</v>
      </c>
      <c r="F410" t="s">
        <v>45</v>
      </c>
      <c r="G410" t="s">
        <v>621</v>
      </c>
      <c r="H410" s="1">
        <v>50000</v>
      </c>
      <c r="I410" t="s">
        <v>1997</v>
      </c>
      <c r="N410" s="4">
        <f t="shared" si="12"/>
        <v>70009110</v>
      </c>
      <c r="O410" t="str">
        <f t="shared" si="13"/>
        <v>C206D1SLSS</v>
      </c>
    </row>
    <row r="411" spans="2:15" x14ac:dyDescent="0.25">
      <c r="B411" t="s">
        <v>605</v>
      </c>
      <c r="C411">
        <v>70009110</v>
      </c>
      <c r="D411" t="s">
        <v>1923</v>
      </c>
      <c r="E411" t="s">
        <v>614</v>
      </c>
      <c r="F411" t="s">
        <v>45</v>
      </c>
      <c r="G411" t="s">
        <v>622</v>
      </c>
      <c r="H411" s="1">
        <v>50000</v>
      </c>
      <c r="I411" t="s">
        <v>1997</v>
      </c>
      <c r="N411" s="4">
        <f t="shared" si="12"/>
        <v>70009110</v>
      </c>
      <c r="O411" t="str">
        <f t="shared" si="13"/>
        <v>P206D1SLSS</v>
      </c>
    </row>
    <row r="412" spans="2:15" x14ac:dyDescent="0.25">
      <c r="B412" t="s">
        <v>605</v>
      </c>
      <c r="C412">
        <v>70009110</v>
      </c>
      <c r="D412" t="s">
        <v>1923</v>
      </c>
      <c r="E412" t="s">
        <v>614</v>
      </c>
      <c r="F412" t="s">
        <v>45</v>
      </c>
      <c r="G412" t="s">
        <v>623</v>
      </c>
      <c r="H412" s="1">
        <v>50000</v>
      </c>
      <c r="I412" t="s">
        <v>1997</v>
      </c>
      <c r="N412" s="4">
        <f t="shared" si="12"/>
        <v>70009110</v>
      </c>
      <c r="O412" t="str">
        <f t="shared" si="13"/>
        <v>P206D1SLSS</v>
      </c>
    </row>
    <row r="413" spans="2:15" x14ac:dyDescent="0.25">
      <c r="B413" t="s">
        <v>605</v>
      </c>
      <c r="C413">
        <v>70001110</v>
      </c>
      <c r="D413" t="s">
        <v>1938</v>
      </c>
      <c r="E413" t="s">
        <v>614</v>
      </c>
      <c r="F413" t="s">
        <v>334</v>
      </c>
      <c r="G413" t="s">
        <v>624</v>
      </c>
      <c r="H413" s="1">
        <v>9000</v>
      </c>
      <c r="I413" t="s">
        <v>1997</v>
      </c>
      <c r="N413" s="4">
        <f t="shared" si="12"/>
        <v>70001110</v>
      </c>
      <c r="O413" t="str">
        <f t="shared" si="13"/>
        <v>M204D1COMM</v>
      </c>
    </row>
    <row r="414" spans="2:15" x14ac:dyDescent="0.25">
      <c r="B414" t="s">
        <v>605</v>
      </c>
      <c r="C414">
        <v>70108100</v>
      </c>
      <c r="D414" t="s">
        <v>1962</v>
      </c>
      <c r="E414" t="s">
        <v>614</v>
      </c>
      <c r="F414" t="s">
        <v>274</v>
      </c>
      <c r="G414" t="s">
        <v>625</v>
      </c>
      <c r="H414" s="1">
        <v>100000</v>
      </c>
      <c r="I414" t="s">
        <v>1997</v>
      </c>
      <c r="N414" s="4">
        <f t="shared" si="12"/>
        <v>70108100</v>
      </c>
      <c r="O414" t="str">
        <f t="shared" si="13"/>
        <v>R124LOG</v>
      </c>
    </row>
    <row r="415" spans="2:15" x14ac:dyDescent="0.25">
      <c r="B415" t="s">
        <v>605</v>
      </c>
      <c r="C415">
        <v>70106400</v>
      </c>
      <c r="D415" t="s">
        <v>1943</v>
      </c>
      <c r="E415" t="s">
        <v>626</v>
      </c>
      <c r="F415" t="s">
        <v>96</v>
      </c>
      <c r="G415" t="s">
        <v>627</v>
      </c>
      <c r="H415" s="1">
        <v>760000</v>
      </c>
      <c r="I415" t="s">
        <v>1998</v>
      </c>
      <c r="N415" s="4">
        <f t="shared" si="12"/>
        <v>70106400</v>
      </c>
      <c r="O415" t="str">
        <f t="shared" si="13"/>
        <v>R124D1HRGA</v>
      </c>
    </row>
    <row r="416" spans="2:15" x14ac:dyDescent="0.25">
      <c r="B416" t="s">
        <v>605</v>
      </c>
      <c r="C416">
        <v>70106100</v>
      </c>
      <c r="D416" t="s">
        <v>1943</v>
      </c>
      <c r="E416" t="s">
        <v>626</v>
      </c>
      <c r="F416" t="s">
        <v>67</v>
      </c>
      <c r="G416" t="s">
        <v>628</v>
      </c>
      <c r="H416" s="1">
        <v>240000</v>
      </c>
      <c r="I416" t="s">
        <v>1998</v>
      </c>
      <c r="N416" s="4">
        <f t="shared" si="12"/>
        <v>70106100</v>
      </c>
      <c r="O416" t="str">
        <f t="shared" si="13"/>
        <v>R124D1HRGA</v>
      </c>
    </row>
    <row r="417" spans="2:15" x14ac:dyDescent="0.25">
      <c r="B417" t="s">
        <v>605</v>
      </c>
      <c r="C417">
        <v>70009110</v>
      </c>
      <c r="D417" t="s">
        <v>1923</v>
      </c>
      <c r="E417" t="s">
        <v>629</v>
      </c>
      <c r="F417" t="s">
        <v>45</v>
      </c>
      <c r="G417" t="s">
        <v>630</v>
      </c>
      <c r="H417" s="1">
        <v>50000</v>
      </c>
      <c r="I417" t="s">
        <v>1999</v>
      </c>
      <c r="N417" s="4">
        <f t="shared" si="12"/>
        <v>70009110</v>
      </c>
      <c r="O417" t="str">
        <f t="shared" si="13"/>
        <v>P206D1SLSS</v>
      </c>
    </row>
    <row r="418" spans="2:15" x14ac:dyDescent="0.25">
      <c r="B418" t="s">
        <v>605</v>
      </c>
      <c r="C418">
        <v>70009110</v>
      </c>
      <c r="D418" t="s">
        <v>1923</v>
      </c>
      <c r="E418" t="s">
        <v>629</v>
      </c>
      <c r="F418" t="s">
        <v>45</v>
      </c>
      <c r="G418" t="s">
        <v>631</v>
      </c>
      <c r="H418" s="1">
        <v>50000</v>
      </c>
      <c r="I418" t="s">
        <v>1999</v>
      </c>
      <c r="N418" s="4">
        <f t="shared" si="12"/>
        <v>70009110</v>
      </c>
      <c r="O418" t="str">
        <f t="shared" si="13"/>
        <v>P206D1SLSS</v>
      </c>
    </row>
    <row r="419" spans="2:15" x14ac:dyDescent="0.25">
      <c r="B419" t="s">
        <v>605</v>
      </c>
      <c r="C419">
        <v>70009110</v>
      </c>
      <c r="D419" t="s">
        <v>1923</v>
      </c>
      <c r="E419" t="s">
        <v>629</v>
      </c>
      <c r="F419" t="s">
        <v>45</v>
      </c>
      <c r="G419" t="s">
        <v>632</v>
      </c>
      <c r="H419" s="1">
        <v>50000</v>
      </c>
      <c r="I419" t="s">
        <v>1999</v>
      </c>
      <c r="N419" s="4">
        <f t="shared" si="12"/>
        <v>70009110</v>
      </c>
      <c r="O419" t="str">
        <f t="shared" si="13"/>
        <v>P206D1SLSS</v>
      </c>
    </row>
    <row r="420" spans="2:15" x14ac:dyDescent="0.25">
      <c r="B420" t="s">
        <v>605</v>
      </c>
      <c r="C420">
        <v>70009110</v>
      </c>
      <c r="D420" t="s">
        <v>1923</v>
      </c>
      <c r="E420" t="s">
        <v>629</v>
      </c>
      <c r="F420" t="s">
        <v>45</v>
      </c>
      <c r="G420" t="s">
        <v>633</v>
      </c>
      <c r="H420" s="1">
        <v>50000</v>
      </c>
      <c r="I420" t="s">
        <v>1999</v>
      </c>
      <c r="N420" s="4">
        <f t="shared" si="12"/>
        <v>70009110</v>
      </c>
      <c r="O420" t="str">
        <f t="shared" si="13"/>
        <v>P206D1SLSS</v>
      </c>
    </row>
    <row r="421" spans="2:15" x14ac:dyDescent="0.25">
      <c r="B421" t="s">
        <v>605</v>
      </c>
      <c r="C421">
        <v>70009110</v>
      </c>
      <c r="D421" t="s">
        <v>1923</v>
      </c>
      <c r="E421" t="s">
        <v>634</v>
      </c>
      <c r="F421" t="s">
        <v>45</v>
      </c>
      <c r="G421" t="s">
        <v>635</v>
      </c>
      <c r="H421" s="1">
        <v>50000</v>
      </c>
      <c r="I421" t="s">
        <v>1968</v>
      </c>
      <c r="N421" s="4">
        <f t="shared" si="12"/>
        <v>70009110</v>
      </c>
      <c r="O421" t="str">
        <f t="shared" si="13"/>
        <v>P206D1SLSS</v>
      </c>
    </row>
    <row r="422" spans="2:15" x14ac:dyDescent="0.25">
      <c r="B422" t="s">
        <v>605</v>
      </c>
      <c r="C422">
        <v>70009110</v>
      </c>
      <c r="D422" t="s">
        <v>1923</v>
      </c>
      <c r="E422" t="s">
        <v>634</v>
      </c>
      <c r="F422" t="s">
        <v>45</v>
      </c>
      <c r="G422" t="s">
        <v>636</v>
      </c>
      <c r="H422" s="1">
        <v>50000</v>
      </c>
      <c r="I422" t="s">
        <v>1968</v>
      </c>
      <c r="N422" s="4">
        <f t="shared" si="12"/>
        <v>70009110</v>
      </c>
      <c r="O422" t="str">
        <f t="shared" si="13"/>
        <v>P206D1SLSS</v>
      </c>
    </row>
    <row r="423" spans="2:15" x14ac:dyDescent="0.25">
      <c r="B423" t="s">
        <v>605</v>
      </c>
      <c r="C423">
        <v>70009110</v>
      </c>
      <c r="D423" t="s">
        <v>1923</v>
      </c>
      <c r="E423" t="s">
        <v>634</v>
      </c>
      <c r="F423" t="s">
        <v>45</v>
      </c>
      <c r="G423" t="s">
        <v>637</v>
      </c>
      <c r="H423" s="1">
        <v>50000</v>
      </c>
      <c r="I423" t="s">
        <v>1968</v>
      </c>
      <c r="N423" s="4">
        <f t="shared" si="12"/>
        <v>70009110</v>
      </c>
      <c r="O423" t="str">
        <f t="shared" si="13"/>
        <v>P206D1SLSS</v>
      </c>
    </row>
    <row r="424" spans="2:15" x14ac:dyDescent="0.25">
      <c r="B424" t="s">
        <v>605</v>
      </c>
      <c r="C424">
        <v>70009110</v>
      </c>
      <c r="D424" t="s">
        <v>1923</v>
      </c>
      <c r="E424" t="s">
        <v>634</v>
      </c>
      <c r="F424" t="s">
        <v>45</v>
      </c>
      <c r="G424" t="s">
        <v>638</v>
      </c>
      <c r="H424" s="1">
        <v>50000</v>
      </c>
      <c r="I424" t="s">
        <v>1968</v>
      </c>
      <c r="N424" s="4">
        <f t="shared" si="12"/>
        <v>70009110</v>
      </c>
      <c r="O424" t="str">
        <f t="shared" si="13"/>
        <v>P206D1SLSS</v>
      </c>
    </row>
    <row r="425" spans="2:15" x14ac:dyDescent="0.25">
      <c r="B425" t="s">
        <v>605</v>
      </c>
      <c r="C425">
        <v>70009110</v>
      </c>
      <c r="D425" t="s">
        <v>1923</v>
      </c>
      <c r="E425" t="s">
        <v>634</v>
      </c>
      <c r="F425" t="s">
        <v>45</v>
      </c>
      <c r="G425" t="s">
        <v>639</v>
      </c>
      <c r="H425" s="1">
        <v>50000</v>
      </c>
      <c r="I425" t="s">
        <v>1968</v>
      </c>
      <c r="N425" s="4">
        <f t="shared" si="12"/>
        <v>70009110</v>
      </c>
      <c r="O425" t="str">
        <f t="shared" si="13"/>
        <v>P206D1SLSS</v>
      </c>
    </row>
    <row r="426" spans="2:15" x14ac:dyDescent="0.25">
      <c r="B426" t="s">
        <v>605</v>
      </c>
      <c r="C426">
        <v>70009110</v>
      </c>
      <c r="D426" t="s">
        <v>1923</v>
      </c>
      <c r="E426" t="s">
        <v>634</v>
      </c>
      <c r="F426" t="s">
        <v>45</v>
      </c>
      <c r="G426" t="s">
        <v>640</v>
      </c>
      <c r="H426" s="1">
        <v>50000</v>
      </c>
      <c r="I426" t="s">
        <v>1968</v>
      </c>
      <c r="N426" s="4">
        <f t="shared" si="12"/>
        <v>70009110</v>
      </c>
      <c r="O426" t="str">
        <f t="shared" si="13"/>
        <v>P206D1SLSS</v>
      </c>
    </row>
    <row r="427" spans="2:15" x14ac:dyDescent="0.25">
      <c r="B427" t="s">
        <v>605</v>
      </c>
      <c r="C427">
        <v>70009110</v>
      </c>
      <c r="D427" t="s">
        <v>1923</v>
      </c>
      <c r="E427" t="s">
        <v>634</v>
      </c>
      <c r="F427" t="s">
        <v>45</v>
      </c>
      <c r="G427" t="s">
        <v>641</v>
      </c>
      <c r="H427" s="1">
        <v>50000</v>
      </c>
      <c r="I427" t="s">
        <v>1968</v>
      </c>
      <c r="N427" s="4">
        <f t="shared" si="12"/>
        <v>70009110</v>
      </c>
      <c r="O427" t="str">
        <f t="shared" si="13"/>
        <v>P206D1SLSS</v>
      </c>
    </row>
    <row r="428" spans="2:15" x14ac:dyDescent="0.25">
      <c r="B428" t="s">
        <v>605</v>
      </c>
      <c r="C428">
        <v>70009110</v>
      </c>
      <c r="D428" t="s">
        <v>1923</v>
      </c>
      <c r="E428" t="s">
        <v>634</v>
      </c>
      <c r="F428" t="s">
        <v>45</v>
      </c>
      <c r="G428" t="s">
        <v>642</v>
      </c>
      <c r="H428" s="1">
        <v>50000</v>
      </c>
      <c r="I428" t="s">
        <v>1968</v>
      </c>
      <c r="N428" s="4">
        <f t="shared" si="12"/>
        <v>70009110</v>
      </c>
      <c r="O428" t="str">
        <f t="shared" si="13"/>
        <v>P206D1SLSS</v>
      </c>
    </row>
    <row r="429" spans="2:15" x14ac:dyDescent="0.25">
      <c r="B429" t="s">
        <v>605</v>
      </c>
      <c r="C429">
        <v>70107600</v>
      </c>
      <c r="D429" t="s">
        <v>1962</v>
      </c>
      <c r="E429" t="s">
        <v>643</v>
      </c>
      <c r="F429" t="s">
        <v>126</v>
      </c>
      <c r="G429" t="s">
        <v>644</v>
      </c>
      <c r="H429" s="1">
        <v>332000</v>
      </c>
      <c r="I429" t="s">
        <v>1963</v>
      </c>
      <c r="N429" s="4">
        <f t="shared" si="12"/>
        <v>70107600</v>
      </c>
      <c r="O429" t="str">
        <f t="shared" si="13"/>
        <v>R124LOG</v>
      </c>
    </row>
    <row r="430" spans="2:15" x14ac:dyDescent="0.25">
      <c r="B430" t="s">
        <v>605</v>
      </c>
      <c r="C430">
        <v>70009110</v>
      </c>
      <c r="D430" t="s">
        <v>1923</v>
      </c>
      <c r="E430" t="s">
        <v>645</v>
      </c>
      <c r="F430" t="s">
        <v>45</v>
      </c>
      <c r="G430" t="s">
        <v>646</v>
      </c>
      <c r="H430" s="1">
        <v>50000</v>
      </c>
      <c r="I430" t="s">
        <v>1999</v>
      </c>
      <c r="N430" s="4">
        <f t="shared" si="12"/>
        <v>70009110</v>
      </c>
      <c r="O430" t="str">
        <f t="shared" si="13"/>
        <v>P206D1SLSS</v>
      </c>
    </row>
    <row r="431" spans="2:15" x14ac:dyDescent="0.25">
      <c r="B431" t="s">
        <v>605</v>
      </c>
      <c r="C431">
        <v>70009110</v>
      </c>
      <c r="D431" t="s">
        <v>1923</v>
      </c>
      <c r="E431" t="s">
        <v>645</v>
      </c>
      <c r="F431" t="s">
        <v>45</v>
      </c>
      <c r="G431" t="s">
        <v>647</v>
      </c>
      <c r="H431" s="1">
        <v>50000</v>
      </c>
      <c r="I431" t="s">
        <v>1999</v>
      </c>
      <c r="N431" s="4">
        <f t="shared" si="12"/>
        <v>70009110</v>
      </c>
      <c r="O431" t="str">
        <f t="shared" si="13"/>
        <v>P206D1SLSS</v>
      </c>
    </row>
    <row r="432" spans="2:15" x14ac:dyDescent="0.25">
      <c r="B432" t="s">
        <v>605</v>
      </c>
      <c r="C432">
        <v>70009110</v>
      </c>
      <c r="D432" t="s">
        <v>1923</v>
      </c>
      <c r="E432" t="s">
        <v>645</v>
      </c>
      <c r="F432" t="s">
        <v>45</v>
      </c>
      <c r="G432" t="s">
        <v>648</v>
      </c>
      <c r="H432" s="1">
        <v>50000</v>
      </c>
      <c r="I432" t="s">
        <v>1999</v>
      </c>
      <c r="N432" s="4">
        <f t="shared" si="12"/>
        <v>70009110</v>
      </c>
      <c r="O432" t="str">
        <f t="shared" si="13"/>
        <v>P206D1SLSS</v>
      </c>
    </row>
    <row r="433" spans="2:15" x14ac:dyDescent="0.25">
      <c r="B433" t="s">
        <v>605</v>
      </c>
      <c r="C433">
        <v>70009110</v>
      </c>
      <c r="D433" t="s">
        <v>1923</v>
      </c>
      <c r="E433" t="s">
        <v>645</v>
      </c>
      <c r="F433" t="s">
        <v>45</v>
      </c>
      <c r="G433" t="s">
        <v>649</v>
      </c>
      <c r="H433" s="1">
        <v>200000</v>
      </c>
      <c r="I433" t="s">
        <v>1999</v>
      </c>
      <c r="N433" s="4">
        <f t="shared" si="12"/>
        <v>70009110</v>
      </c>
      <c r="O433" t="str">
        <f t="shared" si="13"/>
        <v>P206D1SLSS</v>
      </c>
    </row>
    <row r="434" spans="2:15" x14ac:dyDescent="0.25">
      <c r="B434" t="s">
        <v>605</v>
      </c>
      <c r="C434">
        <v>70106400</v>
      </c>
      <c r="D434" t="s">
        <v>1943</v>
      </c>
      <c r="E434" t="s">
        <v>650</v>
      </c>
      <c r="F434" t="s">
        <v>96</v>
      </c>
      <c r="G434" t="s">
        <v>651</v>
      </c>
      <c r="H434" s="1">
        <v>360000</v>
      </c>
      <c r="I434" t="s">
        <v>1998</v>
      </c>
      <c r="N434" s="4">
        <f t="shared" si="12"/>
        <v>70106400</v>
      </c>
      <c r="O434" t="str">
        <f t="shared" si="13"/>
        <v>R124D1HRGA</v>
      </c>
    </row>
    <row r="435" spans="2:15" x14ac:dyDescent="0.25">
      <c r="B435" t="s">
        <v>605</v>
      </c>
      <c r="C435">
        <v>70106100</v>
      </c>
      <c r="D435" t="s">
        <v>1943</v>
      </c>
      <c r="E435" t="s">
        <v>650</v>
      </c>
      <c r="F435" t="s">
        <v>67</v>
      </c>
      <c r="G435" t="s">
        <v>652</v>
      </c>
      <c r="H435" s="1">
        <v>640000</v>
      </c>
      <c r="I435" t="s">
        <v>1998</v>
      </c>
      <c r="N435" s="4">
        <f t="shared" si="12"/>
        <v>70106100</v>
      </c>
      <c r="O435" t="str">
        <f t="shared" si="13"/>
        <v>R124D1HRGA</v>
      </c>
    </row>
    <row r="436" spans="2:15" x14ac:dyDescent="0.25">
      <c r="B436" t="s">
        <v>605</v>
      </c>
      <c r="C436">
        <v>70106100</v>
      </c>
      <c r="D436" t="s">
        <v>1923</v>
      </c>
      <c r="E436" t="s">
        <v>653</v>
      </c>
      <c r="F436" t="s">
        <v>67</v>
      </c>
      <c r="G436" t="s">
        <v>654</v>
      </c>
      <c r="H436" s="1">
        <v>200000</v>
      </c>
      <c r="I436" t="s">
        <v>1983</v>
      </c>
      <c r="N436" s="4">
        <f t="shared" si="12"/>
        <v>70106100</v>
      </c>
      <c r="O436" t="str">
        <f t="shared" si="13"/>
        <v>P206D1SLSS</v>
      </c>
    </row>
    <row r="437" spans="2:15" x14ac:dyDescent="0.25">
      <c r="B437" t="s">
        <v>605</v>
      </c>
      <c r="C437">
        <v>70009110</v>
      </c>
      <c r="D437" t="s">
        <v>1967</v>
      </c>
      <c r="E437" t="s">
        <v>655</v>
      </c>
      <c r="F437" t="s">
        <v>45</v>
      </c>
      <c r="G437" t="s">
        <v>656</v>
      </c>
      <c r="H437" s="1">
        <v>50000</v>
      </c>
      <c r="I437" t="s">
        <v>1985</v>
      </c>
      <c r="N437" s="4">
        <f t="shared" si="12"/>
        <v>70009110</v>
      </c>
      <c r="O437" t="str">
        <f t="shared" si="13"/>
        <v>P206D1SLSC</v>
      </c>
    </row>
    <row r="438" spans="2:15" x14ac:dyDescent="0.25">
      <c r="B438" t="s">
        <v>605</v>
      </c>
      <c r="C438">
        <v>70009110</v>
      </c>
      <c r="D438" t="s">
        <v>1923</v>
      </c>
      <c r="E438" t="s">
        <v>655</v>
      </c>
      <c r="F438" t="s">
        <v>45</v>
      </c>
      <c r="G438" t="s">
        <v>657</v>
      </c>
      <c r="H438" s="1">
        <v>50000</v>
      </c>
      <c r="I438" t="s">
        <v>1985</v>
      </c>
      <c r="N438" s="4">
        <f t="shared" si="12"/>
        <v>70009110</v>
      </c>
      <c r="O438" t="str">
        <f t="shared" si="13"/>
        <v>P206D1SLSS</v>
      </c>
    </row>
    <row r="439" spans="2:15" x14ac:dyDescent="0.25">
      <c r="B439" t="s">
        <v>605</v>
      </c>
      <c r="C439">
        <v>70009110</v>
      </c>
      <c r="D439" t="s">
        <v>1923</v>
      </c>
      <c r="E439" t="s">
        <v>655</v>
      </c>
      <c r="F439" t="s">
        <v>45</v>
      </c>
      <c r="G439" t="s">
        <v>658</v>
      </c>
      <c r="H439" s="1">
        <v>50000</v>
      </c>
      <c r="I439" t="s">
        <v>1985</v>
      </c>
      <c r="N439" s="4">
        <f t="shared" si="12"/>
        <v>70009110</v>
      </c>
      <c r="O439" t="str">
        <f t="shared" si="13"/>
        <v>P206D1SLSS</v>
      </c>
    </row>
    <row r="440" spans="2:15" x14ac:dyDescent="0.25">
      <c r="B440" t="s">
        <v>605</v>
      </c>
      <c r="C440">
        <v>70009110</v>
      </c>
      <c r="D440" t="s">
        <v>1923</v>
      </c>
      <c r="E440" t="s">
        <v>659</v>
      </c>
      <c r="F440" t="s">
        <v>45</v>
      </c>
      <c r="G440" t="s">
        <v>660</v>
      </c>
      <c r="H440" s="1">
        <v>50000</v>
      </c>
      <c r="I440" t="s">
        <v>1941</v>
      </c>
      <c r="N440" s="4">
        <f t="shared" si="12"/>
        <v>70009110</v>
      </c>
      <c r="O440" t="str">
        <f t="shared" si="13"/>
        <v>P206D1SLSS</v>
      </c>
    </row>
    <row r="441" spans="2:15" x14ac:dyDescent="0.25">
      <c r="B441" t="s">
        <v>605</v>
      </c>
      <c r="C441">
        <v>70106100</v>
      </c>
      <c r="D441" t="s">
        <v>1923</v>
      </c>
      <c r="E441" t="s">
        <v>661</v>
      </c>
      <c r="F441" t="s">
        <v>67</v>
      </c>
      <c r="G441" t="s">
        <v>662</v>
      </c>
      <c r="H441" s="1">
        <v>245000</v>
      </c>
      <c r="I441" t="s">
        <v>1964</v>
      </c>
      <c r="N441" s="4">
        <f t="shared" si="12"/>
        <v>70106100</v>
      </c>
      <c r="O441" t="str">
        <f t="shared" si="13"/>
        <v>P206D1SLSS</v>
      </c>
    </row>
    <row r="442" spans="2:15" x14ac:dyDescent="0.25">
      <c r="B442" t="s">
        <v>605</v>
      </c>
      <c r="C442">
        <v>70009110</v>
      </c>
      <c r="D442" t="s">
        <v>1938</v>
      </c>
      <c r="E442" t="s">
        <v>679</v>
      </c>
      <c r="F442" t="s">
        <v>45</v>
      </c>
      <c r="G442" t="s">
        <v>680</v>
      </c>
      <c r="H442" s="1">
        <v>50000</v>
      </c>
      <c r="I442" t="s">
        <v>1941</v>
      </c>
      <c r="N442" s="4">
        <f t="shared" si="12"/>
        <v>70009110</v>
      </c>
      <c r="O442" t="str">
        <f t="shared" si="13"/>
        <v>M204D1COMM</v>
      </c>
    </row>
    <row r="443" spans="2:15" x14ac:dyDescent="0.25">
      <c r="B443" t="s">
        <v>605</v>
      </c>
      <c r="C443">
        <v>70009110</v>
      </c>
      <c r="D443" t="s">
        <v>1923</v>
      </c>
      <c r="E443" t="s">
        <v>663</v>
      </c>
      <c r="F443" t="s">
        <v>45</v>
      </c>
      <c r="G443" t="s">
        <v>664</v>
      </c>
      <c r="H443" s="1">
        <v>50000</v>
      </c>
      <c r="I443" t="s">
        <v>1968</v>
      </c>
      <c r="N443" s="4">
        <f t="shared" si="12"/>
        <v>70009110</v>
      </c>
      <c r="O443" t="str">
        <f t="shared" si="13"/>
        <v>P206D1SLSS</v>
      </c>
    </row>
    <row r="444" spans="2:15" x14ac:dyDescent="0.25">
      <c r="B444" t="s">
        <v>605</v>
      </c>
      <c r="C444">
        <v>70009110</v>
      </c>
      <c r="D444" t="s">
        <v>1923</v>
      </c>
      <c r="E444" t="s">
        <v>663</v>
      </c>
      <c r="F444" t="s">
        <v>45</v>
      </c>
      <c r="G444" t="s">
        <v>665</v>
      </c>
      <c r="H444" s="1">
        <v>50000</v>
      </c>
      <c r="I444" t="s">
        <v>1968</v>
      </c>
      <c r="N444" s="4">
        <f t="shared" si="12"/>
        <v>70009110</v>
      </c>
      <c r="O444" t="str">
        <f t="shared" si="13"/>
        <v>P206D1SLSS</v>
      </c>
    </row>
    <row r="445" spans="2:15" x14ac:dyDescent="0.25">
      <c r="B445" t="s">
        <v>605</v>
      </c>
      <c r="C445">
        <v>70009110</v>
      </c>
      <c r="D445" t="s">
        <v>1923</v>
      </c>
      <c r="E445" t="s">
        <v>663</v>
      </c>
      <c r="F445" t="s">
        <v>45</v>
      </c>
      <c r="G445" t="s">
        <v>666</v>
      </c>
      <c r="H445" s="1">
        <v>50000</v>
      </c>
      <c r="I445" t="s">
        <v>1968</v>
      </c>
      <c r="N445" s="4">
        <f t="shared" si="12"/>
        <v>70009110</v>
      </c>
      <c r="O445" t="str">
        <f t="shared" si="13"/>
        <v>P206D1SLSS</v>
      </c>
    </row>
    <row r="446" spans="2:15" x14ac:dyDescent="0.25">
      <c r="B446" t="s">
        <v>605</v>
      </c>
      <c r="C446">
        <v>70009110</v>
      </c>
      <c r="D446" t="s">
        <v>1923</v>
      </c>
      <c r="E446" t="s">
        <v>663</v>
      </c>
      <c r="F446" t="s">
        <v>45</v>
      </c>
      <c r="G446" t="s">
        <v>667</v>
      </c>
      <c r="H446" s="1">
        <v>50000</v>
      </c>
      <c r="I446" t="s">
        <v>1968</v>
      </c>
      <c r="N446" s="4">
        <f t="shared" si="12"/>
        <v>70009110</v>
      </c>
      <c r="O446" t="str">
        <f t="shared" si="13"/>
        <v>P206D1SLSS</v>
      </c>
    </row>
    <row r="447" spans="2:15" x14ac:dyDescent="0.25">
      <c r="B447" t="s">
        <v>605</v>
      </c>
      <c r="C447">
        <v>70009110</v>
      </c>
      <c r="D447" t="s">
        <v>1923</v>
      </c>
      <c r="E447" t="s">
        <v>663</v>
      </c>
      <c r="F447" t="s">
        <v>45</v>
      </c>
      <c r="G447" t="s">
        <v>668</v>
      </c>
      <c r="H447" s="1">
        <v>50000</v>
      </c>
      <c r="I447" t="s">
        <v>1968</v>
      </c>
      <c r="N447" s="4">
        <f t="shared" si="12"/>
        <v>70009110</v>
      </c>
      <c r="O447" t="str">
        <f t="shared" si="13"/>
        <v>P206D1SLSS</v>
      </c>
    </row>
    <row r="448" spans="2:15" x14ac:dyDescent="0.25">
      <c r="B448" t="s">
        <v>605</v>
      </c>
      <c r="C448">
        <v>70009110</v>
      </c>
      <c r="D448" t="s">
        <v>1924</v>
      </c>
      <c r="E448" t="s">
        <v>663</v>
      </c>
      <c r="F448" t="s">
        <v>45</v>
      </c>
      <c r="G448" t="s">
        <v>669</v>
      </c>
      <c r="H448" s="1">
        <v>50000</v>
      </c>
      <c r="I448" t="s">
        <v>1968</v>
      </c>
      <c r="N448" s="4">
        <f t="shared" si="12"/>
        <v>70009110</v>
      </c>
      <c r="O448" t="str">
        <f t="shared" si="13"/>
        <v>C206D1SLSS</v>
      </c>
    </row>
    <row r="449" spans="2:15" x14ac:dyDescent="0.25">
      <c r="B449" t="s">
        <v>605</v>
      </c>
      <c r="C449">
        <v>70009110</v>
      </c>
      <c r="D449" t="s">
        <v>1924</v>
      </c>
      <c r="E449" t="s">
        <v>663</v>
      </c>
      <c r="F449" t="s">
        <v>45</v>
      </c>
      <c r="G449" t="s">
        <v>669</v>
      </c>
      <c r="H449" s="1">
        <v>50000</v>
      </c>
      <c r="I449" t="s">
        <v>1968</v>
      </c>
      <c r="N449" s="4">
        <f t="shared" si="12"/>
        <v>70009110</v>
      </c>
      <c r="O449" t="str">
        <f t="shared" si="13"/>
        <v>C206D1SLSS</v>
      </c>
    </row>
    <row r="450" spans="2:15" x14ac:dyDescent="0.25">
      <c r="B450" t="s">
        <v>605</v>
      </c>
      <c r="C450">
        <v>70009110</v>
      </c>
      <c r="D450" t="s">
        <v>1924</v>
      </c>
      <c r="E450" t="s">
        <v>663</v>
      </c>
      <c r="F450" t="s">
        <v>45</v>
      </c>
      <c r="G450" t="s">
        <v>669</v>
      </c>
      <c r="H450" s="1">
        <v>50000</v>
      </c>
      <c r="I450" t="s">
        <v>1968</v>
      </c>
      <c r="N450" s="4">
        <f t="shared" si="12"/>
        <v>70009110</v>
      </c>
      <c r="O450" t="str">
        <f t="shared" si="13"/>
        <v>C206D1SLSS</v>
      </c>
    </row>
    <row r="451" spans="2:15" x14ac:dyDescent="0.25">
      <c r="B451" t="s">
        <v>605</v>
      </c>
      <c r="C451">
        <v>70009110</v>
      </c>
      <c r="D451" t="s">
        <v>1924</v>
      </c>
      <c r="E451" t="s">
        <v>663</v>
      </c>
      <c r="F451" t="s">
        <v>45</v>
      </c>
      <c r="G451" t="s">
        <v>669</v>
      </c>
      <c r="H451" s="1">
        <v>50000</v>
      </c>
      <c r="I451" t="s">
        <v>1968</v>
      </c>
      <c r="N451" s="4">
        <f t="shared" si="12"/>
        <v>70009110</v>
      </c>
      <c r="O451" t="str">
        <f t="shared" si="13"/>
        <v>C206D1SLSS</v>
      </c>
    </row>
    <row r="452" spans="2:15" x14ac:dyDescent="0.25">
      <c r="B452" t="s">
        <v>605</v>
      </c>
      <c r="C452">
        <v>70009110</v>
      </c>
      <c r="D452" t="s">
        <v>1924</v>
      </c>
      <c r="E452" t="s">
        <v>663</v>
      </c>
      <c r="F452" t="s">
        <v>45</v>
      </c>
      <c r="G452" t="s">
        <v>669</v>
      </c>
      <c r="H452" s="1">
        <v>50000</v>
      </c>
      <c r="I452" t="s">
        <v>1968</v>
      </c>
      <c r="N452" s="4">
        <f t="shared" si="12"/>
        <v>70009110</v>
      </c>
      <c r="O452" t="str">
        <f t="shared" si="13"/>
        <v>C206D1SLSS</v>
      </c>
    </row>
    <row r="453" spans="2:15" x14ac:dyDescent="0.25">
      <c r="B453" t="s">
        <v>605</v>
      </c>
      <c r="C453">
        <v>70009110</v>
      </c>
      <c r="D453" t="s">
        <v>1923</v>
      </c>
      <c r="E453" t="s">
        <v>663</v>
      </c>
      <c r="F453" t="s">
        <v>45</v>
      </c>
      <c r="G453" t="s">
        <v>670</v>
      </c>
      <c r="H453" s="1">
        <v>50000</v>
      </c>
      <c r="I453" t="s">
        <v>1968</v>
      </c>
      <c r="N453" s="4">
        <f t="shared" si="12"/>
        <v>70009110</v>
      </c>
      <c r="O453" t="str">
        <f t="shared" si="13"/>
        <v>P206D1SLSS</v>
      </c>
    </row>
    <row r="454" spans="2:15" x14ac:dyDescent="0.25">
      <c r="B454" t="s">
        <v>605</v>
      </c>
      <c r="C454">
        <v>70009110</v>
      </c>
      <c r="D454" t="s">
        <v>1923</v>
      </c>
      <c r="E454" t="s">
        <v>663</v>
      </c>
      <c r="F454" t="s">
        <v>45</v>
      </c>
      <c r="G454" t="s">
        <v>670</v>
      </c>
      <c r="H454" s="1">
        <v>50000</v>
      </c>
      <c r="I454" t="s">
        <v>1968</v>
      </c>
      <c r="N454" s="4">
        <f t="shared" si="12"/>
        <v>70009110</v>
      </c>
      <c r="O454" t="str">
        <f t="shared" si="13"/>
        <v>P206D1SLSS</v>
      </c>
    </row>
    <row r="455" spans="2:15" x14ac:dyDescent="0.25">
      <c r="B455" t="s">
        <v>605</v>
      </c>
      <c r="C455">
        <v>70009110</v>
      </c>
      <c r="D455" t="s">
        <v>1923</v>
      </c>
      <c r="E455" t="s">
        <v>663</v>
      </c>
      <c r="F455" t="s">
        <v>45</v>
      </c>
      <c r="G455" t="s">
        <v>671</v>
      </c>
      <c r="H455" s="1">
        <v>50000</v>
      </c>
      <c r="I455" t="s">
        <v>1968</v>
      </c>
      <c r="N455" s="4">
        <f t="shared" si="12"/>
        <v>70009110</v>
      </c>
      <c r="O455" t="str">
        <f t="shared" si="13"/>
        <v>P206D1SLSS</v>
      </c>
    </row>
    <row r="456" spans="2:15" x14ac:dyDescent="0.25">
      <c r="B456" t="s">
        <v>605</v>
      </c>
      <c r="C456">
        <v>70107600</v>
      </c>
      <c r="D456" t="s">
        <v>1992</v>
      </c>
      <c r="E456" t="s">
        <v>672</v>
      </c>
      <c r="F456" t="s">
        <v>126</v>
      </c>
      <c r="G456" t="s">
        <v>673</v>
      </c>
      <c r="H456" s="1">
        <v>865001</v>
      </c>
      <c r="I456" t="s">
        <v>1991</v>
      </c>
      <c r="N456" s="4">
        <f t="shared" si="12"/>
        <v>70107600</v>
      </c>
      <c r="O456" t="str">
        <f t="shared" si="13"/>
        <v>R124FPO</v>
      </c>
    </row>
    <row r="457" spans="2:15" x14ac:dyDescent="0.25">
      <c r="B457" t="s">
        <v>605</v>
      </c>
      <c r="C457">
        <v>70106400</v>
      </c>
      <c r="D457" t="s">
        <v>1943</v>
      </c>
      <c r="E457" t="s">
        <v>674</v>
      </c>
      <c r="F457" t="s">
        <v>96</v>
      </c>
      <c r="G457" t="s">
        <v>675</v>
      </c>
      <c r="H457" s="1">
        <v>640000</v>
      </c>
      <c r="I457" t="s">
        <v>1998</v>
      </c>
      <c r="N457" s="4">
        <f t="shared" si="12"/>
        <v>70106400</v>
      </c>
      <c r="O457" t="str">
        <f t="shared" si="13"/>
        <v>R124D1HRGA</v>
      </c>
    </row>
    <row r="458" spans="2:15" x14ac:dyDescent="0.25">
      <c r="B458" t="s">
        <v>605</v>
      </c>
      <c r="C458">
        <v>70106100</v>
      </c>
      <c r="D458" t="s">
        <v>1943</v>
      </c>
      <c r="E458" t="s">
        <v>674</v>
      </c>
      <c r="F458" t="s">
        <v>67</v>
      </c>
      <c r="G458" t="s">
        <v>676</v>
      </c>
      <c r="H458" s="1">
        <v>360000</v>
      </c>
      <c r="I458" t="s">
        <v>1998</v>
      </c>
      <c r="N458" s="4">
        <f t="shared" si="12"/>
        <v>70106100</v>
      </c>
      <c r="O458" t="str">
        <f t="shared" si="13"/>
        <v>R124D1HRGA</v>
      </c>
    </row>
    <row r="459" spans="2:15" x14ac:dyDescent="0.25">
      <c r="B459" t="s">
        <v>605</v>
      </c>
      <c r="C459">
        <v>70107600</v>
      </c>
      <c r="D459" t="s">
        <v>1953</v>
      </c>
      <c r="E459" t="s">
        <v>677</v>
      </c>
      <c r="F459" t="s">
        <v>126</v>
      </c>
      <c r="G459" t="s">
        <v>678</v>
      </c>
      <c r="H459" s="1">
        <v>50000</v>
      </c>
      <c r="I459" t="s">
        <v>1987</v>
      </c>
      <c r="N459" s="4">
        <f t="shared" ref="N459:N522" si="14">+C459</f>
        <v>70107600</v>
      </c>
      <c r="O459" t="str">
        <f t="shared" ref="O459:O522" si="15">+D459</f>
        <v>R124MNT</v>
      </c>
    </row>
    <row r="460" spans="2:15" x14ac:dyDescent="0.25">
      <c r="B460" t="s">
        <v>604</v>
      </c>
      <c r="C460">
        <v>70101114</v>
      </c>
      <c r="D460" t="s">
        <v>1959</v>
      </c>
      <c r="E460" t="s">
        <v>681</v>
      </c>
      <c r="F460" t="s">
        <v>59</v>
      </c>
      <c r="G460" t="s">
        <v>682</v>
      </c>
      <c r="H460" s="1">
        <v>986200</v>
      </c>
      <c r="I460" t="s">
        <v>1958</v>
      </c>
      <c r="N460" s="4">
        <f t="shared" si="14"/>
        <v>70101114</v>
      </c>
      <c r="O460" t="str">
        <f t="shared" si="15"/>
        <v>R124QCA</v>
      </c>
    </row>
    <row r="461" spans="2:15" x14ac:dyDescent="0.25">
      <c r="B461" t="s">
        <v>604</v>
      </c>
      <c r="C461">
        <v>70101114</v>
      </c>
      <c r="D461" t="s">
        <v>1959</v>
      </c>
      <c r="E461" t="s">
        <v>683</v>
      </c>
      <c r="F461" t="s">
        <v>59</v>
      </c>
      <c r="G461" t="s">
        <v>684</v>
      </c>
      <c r="H461" s="1">
        <v>204100</v>
      </c>
      <c r="I461" t="s">
        <v>1958</v>
      </c>
      <c r="N461" s="4">
        <f t="shared" si="14"/>
        <v>70101114</v>
      </c>
      <c r="O461" t="str">
        <f t="shared" si="15"/>
        <v>R124QCA</v>
      </c>
    </row>
    <row r="462" spans="2:15" x14ac:dyDescent="0.25">
      <c r="B462" t="s">
        <v>604</v>
      </c>
      <c r="C462">
        <v>70101114</v>
      </c>
      <c r="D462" t="s">
        <v>1992</v>
      </c>
      <c r="E462" t="s">
        <v>685</v>
      </c>
      <c r="F462" t="s">
        <v>59</v>
      </c>
      <c r="G462" t="s">
        <v>686</v>
      </c>
      <c r="H462" s="1">
        <v>376000</v>
      </c>
      <c r="I462" t="s">
        <v>1991</v>
      </c>
      <c r="N462" s="4">
        <f t="shared" si="14"/>
        <v>70101114</v>
      </c>
      <c r="O462" t="str">
        <f t="shared" si="15"/>
        <v>R124FPO</v>
      </c>
    </row>
    <row r="463" spans="2:15" x14ac:dyDescent="0.25">
      <c r="B463" t="s">
        <v>604</v>
      </c>
      <c r="C463">
        <v>70101114</v>
      </c>
      <c r="D463" t="s">
        <v>1971</v>
      </c>
      <c r="E463" t="s">
        <v>687</v>
      </c>
      <c r="F463" t="s">
        <v>59</v>
      </c>
      <c r="G463" t="s">
        <v>688</v>
      </c>
      <c r="H463" s="1">
        <v>261036</v>
      </c>
      <c r="I463" t="s">
        <v>1980</v>
      </c>
      <c r="N463" s="4">
        <f t="shared" si="14"/>
        <v>70101114</v>
      </c>
      <c r="O463" t="str">
        <f t="shared" si="15"/>
        <v>R124REF3</v>
      </c>
    </row>
    <row r="464" spans="2:15" x14ac:dyDescent="0.25">
      <c r="B464" t="s">
        <v>604</v>
      </c>
      <c r="C464">
        <v>70101114</v>
      </c>
      <c r="D464" t="s">
        <v>1943</v>
      </c>
      <c r="E464" t="s">
        <v>689</v>
      </c>
      <c r="F464" t="s">
        <v>59</v>
      </c>
      <c r="G464" t="s">
        <v>690</v>
      </c>
      <c r="H464" s="1">
        <v>780857</v>
      </c>
      <c r="I464" t="s">
        <v>1949</v>
      </c>
      <c r="N464" s="4">
        <f t="shared" si="14"/>
        <v>70101114</v>
      </c>
      <c r="O464" t="str">
        <f t="shared" si="15"/>
        <v>R124D1HRGA</v>
      </c>
    </row>
    <row r="465" spans="2:15" x14ac:dyDescent="0.25">
      <c r="B465" t="s">
        <v>604</v>
      </c>
      <c r="C465">
        <v>70101202</v>
      </c>
      <c r="D465" t="s">
        <v>1992</v>
      </c>
      <c r="E465" t="s">
        <v>691</v>
      </c>
      <c r="F465" t="s">
        <v>57</v>
      </c>
      <c r="G465" t="s">
        <v>692</v>
      </c>
      <c r="H465" s="1">
        <v>180000</v>
      </c>
      <c r="I465" t="s">
        <v>1991</v>
      </c>
      <c r="N465" s="4">
        <f t="shared" si="14"/>
        <v>70101202</v>
      </c>
      <c r="O465" t="str">
        <f t="shared" si="15"/>
        <v>R124FPO</v>
      </c>
    </row>
    <row r="466" spans="2:15" x14ac:dyDescent="0.25">
      <c r="B466" t="s">
        <v>604</v>
      </c>
      <c r="C466">
        <v>70101114</v>
      </c>
      <c r="D466" t="s">
        <v>1935</v>
      </c>
      <c r="E466" t="s">
        <v>693</v>
      </c>
      <c r="F466" t="s">
        <v>59</v>
      </c>
      <c r="G466" t="s">
        <v>694</v>
      </c>
      <c r="H466" s="1">
        <v>47500</v>
      </c>
      <c r="I466" t="s">
        <v>2000</v>
      </c>
      <c r="N466" s="4">
        <f t="shared" si="14"/>
        <v>70101114</v>
      </c>
      <c r="O466" t="str">
        <f t="shared" si="15"/>
        <v>R124WHRS</v>
      </c>
    </row>
    <row r="467" spans="2:15" x14ac:dyDescent="0.25">
      <c r="B467" t="s">
        <v>604</v>
      </c>
      <c r="C467">
        <v>70101114</v>
      </c>
      <c r="D467" t="s">
        <v>1945</v>
      </c>
      <c r="E467" t="s">
        <v>695</v>
      </c>
      <c r="F467" t="s">
        <v>59</v>
      </c>
      <c r="G467" t="s">
        <v>696</v>
      </c>
      <c r="H467" s="1">
        <v>949000</v>
      </c>
      <c r="I467" t="s">
        <v>2001</v>
      </c>
      <c r="N467" s="4">
        <f t="shared" si="14"/>
        <v>70101114</v>
      </c>
      <c r="O467" t="str">
        <f t="shared" si="15"/>
        <v>R124MIN</v>
      </c>
    </row>
    <row r="468" spans="2:15" x14ac:dyDescent="0.25">
      <c r="B468" t="s">
        <v>604</v>
      </c>
      <c r="C468">
        <v>70101114</v>
      </c>
      <c r="D468" t="s">
        <v>1943</v>
      </c>
      <c r="E468" t="s">
        <v>697</v>
      </c>
      <c r="F468" t="s">
        <v>59</v>
      </c>
      <c r="G468" t="s">
        <v>698</v>
      </c>
      <c r="H468" s="1">
        <v>358000</v>
      </c>
      <c r="I468" t="s">
        <v>1949</v>
      </c>
      <c r="N468" s="4">
        <f t="shared" si="14"/>
        <v>70101114</v>
      </c>
      <c r="O468" t="str">
        <f t="shared" si="15"/>
        <v>R124D1HRGA</v>
      </c>
    </row>
    <row r="469" spans="2:15" x14ac:dyDescent="0.25">
      <c r="B469" t="s">
        <v>604</v>
      </c>
      <c r="C469">
        <v>70101114</v>
      </c>
      <c r="D469" t="s">
        <v>1943</v>
      </c>
      <c r="E469" t="s">
        <v>699</v>
      </c>
      <c r="F469" t="s">
        <v>59</v>
      </c>
      <c r="G469" t="s">
        <v>700</v>
      </c>
      <c r="H469" s="1">
        <v>553000</v>
      </c>
      <c r="I469" t="s">
        <v>1949</v>
      </c>
      <c r="N469" s="4">
        <f t="shared" si="14"/>
        <v>70101114</v>
      </c>
      <c r="O469" t="str">
        <f t="shared" si="15"/>
        <v>R124D1HRGA</v>
      </c>
    </row>
    <row r="470" spans="2:15" x14ac:dyDescent="0.25">
      <c r="B470" t="s">
        <v>604</v>
      </c>
      <c r="C470">
        <v>70106100</v>
      </c>
      <c r="D470" t="s">
        <v>1959</v>
      </c>
      <c r="E470" t="s">
        <v>701</v>
      </c>
      <c r="F470" t="s">
        <v>67</v>
      </c>
      <c r="G470" t="s">
        <v>702</v>
      </c>
      <c r="H470" s="1">
        <v>95000</v>
      </c>
      <c r="I470" t="s">
        <v>1958</v>
      </c>
      <c r="N470" s="4">
        <f t="shared" si="14"/>
        <v>70106100</v>
      </c>
      <c r="O470" t="str">
        <f t="shared" si="15"/>
        <v>R124QCA</v>
      </c>
    </row>
    <row r="471" spans="2:15" x14ac:dyDescent="0.25">
      <c r="B471" t="s">
        <v>604</v>
      </c>
      <c r="C471">
        <v>70107600</v>
      </c>
      <c r="D471" t="s">
        <v>1959</v>
      </c>
      <c r="E471" t="s">
        <v>701</v>
      </c>
      <c r="F471" t="s">
        <v>126</v>
      </c>
      <c r="G471" t="s">
        <v>703</v>
      </c>
      <c r="H471" s="1">
        <v>376500</v>
      </c>
      <c r="I471" t="s">
        <v>1958</v>
      </c>
      <c r="N471" s="4">
        <f t="shared" si="14"/>
        <v>70107600</v>
      </c>
      <c r="O471" t="str">
        <f t="shared" si="15"/>
        <v>R124QCA</v>
      </c>
    </row>
    <row r="472" spans="2:15" x14ac:dyDescent="0.25">
      <c r="B472" t="s">
        <v>604</v>
      </c>
      <c r="C472">
        <v>70101114</v>
      </c>
      <c r="D472" t="s">
        <v>1959</v>
      </c>
      <c r="E472" t="s">
        <v>701</v>
      </c>
      <c r="F472" t="s">
        <v>59</v>
      </c>
      <c r="G472" t="s">
        <v>704</v>
      </c>
      <c r="H472" s="1">
        <v>219000</v>
      </c>
      <c r="I472" t="s">
        <v>1958</v>
      </c>
      <c r="N472" s="4">
        <f t="shared" si="14"/>
        <v>70101114</v>
      </c>
      <c r="O472" t="str">
        <f t="shared" si="15"/>
        <v>R124QCA</v>
      </c>
    </row>
    <row r="473" spans="2:15" x14ac:dyDescent="0.25">
      <c r="B473" t="s">
        <v>604</v>
      </c>
      <c r="C473">
        <v>70101114</v>
      </c>
      <c r="D473" t="s">
        <v>1935</v>
      </c>
      <c r="E473" t="s">
        <v>705</v>
      </c>
      <c r="F473" t="s">
        <v>59</v>
      </c>
      <c r="G473" t="s">
        <v>706</v>
      </c>
      <c r="H473" s="1">
        <v>510000</v>
      </c>
      <c r="I473" t="s">
        <v>2000</v>
      </c>
      <c r="N473" s="4">
        <f t="shared" si="14"/>
        <v>70101114</v>
      </c>
      <c r="O473" t="str">
        <f t="shared" si="15"/>
        <v>R124WHRS</v>
      </c>
    </row>
    <row r="474" spans="2:15" x14ac:dyDescent="0.25">
      <c r="B474" t="s">
        <v>707</v>
      </c>
      <c r="C474">
        <v>70009110</v>
      </c>
      <c r="D474" t="s">
        <v>1938</v>
      </c>
      <c r="E474" t="s">
        <v>708</v>
      </c>
      <c r="F474" t="s">
        <v>45</v>
      </c>
      <c r="G474" t="s">
        <v>709</v>
      </c>
      <c r="H474" s="1">
        <v>100000</v>
      </c>
      <c r="I474" t="s">
        <v>1984</v>
      </c>
      <c r="N474" s="4">
        <f t="shared" si="14"/>
        <v>70009110</v>
      </c>
      <c r="O474" t="str">
        <f t="shared" si="15"/>
        <v>M204D1COMM</v>
      </c>
    </row>
    <row r="475" spans="2:15" x14ac:dyDescent="0.25">
      <c r="B475" t="s">
        <v>707</v>
      </c>
      <c r="C475">
        <v>70009110</v>
      </c>
      <c r="D475" t="s">
        <v>1938</v>
      </c>
      <c r="E475" t="s">
        <v>708</v>
      </c>
      <c r="F475" t="s">
        <v>45</v>
      </c>
      <c r="G475" t="s">
        <v>710</v>
      </c>
      <c r="H475" s="1">
        <v>100000</v>
      </c>
      <c r="I475" t="s">
        <v>1984</v>
      </c>
      <c r="N475" s="4">
        <f t="shared" si="14"/>
        <v>70009110</v>
      </c>
      <c r="O475" t="str">
        <f t="shared" si="15"/>
        <v>M204D1COMM</v>
      </c>
    </row>
    <row r="476" spans="2:15" x14ac:dyDescent="0.25">
      <c r="B476" t="s">
        <v>707</v>
      </c>
      <c r="C476">
        <v>70009110</v>
      </c>
      <c r="D476" t="s">
        <v>1938</v>
      </c>
      <c r="E476" t="s">
        <v>708</v>
      </c>
      <c r="F476" t="s">
        <v>45</v>
      </c>
      <c r="G476" t="s">
        <v>711</v>
      </c>
      <c r="H476" s="1">
        <v>100000</v>
      </c>
      <c r="I476" t="s">
        <v>1984</v>
      </c>
      <c r="N476" s="4">
        <f t="shared" si="14"/>
        <v>70009110</v>
      </c>
      <c r="O476" t="str">
        <f t="shared" si="15"/>
        <v>M204D1COMM</v>
      </c>
    </row>
    <row r="477" spans="2:15" x14ac:dyDescent="0.25">
      <c r="B477" t="s">
        <v>707</v>
      </c>
      <c r="C477">
        <v>70009110</v>
      </c>
      <c r="D477" t="s">
        <v>1923</v>
      </c>
      <c r="E477" t="s">
        <v>708</v>
      </c>
      <c r="F477" t="s">
        <v>45</v>
      </c>
      <c r="G477" t="s">
        <v>712</v>
      </c>
      <c r="H477" s="1">
        <v>50000</v>
      </c>
      <c r="I477" t="s">
        <v>1984</v>
      </c>
      <c r="N477" s="4">
        <f t="shared" si="14"/>
        <v>70009110</v>
      </c>
      <c r="O477" t="str">
        <f t="shared" si="15"/>
        <v>P206D1SLSS</v>
      </c>
    </row>
    <row r="478" spans="2:15" x14ac:dyDescent="0.25">
      <c r="B478" t="s">
        <v>707</v>
      </c>
      <c r="C478">
        <v>70009110</v>
      </c>
      <c r="D478" t="s">
        <v>1923</v>
      </c>
      <c r="E478" t="s">
        <v>708</v>
      </c>
      <c r="F478" t="s">
        <v>45</v>
      </c>
      <c r="G478" t="s">
        <v>713</v>
      </c>
      <c r="H478" s="1">
        <v>50000</v>
      </c>
      <c r="I478" t="s">
        <v>1984</v>
      </c>
      <c r="N478" s="4">
        <f t="shared" si="14"/>
        <v>70009110</v>
      </c>
      <c r="O478" t="str">
        <f t="shared" si="15"/>
        <v>P206D1SLSS</v>
      </c>
    </row>
    <row r="479" spans="2:15" x14ac:dyDescent="0.25">
      <c r="B479" t="s">
        <v>707</v>
      </c>
      <c r="C479">
        <v>70009110</v>
      </c>
      <c r="D479" t="s">
        <v>1924</v>
      </c>
      <c r="E479" t="s">
        <v>708</v>
      </c>
      <c r="F479" t="s">
        <v>45</v>
      </c>
      <c r="G479" t="s">
        <v>714</v>
      </c>
      <c r="H479" s="1">
        <v>50000</v>
      </c>
      <c r="I479" t="s">
        <v>1984</v>
      </c>
      <c r="N479" s="4">
        <f t="shared" si="14"/>
        <v>70009110</v>
      </c>
      <c r="O479" t="str">
        <f t="shared" si="15"/>
        <v>C206D1SLSS</v>
      </c>
    </row>
    <row r="480" spans="2:15" x14ac:dyDescent="0.25">
      <c r="B480" t="s">
        <v>707</v>
      </c>
      <c r="C480">
        <v>70009110</v>
      </c>
      <c r="D480" t="s">
        <v>1923</v>
      </c>
      <c r="E480" t="s">
        <v>708</v>
      </c>
      <c r="F480" t="s">
        <v>45</v>
      </c>
      <c r="G480" t="s">
        <v>715</v>
      </c>
      <c r="H480" s="1">
        <v>50000</v>
      </c>
      <c r="I480" t="s">
        <v>1984</v>
      </c>
      <c r="N480" s="4">
        <f t="shared" si="14"/>
        <v>70009110</v>
      </c>
      <c r="O480" t="str">
        <f t="shared" si="15"/>
        <v>P206D1SLSS</v>
      </c>
    </row>
    <row r="481" spans="2:15" x14ac:dyDescent="0.25">
      <c r="B481" t="s">
        <v>707</v>
      </c>
      <c r="C481">
        <v>70009110</v>
      </c>
      <c r="D481" t="s">
        <v>1924</v>
      </c>
      <c r="E481" t="s">
        <v>708</v>
      </c>
      <c r="F481" t="s">
        <v>45</v>
      </c>
      <c r="G481" t="s">
        <v>716</v>
      </c>
      <c r="H481" s="1">
        <v>50000</v>
      </c>
      <c r="I481" t="s">
        <v>1984</v>
      </c>
      <c r="N481" s="4">
        <f t="shared" si="14"/>
        <v>70009110</v>
      </c>
      <c r="O481" t="str">
        <f t="shared" si="15"/>
        <v>C206D1SLSS</v>
      </c>
    </row>
    <row r="482" spans="2:15" x14ac:dyDescent="0.25">
      <c r="B482" t="s">
        <v>707</v>
      </c>
      <c r="C482">
        <v>70009110</v>
      </c>
      <c r="D482" t="s">
        <v>1923</v>
      </c>
      <c r="E482" t="s">
        <v>708</v>
      </c>
      <c r="F482" t="s">
        <v>45</v>
      </c>
      <c r="G482" t="s">
        <v>716</v>
      </c>
      <c r="H482" s="1">
        <v>50000</v>
      </c>
      <c r="I482" t="s">
        <v>1984</v>
      </c>
      <c r="N482" s="4">
        <f t="shared" si="14"/>
        <v>70009110</v>
      </c>
      <c r="O482" t="str">
        <f t="shared" si="15"/>
        <v>P206D1SLSS</v>
      </c>
    </row>
    <row r="483" spans="2:15" x14ac:dyDescent="0.25">
      <c r="B483" t="s">
        <v>707</v>
      </c>
      <c r="C483">
        <v>70009110</v>
      </c>
      <c r="D483" t="s">
        <v>1923</v>
      </c>
      <c r="E483" t="s">
        <v>708</v>
      </c>
      <c r="F483" t="s">
        <v>45</v>
      </c>
      <c r="G483" t="s">
        <v>716</v>
      </c>
      <c r="H483" s="1">
        <v>50000</v>
      </c>
      <c r="I483" t="s">
        <v>1984</v>
      </c>
      <c r="N483" s="4">
        <f t="shared" si="14"/>
        <v>70009110</v>
      </c>
      <c r="O483" t="str">
        <f t="shared" si="15"/>
        <v>P206D1SLSS</v>
      </c>
    </row>
    <row r="484" spans="2:15" x14ac:dyDescent="0.25">
      <c r="B484" t="s">
        <v>707</v>
      </c>
      <c r="C484">
        <v>70107300</v>
      </c>
      <c r="D484" t="s">
        <v>1921</v>
      </c>
      <c r="E484" t="s">
        <v>717</v>
      </c>
      <c r="F484" t="s">
        <v>41</v>
      </c>
      <c r="G484" t="s">
        <v>718</v>
      </c>
      <c r="H484" s="1">
        <v>500000</v>
      </c>
      <c r="I484" t="s">
        <v>2002</v>
      </c>
      <c r="N484" s="4">
        <f t="shared" si="14"/>
        <v>70107300</v>
      </c>
      <c r="O484" t="str">
        <f t="shared" si="15"/>
        <v>R124D1HRDV</v>
      </c>
    </row>
    <row r="485" spans="2:15" x14ac:dyDescent="0.25">
      <c r="B485" t="s">
        <v>707</v>
      </c>
      <c r="C485">
        <v>70107600</v>
      </c>
      <c r="D485" t="s">
        <v>1943</v>
      </c>
      <c r="E485" t="s">
        <v>719</v>
      </c>
      <c r="F485" t="s">
        <v>126</v>
      </c>
      <c r="G485" t="s">
        <v>720</v>
      </c>
      <c r="H485" s="1">
        <v>973530</v>
      </c>
      <c r="I485" t="s">
        <v>2002</v>
      </c>
      <c r="N485" s="4">
        <f t="shared" si="14"/>
        <v>70107600</v>
      </c>
      <c r="O485" t="str">
        <f t="shared" si="15"/>
        <v>R124D1HRGA</v>
      </c>
    </row>
    <row r="486" spans="2:15" x14ac:dyDescent="0.25">
      <c r="B486" t="s">
        <v>707</v>
      </c>
      <c r="C486">
        <v>70101202</v>
      </c>
      <c r="D486" t="s">
        <v>1945</v>
      </c>
      <c r="E486" t="s">
        <v>721</v>
      </c>
      <c r="F486" t="s">
        <v>57</v>
      </c>
      <c r="G486" t="s">
        <v>722</v>
      </c>
      <c r="H486" s="1">
        <v>748000</v>
      </c>
      <c r="I486" t="s">
        <v>2001</v>
      </c>
      <c r="N486" s="4">
        <f t="shared" si="14"/>
        <v>70101202</v>
      </c>
      <c r="O486" t="str">
        <f t="shared" si="15"/>
        <v>R124MIN</v>
      </c>
    </row>
    <row r="487" spans="2:15" x14ac:dyDescent="0.25">
      <c r="B487" t="s">
        <v>723</v>
      </c>
      <c r="C487">
        <v>70009110</v>
      </c>
      <c r="D487" t="s">
        <v>1923</v>
      </c>
      <c r="E487" t="s">
        <v>724</v>
      </c>
      <c r="F487" t="s">
        <v>45</v>
      </c>
      <c r="G487" t="s">
        <v>725</v>
      </c>
      <c r="H487" s="1">
        <v>50000</v>
      </c>
      <c r="I487" t="s">
        <v>2003</v>
      </c>
      <c r="N487" s="4">
        <f t="shared" si="14"/>
        <v>70009110</v>
      </c>
      <c r="O487" t="str">
        <f t="shared" si="15"/>
        <v>P206D1SLSS</v>
      </c>
    </row>
    <row r="488" spans="2:15" x14ac:dyDescent="0.25">
      <c r="B488" t="s">
        <v>723</v>
      </c>
      <c r="C488">
        <v>70009110</v>
      </c>
      <c r="D488" t="s">
        <v>1923</v>
      </c>
      <c r="E488" t="s">
        <v>724</v>
      </c>
      <c r="F488" t="s">
        <v>45</v>
      </c>
      <c r="G488" t="s">
        <v>726</v>
      </c>
      <c r="H488" s="1">
        <v>50000</v>
      </c>
      <c r="I488" t="s">
        <v>2003</v>
      </c>
      <c r="N488" s="4">
        <f t="shared" si="14"/>
        <v>70009110</v>
      </c>
      <c r="O488" t="str">
        <f t="shared" si="15"/>
        <v>P206D1SLSS</v>
      </c>
    </row>
    <row r="489" spans="2:15" x14ac:dyDescent="0.25">
      <c r="B489" t="s">
        <v>723</v>
      </c>
      <c r="C489">
        <v>70009110</v>
      </c>
      <c r="D489" t="s">
        <v>1967</v>
      </c>
      <c r="E489" t="s">
        <v>724</v>
      </c>
      <c r="F489" t="s">
        <v>45</v>
      </c>
      <c r="G489" t="s">
        <v>727</v>
      </c>
      <c r="H489" s="1">
        <v>50000</v>
      </c>
      <c r="I489" t="s">
        <v>2003</v>
      </c>
      <c r="N489" s="4">
        <f t="shared" si="14"/>
        <v>70009110</v>
      </c>
      <c r="O489" t="str">
        <f t="shared" si="15"/>
        <v>P206D1SLSC</v>
      </c>
    </row>
    <row r="490" spans="2:15" x14ac:dyDescent="0.25">
      <c r="B490" t="s">
        <v>723</v>
      </c>
      <c r="C490">
        <v>70009110</v>
      </c>
      <c r="D490" t="s">
        <v>1967</v>
      </c>
      <c r="E490" t="s">
        <v>724</v>
      </c>
      <c r="F490" t="s">
        <v>45</v>
      </c>
      <c r="G490" t="s">
        <v>728</v>
      </c>
      <c r="H490" s="1">
        <v>50000</v>
      </c>
      <c r="I490" t="s">
        <v>2003</v>
      </c>
      <c r="N490" s="4">
        <f t="shared" si="14"/>
        <v>70009110</v>
      </c>
      <c r="O490" t="str">
        <f t="shared" si="15"/>
        <v>P206D1SLSC</v>
      </c>
    </row>
    <row r="491" spans="2:15" x14ac:dyDescent="0.25">
      <c r="B491" t="s">
        <v>723</v>
      </c>
      <c r="C491">
        <v>70009110</v>
      </c>
      <c r="D491" t="s">
        <v>1923</v>
      </c>
      <c r="E491" t="s">
        <v>724</v>
      </c>
      <c r="F491" t="s">
        <v>45</v>
      </c>
      <c r="G491" t="s">
        <v>729</v>
      </c>
      <c r="H491" s="1">
        <v>50000</v>
      </c>
      <c r="I491" t="s">
        <v>2003</v>
      </c>
      <c r="N491" s="4">
        <f t="shared" si="14"/>
        <v>70009110</v>
      </c>
      <c r="O491" t="str">
        <f t="shared" si="15"/>
        <v>P206D1SLSS</v>
      </c>
    </row>
    <row r="492" spans="2:15" x14ac:dyDescent="0.25">
      <c r="B492" t="s">
        <v>723</v>
      </c>
      <c r="C492">
        <v>70009110</v>
      </c>
      <c r="D492" t="s">
        <v>1923</v>
      </c>
      <c r="E492" t="s">
        <v>724</v>
      </c>
      <c r="F492" t="s">
        <v>45</v>
      </c>
      <c r="G492" t="s">
        <v>730</v>
      </c>
      <c r="H492" s="1">
        <v>50000</v>
      </c>
      <c r="I492" t="s">
        <v>2003</v>
      </c>
      <c r="N492" s="4">
        <f t="shared" si="14"/>
        <v>70009110</v>
      </c>
      <c r="O492" t="str">
        <f t="shared" si="15"/>
        <v>P206D1SLSS</v>
      </c>
    </row>
    <row r="493" spans="2:15" x14ac:dyDescent="0.25">
      <c r="B493" t="s">
        <v>723</v>
      </c>
      <c r="C493">
        <v>70009110</v>
      </c>
      <c r="D493" t="s">
        <v>1923</v>
      </c>
      <c r="E493" t="s">
        <v>724</v>
      </c>
      <c r="F493" t="s">
        <v>45</v>
      </c>
      <c r="G493" t="s">
        <v>731</v>
      </c>
      <c r="H493" s="1">
        <v>50000</v>
      </c>
      <c r="I493" t="s">
        <v>2003</v>
      </c>
      <c r="N493" s="4">
        <f t="shared" si="14"/>
        <v>70009110</v>
      </c>
      <c r="O493" t="str">
        <f t="shared" si="15"/>
        <v>P206D1SLSS</v>
      </c>
    </row>
    <row r="494" spans="2:15" x14ac:dyDescent="0.25">
      <c r="B494" t="s">
        <v>723</v>
      </c>
      <c r="C494">
        <v>70001110</v>
      </c>
      <c r="D494" t="s">
        <v>1938</v>
      </c>
      <c r="E494" t="s">
        <v>724</v>
      </c>
      <c r="F494" t="s">
        <v>334</v>
      </c>
      <c r="G494" t="s">
        <v>751</v>
      </c>
      <c r="H494" s="1">
        <v>4000</v>
      </c>
      <c r="I494" t="s">
        <v>2003</v>
      </c>
      <c r="N494" s="4">
        <f t="shared" si="14"/>
        <v>70001110</v>
      </c>
      <c r="O494" t="str">
        <f t="shared" si="15"/>
        <v>M204D1COMM</v>
      </c>
    </row>
    <row r="495" spans="2:15" x14ac:dyDescent="0.25">
      <c r="B495" t="s">
        <v>723</v>
      </c>
      <c r="C495">
        <v>70108100</v>
      </c>
      <c r="D495" t="s">
        <v>1962</v>
      </c>
      <c r="E495" t="s">
        <v>724</v>
      </c>
      <c r="F495" t="s">
        <v>274</v>
      </c>
      <c r="G495" t="s">
        <v>732</v>
      </c>
      <c r="H495" s="1">
        <v>150000</v>
      </c>
      <c r="I495" t="s">
        <v>2003</v>
      </c>
      <c r="N495" s="4">
        <f t="shared" si="14"/>
        <v>70108100</v>
      </c>
      <c r="O495" t="str">
        <f t="shared" si="15"/>
        <v>R124LOG</v>
      </c>
    </row>
    <row r="496" spans="2:15" x14ac:dyDescent="0.25">
      <c r="B496" t="s">
        <v>723</v>
      </c>
      <c r="C496">
        <v>70009110</v>
      </c>
      <c r="D496" t="s">
        <v>1967</v>
      </c>
      <c r="E496" t="s">
        <v>733</v>
      </c>
      <c r="F496" t="s">
        <v>45</v>
      </c>
      <c r="G496" t="s">
        <v>734</v>
      </c>
      <c r="H496" s="1">
        <v>50000</v>
      </c>
      <c r="I496" t="s">
        <v>1985</v>
      </c>
      <c r="N496" s="4">
        <f t="shared" si="14"/>
        <v>70009110</v>
      </c>
      <c r="O496" t="str">
        <f t="shared" si="15"/>
        <v>P206D1SLSC</v>
      </c>
    </row>
    <row r="497" spans="2:15" x14ac:dyDescent="0.25">
      <c r="B497" t="s">
        <v>723</v>
      </c>
      <c r="C497">
        <v>70009110</v>
      </c>
      <c r="D497" t="s">
        <v>1967</v>
      </c>
      <c r="E497" t="s">
        <v>733</v>
      </c>
      <c r="F497" t="s">
        <v>45</v>
      </c>
      <c r="G497" t="s">
        <v>735</v>
      </c>
      <c r="H497" s="1">
        <v>50000</v>
      </c>
      <c r="I497" t="s">
        <v>1985</v>
      </c>
      <c r="N497" s="4">
        <f t="shared" si="14"/>
        <v>70009110</v>
      </c>
      <c r="O497" t="str">
        <f t="shared" si="15"/>
        <v>P206D1SLSC</v>
      </c>
    </row>
    <row r="498" spans="2:15" x14ac:dyDescent="0.25">
      <c r="B498" t="s">
        <v>723</v>
      </c>
      <c r="C498">
        <v>70009110</v>
      </c>
      <c r="D498" t="s">
        <v>1923</v>
      </c>
      <c r="E498" t="s">
        <v>733</v>
      </c>
      <c r="F498" t="s">
        <v>45</v>
      </c>
      <c r="G498" t="s">
        <v>736</v>
      </c>
      <c r="H498" s="1">
        <v>50000</v>
      </c>
      <c r="I498" t="s">
        <v>1985</v>
      </c>
      <c r="N498" s="4">
        <f t="shared" si="14"/>
        <v>70009110</v>
      </c>
      <c r="O498" t="str">
        <f t="shared" si="15"/>
        <v>P206D1SLSS</v>
      </c>
    </row>
    <row r="499" spans="2:15" x14ac:dyDescent="0.25">
      <c r="B499" t="s">
        <v>723</v>
      </c>
      <c r="C499">
        <v>70009110</v>
      </c>
      <c r="D499" t="s">
        <v>1923</v>
      </c>
      <c r="E499" t="s">
        <v>733</v>
      </c>
      <c r="F499" t="s">
        <v>45</v>
      </c>
      <c r="G499" t="s">
        <v>737</v>
      </c>
      <c r="H499" s="1">
        <v>50000</v>
      </c>
      <c r="I499" t="s">
        <v>1985</v>
      </c>
      <c r="N499" s="4">
        <f t="shared" si="14"/>
        <v>70009110</v>
      </c>
      <c r="O499" t="str">
        <f t="shared" si="15"/>
        <v>P206D1SLSS</v>
      </c>
    </row>
    <row r="500" spans="2:15" x14ac:dyDescent="0.25">
      <c r="B500" t="s">
        <v>723</v>
      </c>
      <c r="C500">
        <v>70009110</v>
      </c>
      <c r="D500" t="s">
        <v>1923</v>
      </c>
      <c r="E500" t="s">
        <v>738</v>
      </c>
      <c r="F500" t="s">
        <v>45</v>
      </c>
      <c r="G500" t="s">
        <v>739</v>
      </c>
      <c r="H500" s="1">
        <v>50000</v>
      </c>
      <c r="I500" t="s">
        <v>1936</v>
      </c>
      <c r="N500" s="4">
        <f t="shared" si="14"/>
        <v>70009110</v>
      </c>
      <c r="O500" t="str">
        <f t="shared" si="15"/>
        <v>P206D1SLSS</v>
      </c>
    </row>
    <row r="501" spans="2:15" x14ac:dyDescent="0.25">
      <c r="B501" t="s">
        <v>723</v>
      </c>
      <c r="C501">
        <v>70009110</v>
      </c>
      <c r="D501" t="s">
        <v>1923</v>
      </c>
      <c r="E501" t="s">
        <v>738</v>
      </c>
      <c r="F501" t="s">
        <v>45</v>
      </c>
      <c r="G501" t="s">
        <v>740</v>
      </c>
      <c r="H501" s="1">
        <v>50000</v>
      </c>
      <c r="I501" t="s">
        <v>1936</v>
      </c>
      <c r="N501" s="4">
        <f t="shared" si="14"/>
        <v>70009110</v>
      </c>
      <c r="O501" t="str">
        <f t="shared" si="15"/>
        <v>P206D1SLSS</v>
      </c>
    </row>
    <row r="502" spans="2:15" x14ac:dyDescent="0.25">
      <c r="B502" t="s">
        <v>723</v>
      </c>
      <c r="C502">
        <v>70009110</v>
      </c>
      <c r="D502" t="s">
        <v>1923</v>
      </c>
      <c r="E502" t="s">
        <v>738</v>
      </c>
      <c r="F502" t="s">
        <v>45</v>
      </c>
      <c r="G502" t="s">
        <v>741</v>
      </c>
      <c r="H502" s="1">
        <v>50000</v>
      </c>
      <c r="I502" t="s">
        <v>1936</v>
      </c>
      <c r="N502" s="4">
        <f t="shared" si="14"/>
        <v>70009110</v>
      </c>
      <c r="O502" t="str">
        <f t="shared" si="15"/>
        <v>P206D1SLSS</v>
      </c>
    </row>
    <row r="503" spans="2:15" x14ac:dyDescent="0.25">
      <c r="B503" t="s">
        <v>723</v>
      </c>
      <c r="C503">
        <v>70009110</v>
      </c>
      <c r="D503" t="s">
        <v>1938</v>
      </c>
      <c r="E503" t="s">
        <v>738</v>
      </c>
      <c r="F503" t="s">
        <v>45</v>
      </c>
      <c r="G503" t="s">
        <v>742</v>
      </c>
      <c r="H503" s="1">
        <v>50000</v>
      </c>
      <c r="I503" t="s">
        <v>1936</v>
      </c>
      <c r="N503" s="4">
        <f t="shared" si="14"/>
        <v>70009110</v>
      </c>
      <c r="O503" t="str">
        <f t="shared" si="15"/>
        <v>M204D1COMM</v>
      </c>
    </row>
    <row r="504" spans="2:15" x14ac:dyDescent="0.25">
      <c r="B504" t="s">
        <v>723</v>
      </c>
      <c r="C504">
        <v>70009110</v>
      </c>
      <c r="D504" t="s">
        <v>1938</v>
      </c>
      <c r="E504" t="s">
        <v>738</v>
      </c>
      <c r="F504" t="s">
        <v>45</v>
      </c>
      <c r="G504" t="s">
        <v>743</v>
      </c>
      <c r="H504" s="1">
        <v>50000</v>
      </c>
      <c r="I504" t="s">
        <v>1936</v>
      </c>
      <c r="N504" s="4">
        <f t="shared" si="14"/>
        <v>70009110</v>
      </c>
      <c r="O504" t="str">
        <f t="shared" si="15"/>
        <v>M204D1COMM</v>
      </c>
    </row>
    <row r="505" spans="2:15" x14ac:dyDescent="0.25">
      <c r="B505" t="s">
        <v>723</v>
      </c>
      <c r="C505">
        <v>70106400</v>
      </c>
      <c r="D505" t="s">
        <v>1943</v>
      </c>
      <c r="E505" t="s">
        <v>744</v>
      </c>
      <c r="F505" t="s">
        <v>96</v>
      </c>
      <c r="G505" t="s">
        <v>745</v>
      </c>
      <c r="H505" s="1">
        <v>740000</v>
      </c>
      <c r="I505" t="s">
        <v>1998</v>
      </c>
      <c r="N505" s="4">
        <f t="shared" si="14"/>
        <v>70106400</v>
      </c>
      <c r="O505" t="str">
        <f t="shared" si="15"/>
        <v>R124D1HRGA</v>
      </c>
    </row>
    <row r="506" spans="2:15" x14ac:dyDescent="0.25">
      <c r="B506" t="s">
        <v>723</v>
      </c>
      <c r="C506">
        <v>70106100</v>
      </c>
      <c r="D506" t="s">
        <v>1943</v>
      </c>
      <c r="E506" t="s">
        <v>744</v>
      </c>
      <c r="F506" t="s">
        <v>67</v>
      </c>
      <c r="G506" t="s">
        <v>746</v>
      </c>
      <c r="H506" s="1">
        <v>260000</v>
      </c>
      <c r="I506" t="s">
        <v>1998</v>
      </c>
      <c r="N506" s="4">
        <f t="shared" si="14"/>
        <v>70106100</v>
      </c>
      <c r="O506" t="str">
        <f t="shared" si="15"/>
        <v>R124D1HRGA</v>
      </c>
    </row>
    <row r="507" spans="2:15" x14ac:dyDescent="0.25">
      <c r="B507" t="s">
        <v>723</v>
      </c>
      <c r="C507">
        <v>70107300</v>
      </c>
      <c r="D507" t="s">
        <v>1921</v>
      </c>
      <c r="E507" t="s">
        <v>747</v>
      </c>
      <c r="F507" t="s">
        <v>41</v>
      </c>
      <c r="G507" t="s">
        <v>748</v>
      </c>
      <c r="H507" s="1">
        <v>400000</v>
      </c>
      <c r="I507" t="s">
        <v>1920</v>
      </c>
      <c r="N507" s="4">
        <f t="shared" si="14"/>
        <v>70107300</v>
      </c>
      <c r="O507" t="str">
        <f t="shared" si="15"/>
        <v>R124D1HRDV</v>
      </c>
    </row>
    <row r="508" spans="2:15" x14ac:dyDescent="0.25">
      <c r="B508" t="s">
        <v>723</v>
      </c>
      <c r="C508">
        <v>70009110</v>
      </c>
      <c r="D508" t="s">
        <v>1924</v>
      </c>
      <c r="E508" t="s">
        <v>749</v>
      </c>
      <c r="F508" t="s">
        <v>45</v>
      </c>
      <c r="G508" t="s">
        <v>750</v>
      </c>
      <c r="H508" s="1">
        <v>100000</v>
      </c>
      <c r="I508" t="s">
        <v>1984</v>
      </c>
      <c r="N508" s="4">
        <f t="shared" si="14"/>
        <v>70009110</v>
      </c>
      <c r="O508" t="str">
        <f t="shared" si="15"/>
        <v>C206D1SLSS</v>
      </c>
    </row>
    <row r="509" spans="2:15" x14ac:dyDescent="0.25">
      <c r="B509" t="s">
        <v>723</v>
      </c>
      <c r="C509">
        <v>70009110</v>
      </c>
      <c r="D509" t="s">
        <v>1923</v>
      </c>
      <c r="E509" t="s">
        <v>749</v>
      </c>
      <c r="F509" t="s">
        <v>45</v>
      </c>
      <c r="G509" t="s">
        <v>750</v>
      </c>
      <c r="H509" s="1">
        <v>100000</v>
      </c>
      <c r="I509" t="s">
        <v>1984</v>
      </c>
      <c r="N509" s="4">
        <f t="shared" si="14"/>
        <v>70009110</v>
      </c>
      <c r="O509" t="str">
        <f t="shared" si="15"/>
        <v>P206D1SLSS</v>
      </c>
    </row>
    <row r="510" spans="2:15" x14ac:dyDescent="0.25">
      <c r="B510" t="s">
        <v>723</v>
      </c>
      <c r="C510">
        <v>70009110</v>
      </c>
      <c r="D510" t="s">
        <v>1923</v>
      </c>
      <c r="E510" t="s">
        <v>749</v>
      </c>
      <c r="F510" t="s">
        <v>45</v>
      </c>
      <c r="G510" t="s">
        <v>750</v>
      </c>
      <c r="H510" s="1">
        <v>150000</v>
      </c>
      <c r="I510" t="s">
        <v>1984</v>
      </c>
      <c r="N510" s="4">
        <f t="shared" si="14"/>
        <v>70009110</v>
      </c>
      <c r="O510" t="str">
        <f t="shared" si="15"/>
        <v>P206D1SLSS</v>
      </c>
    </row>
    <row r="511" spans="2:15" x14ac:dyDescent="0.25">
      <c r="B511" t="s">
        <v>752</v>
      </c>
      <c r="C511">
        <v>70101202</v>
      </c>
      <c r="D511" t="s">
        <v>1992</v>
      </c>
      <c r="E511" t="s">
        <v>753</v>
      </c>
      <c r="F511" t="s">
        <v>57</v>
      </c>
      <c r="G511" t="s">
        <v>754</v>
      </c>
      <c r="H511" s="1">
        <v>736120</v>
      </c>
      <c r="I511" t="s">
        <v>1991</v>
      </c>
      <c r="N511" s="4">
        <f t="shared" si="14"/>
        <v>70101202</v>
      </c>
      <c r="O511" t="str">
        <f t="shared" si="15"/>
        <v>R124FPO</v>
      </c>
    </row>
    <row r="512" spans="2:15" x14ac:dyDescent="0.25">
      <c r="B512" t="s">
        <v>752</v>
      </c>
      <c r="C512">
        <v>70105300</v>
      </c>
      <c r="D512" t="s">
        <v>1943</v>
      </c>
      <c r="E512" t="s">
        <v>755</v>
      </c>
      <c r="F512" t="s">
        <v>193</v>
      </c>
      <c r="G512" t="s">
        <v>756</v>
      </c>
      <c r="H512" s="1">
        <v>29900</v>
      </c>
      <c r="I512" t="s">
        <v>1949</v>
      </c>
      <c r="N512" s="4">
        <f t="shared" si="14"/>
        <v>70105300</v>
      </c>
      <c r="O512" t="str">
        <f t="shared" si="15"/>
        <v>R124D1HRGA</v>
      </c>
    </row>
    <row r="513" spans="2:15" x14ac:dyDescent="0.25">
      <c r="B513" t="s">
        <v>752</v>
      </c>
      <c r="C513">
        <v>70009110</v>
      </c>
      <c r="D513" t="s">
        <v>1938</v>
      </c>
      <c r="E513" t="s">
        <v>757</v>
      </c>
      <c r="F513" t="s">
        <v>45</v>
      </c>
      <c r="G513" t="s">
        <v>758</v>
      </c>
      <c r="H513" s="1">
        <v>50000</v>
      </c>
      <c r="I513" t="s">
        <v>1941</v>
      </c>
      <c r="N513" s="4">
        <f t="shared" si="14"/>
        <v>70009110</v>
      </c>
      <c r="O513" t="str">
        <f t="shared" si="15"/>
        <v>M204D1COMM</v>
      </c>
    </row>
    <row r="514" spans="2:15" x14ac:dyDescent="0.25">
      <c r="B514" t="s">
        <v>752</v>
      </c>
      <c r="C514">
        <v>70009110</v>
      </c>
      <c r="D514" t="s">
        <v>1938</v>
      </c>
      <c r="E514" t="s">
        <v>757</v>
      </c>
      <c r="F514" t="s">
        <v>45</v>
      </c>
      <c r="G514" t="s">
        <v>759</v>
      </c>
      <c r="H514" s="1">
        <v>50000</v>
      </c>
      <c r="I514" t="s">
        <v>1941</v>
      </c>
      <c r="N514" s="4">
        <f t="shared" si="14"/>
        <v>70009110</v>
      </c>
      <c r="O514" t="str">
        <f t="shared" si="15"/>
        <v>M204D1COMM</v>
      </c>
    </row>
    <row r="515" spans="2:15" x14ac:dyDescent="0.25">
      <c r="B515" t="s">
        <v>752</v>
      </c>
      <c r="C515">
        <v>70009110</v>
      </c>
      <c r="D515" t="s">
        <v>1938</v>
      </c>
      <c r="E515" t="s">
        <v>757</v>
      </c>
      <c r="F515" t="s">
        <v>45</v>
      </c>
      <c r="G515" t="s">
        <v>760</v>
      </c>
      <c r="H515" s="1">
        <v>50000</v>
      </c>
      <c r="I515" t="s">
        <v>1941</v>
      </c>
      <c r="N515" s="4">
        <f t="shared" si="14"/>
        <v>70009110</v>
      </c>
      <c r="O515" t="str">
        <f t="shared" si="15"/>
        <v>M204D1COMM</v>
      </c>
    </row>
    <row r="516" spans="2:15" x14ac:dyDescent="0.25">
      <c r="B516" t="s">
        <v>752</v>
      </c>
      <c r="C516">
        <v>70108100</v>
      </c>
      <c r="D516" t="s">
        <v>1943</v>
      </c>
      <c r="E516" t="s">
        <v>761</v>
      </c>
      <c r="F516" t="s">
        <v>274</v>
      </c>
      <c r="G516" t="s">
        <v>762</v>
      </c>
      <c r="H516" s="1">
        <v>272900</v>
      </c>
      <c r="I516" t="s">
        <v>1949</v>
      </c>
      <c r="N516" s="4">
        <f t="shared" si="14"/>
        <v>70108100</v>
      </c>
      <c r="O516" t="str">
        <f t="shared" si="15"/>
        <v>R124D1HRGA</v>
      </c>
    </row>
    <row r="517" spans="2:15" x14ac:dyDescent="0.25">
      <c r="B517" t="s">
        <v>752</v>
      </c>
      <c r="C517">
        <v>70106400</v>
      </c>
      <c r="D517" t="s">
        <v>1943</v>
      </c>
      <c r="E517" t="s">
        <v>763</v>
      </c>
      <c r="F517" t="s">
        <v>96</v>
      </c>
      <c r="G517" t="s">
        <v>764</v>
      </c>
      <c r="H517" s="1">
        <v>730000</v>
      </c>
      <c r="I517" t="s">
        <v>1998</v>
      </c>
      <c r="N517" s="4">
        <f t="shared" si="14"/>
        <v>70106400</v>
      </c>
      <c r="O517" t="str">
        <f t="shared" si="15"/>
        <v>R124D1HRGA</v>
      </c>
    </row>
    <row r="518" spans="2:15" x14ac:dyDescent="0.25">
      <c r="B518" t="s">
        <v>752</v>
      </c>
      <c r="C518">
        <v>70106100</v>
      </c>
      <c r="D518" t="s">
        <v>1943</v>
      </c>
      <c r="E518" t="s">
        <v>763</v>
      </c>
      <c r="F518" t="s">
        <v>67</v>
      </c>
      <c r="G518" t="s">
        <v>765</v>
      </c>
      <c r="H518" s="1">
        <v>269000</v>
      </c>
      <c r="I518" t="s">
        <v>1998</v>
      </c>
      <c r="N518" s="4">
        <f t="shared" si="14"/>
        <v>70106100</v>
      </c>
      <c r="O518" t="str">
        <f t="shared" si="15"/>
        <v>R124D1HRGA</v>
      </c>
    </row>
    <row r="519" spans="2:15" x14ac:dyDescent="0.25">
      <c r="B519" t="s">
        <v>766</v>
      </c>
      <c r="C519">
        <v>70101202</v>
      </c>
      <c r="D519" t="s">
        <v>1945</v>
      </c>
      <c r="E519" t="s">
        <v>767</v>
      </c>
      <c r="F519" t="s">
        <v>57</v>
      </c>
      <c r="G519" t="s">
        <v>768</v>
      </c>
      <c r="H519" s="1">
        <v>814000</v>
      </c>
      <c r="I519" t="s">
        <v>2001</v>
      </c>
      <c r="N519" s="4">
        <f t="shared" si="14"/>
        <v>70101202</v>
      </c>
      <c r="O519" t="str">
        <f t="shared" si="15"/>
        <v>R124MIN</v>
      </c>
    </row>
    <row r="520" spans="2:15" x14ac:dyDescent="0.25">
      <c r="B520" t="s">
        <v>766</v>
      </c>
      <c r="C520">
        <v>70106100</v>
      </c>
      <c r="D520" t="s">
        <v>1943</v>
      </c>
      <c r="E520" t="s">
        <v>769</v>
      </c>
      <c r="F520" t="s">
        <v>67</v>
      </c>
      <c r="G520" t="s">
        <v>770</v>
      </c>
      <c r="H520" s="1">
        <v>510000</v>
      </c>
      <c r="I520" t="s">
        <v>1942</v>
      </c>
      <c r="N520" s="4">
        <f t="shared" si="14"/>
        <v>70106100</v>
      </c>
      <c r="O520" t="str">
        <f t="shared" si="15"/>
        <v>R124D1HRGA</v>
      </c>
    </row>
    <row r="521" spans="2:15" x14ac:dyDescent="0.25">
      <c r="B521" t="s">
        <v>766</v>
      </c>
      <c r="C521">
        <v>70106400</v>
      </c>
      <c r="D521" t="s">
        <v>1943</v>
      </c>
      <c r="E521" t="s">
        <v>769</v>
      </c>
      <c r="F521" t="s">
        <v>96</v>
      </c>
      <c r="G521" t="s">
        <v>771</v>
      </c>
      <c r="H521" s="1">
        <v>490000</v>
      </c>
      <c r="I521" t="s">
        <v>1942</v>
      </c>
      <c r="N521" s="4">
        <f t="shared" si="14"/>
        <v>70106400</v>
      </c>
      <c r="O521" t="str">
        <f t="shared" si="15"/>
        <v>R124D1HRGA</v>
      </c>
    </row>
    <row r="522" spans="2:15" x14ac:dyDescent="0.25">
      <c r="B522" t="s">
        <v>766</v>
      </c>
      <c r="C522">
        <v>70009110</v>
      </c>
      <c r="D522" t="s">
        <v>1938</v>
      </c>
      <c r="E522" t="s">
        <v>772</v>
      </c>
      <c r="F522" t="s">
        <v>45</v>
      </c>
      <c r="G522" t="s">
        <v>773</v>
      </c>
      <c r="H522" s="1">
        <v>50000</v>
      </c>
      <c r="I522" t="s">
        <v>1941</v>
      </c>
      <c r="N522" s="4">
        <f t="shared" si="14"/>
        <v>70009110</v>
      </c>
      <c r="O522" t="str">
        <f t="shared" si="15"/>
        <v>M204D1COMM</v>
      </c>
    </row>
    <row r="523" spans="2:15" x14ac:dyDescent="0.25">
      <c r="B523" t="s">
        <v>766</v>
      </c>
      <c r="C523">
        <v>70009110</v>
      </c>
      <c r="D523" t="s">
        <v>1938</v>
      </c>
      <c r="E523" t="s">
        <v>772</v>
      </c>
      <c r="F523" t="s">
        <v>45</v>
      </c>
      <c r="G523" t="s">
        <v>774</v>
      </c>
      <c r="H523" s="1">
        <v>50000</v>
      </c>
      <c r="I523" t="s">
        <v>1941</v>
      </c>
      <c r="N523" s="4">
        <f t="shared" ref="N523:N586" si="16">+C523</f>
        <v>70009110</v>
      </c>
      <c r="O523" t="str">
        <f t="shared" ref="O523:O586" si="17">+D523</f>
        <v>M204D1COMM</v>
      </c>
    </row>
    <row r="524" spans="2:15" x14ac:dyDescent="0.25">
      <c r="B524" t="s">
        <v>775</v>
      </c>
      <c r="C524">
        <v>70101114</v>
      </c>
      <c r="D524" t="s">
        <v>1962</v>
      </c>
      <c r="E524" t="s">
        <v>776</v>
      </c>
      <c r="F524" t="s">
        <v>59</v>
      </c>
      <c r="G524" t="s">
        <v>777</v>
      </c>
      <c r="H524" s="1">
        <v>70000</v>
      </c>
      <c r="I524" t="s">
        <v>1963</v>
      </c>
      <c r="N524" s="4">
        <f t="shared" si="16"/>
        <v>70101114</v>
      </c>
      <c r="O524" t="str">
        <f t="shared" si="17"/>
        <v>R124LOG</v>
      </c>
    </row>
    <row r="525" spans="2:15" x14ac:dyDescent="0.25">
      <c r="B525" t="s">
        <v>775</v>
      </c>
      <c r="C525">
        <v>70107600</v>
      </c>
      <c r="D525" t="s">
        <v>1961</v>
      </c>
      <c r="E525" t="s">
        <v>778</v>
      </c>
      <c r="F525" t="s">
        <v>126</v>
      </c>
      <c r="G525" t="s">
        <v>779</v>
      </c>
      <c r="H525" s="1">
        <v>100000</v>
      </c>
      <c r="I525" t="s">
        <v>1960</v>
      </c>
      <c r="N525" s="4">
        <f t="shared" si="16"/>
        <v>70107600</v>
      </c>
      <c r="O525" t="str">
        <f t="shared" si="17"/>
        <v>R124D1EHFS</v>
      </c>
    </row>
    <row r="526" spans="2:15" x14ac:dyDescent="0.25">
      <c r="B526" t="s">
        <v>775</v>
      </c>
      <c r="C526">
        <v>70009110</v>
      </c>
      <c r="D526" t="s">
        <v>1923</v>
      </c>
      <c r="E526" t="s">
        <v>780</v>
      </c>
      <c r="F526" t="s">
        <v>45</v>
      </c>
      <c r="G526" t="s">
        <v>781</v>
      </c>
      <c r="H526" s="1">
        <v>50000</v>
      </c>
      <c r="I526" t="s">
        <v>1990</v>
      </c>
      <c r="N526" s="4">
        <f t="shared" si="16"/>
        <v>70009110</v>
      </c>
      <c r="O526" t="str">
        <f t="shared" si="17"/>
        <v>P206D1SLSS</v>
      </c>
    </row>
    <row r="527" spans="2:15" x14ac:dyDescent="0.25">
      <c r="B527" t="s">
        <v>775</v>
      </c>
      <c r="C527">
        <v>70009110</v>
      </c>
      <c r="D527" t="s">
        <v>1923</v>
      </c>
      <c r="E527" t="s">
        <v>780</v>
      </c>
      <c r="F527" t="s">
        <v>45</v>
      </c>
      <c r="G527" t="s">
        <v>782</v>
      </c>
      <c r="H527" s="1">
        <v>50000</v>
      </c>
      <c r="I527" t="s">
        <v>1990</v>
      </c>
      <c r="N527" s="4">
        <f t="shared" si="16"/>
        <v>70009110</v>
      </c>
      <c r="O527" t="str">
        <f t="shared" si="17"/>
        <v>P206D1SLSS</v>
      </c>
    </row>
    <row r="528" spans="2:15" x14ac:dyDescent="0.25">
      <c r="B528" t="s">
        <v>775</v>
      </c>
      <c r="C528">
        <v>70009110</v>
      </c>
      <c r="D528" t="s">
        <v>1923</v>
      </c>
      <c r="E528" t="s">
        <v>780</v>
      </c>
      <c r="F528" t="s">
        <v>45</v>
      </c>
      <c r="G528" t="s">
        <v>783</v>
      </c>
      <c r="H528" s="1">
        <v>50000</v>
      </c>
      <c r="I528" t="s">
        <v>1990</v>
      </c>
      <c r="N528" s="4">
        <f t="shared" si="16"/>
        <v>70009110</v>
      </c>
      <c r="O528" t="str">
        <f t="shared" si="17"/>
        <v>P206D1SLSS</v>
      </c>
    </row>
    <row r="529" spans="2:15" x14ac:dyDescent="0.25">
      <c r="B529" t="s">
        <v>775</v>
      </c>
      <c r="C529">
        <v>70009110</v>
      </c>
      <c r="D529" t="s">
        <v>1923</v>
      </c>
      <c r="E529" t="s">
        <v>780</v>
      </c>
      <c r="F529" t="s">
        <v>45</v>
      </c>
      <c r="G529" t="s">
        <v>784</v>
      </c>
      <c r="H529" s="1">
        <v>50000</v>
      </c>
      <c r="I529" t="s">
        <v>1990</v>
      </c>
      <c r="N529" s="4">
        <f t="shared" si="16"/>
        <v>70009110</v>
      </c>
      <c r="O529" t="str">
        <f t="shared" si="17"/>
        <v>P206D1SLSS</v>
      </c>
    </row>
    <row r="530" spans="2:15" x14ac:dyDescent="0.25">
      <c r="B530" t="s">
        <v>775</v>
      </c>
      <c r="C530">
        <v>70108100</v>
      </c>
      <c r="D530" t="s">
        <v>1935</v>
      </c>
      <c r="E530" t="s">
        <v>785</v>
      </c>
      <c r="F530" t="s">
        <v>274</v>
      </c>
      <c r="G530" t="s">
        <v>786</v>
      </c>
      <c r="H530" s="1">
        <v>24000</v>
      </c>
      <c r="I530" t="s">
        <v>2000</v>
      </c>
      <c r="N530" s="4">
        <f t="shared" si="16"/>
        <v>70108100</v>
      </c>
      <c r="O530" t="str">
        <f t="shared" si="17"/>
        <v>R124WHRS</v>
      </c>
    </row>
    <row r="531" spans="2:15" x14ac:dyDescent="0.25">
      <c r="B531" t="s">
        <v>787</v>
      </c>
      <c r="C531">
        <v>70009110</v>
      </c>
      <c r="D531" t="s">
        <v>1923</v>
      </c>
      <c r="E531" t="s">
        <v>788</v>
      </c>
      <c r="F531" t="s">
        <v>45</v>
      </c>
      <c r="G531" t="s">
        <v>789</v>
      </c>
      <c r="H531" s="1">
        <v>50000</v>
      </c>
      <c r="I531" t="s">
        <v>1936</v>
      </c>
      <c r="N531" s="4">
        <f t="shared" si="16"/>
        <v>70009110</v>
      </c>
      <c r="O531" t="str">
        <f t="shared" si="17"/>
        <v>P206D1SLSS</v>
      </c>
    </row>
    <row r="532" spans="2:15" x14ac:dyDescent="0.25">
      <c r="B532" t="s">
        <v>787</v>
      </c>
      <c r="C532">
        <v>70009110</v>
      </c>
      <c r="D532" t="s">
        <v>1938</v>
      </c>
      <c r="E532" t="s">
        <v>788</v>
      </c>
      <c r="F532" t="s">
        <v>45</v>
      </c>
      <c r="G532" t="s">
        <v>790</v>
      </c>
      <c r="H532" s="1">
        <v>50000</v>
      </c>
      <c r="I532" t="s">
        <v>1936</v>
      </c>
      <c r="N532" s="4">
        <f t="shared" si="16"/>
        <v>70009110</v>
      </c>
      <c r="O532" t="str">
        <f t="shared" si="17"/>
        <v>M204D1COMM</v>
      </c>
    </row>
    <row r="533" spans="2:15" x14ac:dyDescent="0.25">
      <c r="B533" t="s">
        <v>787</v>
      </c>
      <c r="C533">
        <v>70009110</v>
      </c>
      <c r="D533" t="s">
        <v>1967</v>
      </c>
      <c r="E533" t="s">
        <v>788</v>
      </c>
      <c r="F533" t="s">
        <v>45</v>
      </c>
      <c r="G533" t="s">
        <v>791</v>
      </c>
      <c r="H533" s="1">
        <v>50000</v>
      </c>
      <c r="I533" t="s">
        <v>1936</v>
      </c>
      <c r="N533" s="4">
        <f t="shared" si="16"/>
        <v>70009110</v>
      </c>
      <c r="O533" t="str">
        <f t="shared" si="17"/>
        <v>P206D1SLSC</v>
      </c>
    </row>
    <row r="534" spans="2:15" x14ac:dyDescent="0.25">
      <c r="B534" t="s">
        <v>787</v>
      </c>
      <c r="C534">
        <v>70009110</v>
      </c>
      <c r="D534" t="s">
        <v>1967</v>
      </c>
      <c r="E534" t="s">
        <v>788</v>
      </c>
      <c r="F534" t="s">
        <v>45</v>
      </c>
      <c r="G534" t="s">
        <v>792</v>
      </c>
      <c r="H534" s="1">
        <v>50000</v>
      </c>
      <c r="I534" t="s">
        <v>1936</v>
      </c>
      <c r="N534" s="4">
        <f t="shared" si="16"/>
        <v>70009110</v>
      </c>
      <c r="O534" t="str">
        <f t="shared" si="17"/>
        <v>P206D1SLSC</v>
      </c>
    </row>
    <row r="535" spans="2:15" x14ac:dyDescent="0.25">
      <c r="B535" t="s">
        <v>787</v>
      </c>
      <c r="C535">
        <v>70009110</v>
      </c>
      <c r="D535" t="s">
        <v>1923</v>
      </c>
      <c r="E535" t="s">
        <v>788</v>
      </c>
      <c r="F535" t="s">
        <v>45</v>
      </c>
      <c r="G535" t="s">
        <v>793</v>
      </c>
      <c r="H535" s="1">
        <v>50000</v>
      </c>
      <c r="I535" t="s">
        <v>1936</v>
      </c>
      <c r="N535" s="4">
        <f t="shared" si="16"/>
        <v>70009110</v>
      </c>
      <c r="O535" t="str">
        <f t="shared" si="17"/>
        <v>P206D1SLSS</v>
      </c>
    </row>
    <row r="536" spans="2:15" x14ac:dyDescent="0.25">
      <c r="B536" t="s">
        <v>787</v>
      </c>
      <c r="C536">
        <v>70009110</v>
      </c>
      <c r="D536" t="s">
        <v>1967</v>
      </c>
      <c r="E536" t="s">
        <v>794</v>
      </c>
      <c r="F536" t="s">
        <v>45</v>
      </c>
      <c r="G536" t="s">
        <v>795</v>
      </c>
      <c r="H536" s="1">
        <v>50000</v>
      </c>
      <c r="I536" t="s">
        <v>1985</v>
      </c>
      <c r="N536" s="4">
        <f t="shared" si="16"/>
        <v>70009110</v>
      </c>
      <c r="O536" t="str">
        <f t="shared" si="17"/>
        <v>P206D1SLSC</v>
      </c>
    </row>
    <row r="537" spans="2:15" x14ac:dyDescent="0.25">
      <c r="B537" t="s">
        <v>787</v>
      </c>
      <c r="C537">
        <v>70009110</v>
      </c>
      <c r="D537" t="s">
        <v>1967</v>
      </c>
      <c r="E537" t="s">
        <v>794</v>
      </c>
      <c r="F537" t="s">
        <v>45</v>
      </c>
      <c r="G537" t="s">
        <v>796</v>
      </c>
      <c r="H537" s="1">
        <v>50000</v>
      </c>
      <c r="I537" t="s">
        <v>1985</v>
      </c>
      <c r="N537" s="4">
        <f t="shared" si="16"/>
        <v>70009110</v>
      </c>
      <c r="O537" t="str">
        <f t="shared" si="17"/>
        <v>P206D1SLSC</v>
      </c>
    </row>
    <row r="538" spans="2:15" x14ac:dyDescent="0.25">
      <c r="B538" t="s">
        <v>787</v>
      </c>
      <c r="C538">
        <v>70009110</v>
      </c>
      <c r="D538" t="s">
        <v>1923</v>
      </c>
      <c r="E538" t="s">
        <v>794</v>
      </c>
      <c r="F538" t="s">
        <v>45</v>
      </c>
      <c r="G538" t="s">
        <v>797</v>
      </c>
      <c r="H538" s="1">
        <v>50000</v>
      </c>
      <c r="I538" t="s">
        <v>1985</v>
      </c>
      <c r="N538" s="4">
        <f t="shared" si="16"/>
        <v>70009110</v>
      </c>
      <c r="O538" t="str">
        <f t="shared" si="17"/>
        <v>P206D1SLSS</v>
      </c>
    </row>
    <row r="539" spans="2:15" x14ac:dyDescent="0.25">
      <c r="B539" t="s">
        <v>787</v>
      </c>
      <c r="C539">
        <v>70106400</v>
      </c>
      <c r="D539" t="s">
        <v>1943</v>
      </c>
      <c r="E539" t="s">
        <v>798</v>
      </c>
      <c r="F539" t="s">
        <v>96</v>
      </c>
      <c r="G539" t="s">
        <v>799</v>
      </c>
      <c r="H539" s="1">
        <v>610000</v>
      </c>
      <c r="I539" t="s">
        <v>1998</v>
      </c>
      <c r="N539" s="4">
        <f t="shared" si="16"/>
        <v>70106400</v>
      </c>
      <c r="O539" t="str">
        <f t="shared" si="17"/>
        <v>R124D1HRGA</v>
      </c>
    </row>
    <row r="540" spans="2:15" x14ac:dyDescent="0.25">
      <c r="B540" t="s">
        <v>787</v>
      </c>
      <c r="C540">
        <v>70106100</v>
      </c>
      <c r="D540" t="s">
        <v>1943</v>
      </c>
      <c r="E540" t="s">
        <v>798</v>
      </c>
      <c r="F540" t="s">
        <v>67</v>
      </c>
      <c r="G540" t="s">
        <v>800</v>
      </c>
      <c r="H540" s="1">
        <v>390000</v>
      </c>
      <c r="I540" t="s">
        <v>1998</v>
      </c>
      <c r="N540" s="4">
        <f t="shared" si="16"/>
        <v>70106100</v>
      </c>
      <c r="O540" t="str">
        <f t="shared" si="17"/>
        <v>R124D1HRGA</v>
      </c>
    </row>
    <row r="541" spans="2:15" x14ac:dyDescent="0.25">
      <c r="B541" t="s">
        <v>787</v>
      </c>
      <c r="C541">
        <v>70119300</v>
      </c>
      <c r="D541" t="s">
        <v>1975</v>
      </c>
      <c r="E541" t="s">
        <v>801</v>
      </c>
      <c r="F541" t="s">
        <v>259</v>
      </c>
      <c r="G541" t="s">
        <v>802</v>
      </c>
      <c r="H541" s="1">
        <v>100000</v>
      </c>
      <c r="I541" t="s">
        <v>1920</v>
      </c>
      <c r="N541" s="4">
        <f t="shared" si="16"/>
        <v>70119300</v>
      </c>
      <c r="O541" t="str">
        <f t="shared" si="17"/>
        <v>R124D1MGMT</v>
      </c>
    </row>
    <row r="542" spans="2:15" x14ac:dyDescent="0.25">
      <c r="B542" t="s">
        <v>787</v>
      </c>
      <c r="C542">
        <v>70107600</v>
      </c>
      <c r="D542" t="s">
        <v>1975</v>
      </c>
      <c r="E542" t="s">
        <v>803</v>
      </c>
      <c r="F542" t="s">
        <v>126</v>
      </c>
      <c r="G542" t="s">
        <v>804</v>
      </c>
      <c r="H542" s="1">
        <v>166800</v>
      </c>
      <c r="I542" t="s">
        <v>1920</v>
      </c>
      <c r="N542" s="4">
        <f t="shared" si="16"/>
        <v>70107600</v>
      </c>
      <c r="O542" t="str">
        <f t="shared" si="17"/>
        <v>R124D1MGMT</v>
      </c>
    </row>
    <row r="543" spans="2:15" x14ac:dyDescent="0.25">
      <c r="B543" t="s">
        <v>787</v>
      </c>
      <c r="C543">
        <v>70108100</v>
      </c>
      <c r="D543" t="s">
        <v>1975</v>
      </c>
      <c r="E543" t="s">
        <v>803</v>
      </c>
      <c r="F543" t="s">
        <v>274</v>
      </c>
      <c r="G543" t="s">
        <v>805</v>
      </c>
      <c r="H543" s="1">
        <v>105500</v>
      </c>
      <c r="I543" t="s">
        <v>1920</v>
      </c>
      <c r="N543" s="4">
        <f t="shared" si="16"/>
        <v>70108100</v>
      </c>
      <c r="O543" t="str">
        <f t="shared" si="17"/>
        <v>R124D1MGMT</v>
      </c>
    </row>
    <row r="544" spans="2:15" x14ac:dyDescent="0.25">
      <c r="B544" t="s">
        <v>787</v>
      </c>
      <c r="C544">
        <v>70107600</v>
      </c>
      <c r="D544" t="s">
        <v>1975</v>
      </c>
      <c r="E544" t="s">
        <v>806</v>
      </c>
      <c r="F544" t="s">
        <v>126</v>
      </c>
      <c r="G544" t="s">
        <v>807</v>
      </c>
      <c r="H544" s="1">
        <v>246000</v>
      </c>
      <c r="I544" t="s">
        <v>1920</v>
      </c>
      <c r="N544" s="4">
        <f t="shared" si="16"/>
        <v>70107600</v>
      </c>
      <c r="O544" t="str">
        <f t="shared" si="17"/>
        <v>R124D1MGMT</v>
      </c>
    </row>
    <row r="545" spans="2:15" x14ac:dyDescent="0.25">
      <c r="B545" t="s">
        <v>787</v>
      </c>
      <c r="C545">
        <v>70110110</v>
      </c>
      <c r="D545" t="s">
        <v>1921</v>
      </c>
      <c r="E545" t="s">
        <v>808</v>
      </c>
      <c r="F545" t="s">
        <v>281</v>
      </c>
      <c r="G545" t="s">
        <v>809</v>
      </c>
      <c r="H545" s="1">
        <v>350000</v>
      </c>
      <c r="I545" t="s">
        <v>2004</v>
      </c>
      <c r="N545" s="4">
        <f t="shared" si="16"/>
        <v>70110110</v>
      </c>
      <c r="O545" t="str">
        <f t="shared" si="17"/>
        <v>R124D1HRDV</v>
      </c>
    </row>
    <row r="546" spans="2:15" x14ac:dyDescent="0.25">
      <c r="B546" t="s">
        <v>787</v>
      </c>
      <c r="C546">
        <v>70110110</v>
      </c>
      <c r="D546" t="s">
        <v>1921</v>
      </c>
      <c r="E546" t="s">
        <v>808</v>
      </c>
      <c r="F546" t="s">
        <v>281</v>
      </c>
      <c r="G546" t="s">
        <v>810</v>
      </c>
      <c r="H546" s="1">
        <v>350000</v>
      </c>
      <c r="I546" t="s">
        <v>2004</v>
      </c>
      <c r="N546" s="4">
        <f t="shared" si="16"/>
        <v>70110110</v>
      </c>
      <c r="O546" t="str">
        <f t="shared" si="17"/>
        <v>R124D1HRDV</v>
      </c>
    </row>
    <row r="547" spans="2:15" x14ac:dyDescent="0.25">
      <c r="B547" t="s">
        <v>811</v>
      </c>
      <c r="C547">
        <v>70101114</v>
      </c>
      <c r="D547" t="s">
        <v>1943</v>
      </c>
      <c r="E547" t="s">
        <v>812</v>
      </c>
      <c r="F547" t="s">
        <v>59</v>
      </c>
      <c r="G547" t="s">
        <v>813</v>
      </c>
      <c r="H547" s="1">
        <v>405900</v>
      </c>
      <c r="I547" t="s">
        <v>1949</v>
      </c>
      <c r="N547" s="4">
        <f t="shared" si="16"/>
        <v>70101114</v>
      </c>
      <c r="O547" t="str">
        <f t="shared" si="17"/>
        <v>R124D1HRGA</v>
      </c>
    </row>
    <row r="548" spans="2:15" x14ac:dyDescent="0.25">
      <c r="B548" t="s">
        <v>811</v>
      </c>
      <c r="C548">
        <v>70101202</v>
      </c>
      <c r="D548" t="s">
        <v>1951</v>
      </c>
      <c r="E548" t="s">
        <v>814</v>
      </c>
      <c r="F548" t="s">
        <v>57</v>
      </c>
      <c r="G548" t="s">
        <v>815</v>
      </c>
      <c r="H548" s="1">
        <v>800000</v>
      </c>
      <c r="I548" t="s">
        <v>1950</v>
      </c>
      <c r="N548" s="4">
        <f t="shared" si="16"/>
        <v>70101202</v>
      </c>
      <c r="O548" t="str">
        <f t="shared" si="17"/>
        <v>R124REF</v>
      </c>
    </row>
    <row r="549" spans="2:15" x14ac:dyDescent="0.25">
      <c r="B549" t="s">
        <v>811</v>
      </c>
      <c r="C549" t="s">
        <v>811</v>
      </c>
      <c r="D549" t="s">
        <v>2007</v>
      </c>
      <c r="E549" t="s">
        <v>816</v>
      </c>
      <c r="F549" t="s">
        <v>375</v>
      </c>
      <c r="G549" t="s">
        <v>817</v>
      </c>
      <c r="H549" s="1">
        <v>690000</v>
      </c>
      <c r="I549" t="s">
        <v>2005</v>
      </c>
      <c r="N549" s="4" t="str">
        <f t="shared" si="16"/>
        <v>15.09.2025</v>
      </c>
      <c r="O549" t="str">
        <f t="shared" si="17"/>
        <v>R124FRA</v>
      </c>
    </row>
    <row r="550" spans="2:15" x14ac:dyDescent="0.25">
      <c r="B550" t="s">
        <v>811</v>
      </c>
      <c r="C550" t="s">
        <v>811</v>
      </c>
      <c r="D550" t="s">
        <v>2007</v>
      </c>
      <c r="E550" t="s">
        <v>818</v>
      </c>
      <c r="F550" t="s">
        <v>375</v>
      </c>
      <c r="G550" t="s">
        <v>819</v>
      </c>
      <c r="H550" s="1">
        <v>40770</v>
      </c>
      <c r="I550" t="s">
        <v>2006</v>
      </c>
      <c r="N550" s="4" t="str">
        <f t="shared" si="16"/>
        <v>15.09.2025</v>
      </c>
      <c r="O550" t="str">
        <f t="shared" si="17"/>
        <v>R124FRA</v>
      </c>
    </row>
    <row r="551" spans="2:15" x14ac:dyDescent="0.25">
      <c r="B551" t="s">
        <v>811</v>
      </c>
      <c r="C551" t="s">
        <v>811</v>
      </c>
      <c r="D551" t="s">
        <v>2007</v>
      </c>
      <c r="E551" t="s">
        <v>820</v>
      </c>
      <c r="F551" t="s">
        <v>375</v>
      </c>
      <c r="G551" t="s">
        <v>821</v>
      </c>
      <c r="H551" s="1">
        <v>321404</v>
      </c>
      <c r="I551" t="s">
        <v>1934</v>
      </c>
      <c r="N551" s="4" t="str">
        <f t="shared" si="16"/>
        <v>15.09.2025</v>
      </c>
      <c r="O551" t="str">
        <f t="shared" si="17"/>
        <v>R124FRA</v>
      </c>
    </row>
    <row r="552" spans="2:15" x14ac:dyDescent="0.25">
      <c r="B552" t="s">
        <v>811</v>
      </c>
      <c r="C552" t="s">
        <v>811</v>
      </c>
      <c r="D552" t="s">
        <v>2007</v>
      </c>
      <c r="E552" t="s">
        <v>822</v>
      </c>
      <c r="F552" t="s">
        <v>375</v>
      </c>
      <c r="G552" t="s">
        <v>823</v>
      </c>
      <c r="H552" s="1">
        <v>151679</v>
      </c>
      <c r="I552" t="s">
        <v>1994</v>
      </c>
      <c r="N552" s="4" t="str">
        <f t="shared" si="16"/>
        <v>15.09.2025</v>
      </c>
      <c r="O552" t="str">
        <f t="shared" si="17"/>
        <v>R124FRA</v>
      </c>
    </row>
    <row r="553" spans="2:15" x14ac:dyDescent="0.25">
      <c r="B553" t="s">
        <v>811</v>
      </c>
      <c r="C553">
        <v>70101114</v>
      </c>
      <c r="D553" t="s">
        <v>2007</v>
      </c>
      <c r="E553" t="s">
        <v>822</v>
      </c>
      <c r="F553" t="s">
        <v>59</v>
      </c>
      <c r="G553" t="s">
        <v>824</v>
      </c>
      <c r="H553" s="1">
        <v>61000</v>
      </c>
      <c r="I553" t="s">
        <v>1994</v>
      </c>
      <c r="N553" s="4">
        <f t="shared" si="16"/>
        <v>70101114</v>
      </c>
      <c r="O553" t="str">
        <f t="shared" si="17"/>
        <v>R124FRA</v>
      </c>
    </row>
    <row r="554" spans="2:15" x14ac:dyDescent="0.25">
      <c r="B554" t="s">
        <v>811</v>
      </c>
      <c r="C554">
        <v>70101202</v>
      </c>
      <c r="D554" t="s">
        <v>2008</v>
      </c>
      <c r="E554" t="s">
        <v>825</v>
      </c>
      <c r="F554" t="s">
        <v>57</v>
      </c>
      <c r="G554" t="s">
        <v>826</v>
      </c>
      <c r="H554" s="1">
        <v>133500</v>
      </c>
      <c r="I554" t="s">
        <v>1952</v>
      </c>
      <c r="N554" s="4">
        <f t="shared" si="16"/>
        <v>70101202</v>
      </c>
      <c r="O554" t="str">
        <f t="shared" si="17"/>
        <v>R124STTRK</v>
      </c>
    </row>
    <row r="555" spans="2:15" x14ac:dyDescent="0.25">
      <c r="B555" t="s">
        <v>811</v>
      </c>
      <c r="C555">
        <v>70107100</v>
      </c>
      <c r="D555" t="s">
        <v>1943</v>
      </c>
      <c r="E555" t="s">
        <v>827</v>
      </c>
      <c r="F555" t="s">
        <v>254</v>
      </c>
      <c r="G555" t="s">
        <v>828</v>
      </c>
      <c r="H555" s="1">
        <v>290500</v>
      </c>
      <c r="I555" t="s">
        <v>1949</v>
      </c>
      <c r="N555" s="4">
        <f t="shared" si="16"/>
        <v>70107100</v>
      </c>
      <c r="O555" t="str">
        <f t="shared" si="17"/>
        <v>R124D1HRGA</v>
      </c>
    </row>
    <row r="556" spans="2:15" x14ac:dyDescent="0.25">
      <c r="B556" t="s">
        <v>811</v>
      </c>
      <c r="C556">
        <v>70101202</v>
      </c>
      <c r="D556" t="s">
        <v>1924</v>
      </c>
      <c r="E556" t="s">
        <v>829</v>
      </c>
      <c r="F556" t="s">
        <v>57</v>
      </c>
      <c r="G556" t="s">
        <v>830</v>
      </c>
      <c r="H556" s="1">
        <v>430000</v>
      </c>
      <c r="I556" t="s">
        <v>1964</v>
      </c>
      <c r="N556" s="4">
        <f t="shared" si="16"/>
        <v>70101202</v>
      </c>
      <c r="O556" t="str">
        <f t="shared" si="17"/>
        <v>C206D1SLSS</v>
      </c>
    </row>
    <row r="557" spans="2:15" x14ac:dyDescent="0.25">
      <c r="B557" t="s">
        <v>811</v>
      </c>
      <c r="C557">
        <v>70101202</v>
      </c>
      <c r="D557" t="s">
        <v>1923</v>
      </c>
      <c r="E557" t="s">
        <v>831</v>
      </c>
      <c r="F557" t="s">
        <v>57</v>
      </c>
      <c r="G557" t="s">
        <v>832</v>
      </c>
      <c r="H557" s="1">
        <v>298000</v>
      </c>
      <c r="I557" t="s">
        <v>2009</v>
      </c>
      <c r="N557" s="4">
        <f t="shared" si="16"/>
        <v>70101202</v>
      </c>
      <c r="O557" t="str">
        <f t="shared" si="17"/>
        <v>P206D1SLSS</v>
      </c>
    </row>
    <row r="558" spans="2:15" x14ac:dyDescent="0.25">
      <c r="B558" t="s">
        <v>811</v>
      </c>
      <c r="C558" t="s">
        <v>836</v>
      </c>
      <c r="D558" t="s">
        <v>1943</v>
      </c>
      <c r="F558" t="s">
        <v>249</v>
      </c>
      <c r="G558" t="s">
        <v>833</v>
      </c>
      <c r="H558">
        <v>0</v>
      </c>
      <c r="I558" t="s">
        <v>1969</v>
      </c>
      <c r="N558" s="4" t="str">
        <f t="shared" si="16"/>
        <v>01.10.2025</v>
      </c>
      <c r="O558" t="str">
        <f t="shared" si="17"/>
        <v>R124D1HRGA</v>
      </c>
    </row>
    <row r="559" spans="2:15" x14ac:dyDescent="0.25">
      <c r="B559" t="s">
        <v>836</v>
      </c>
      <c r="C559">
        <v>70101102</v>
      </c>
      <c r="D559" t="s">
        <v>1943</v>
      </c>
      <c r="E559" t="s">
        <v>839</v>
      </c>
      <c r="F559" t="s">
        <v>129</v>
      </c>
      <c r="G559" t="s">
        <v>840</v>
      </c>
      <c r="H559" s="1">
        <v>990000</v>
      </c>
      <c r="I559" t="s">
        <v>1949</v>
      </c>
      <c r="N559" s="4">
        <f t="shared" si="16"/>
        <v>70101102</v>
      </c>
      <c r="O559" t="str">
        <f t="shared" si="17"/>
        <v>R124D1HRGA</v>
      </c>
    </row>
    <row r="560" spans="2:15" x14ac:dyDescent="0.25">
      <c r="B560" t="s">
        <v>841</v>
      </c>
      <c r="C560">
        <v>70119300</v>
      </c>
      <c r="D560" t="s">
        <v>1923</v>
      </c>
      <c r="E560" t="s">
        <v>842</v>
      </c>
      <c r="F560" t="s">
        <v>259</v>
      </c>
      <c r="G560" t="s">
        <v>843</v>
      </c>
      <c r="H560" s="1">
        <v>1000000</v>
      </c>
      <c r="I560" t="s">
        <v>1968</v>
      </c>
      <c r="N560" s="4">
        <f t="shared" si="16"/>
        <v>70119300</v>
      </c>
      <c r="O560" t="str">
        <f t="shared" si="17"/>
        <v>P206D1SLSS</v>
      </c>
    </row>
    <row r="561" spans="2:15" x14ac:dyDescent="0.25">
      <c r="B561" t="s">
        <v>841</v>
      </c>
      <c r="C561">
        <v>70107300</v>
      </c>
      <c r="D561" t="s">
        <v>1921</v>
      </c>
      <c r="E561" t="s">
        <v>844</v>
      </c>
      <c r="F561" t="s">
        <v>41</v>
      </c>
      <c r="G561" t="s">
        <v>845</v>
      </c>
      <c r="H561" s="1">
        <v>480000</v>
      </c>
      <c r="I561" t="s">
        <v>1920</v>
      </c>
      <c r="N561" s="4">
        <f t="shared" si="16"/>
        <v>70107300</v>
      </c>
      <c r="O561" t="str">
        <f t="shared" si="17"/>
        <v>R124D1HRDV</v>
      </c>
    </row>
    <row r="562" spans="2:15" x14ac:dyDescent="0.25">
      <c r="B562" t="s">
        <v>841</v>
      </c>
      <c r="C562">
        <v>70101202</v>
      </c>
      <c r="D562" t="s">
        <v>1933</v>
      </c>
      <c r="E562" t="s">
        <v>846</v>
      </c>
      <c r="F562" t="s">
        <v>57</v>
      </c>
      <c r="G562" t="s">
        <v>847</v>
      </c>
      <c r="H562" s="1">
        <v>80000</v>
      </c>
      <c r="I562" t="s">
        <v>1932</v>
      </c>
      <c r="N562" s="4">
        <f t="shared" si="16"/>
        <v>70101202</v>
      </c>
      <c r="O562" t="str">
        <f t="shared" si="17"/>
        <v>R124TCP</v>
      </c>
    </row>
    <row r="563" spans="2:15" x14ac:dyDescent="0.25">
      <c r="B563" t="s">
        <v>841</v>
      </c>
      <c r="C563">
        <v>70101102</v>
      </c>
      <c r="D563" t="s">
        <v>1943</v>
      </c>
      <c r="E563" t="s">
        <v>848</v>
      </c>
      <c r="F563" t="s">
        <v>129</v>
      </c>
      <c r="G563" t="s">
        <v>849</v>
      </c>
      <c r="H563" s="1">
        <v>990000</v>
      </c>
      <c r="I563" t="s">
        <v>1949</v>
      </c>
      <c r="N563" s="4">
        <f t="shared" si="16"/>
        <v>70101102</v>
      </c>
      <c r="O563" t="str">
        <f t="shared" si="17"/>
        <v>R124D1HRGA</v>
      </c>
    </row>
    <row r="564" spans="2:15" x14ac:dyDescent="0.25">
      <c r="B564" t="s">
        <v>841</v>
      </c>
      <c r="C564">
        <v>70101114</v>
      </c>
      <c r="D564" t="s">
        <v>1943</v>
      </c>
      <c r="E564" t="s">
        <v>850</v>
      </c>
      <c r="F564" t="s">
        <v>59</v>
      </c>
      <c r="G564" t="s">
        <v>851</v>
      </c>
      <c r="H564" s="1">
        <v>225000</v>
      </c>
      <c r="I564" t="s">
        <v>1949</v>
      </c>
      <c r="N564" s="4">
        <f t="shared" si="16"/>
        <v>70101114</v>
      </c>
      <c r="O564" t="str">
        <f t="shared" si="17"/>
        <v>R124D1HRGA</v>
      </c>
    </row>
    <row r="565" spans="2:15" x14ac:dyDescent="0.25">
      <c r="B565" t="s">
        <v>841</v>
      </c>
      <c r="C565">
        <v>70009110</v>
      </c>
      <c r="D565" t="s">
        <v>1938</v>
      </c>
      <c r="E565" t="s">
        <v>852</v>
      </c>
      <c r="F565" t="s">
        <v>45</v>
      </c>
      <c r="G565" t="s">
        <v>853</v>
      </c>
      <c r="H565" s="1">
        <v>100000</v>
      </c>
      <c r="I565" t="s">
        <v>1922</v>
      </c>
      <c r="N565" s="4">
        <f t="shared" si="16"/>
        <v>70009110</v>
      </c>
      <c r="O565" t="str">
        <f t="shared" si="17"/>
        <v>M204D1COMM</v>
      </c>
    </row>
    <row r="566" spans="2:15" x14ac:dyDescent="0.25">
      <c r="B566" t="s">
        <v>841</v>
      </c>
      <c r="C566">
        <v>70009110</v>
      </c>
      <c r="D566" t="s">
        <v>1924</v>
      </c>
      <c r="E566" t="s">
        <v>852</v>
      </c>
      <c r="F566" t="s">
        <v>45</v>
      </c>
      <c r="G566" t="s">
        <v>854</v>
      </c>
      <c r="H566" s="1">
        <v>350000</v>
      </c>
      <c r="I566" t="s">
        <v>1922</v>
      </c>
      <c r="N566" s="4">
        <f t="shared" si="16"/>
        <v>70009110</v>
      </c>
      <c r="O566" t="str">
        <f t="shared" si="17"/>
        <v>C206D1SLSS</v>
      </c>
    </row>
    <row r="567" spans="2:15" x14ac:dyDescent="0.25">
      <c r="B567" t="s">
        <v>841</v>
      </c>
      <c r="C567">
        <v>70009110</v>
      </c>
      <c r="D567" t="s">
        <v>1923</v>
      </c>
      <c r="E567" t="s">
        <v>852</v>
      </c>
      <c r="F567" t="s">
        <v>45</v>
      </c>
      <c r="G567" t="s">
        <v>855</v>
      </c>
      <c r="H567" s="1">
        <v>200000</v>
      </c>
      <c r="I567" t="s">
        <v>1922</v>
      </c>
      <c r="N567" s="4">
        <f t="shared" si="16"/>
        <v>70009110</v>
      </c>
      <c r="O567" t="str">
        <f t="shared" si="17"/>
        <v>P206D1SLSS</v>
      </c>
    </row>
    <row r="568" spans="2:15" x14ac:dyDescent="0.25">
      <c r="B568" t="s">
        <v>841</v>
      </c>
      <c r="C568">
        <v>70009110</v>
      </c>
      <c r="D568" t="s">
        <v>1923</v>
      </c>
      <c r="E568" t="s">
        <v>856</v>
      </c>
      <c r="F568" t="s">
        <v>45</v>
      </c>
      <c r="G568" t="s">
        <v>857</v>
      </c>
      <c r="H568" s="1">
        <v>50000</v>
      </c>
      <c r="I568" t="s">
        <v>1940</v>
      </c>
      <c r="N568" s="4">
        <f t="shared" si="16"/>
        <v>70009110</v>
      </c>
      <c r="O568" t="str">
        <f t="shared" si="17"/>
        <v>P206D1SLSS</v>
      </c>
    </row>
    <row r="569" spans="2:15" x14ac:dyDescent="0.25">
      <c r="B569" t="s">
        <v>841</v>
      </c>
      <c r="C569">
        <v>70009110</v>
      </c>
      <c r="D569" t="s">
        <v>1923</v>
      </c>
      <c r="E569" t="s">
        <v>856</v>
      </c>
      <c r="F569" t="s">
        <v>45</v>
      </c>
      <c r="G569" t="s">
        <v>858</v>
      </c>
      <c r="H569" s="1">
        <v>50000</v>
      </c>
      <c r="I569" t="s">
        <v>1940</v>
      </c>
      <c r="N569" s="4">
        <f t="shared" si="16"/>
        <v>70009110</v>
      </c>
      <c r="O569" t="str">
        <f t="shared" si="17"/>
        <v>P206D1SLSS</v>
      </c>
    </row>
    <row r="570" spans="2:15" x14ac:dyDescent="0.25">
      <c r="B570" t="s">
        <v>841</v>
      </c>
      <c r="C570">
        <v>70009110</v>
      </c>
      <c r="D570" t="s">
        <v>1923</v>
      </c>
      <c r="E570" t="s">
        <v>856</v>
      </c>
      <c r="F570" t="s">
        <v>45</v>
      </c>
      <c r="G570" t="s">
        <v>859</v>
      </c>
      <c r="H570" s="1">
        <v>50000</v>
      </c>
      <c r="I570" t="s">
        <v>1940</v>
      </c>
      <c r="N570" s="4">
        <f t="shared" si="16"/>
        <v>70009110</v>
      </c>
      <c r="O570" t="str">
        <f t="shared" si="17"/>
        <v>P206D1SLSS</v>
      </c>
    </row>
    <row r="571" spans="2:15" x14ac:dyDescent="0.25">
      <c r="B571" t="s">
        <v>841</v>
      </c>
      <c r="C571">
        <v>70009110</v>
      </c>
      <c r="D571" t="s">
        <v>1923</v>
      </c>
      <c r="E571" t="s">
        <v>856</v>
      </c>
      <c r="F571" t="s">
        <v>45</v>
      </c>
      <c r="G571" t="s">
        <v>860</v>
      </c>
      <c r="H571" s="1">
        <v>50000</v>
      </c>
      <c r="I571" t="s">
        <v>1940</v>
      </c>
      <c r="N571" s="4">
        <f t="shared" si="16"/>
        <v>70009110</v>
      </c>
      <c r="O571" t="str">
        <f t="shared" si="17"/>
        <v>P206D1SLSS</v>
      </c>
    </row>
    <row r="572" spans="2:15" x14ac:dyDescent="0.25">
      <c r="B572" t="s">
        <v>841</v>
      </c>
      <c r="C572">
        <v>70009110</v>
      </c>
      <c r="D572" t="s">
        <v>1923</v>
      </c>
      <c r="E572" t="s">
        <v>856</v>
      </c>
      <c r="F572" t="s">
        <v>45</v>
      </c>
      <c r="G572" t="s">
        <v>861</v>
      </c>
      <c r="H572" s="1">
        <v>50000</v>
      </c>
      <c r="I572" t="s">
        <v>1940</v>
      </c>
      <c r="N572" s="4">
        <f t="shared" si="16"/>
        <v>70009110</v>
      </c>
      <c r="O572" t="str">
        <f t="shared" si="17"/>
        <v>P206D1SLSS</v>
      </c>
    </row>
    <row r="573" spans="2:15" x14ac:dyDescent="0.25">
      <c r="B573" t="s">
        <v>841</v>
      </c>
      <c r="C573">
        <v>70001110</v>
      </c>
      <c r="D573" t="s">
        <v>1938</v>
      </c>
      <c r="E573" t="s">
        <v>856</v>
      </c>
      <c r="F573" t="s">
        <v>334</v>
      </c>
      <c r="G573" t="s">
        <v>862</v>
      </c>
      <c r="H573" s="1">
        <v>6000</v>
      </c>
      <c r="I573" t="s">
        <v>1940</v>
      </c>
      <c r="N573" s="4">
        <f t="shared" si="16"/>
        <v>70001110</v>
      </c>
      <c r="O573" t="str">
        <f t="shared" si="17"/>
        <v>M204D1COMM</v>
      </c>
    </row>
    <row r="574" spans="2:15" x14ac:dyDescent="0.25">
      <c r="B574" t="s">
        <v>841</v>
      </c>
      <c r="C574">
        <v>70108100</v>
      </c>
      <c r="D574" t="s">
        <v>1962</v>
      </c>
      <c r="E574" t="s">
        <v>856</v>
      </c>
      <c r="F574" t="s">
        <v>274</v>
      </c>
      <c r="G574" t="s">
        <v>863</v>
      </c>
      <c r="H574" s="1">
        <v>150000</v>
      </c>
      <c r="I574" t="s">
        <v>1940</v>
      </c>
      <c r="N574" s="4">
        <f t="shared" si="16"/>
        <v>70108100</v>
      </c>
      <c r="O574" t="str">
        <f t="shared" si="17"/>
        <v>R124LOG</v>
      </c>
    </row>
    <row r="575" spans="2:15" x14ac:dyDescent="0.25">
      <c r="B575" t="s">
        <v>841</v>
      </c>
      <c r="C575">
        <v>70009110</v>
      </c>
      <c r="D575" t="s">
        <v>1938</v>
      </c>
      <c r="E575" t="s">
        <v>864</v>
      </c>
      <c r="F575" t="s">
        <v>45</v>
      </c>
      <c r="G575" t="s">
        <v>865</v>
      </c>
      <c r="H575" s="1">
        <v>100000</v>
      </c>
      <c r="I575" t="s">
        <v>1941</v>
      </c>
      <c r="N575" s="4">
        <f t="shared" si="16"/>
        <v>70009110</v>
      </c>
      <c r="O575" t="str">
        <f t="shared" si="17"/>
        <v>M204D1COMM</v>
      </c>
    </row>
    <row r="576" spans="2:15" x14ac:dyDescent="0.25">
      <c r="B576" t="s">
        <v>841</v>
      </c>
      <c r="C576">
        <v>70106400</v>
      </c>
      <c r="D576" t="s">
        <v>1943</v>
      </c>
      <c r="E576" t="s">
        <v>866</v>
      </c>
      <c r="F576" t="s">
        <v>96</v>
      </c>
      <c r="G576" t="s">
        <v>867</v>
      </c>
      <c r="H576" s="1">
        <v>780000</v>
      </c>
      <c r="I576" t="s">
        <v>1942</v>
      </c>
      <c r="N576" s="4">
        <f t="shared" si="16"/>
        <v>70106400</v>
      </c>
      <c r="O576" t="str">
        <f t="shared" si="17"/>
        <v>R124D1HRGA</v>
      </c>
    </row>
    <row r="577" spans="2:15" x14ac:dyDescent="0.25">
      <c r="B577" t="s">
        <v>841</v>
      </c>
      <c r="C577">
        <v>70106100</v>
      </c>
      <c r="D577" t="s">
        <v>1943</v>
      </c>
      <c r="E577" t="s">
        <v>866</v>
      </c>
      <c r="F577" t="s">
        <v>67</v>
      </c>
      <c r="G577" t="s">
        <v>98</v>
      </c>
      <c r="H577" s="1">
        <v>220000</v>
      </c>
      <c r="I577" t="s">
        <v>1942</v>
      </c>
      <c r="N577" s="4">
        <f t="shared" si="16"/>
        <v>70106100</v>
      </c>
      <c r="O577" t="str">
        <f t="shared" si="17"/>
        <v>R124D1HRGA</v>
      </c>
    </row>
    <row r="578" spans="2:15" x14ac:dyDescent="0.25">
      <c r="B578" t="s">
        <v>841</v>
      </c>
      <c r="C578">
        <v>70009110</v>
      </c>
      <c r="D578" t="s">
        <v>1967</v>
      </c>
      <c r="E578" t="s">
        <v>868</v>
      </c>
      <c r="F578" t="s">
        <v>45</v>
      </c>
      <c r="G578" t="s">
        <v>869</v>
      </c>
      <c r="H578" s="1">
        <v>50000</v>
      </c>
      <c r="I578" t="s">
        <v>1936</v>
      </c>
      <c r="N578" s="4">
        <f t="shared" si="16"/>
        <v>70009110</v>
      </c>
      <c r="O578" t="str">
        <f t="shared" si="17"/>
        <v>P206D1SLSC</v>
      </c>
    </row>
    <row r="579" spans="2:15" x14ac:dyDescent="0.25">
      <c r="B579" t="s">
        <v>841</v>
      </c>
      <c r="C579">
        <v>70009110</v>
      </c>
      <c r="D579" t="s">
        <v>1923</v>
      </c>
      <c r="E579" t="s">
        <v>868</v>
      </c>
      <c r="F579" t="s">
        <v>45</v>
      </c>
      <c r="G579" t="s">
        <v>870</v>
      </c>
      <c r="H579" s="1">
        <v>50000</v>
      </c>
      <c r="I579" t="s">
        <v>1936</v>
      </c>
      <c r="N579" s="4">
        <f t="shared" si="16"/>
        <v>70009110</v>
      </c>
      <c r="O579" t="str">
        <f t="shared" si="17"/>
        <v>P206D1SLSS</v>
      </c>
    </row>
    <row r="580" spans="2:15" x14ac:dyDescent="0.25">
      <c r="B580" t="s">
        <v>841</v>
      </c>
      <c r="C580">
        <v>70009110</v>
      </c>
      <c r="D580" t="s">
        <v>1938</v>
      </c>
      <c r="E580" t="s">
        <v>868</v>
      </c>
      <c r="F580" t="s">
        <v>45</v>
      </c>
      <c r="G580" t="s">
        <v>871</v>
      </c>
      <c r="H580" s="1">
        <v>50000</v>
      </c>
      <c r="I580" t="s">
        <v>1936</v>
      </c>
      <c r="N580" s="4">
        <f t="shared" si="16"/>
        <v>70009110</v>
      </c>
      <c r="O580" t="str">
        <f t="shared" si="17"/>
        <v>M204D1COMM</v>
      </c>
    </row>
    <row r="581" spans="2:15" x14ac:dyDescent="0.25">
      <c r="B581" t="s">
        <v>841</v>
      </c>
      <c r="C581">
        <v>70009110</v>
      </c>
      <c r="D581" t="s">
        <v>1923</v>
      </c>
      <c r="E581" t="s">
        <v>868</v>
      </c>
      <c r="F581" t="s">
        <v>45</v>
      </c>
      <c r="G581" t="s">
        <v>872</v>
      </c>
      <c r="H581" s="1">
        <v>50000</v>
      </c>
      <c r="I581" t="s">
        <v>1936</v>
      </c>
      <c r="N581" s="4">
        <f t="shared" si="16"/>
        <v>70009110</v>
      </c>
      <c r="O581" t="str">
        <f t="shared" si="17"/>
        <v>P206D1SLSS</v>
      </c>
    </row>
    <row r="582" spans="2:15" x14ac:dyDescent="0.25">
      <c r="B582" t="s">
        <v>841</v>
      </c>
      <c r="C582">
        <v>70009110</v>
      </c>
      <c r="D582" t="s">
        <v>1923</v>
      </c>
      <c r="E582" t="s">
        <v>868</v>
      </c>
      <c r="F582" t="s">
        <v>45</v>
      </c>
      <c r="G582" t="s">
        <v>873</v>
      </c>
      <c r="H582" s="1">
        <v>50000</v>
      </c>
      <c r="I582" t="s">
        <v>1936</v>
      </c>
      <c r="N582" s="4">
        <f t="shared" si="16"/>
        <v>70009110</v>
      </c>
      <c r="O582" t="str">
        <f t="shared" si="17"/>
        <v>P206D1SLSS</v>
      </c>
    </row>
    <row r="583" spans="2:15" x14ac:dyDescent="0.25">
      <c r="B583" t="s">
        <v>841</v>
      </c>
      <c r="C583">
        <v>70009110</v>
      </c>
      <c r="D583" t="s">
        <v>1923</v>
      </c>
      <c r="E583" t="s">
        <v>868</v>
      </c>
      <c r="F583" t="s">
        <v>45</v>
      </c>
      <c r="G583" t="s">
        <v>874</v>
      </c>
      <c r="H583" s="1">
        <v>200000</v>
      </c>
      <c r="I583" t="s">
        <v>1936</v>
      </c>
      <c r="N583" s="4">
        <f t="shared" si="16"/>
        <v>70009110</v>
      </c>
      <c r="O583" t="str">
        <f t="shared" si="17"/>
        <v>P206D1SLSS</v>
      </c>
    </row>
    <row r="584" spans="2:15" x14ac:dyDescent="0.25">
      <c r="B584" t="s">
        <v>841</v>
      </c>
      <c r="C584">
        <v>70009110</v>
      </c>
      <c r="D584" t="s">
        <v>1923</v>
      </c>
      <c r="E584" t="s">
        <v>868</v>
      </c>
      <c r="F584" t="s">
        <v>45</v>
      </c>
      <c r="G584" t="s">
        <v>875</v>
      </c>
      <c r="H584" s="1">
        <v>200000</v>
      </c>
      <c r="I584" t="s">
        <v>1936</v>
      </c>
      <c r="N584" s="4">
        <f t="shared" si="16"/>
        <v>70009110</v>
      </c>
      <c r="O584" t="str">
        <f t="shared" si="17"/>
        <v>P206D1SLSS</v>
      </c>
    </row>
    <row r="585" spans="2:15" x14ac:dyDescent="0.25">
      <c r="B585" t="s">
        <v>841</v>
      </c>
      <c r="C585">
        <v>70009110</v>
      </c>
      <c r="D585" t="s">
        <v>1967</v>
      </c>
      <c r="E585" t="s">
        <v>876</v>
      </c>
      <c r="F585" t="s">
        <v>45</v>
      </c>
      <c r="G585" t="s">
        <v>877</v>
      </c>
      <c r="H585" s="1">
        <v>50000</v>
      </c>
      <c r="I585" t="s">
        <v>1947</v>
      </c>
      <c r="N585" s="4">
        <f t="shared" si="16"/>
        <v>70009110</v>
      </c>
      <c r="O585" t="str">
        <f t="shared" si="17"/>
        <v>P206D1SLSC</v>
      </c>
    </row>
    <row r="586" spans="2:15" x14ac:dyDescent="0.25">
      <c r="B586" t="s">
        <v>841</v>
      </c>
      <c r="C586">
        <v>70009110</v>
      </c>
      <c r="D586" t="s">
        <v>1923</v>
      </c>
      <c r="E586" t="s">
        <v>876</v>
      </c>
      <c r="F586" t="s">
        <v>45</v>
      </c>
      <c r="G586" t="s">
        <v>878</v>
      </c>
      <c r="H586" s="1">
        <v>50000</v>
      </c>
      <c r="I586" t="s">
        <v>1947</v>
      </c>
      <c r="N586" s="4">
        <f t="shared" si="16"/>
        <v>70009110</v>
      </c>
      <c r="O586" t="str">
        <f t="shared" si="17"/>
        <v>P206D1SLSS</v>
      </c>
    </row>
    <row r="587" spans="2:15" x14ac:dyDescent="0.25">
      <c r="B587" t="s">
        <v>841</v>
      </c>
      <c r="C587">
        <v>70009110</v>
      </c>
      <c r="D587" t="s">
        <v>1967</v>
      </c>
      <c r="E587" t="s">
        <v>876</v>
      </c>
      <c r="F587" t="s">
        <v>45</v>
      </c>
      <c r="G587" t="s">
        <v>879</v>
      </c>
      <c r="H587" s="1">
        <v>50000</v>
      </c>
      <c r="I587" t="s">
        <v>1947</v>
      </c>
      <c r="N587" s="4">
        <f t="shared" ref="N587:N650" si="18">+C587</f>
        <v>70009110</v>
      </c>
      <c r="O587" t="str">
        <f t="shared" ref="O587:O650" si="19">+D587</f>
        <v>P206D1SLSC</v>
      </c>
    </row>
    <row r="588" spans="2:15" x14ac:dyDescent="0.25">
      <c r="B588" t="s">
        <v>841</v>
      </c>
      <c r="C588">
        <v>70009110</v>
      </c>
      <c r="D588" t="s">
        <v>1967</v>
      </c>
      <c r="E588" t="s">
        <v>876</v>
      </c>
      <c r="F588" t="s">
        <v>45</v>
      </c>
      <c r="G588" t="s">
        <v>880</v>
      </c>
      <c r="H588" s="1">
        <v>50000</v>
      </c>
      <c r="I588" t="s">
        <v>1947</v>
      </c>
      <c r="N588" s="4">
        <f t="shared" si="18"/>
        <v>70009110</v>
      </c>
      <c r="O588" t="str">
        <f t="shared" si="19"/>
        <v>P206D1SLSC</v>
      </c>
    </row>
    <row r="589" spans="2:15" x14ac:dyDescent="0.25">
      <c r="B589" t="s">
        <v>841</v>
      </c>
      <c r="C589">
        <v>70009110</v>
      </c>
      <c r="D589" t="s">
        <v>1938</v>
      </c>
      <c r="E589" t="s">
        <v>881</v>
      </c>
      <c r="F589" t="s">
        <v>45</v>
      </c>
      <c r="G589" t="s">
        <v>882</v>
      </c>
      <c r="H589" s="1">
        <v>50000</v>
      </c>
      <c r="I589" t="s">
        <v>1941</v>
      </c>
      <c r="N589" s="4">
        <f t="shared" si="18"/>
        <v>70009110</v>
      </c>
      <c r="O589" t="str">
        <f t="shared" si="19"/>
        <v>M204D1COMM</v>
      </c>
    </row>
    <row r="590" spans="2:15" x14ac:dyDescent="0.25">
      <c r="B590" t="s">
        <v>841</v>
      </c>
      <c r="C590">
        <v>70009110</v>
      </c>
      <c r="D590" t="s">
        <v>1938</v>
      </c>
      <c r="E590" t="s">
        <v>881</v>
      </c>
      <c r="F590" t="s">
        <v>45</v>
      </c>
      <c r="G590" t="s">
        <v>883</v>
      </c>
      <c r="H590" s="1">
        <v>50000</v>
      </c>
      <c r="I590" t="s">
        <v>1941</v>
      </c>
      <c r="N590" s="4">
        <f t="shared" si="18"/>
        <v>70009110</v>
      </c>
      <c r="O590" t="str">
        <f t="shared" si="19"/>
        <v>M204D1COMM</v>
      </c>
    </row>
    <row r="591" spans="2:15" x14ac:dyDescent="0.25">
      <c r="B591" t="s">
        <v>841</v>
      </c>
      <c r="C591">
        <v>70009110</v>
      </c>
      <c r="D591" t="s">
        <v>1938</v>
      </c>
      <c r="E591" t="s">
        <v>881</v>
      </c>
      <c r="F591" t="s">
        <v>45</v>
      </c>
      <c r="G591" t="s">
        <v>884</v>
      </c>
      <c r="H591" s="1">
        <v>50000</v>
      </c>
      <c r="I591" t="s">
        <v>1941</v>
      </c>
      <c r="N591" s="4">
        <f t="shared" si="18"/>
        <v>70009110</v>
      </c>
      <c r="O591" t="str">
        <f t="shared" si="19"/>
        <v>M204D1COMM</v>
      </c>
    </row>
    <row r="592" spans="2:15" x14ac:dyDescent="0.25">
      <c r="B592" t="s">
        <v>841</v>
      </c>
      <c r="C592">
        <v>70009110</v>
      </c>
      <c r="D592" t="s">
        <v>1924</v>
      </c>
      <c r="E592" t="s">
        <v>885</v>
      </c>
      <c r="F592" t="s">
        <v>45</v>
      </c>
      <c r="G592" t="s">
        <v>886</v>
      </c>
      <c r="H592" s="1">
        <v>50000</v>
      </c>
      <c r="I592" t="s">
        <v>2010</v>
      </c>
      <c r="N592" s="4">
        <f t="shared" si="18"/>
        <v>70009110</v>
      </c>
      <c r="O592" t="str">
        <f t="shared" si="19"/>
        <v>C206D1SLSS</v>
      </c>
    </row>
    <row r="593" spans="2:15" x14ac:dyDescent="0.25">
      <c r="B593" t="s">
        <v>841</v>
      </c>
      <c r="C593">
        <v>70009110</v>
      </c>
      <c r="D593" t="s">
        <v>1924</v>
      </c>
      <c r="E593" t="s">
        <v>885</v>
      </c>
      <c r="F593" t="s">
        <v>45</v>
      </c>
      <c r="G593" t="s">
        <v>886</v>
      </c>
      <c r="H593" s="1">
        <v>50000</v>
      </c>
      <c r="I593" t="s">
        <v>2010</v>
      </c>
      <c r="N593" s="4">
        <f t="shared" si="18"/>
        <v>70009110</v>
      </c>
      <c r="O593" t="str">
        <f t="shared" si="19"/>
        <v>C206D1SLSS</v>
      </c>
    </row>
    <row r="594" spans="2:15" x14ac:dyDescent="0.25">
      <c r="B594" t="s">
        <v>841</v>
      </c>
      <c r="C594">
        <v>70009110</v>
      </c>
      <c r="D594" t="s">
        <v>1924</v>
      </c>
      <c r="E594" t="s">
        <v>885</v>
      </c>
      <c r="F594" t="s">
        <v>45</v>
      </c>
      <c r="G594" t="s">
        <v>886</v>
      </c>
      <c r="H594" s="1">
        <v>50000</v>
      </c>
      <c r="I594" t="s">
        <v>2010</v>
      </c>
      <c r="N594" s="4">
        <f t="shared" si="18"/>
        <v>70009110</v>
      </c>
      <c r="O594" t="str">
        <f t="shared" si="19"/>
        <v>C206D1SLSS</v>
      </c>
    </row>
    <row r="595" spans="2:15" x14ac:dyDescent="0.25">
      <c r="B595" t="s">
        <v>841</v>
      </c>
      <c r="C595">
        <v>70009110</v>
      </c>
      <c r="D595" t="s">
        <v>1924</v>
      </c>
      <c r="E595" t="s">
        <v>885</v>
      </c>
      <c r="F595" t="s">
        <v>45</v>
      </c>
      <c r="G595" t="s">
        <v>886</v>
      </c>
      <c r="H595" s="1">
        <v>50000</v>
      </c>
      <c r="I595" t="s">
        <v>2010</v>
      </c>
      <c r="N595" s="4">
        <f t="shared" si="18"/>
        <v>70009110</v>
      </c>
      <c r="O595" t="str">
        <f t="shared" si="19"/>
        <v>C206D1SLSS</v>
      </c>
    </row>
    <row r="596" spans="2:15" x14ac:dyDescent="0.25">
      <c r="B596" t="s">
        <v>841</v>
      </c>
      <c r="C596">
        <v>70107100</v>
      </c>
      <c r="D596" t="s">
        <v>1943</v>
      </c>
      <c r="E596" t="s">
        <v>887</v>
      </c>
      <c r="F596" t="s">
        <v>254</v>
      </c>
      <c r="G596" t="s">
        <v>888</v>
      </c>
      <c r="H596" s="1">
        <v>800000</v>
      </c>
      <c r="I596" t="s">
        <v>1949</v>
      </c>
      <c r="N596" s="4">
        <f t="shared" si="18"/>
        <v>70107100</v>
      </c>
      <c r="O596" t="str">
        <f t="shared" si="19"/>
        <v>R124D1HRGA</v>
      </c>
    </row>
    <row r="597" spans="2:15" x14ac:dyDescent="0.25">
      <c r="B597" t="s">
        <v>841</v>
      </c>
      <c r="C597">
        <v>70009110</v>
      </c>
      <c r="D597" t="s">
        <v>1923</v>
      </c>
      <c r="E597" t="s">
        <v>889</v>
      </c>
      <c r="F597" t="s">
        <v>45</v>
      </c>
      <c r="G597" t="s">
        <v>890</v>
      </c>
      <c r="H597" s="1">
        <v>50000</v>
      </c>
      <c r="I597" t="s">
        <v>2011</v>
      </c>
      <c r="N597" s="4">
        <f t="shared" si="18"/>
        <v>70009110</v>
      </c>
      <c r="O597" t="str">
        <f t="shared" si="19"/>
        <v>P206D1SLSS</v>
      </c>
    </row>
    <row r="598" spans="2:15" x14ac:dyDescent="0.25">
      <c r="B598" t="s">
        <v>841</v>
      </c>
      <c r="C598">
        <v>70101114</v>
      </c>
      <c r="D598" t="s">
        <v>2012</v>
      </c>
      <c r="E598" t="s">
        <v>891</v>
      </c>
      <c r="F598" t="s">
        <v>59</v>
      </c>
      <c r="G598" t="s">
        <v>892</v>
      </c>
      <c r="H598" s="1">
        <v>957000</v>
      </c>
      <c r="I598" t="s">
        <v>1925</v>
      </c>
      <c r="N598" s="4">
        <f t="shared" si="18"/>
        <v>70101114</v>
      </c>
      <c r="O598" t="str">
        <f t="shared" si="19"/>
        <v>R124REF4</v>
      </c>
    </row>
    <row r="599" spans="2:15" x14ac:dyDescent="0.25">
      <c r="B599" t="s">
        <v>841</v>
      </c>
      <c r="C599">
        <v>70009110</v>
      </c>
      <c r="D599" t="s">
        <v>1938</v>
      </c>
      <c r="E599" t="s">
        <v>893</v>
      </c>
      <c r="F599" t="s">
        <v>45</v>
      </c>
      <c r="G599" t="s">
        <v>894</v>
      </c>
      <c r="H599" s="1">
        <v>50000</v>
      </c>
      <c r="I599" t="s">
        <v>1941</v>
      </c>
      <c r="N599" s="4">
        <f t="shared" si="18"/>
        <v>70009110</v>
      </c>
      <c r="O599" t="str">
        <f t="shared" si="19"/>
        <v>M204D1COMM</v>
      </c>
    </row>
    <row r="600" spans="2:15" x14ac:dyDescent="0.25">
      <c r="B600" t="s">
        <v>841</v>
      </c>
      <c r="C600">
        <v>70009110</v>
      </c>
      <c r="D600" t="s">
        <v>1938</v>
      </c>
      <c r="E600" t="s">
        <v>893</v>
      </c>
      <c r="F600" t="s">
        <v>45</v>
      </c>
      <c r="G600" t="s">
        <v>895</v>
      </c>
      <c r="H600" s="1">
        <v>50000</v>
      </c>
      <c r="I600" t="s">
        <v>1941</v>
      </c>
      <c r="N600" s="4">
        <f t="shared" si="18"/>
        <v>70009110</v>
      </c>
      <c r="O600" t="str">
        <f t="shared" si="19"/>
        <v>M204D1COMM</v>
      </c>
    </row>
    <row r="601" spans="2:15" x14ac:dyDescent="0.25">
      <c r="B601" t="s">
        <v>841</v>
      </c>
      <c r="C601">
        <v>70009110</v>
      </c>
      <c r="D601" t="s">
        <v>1938</v>
      </c>
      <c r="E601" t="s">
        <v>893</v>
      </c>
      <c r="F601" t="s">
        <v>45</v>
      </c>
      <c r="G601" t="s">
        <v>896</v>
      </c>
      <c r="H601" s="1">
        <v>50000</v>
      </c>
      <c r="I601" t="s">
        <v>1941</v>
      </c>
      <c r="N601" s="4">
        <f t="shared" si="18"/>
        <v>70009110</v>
      </c>
      <c r="O601" t="str">
        <f t="shared" si="19"/>
        <v>M204D1COMM</v>
      </c>
    </row>
    <row r="602" spans="2:15" x14ac:dyDescent="0.25">
      <c r="B602" t="s">
        <v>841</v>
      </c>
      <c r="C602">
        <v>70009110</v>
      </c>
      <c r="D602" t="s">
        <v>1938</v>
      </c>
      <c r="E602" t="s">
        <v>893</v>
      </c>
      <c r="F602" t="s">
        <v>45</v>
      </c>
      <c r="G602" t="s">
        <v>897</v>
      </c>
      <c r="H602" s="1">
        <v>50000</v>
      </c>
      <c r="I602" t="s">
        <v>1941</v>
      </c>
      <c r="N602" s="4">
        <f t="shared" si="18"/>
        <v>70009110</v>
      </c>
      <c r="O602" t="str">
        <f t="shared" si="19"/>
        <v>M204D1COMM</v>
      </c>
    </row>
    <row r="603" spans="2:15" x14ac:dyDescent="0.25">
      <c r="B603" t="s">
        <v>841</v>
      </c>
      <c r="C603">
        <v>70106400</v>
      </c>
      <c r="D603" t="s">
        <v>1943</v>
      </c>
      <c r="E603" t="s">
        <v>898</v>
      </c>
      <c r="F603" t="s">
        <v>96</v>
      </c>
      <c r="G603" t="s">
        <v>899</v>
      </c>
      <c r="H603" s="1">
        <v>560000</v>
      </c>
      <c r="I603" t="s">
        <v>1942</v>
      </c>
      <c r="N603" s="4">
        <f t="shared" si="18"/>
        <v>70106400</v>
      </c>
      <c r="O603" t="str">
        <f t="shared" si="19"/>
        <v>R124D1HRGA</v>
      </c>
    </row>
    <row r="604" spans="2:15" x14ac:dyDescent="0.25">
      <c r="B604" t="s">
        <v>841</v>
      </c>
      <c r="C604">
        <v>70106100</v>
      </c>
      <c r="D604" t="s">
        <v>1943</v>
      </c>
      <c r="E604" t="s">
        <v>898</v>
      </c>
      <c r="F604" t="s">
        <v>67</v>
      </c>
      <c r="G604" t="s">
        <v>98</v>
      </c>
      <c r="H604" s="1">
        <v>439500</v>
      </c>
      <c r="I604" t="s">
        <v>1942</v>
      </c>
      <c r="N604" s="4">
        <f t="shared" si="18"/>
        <v>70106100</v>
      </c>
      <c r="O604" t="str">
        <f t="shared" si="19"/>
        <v>R124D1HRGA</v>
      </c>
    </row>
    <row r="605" spans="2:15" x14ac:dyDescent="0.25">
      <c r="B605" t="s">
        <v>841</v>
      </c>
      <c r="C605">
        <v>70115100</v>
      </c>
      <c r="D605" t="s">
        <v>1959</v>
      </c>
      <c r="E605" t="s">
        <v>900</v>
      </c>
      <c r="F605" t="s">
        <v>146</v>
      </c>
      <c r="G605" t="s">
        <v>901</v>
      </c>
      <c r="H605" s="1">
        <v>601025</v>
      </c>
      <c r="I605" t="s">
        <v>1958</v>
      </c>
      <c r="N605" s="4">
        <f t="shared" si="18"/>
        <v>70115100</v>
      </c>
      <c r="O605" t="str">
        <f t="shared" si="19"/>
        <v>R124QCA</v>
      </c>
    </row>
    <row r="606" spans="2:15" x14ac:dyDescent="0.25">
      <c r="B606" t="s">
        <v>841</v>
      </c>
      <c r="C606">
        <v>70119300</v>
      </c>
      <c r="D606" t="s">
        <v>1959</v>
      </c>
      <c r="E606" t="s">
        <v>900</v>
      </c>
      <c r="F606" t="s">
        <v>518</v>
      </c>
      <c r="G606" t="s">
        <v>902</v>
      </c>
      <c r="H606" s="1">
        <v>86000</v>
      </c>
      <c r="I606" t="s">
        <v>1958</v>
      </c>
      <c r="N606" s="4">
        <f t="shared" si="18"/>
        <v>70119300</v>
      </c>
      <c r="O606" t="str">
        <f t="shared" si="19"/>
        <v>R124QCA</v>
      </c>
    </row>
    <row r="607" spans="2:15" x14ac:dyDescent="0.25">
      <c r="B607" t="s">
        <v>841</v>
      </c>
      <c r="C607">
        <v>70107600</v>
      </c>
      <c r="D607" t="s">
        <v>1961</v>
      </c>
      <c r="E607" t="s">
        <v>903</v>
      </c>
      <c r="F607" t="s">
        <v>126</v>
      </c>
      <c r="G607" t="s">
        <v>904</v>
      </c>
      <c r="H607" s="1">
        <v>999700</v>
      </c>
      <c r="I607" t="s">
        <v>1989</v>
      </c>
      <c r="N607" s="4">
        <f t="shared" si="18"/>
        <v>70107600</v>
      </c>
      <c r="O607" t="str">
        <f t="shared" si="19"/>
        <v>R124D1EHFS</v>
      </c>
    </row>
    <row r="608" spans="2:15" x14ac:dyDescent="0.25">
      <c r="B608" t="s">
        <v>841</v>
      </c>
      <c r="C608">
        <v>70107600</v>
      </c>
      <c r="D608" t="s">
        <v>1975</v>
      </c>
      <c r="E608" t="s">
        <v>905</v>
      </c>
      <c r="F608" t="s">
        <v>126</v>
      </c>
      <c r="G608" t="s">
        <v>906</v>
      </c>
      <c r="H608" s="1">
        <v>400000</v>
      </c>
      <c r="I608" t="s">
        <v>1920</v>
      </c>
      <c r="N608" s="4">
        <f t="shared" si="18"/>
        <v>70107600</v>
      </c>
      <c r="O608" t="str">
        <f t="shared" si="19"/>
        <v>R124D1MGMT</v>
      </c>
    </row>
    <row r="609" spans="2:15" x14ac:dyDescent="0.25">
      <c r="B609" t="s">
        <v>841</v>
      </c>
      <c r="C609">
        <v>70119300</v>
      </c>
      <c r="D609" t="s">
        <v>1923</v>
      </c>
      <c r="E609" t="s">
        <v>907</v>
      </c>
      <c r="F609" t="s">
        <v>259</v>
      </c>
      <c r="G609" t="s">
        <v>908</v>
      </c>
      <c r="H609" s="1">
        <v>150000</v>
      </c>
      <c r="I609" t="s">
        <v>1922</v>
      </c>
      <c r="N609" s="4">
        <f t="shared" si="18"/>
        <v>70119300</v>
      </c>
      <c r="O609" t="str">
        <f t="shared" si="19"/>
        <v>P206D1SLSS</v>
      </c>
    </row>
    <row r="610" spans="2:15" x14ac:dyDescent="0.25">
      <c r="B610" t="s">
        <v>841</v>
      </c>
      <c r="C610">
        <v>70009110</v>
      </c>
      <c r="D610" t="s">
        <v>1924</v>
      </c>
      <c r="E610" t="s">
        <v>909</v>
      </c>
      <c r="F610" t="s">
        <v>45</v>
      </c>
      <c r="G610" t="s">
        <v>910</v>
      </c>
      <c r="H610" s="1">
        <v>50000</v>
      </c>
      <c r="I610" t="s">
        <v>1922</v>
      </c>
      <c r="N610" s="4">
        <f t="shared" si="18"/>
        <v>70009110</v>
      </c>
      <c r="O610" t="str">
        <f t="shared" si="19"/>
        <v>C206D1SLSS</v>
      </c>
    </row>
    <row r="611" spans="2:15" x14ac:dyDescent="0.25">
      <c r="B611" t="s">
        <v>841</v>
      </c>
      <c r="C611">
        <v>70009110</v>
      </c>
      <c r="D611" t="s">
        <v>1923</v>
      </c>
      <c r="E611" t="s">
        <v>909</v>
      </c>
      <c r="F611" t="s">
        <v>45</v>
      </c>
      <c r="G611" t="s">
        <v>911</v>
      </c>
      <c r="H611" s="1">
        <v>50000</v>
      </c>
      <c r="I611" t="s">
        <v>1922</v>
      </c>
      <c r="N611" s="4">
        <f t="shared" si="18"/>
        <v>70009110</v>
      </c>
      <c r="O611" t="str">
        <f t="shared" si="19"/>
        <v>P206D1SLSS</v>
      </c>
    </row>
    <row r="612" spans="2:15" x14ac:dyDescent="0.25">
      <c r="B612" t="s">
        <v>841</v>
      </c>
      <c r="C612">
        <v>70009110</v>
      </c>
      <c r="D612" t="s">
        <v>1923</v>
      </c>
      <c r="E612" t="s">
        <v>909</v>
      </c>
      <c r="F612" t="s">
        <v>45</v>
      </c>
      <c r="G612" t="s">
        <v>912</v>
      </c>
      <c r="H612" s="1">
        <v>50000</v>
      </c>
      <c r="I612" t="s">
        <v>1922</v>
      </c>
      <c r="N612" s="4">
        <f t="shared" si="18"/>
        <v>70009110</v>
      </c>
      <c r="O612" t="str">
        <f t="shared" si="19"/>
        <v>P206D1SLSS</v>
      </c>
    </row>
    <row r="613" spans="2:15" x14ac:dyDescent="0.25">
      <c r="B613" t="s">
        <v>841</v>
      </c>
      <c r="C613">
        <v>70009110</v>
      </c>
      <c r="D613" t="s">
        <v>1923</v>
      </c>
      <c r="E613" t="s">
        <v>909</v>
      </c>
      <c r="F613" t="s">
        <v>45</v>
      </c>
      <c r="G613" t="s">
        <v>913</v>
      </c>
      <c r="H613" s="1">
        <v>50000</v>
      </c>
      <c r="I613" t="s">
        <v>1922</v>
      </c>
      <c r="N613" s="4">
        <f t="shared" si="18"/>
        <v>70009110</v>
      </c>
      <c r="O613" t="str">
        <f t="shared" si="19"/>
        <v>P206D1SLSS</v>
      </c>
    </row>
    <row r="614" spans="2:15" x14ac:dyDescent="0.25">
      <c r="B614" t="s">
        <v>841</v>
      </c>
      <c r="C614">
        <v>70101114</v>
      </c>
      <c r="D614" t="s">
        <v>1943</v>
      </c>
      <c r="E614" t="s">
        <v>914</v>
      </c>
      <c r="F614" t="s">
        <v>59</v>
      </c>
      <c r="G614" t="s">
        <v>915</v>
      </c>
      <c r="H614" s="1">
        <v>932500</v>
      </c>
      <c r="I614" t="s">
        <v>1949</v>
      </c>
      <c r="N614" s="4">
        <f t="shared" si="18"/>
        <v>70101114</v>
      </c>
      <c r="O614" t="str">
        <f t="shared" si="19"/>
        <v>R124D1HRGA</v>
      </c>
    </row>
    <row r="615" spans="2:15" x14ac:dyDescent="0.25">
      <c r="B615" t="s">
        <v>841</v>
      </c>
      <c r="C615">
        <v>70107300</v>
      </c>
      <c r="D615" t="s">
        <v>1921</v>
      </c>
      <c r="E615" t="s">
        <v>916</v>
      </c>
      <c r="F615" t="s">
        <v>41</v>
      </c>
      <c r="G615" t="s">
        <v>917</v>
      </c>
      <c r="H615" s="1">
        <v>450000</v>
      </c>
      <c r="I615" t="s">
        <v>1920</v>
      </c>
      <c r="N615" s="4">
        <f t="shared" si="18"/>
        <v>70107300</v>
      </c>
      <c r="O615" t="str">
        <f t="shared" si="19"/>
        <v>R124D1HRDV</v>
      </c>
    </row>
    <row r="616" spans="2:15" x14ac:dyDescent="0.25">
      <c r="B616" t="s">
        <v>841</v>
      </c>
      <c r="C616">
        <v>70107600</v>
      </c>
      <c r="D616" t="s">
        <v>1953</v>
      </c>
      <c r="E616" t="s">
        <v>918</v>
      </c>
      <c r="F616" t="s">
        <v>126</v>
      </c>
      <c r="G616" t="s">
        <v>919</v>
      </c>
      <c r="H616" s="1">
        <v>25000</v>
      </c>
      <c r="I616" t="s">
        <v>1957</v>
      </c>
      <c r="N616" s="4">
        <f t="shared" si="18"/>
        <v>70107600</v>
      </c>
      <c r="O616" t="str">
        <f t="shared" si="19"/>
        <v>R124MNT</v>
      </c>
    </row>
    <row r="617" spans="2:15" x14ac:dyDescent="0.25">
      <c r="B617" t="s">
        <v>841</v>
      </c>
      <c r="C617">
        <v>70009110</v>
      </c>
      <c r="D617" t="s">
        <v>1938</v>
      </c>
      <c r="E617" t="s">
        <v>920</v>
      </c>
      <c r="F617" t="s">
        <v>45</v>
      </c>
      <c r="G617" t="s">
        <v>921</v>
      </c>
      <c r="H617" s="1">
        <v>100000</v>
      </c>
      <c r="I617" t="s">
        <v>1941</v>
      </c>
      <c r="N617" s="4">
        <f t="shared" si="18"/>
        <v>70009110</v>
      </c>
      <c r="O617" t="str">
        <f t="shared" si="19"/>
        <v>M204D1COMM</v>
      </c>
    </row>
    <row r="618" spans="2:15" x14ac:dyDescent="0.25">
      <c r="B618" t="s">
        <v>841</v>
      </c>
      <c r="C618">
        <v>70106400</v>
      </c>
      <c r="D618" t="s">
        <v>1943</v>
      </c>
      <c r="E618" t="s">
        <v>922</v>
      </c>
      <c r="F618" t="s">
        <v>96</v>
      </c>
      <c r="G618" t="s">
        <v>923</v>
      </c>
      <c r="H618" s="1">
        <v>710000</v>
      </c>
      <c r="I618" t="s">
        <v>1942</v>
      </c>
      <c r="N618" s="4">
        <f t="shared" si="18"/>
        <v>70106400</v>
      </c>
      <c r="O618" t="str">
        <f t="shared" si="19"/>
        <v>R124D1HRGA</v>
      </c>
    </row>
    <row r="619" spans="2:15" x14ac:dyDescent="0.25">
      <c r="B619" t="s">
        <v>841</v>
      </c>
      <c r="C619">
        <v>70106100</v>
      </c>
      <c r="D619" t="s">
        <v>1943</v>
      </c>
      <c r="E619" t="s">
        <v>922</v>
      </c>
      <c r="F619" t="s">
        <v>67</v>
      </c>
      <c r="G619" t="s">
        <v>98</v>
      </c>
      <c r="H619" s="1">
        <v>290000</v>
      </c>
      <c r="I619" t="s">
        <v>1942</v>
      </c>
      <c r="N619" s="4">
        <f t="shared" si="18"/>
        <v>70106100</v>
      </c>
      <c r="O619" t="str">
        <f t="shared" si="19"/>
        <v>R124D1HRGA</v>
      </c>
    </row>
    <row r="620" spans="2:15" x14ac:dyDescent="0.25">
      <c r="B620" t="s">
        <v>841</v>
      </c>
      <c r="C620">
        <v>70009110</v>
      </c>
      <c r="D620" t="s">
        <v>1938</v>
      </c>
      <c r="E620" t="s">
        <v>924</v>
      </c>
      <c r="F620" t="s">
        <v>45</v>
      </c>
      <c r="G620" t="s">
        <v>925</v>
      </c>
      <c r="H620" s="1">
        <v>50000</v>
      </c>
      <c r="I620" t="s">
        <v>1941</v>
      </c>
      <c r="N620" s="4">
        <f t="shared" si="18"/>
        <v>70009110</v>
      </c>
      <c r="O620" t="str">
        <f t="shared" si="19"/>
        <v>M204D1COMM</v>
      </c>
    </row>
    <row r="621" spans="2:15" x14ac:dyDescent="0.25">
      <c r="B621" t="s">
        <v>841</v>
      </c>
      <c r="C621">
        <v>70009110</v>
      </c>
      <c r="D621" t="s">
        <v>1938</v>
      </c>
      <c r="E621" t="s">
        <v>924</v>
      </c>
      <c r="F621" t="s">
        <v>45</v>
      </c>
      <c r="G621" t="s">
        <v>926</v>
      </c>
      <c r="H621" s="1">
        <v>50000</v>
      </c>
      <c r="I621" t="s">
        <v>1941</v>
      </c>
      <c r="N621" s="4">
        <f t="shared" si="18"/>
        <v>70009110</v>
      </c>
      <c r="O621" t="str">
        <f t="shared" si="19"/>
        <v>M204D1COMM</v>
      </c>
    </row>
    <row r="622" spans="2:15" x14ac:dyDescent="0.25">
      <c r="B622" t="s">
        <v>841</v>
      </c>
      <c r="C622">
        <v>70101114</v>
      </c>
      <c r="D622" t="s">
        <v>2007</v>
      </c>
      <c r="E622" t="s">
        <v>927</v>
      </c>
      <c r="F622" t="s">
        <v>59</v>
      </c>
      <c r="G622" t="s">
        <v>928</v>
      </c>
      <c r="H622" s="1">
        <v>625000</v>
      </c>
      <c r="I622" t="s">
        <v>1994</v>
      </c>
      <c r="N622" s="4">
        <f t="shared" si="18"/>
        <v>70101114</v>
      </c>
      <c r="O622" t="str">
        <f t="shared" si="19"/>
        <v>R124FRA</v>
      </c>
    </row>
    <row r="623" spans="2:15" x14ac:dyDescent="0.25">
      <c r="B623" t="s">
        <v>841</v>
      </c>
      <c r="C623">
        <v>70101114</v>
      </c>
      <c r="D623" t="s">
        <v>1955</v>
      </c>
      <c r="E623" t="s">
        <v>929</v>
      </c>
      <c r="F623" t="s">
        <v>59</v>
      </c>
      <c r="G623" t="s">
        <v>930</v>
      </c>
      <c r="H623" s="1">
        <v>290470</v>
      </c>
      <c r="I623" t="s">
        <v>1954</v>
      </c>
      <c r="N623" s="4">
        <f t="shared" si="18"/>
        <v>70101114</v>
      </c>
      <c r="O623" t="str">
        <f t="shared" si="19"/>
        <v>R124WHP</v>
      </c>
    </row>
    <row r="624" spans="2:15" x14ac:dyDescent="0.25">
      <c r="B624" t="s">
        <v>841</v>
      </c>
      <c r="C624">
        <v>70009110</v>
      </c>
      <c r="D624" t="s">
        <v>1923</v>
      </c>
      <c r="E624" t="s">
        <v>931</v>
      </c>
      <c r="F624" t="s">
        <v>45</v>
      </c>
      <c r="G624" t="s">
        <v>932</v>
      </c>
      <c r="H624" s="1">
        <v>50000</v>
      </c>
      <c r="I624" t="s">
        <v>1936</v>
      </c>
      <c r="N624" s="4">
        <f t="shared" si="18"/>
        <v>70009110</v>
      </c>
      <c r="O624" t="str">
        <f t="shared" si="19"/>
        <v>P206D1SLSS</v>
      </c>
    </row>
    <row r="625" spans="2:15" x14ac:dyDescent="0.25">
      <c r="B625" t="s">
        <v>841</v>
      </c>
      <c r="C625">
        <v>70009110</v>
      </c>
      <c r="D625" t="s">
        <v>1923</v>
      </c>
      <c r="E625" t="s">
        <v>931</v>
      </c>
      <c r="F625" t="s">
        <v>45</v>
      </c>
      <c r="G625" t="s">
        <v>933</v>
      </c>
      <c r="H625" s="1">
        <v>50000</v>
      </c>
      <c r="I625" t="s">
        <v>1936</v>
      </c>
      <c r="N625" s="4">
        <f t="shared" si="18"/>
        <v>70009110</v>
      </c>
      <c r="O625" t="str">
        <f t="shared" si="19"/>
        <v>P206D1SLSS</v>
      </c>
    </row>
    <row r="626" spans="2:15" x14ac:dyDescent="0.25">
      <c r="B626" t="s">
        <v>841</v>
      </c>
      <c r="C626">
        <v>70009110</v>
      </c>
      <c r="D626" t="s">
        <v>1938</v>
      </c>
      <c r="E626" t="s">
        <v>931</v>
      </c>
      <c r="F626" t="s">
        <v>45</v>
      </c>
      <c r="G626" t="s">
        <v>934</v>
      </c>
      <c r="H626" s="1">
        <v>50000</v>
      </c>
      <c r="I626" t="s">
        <v>1936</v>
      </c>
      <c r="N626" s="4">
        <f t="shared" si="18"/>
        <v>70009110</v>
      </c>
      <c r="O626" t="str">
        <f t="shared" si="19"/>
        <v>M204D1COMM</v>
      </c>
    </row>
    <row r="627" spans="2:15" x14ac:dyDescent="0.25">
      <c r="B627" t="s">
        <v>841</v>
      </c>
      <c r="C627">
        <v>70009110</v>
      </c>
      <c r="D627" t="s">
        <v>1938</v>
      </c>
      <c r="E627" t="s">
        <v>931</v>
      </c>
      <c r="F627" t="s">
        <v>45</v>
      </c>
      <c r="G627" t="s">
        <v>935</v>
      </c>
      <c r="H627" s="1">
        <v>50000</v>
      </c>
      <c r="I627" t="s">
        <v>1936</v>
      </c>
      <c r="N627" s="4">
        <f t="shared" si="18"/>
        <v>70009110</v>
      </c>
      <c r="O627" t="str">
        <f t="shared" si="19"/>
        <v>M204D1COMM</v>
      </c>
    </row>
    <row r="628" spans="2:15" x14ac:dyDescent="0.25">
      <c r="B628" t="s">
        <v>841</v>
      </c>
      <c r="C628">
        <v>70009110</v>
      </c>
      <c r="D628" t="s">
        <v>1923</v>
      </c>
      <c r="E628" t="s">
        <v>931</v>
      </c>
      <c r="F628" t="s">
        <v>45</v>
      </c>
      <c r="G628" t="s">
        <v>948</v>
      </c>
      <c r="H628" s="1">
        <v>50000</v>
      </c>
      <c r="I628" t="s">
        <v>1936</v>
      </c>
      <c r="N628" s="4">
        <f t="shared" si="18"/>
        <v>70009110</v>
      </c>
      <c r="O628" t="str">
        <f t="shared" si="19"/>
        <v>P206D1SLSS</v>
      </c>
    </row>
    <row r="629" spans="2:15" x14ac:dyDescent="0.25">
      <c r="B629" t="s">
        <v>841</v>
      </c>
      <c r="C629">
        <v>70009110</v>
      </c>
      <c r="D629" t="s">
        <v>1938</v>
      </c>
      <c r="E629" t="s">
        <v>931</v>
      </c>
      <c r="F629" t="s">
        <v>45</v>
      </c>
      <c r="G629" t="s">
        <v>936</v>
      </c>
      <c r="H629" s="1">
        <v>200000</v>
      </c>
      <c r="I629" t="s">
        <v>1936</v>
      </c>
      <c r="N629" s="4">
        <f t="shared" si="18"/>
        <v>70009110</v>
      </c>
      <c r="O629" t="str">
        <f t="shared" si="19"/>
        <v>M204D1COMM</v>
      </c>
    </row>
    <row r="630" spans="2:15" x14ac:dyDescent="0.25">
      <c r="B630" t="s">
        <v>841</v>
      </c>
      <c r="C630">
        <v>70108110</v>
      </c>
      <c r="D630" t="s">
        <v>1930</v>
      </c>
      <c r="E630" t="s">
        <v>937</v>
      </c>
      <c r="F630" t="s">
        <v>64</v>
      </c>
      <c r="G630" t="s">
        <v>938</v>
      </c>
      <c r="H630" s="1">
        <v>586500</v>
      </c>
      <c r="I630" t="s">
        <v>1996</v>
      </c>
      <c r="N630" s="4">
        <f t="shared" si="18"/>
        <v>70108110</v>
      </c>
      <c r="O630" t="str">
        <f t="shared" si="19"/>
        <v>R124QMR</v>
      </c>
    </row>
    <row r="631" spans="2:15" x14ac:dyDescent="0.25">
      <c r="B631" t="s">
        <v>841</v>
      </c>
      <c r="C631">
        <v>70107600</v>
      </c>
      <c r="D631" t="s">
        <v>1921</v>
      </c>
      <c r="E631" t="s">
        <v>939</v>
      </c>
      <c r="F631" t="s">
        <v>126</v>
      </c>
      <c r="G631" t="s">
        <v>940</v>
      </c>
      <c r="H631" s="1">
        <v>145000</v>
      </c>
      <c r="I631" t="s">
        <v>1966</v>
      </c>
      <c r="N631" s="4">
        <f t="shared" si="18"/>
        <v>70107600</v>
      </c>
      <c r="O631" t="str">
        <f t="shared" si="19"/>
        <v>R124D1HRDV</v>
      </c>
    </row>
    <row r="632" spans="2:15" x14ac:dyDescent="0.25">
      <c r="B632" t="s">
        <v>841</v>
      </c>
      <c r="C632">
        <v>70106100</v>
      </c>
      <c r="D632" t="s">
        <v>1923</v>
      </c>
      <c r="E632" t="s">
        <v>941</v>
      </c>
      <c r="F632" t="s">
        <v>67</v>
      </c>
      <c r="G632" t="s">
        <v>942</v>
      </c>
      <c r="H632" s="1">
        <v>234000</v>
      </c>
      <c r="I632" t="s">
        <v>1964</v>
      </c>
      <c r="N632" s="4">
        <f t="shared" si="18"/>
        <v>70106100</v>
      </c>
      <c r="O632" t="str">
        <f t="shared" si="19"/>
        <v>P206D1SLSS</v>
      </c>
    </row>
    <row r="633" spans="2:15" x14ac:dyDescent="0.25">
      <c r="B633" t="s">
        <v>841</v>
      </c>
      <c r="C633">
        <v>70108110</v>
      </c>
      <c r="D633" t="s">
        <v>1923</v>
      </c>
      <c r="E633" t="s">
        <v>941</v>
      </c>
      <c r="F633" t="s">
        <v>64</v>
      </c>
      <c r="G633" t="s">
        <v>943</v>
      </c>
      <c r="H633" s="1">
        <v>15000</v>
      </c>
      <c r="I633" t="s">
        <v>1964</v>
      </c>
      <c r="N633" s="4">
        <f t="shared" si="18"/>
        <v>70108110</v>
      </c>
      <c r="O633" t="str">
        <f t="shared" si="19"/>
        <v>P206D1SLSS</v>
      </c>
    </row>
    <row r="634" spans="2:15" x14ac:dyDescent="0.25">
      <c r="B634" t="s">
        <v>841</v>
      </c>
      <c r="C634">
        <v>70009110</v>
      </c>
      <c r="D634" t="s">
        <v>1938</v>
      </c>
      <c r="E634" t="s">
        <v>944</v>
      </c>
      <c r="F634" t="s">
        <v>45</v>
      </c>
      <c r="G634" t="s">
        <v>945</v>
      </c>
      <c r="H634" s="1">
        <v>50000</v>
      </c>
      <c r="I634" t="s">
        <v>1941</v>
      </c>
      <c r="N634" s="4">
        <f t="shared" si="18"/>
        <v>70009110</v>
      </c>
      <c r="O634" t="str">
        <f t="shared" si="19"/>
        <v>M204D1COMM</v>
      </c>
    </row>
    <row r="635" spans="2:15" x14ac:dyDescent="0.25">
      <c r="B635" t="s">
        <v>841</v>
      </c>
      <c r="C635">
        <v>70106400</v>
      </c>
      <c r="D635" t="s">
        <v>1943</v>
      </c>
      <c r="E635" t="s">
        <v>946</v>
      </c>
      <c r="F635" t="s">
        <v>96</v>
      </c>
      <c r="G635" t="s">
        <v>947</v>
      </c>
      <c r="H635" s="1">
        <v>640000</v>
      </c>
      <c r="I635" t="s">
        <v>1942</v>
      </c>
      <c r="N635" s="4">
        <f t="shared" si="18"/>
        <v>70106400</v>
      </c>
      <c r="O635" t="str">
        <f t="shared" si="19"/>
        <v>R124D1HRGA</v>
      </c>
    </row>
    <row r="636" spans="2:15" x14ac:dyDescent="0.25">
      <c r="B636" t="s">
        <v>841</v>
      </c>
      <c r="C636">
        <v>70106100</v>
      </c>
      <c r="D636" t="s">
        <v>1943</v>
      </c>
      <c r="E636" t="s">
        <v>946</v>
      </c>
      <c r="F636" t="s">
        <v>67</v>
      </c>
      <c r="G636" t="s">
        <v>98</v>
      </c>
      <c r="H636" s="1">
        <v>359500</v>
      </c>
      <c r="I636" t="s">
        <v>1942</v>
      </c>
      <c r="N636" s="4">
        <f t="shared" si="18"/>
        <v>70106100</v>
      </c>
      <c r="O636" t="str">
        <f t="shared" si="19"/>
        <v>R124D1HRGA</v>
      </c>
    </row>
    <row r="637" spans="2:15" x14ac:dyDescent="0.25">
      <c r="B637" t="s">
        <v>838</v>
      </c>
      <c r="C637">
        <v>70009110</v>
      </c>
      <c r="D637" t="s">
        <v>1967</v>
      </c>
      <c r="E637" t="s">
        <v>949</v>
      </c>
      <c r="F637" t="s">
        <v>45</v>
      </c>
      <c r="G637" t="s">
        <v>950</v>
      </c>
      <c r="H637" s="1">
        <v>50000</v>
      </c>
      <c r="I637" t="s">
        <v>1940</v>
      </c>
      <c r="N637" s="4">
        <f t="shared" si="18"/>
        <v>70009110</v>
      </c>
      <c r="O637" t="str">
        <f t="shared" si="19"/>
        <v>P206D1SLSC</v>
      </c>
    </row>
    <row r="638" spans="2:15" x14ac:dyDescent="0.25">
      <c r="B638" t="s">
        <v>838</v>
      </c>
      <c r="C638">
        <v>70009110</v>
      </c>
      <c r="D638" t="s">
        <v>1923</v>
      </c>
      <c r="E638" t="s">
        <v>949</v>
      </c>
      <c r="F638" t="s">
        <v>45</v>
      </c>
      <c r="G638" t="s">
        <v>951</v>
      </c>
      <c r="H638" s="1">
        <v>50000</v>
      </c>
      <c r="I638" t="s">
        <v>1940</v>
      </c>
      <c r="N638" s="4">
        <f t="shared" si="18"/>
        <v>70009110</v>
      </c>
      <c r="O638" t="str">
        <f t="shared" si="19"/>
        <v>P206D1SLSS</v>
      </c>
    </row>
    <row r="639" spans="2:15" x14ac:dyDescent="0.25">
      <c r="B639" t="s">
        <v>838</v>
      </c>
      <c r="C639">
        <v>70009110</v>
      </c>
      <c r="D639" t="s">
        <v>1967</v>
      </c>
      <c r="E639" t="s">
        <v>949</v>
      </c>
      <c r="F639" t="s">
        <v>45</v>
      </c>
      <c r="G639" t="s">
        <v>952</v>
      </c>
      <c r="H639" s="1">
        <v>50000</v>
      </c>
      <c r="I639" t="s">
        <v>1940</v>
      </c>
      <c r="N639" s="4">
        <f t="shared" si="18"/>
        <v>70009110</v>
      </c>
      <c r="O639" t="str">
        <f t="shared" si="19"/>
        <v>P206D1SLSC</v>
      </c>
    </row>
    <row r="640" spans="2:15" x14ac:dyDescent="0.25">
      <c r="B640" t="s">
        <v>838</v>
      </c>
      <c r="C640">
        <v>70009110</v>
      </c>
      <c r="D640" t="s">
        <v>1923</v>
      </c>
      <c r="E640" t="s">
        <v>949</v>
      </c>
      <c r="F640" t="s">
        <v>45</v>
      </c>
      <c r="G640" t="s">
        <v>953</v>
      </c>
      <c r="H640" s="1">
        <v>50000</v>
      </c>
      <c r="I640" t="s">
        <v>1940</v>
      </c>
      <c r="N640" s="4">
        <f t="shared" si="18"/>
        <v>70009110</v>
      </c>
      <c r="O640" t="str">
        <f t="shared" si="19"/>
        <v>P206D1SLSS</v>
      </c>
    </row>
    <row r="641" spans="2:15" x14ac:dyDescent="0.25">
      <c r="B641" t="s">
        <v>838</v>
      </c>
      <c r="C641">
        <v>70009110</v>
      </c>
      <c r="D641" t="s">
        <v>1923</v>
      </c>
      <c r="E641" t="s">
        <v>949</v>
      </c>
      <c r="F641" t="s">
        <v>45</v>
      </c>
      <c r="G641" t="s">
        <v>954</v>
      </c>
      <c r="H641" s="1">
        <v>50000</v>
      </c>
      <c r="I641" t="s">
        <v>1940</v>
      </c>
      <c r="N641" s="4">
        <f t="shared" si="18"/>
        <v>70009110</v>
      </c>
      <c r="O641" t="str">
        <f t="shared" si="19"/>
        <v>P206D1SLSS</v>
      </c>
    </row>
    <row r="642" spans="2:15" x14ac:dyDescent="0.25">
      <c r="B642" t="s">
        <v>838</v>
      </c>
      <c r="C642">
        <v>70001110</v>
      </c>
      <c r="D642" t="s">
        <v>1938</v>
      </c>
      <c r="E642" t="s">
        <v>949</v>
      </c>
      <c r="F642" t="s">
        <v>334</v>
      </c>
      <c r="G642" t="s">
        <v>955</v>
      </c>
      <c r="H642" s="1">
        <v>14000</v>
      </c>
      <c r="I642" t="s">
        <v>1940</v>
      </c>
      <c r="N642" s="4">
        <f t="shared" si="18"/>
        <v>70001110</v>
      </c>
      <c r="O642" t="str">
        <f t="shared" si="19"/>
        <v>M204D1COMM</v>
      </c>
    </row>
    <row r="643" spans="2:15" x14ac:dyDescent="0.25">
      <c r="B643" t="s">
        <v>838</v>
      </c>
      <c r="C643">
        <v>70101114</v>
      </c>
      <c r="D643" t="s">
        <v>1943</v>
      </c>
      <c r="E643" t="s">
        <v>956</v>
      </c>
      <c r="F643" t="s">
        <v>59</v>
      </c>
      <c r="G643" t="s">
        <v>957</v>
      </c>
      <c r="H643" s="1">
        <v>80000</v>
      </c>
      <c r="I643" t="s">
        <v>1949</v>
      </c>
      <c r="N643" s="4">
        <f t="shared" si="18"/>
        <v>70101114</v>
      </c>
      <c r="O643" t="str">
        <f t="shared" si="19"/>
        <v>R124D1HRGA</v>
      </c>
    </row>
    <row r="644" spans="2:15" x14ac:dyDescent="0.25">
      <c r="B644" t="s">
        <v>838</v>
      </c>
      <c r="C644">
        <v>70101114</v>
      </c>
      <c r="D644" t="s">
        <v>1948</v>
      </c>
      <c r="E644" t="s">
        <v>958</v>
      </c>
      <c r="F644" t="s">
        <v>59</v>
      </c>
      <c r="G644" t="s">
        <v>959</v>
      </c>
      <c r="H644" s="1">
        <v>40000</v>
      </c>
      <c r="I644" t="s">
        <v>2000</v>
      </c>
      <c r="N644" s="4">
        <f t="shared" si="18"/>
        <v>70101114</v>
      </c>
      <c r="O644" t="str">
        <f t="shared" si="19"/>
        <v>R124WHFSB</v>
      </c>
    </row>
    <row r="645" spans="2:15" x14ac:dyDescent="0.25">
      <c r="B645" t="s">
        <v>838</v>
      </c>
      <c r="C645">
        <v>70106100</v>
      </c>
      <c r="D645" t="s">
        <v>1923</v>
      </c>
      <c r="E645" t="s">
        <v>960</v>
      </c>
      <c r="F645" t="s">
        <v>67</v>
      </c>
      <c r="G645" t="s">
        <v>961</v>
      </c>
      <c r="H645" s="1">
        <v>188000</v>
      </c>
      <c r="I645" t="s">
        <v>2009</v>
      </c>
      <c r="N645" s="4">
        <f t="shared" si="18"/>
        <v>70106100</v>
      </c>
      <c r="O645" t="str">
        <f t="shared" si="19"/>
        <v>P206D1SLSS</v>
      </c>
    </row>
    <row r="646" spans="2:15" x14ac:dyDescent="0.25">
      <c r="B646" t="s">
        <v>838</v>
      </c>
      <c r="C646">
        <v>70009110</v>
      </c>
      <c r="D646" t="s">
        <v>1923</v>
      </c>
      <c r="E646" t="s">
        <v>962</v>
      </c>
      <c r="F646" t="s">
        <v>45</v>
      </c>
      <c r="G646" t="s">
        <v>963</v>
      </c>
      <c r="H646" s="1">
        <v>50000</v>
      </c>
      <c r="I646" t="s">
        <v>1947</v>
      </c>
      <c r="N646" s="4">
        <f t="shared" si="18"/>
        <v>70009110</v>
      </c>
      <c r="O646" t="str">
        <f t="shared" si="19"/>
        <v>P206D1SLSS</v>
      </c>
    </row>
    <row r="647" spans="2:15" x14ac:dyDescent="0.25">
      <c r="B647" t="s">
        <v>838</v>
      </c>
      <c r="C647">
        <v>70009110</v>
      </c>
      <c r="D647" t="s">
        <v>1923</v>
      </c>
      <c r="E647" t="s">
        <v>962</v>
      </c>
      <c r="F647" t="s">
        <v>45</v>
      </c>
      <c r="G647" t="s">
        <v>964</v>
      </c>
      <c r="H647" s="1">
        <v>50000</v>
      </c>
      <c r="I647" t="s">
        <v>1947</v>
      </c>
      <c r="N647" s="4">
        <f t="shared" si="18"/>
        <v>70009110</v>
      </c>
      <c r="O647" t="str">
        <f t="shared" si="19"/>
        <v>P206D1SLSS</v>
      </c>
    </row>
    <row r="648" spans="2:15" x14ac:dyDescent="0.25">
      <c r="B648" t="s">
        <v>838</v>
      </c>
      <c r="C648">
        <v>70009110</v>
      </c>
      <c r="D648" t="s">
        <v>1923</v>
      </c>
      <c r="E648" t="s">
        <v>962</v>
      </c>
      <c r="F648" t="s">
        <v>45</v>
      </c>
      <c r="G648" t="s">
        <v>965</v>
      </c>
      <c r="H648" s="1">
        <v>50000</v>
      </c>
      <c r="I648" t="s">
        <v>1947</v>
      </c>
      <c r="N648" s="4">
        <f t="shared" si="18"/>
        <v>70009110</v>
      </c>
      <c r="O648" t="str">
        <f t="shared" si="19"/>
        <v>P206D1SLSS</v>
      </c>
    </row>
    <row r="649" spans="2:15" x14ac:dyDescent="0.25">
      <c r="B649" t="s">
        <v>838</v>
      </c>
      <c r="C649">
        <v>70009110</v>
      </c>
      <c r="D649" t="s">
        <v>1923</v>
      </c>
      <c r="E649" t="s">
        <v>962</v>
      </c>
      <c r="F649" t="s">
        <v>45</v>
      </c>
      <c r="G649" t="s">
        <v>966</v>
      </c>
      <c r="H649" s="1">
        <v>50000</v>
      </c>
      <c r="I649" t="s">
        <v>1947</v>
      </c>
      <c r="N649" s="4">
        <f t="shared" si="18"/>
        <v>70009110</v>
      </c>
      <c r="O649" t="str">
        <f t="shared" si="19"/>
        <v>P206D1SLSS</v>
      </c>
    </row>
    <row r="650" spans="2:15" x14ac:dyDescent="0.25">
      <c r="B650" t="s">
        <v>838</v>
      </c>
      <c r="C650">
        <v>70009110</v>
      </c>
      <c r="D650" t="s">
        <v>1923</v>
      </c>
      <c r="E650" t="s">
        <v>967</v>
      </c>
      <c r="F650" t="s">
        <v>45</v>
      </c>
      <c r="G650" t="s">
        <v>968</v>
      </c>
      <c r="H650" s="1">
        <v>50000</v>
      </c>
      <c r="I650" t="s">
        <v>2010</v>
      </c>
      <c r="N650" s="4">
        <f t="shared" si="18"/>
        <v>70009110</v>
      </c>
      <c r="O650" t="str">
        <f t="shared" si="19"/>
        <v>P206D1SLSS</v>
      </c>
    </row>
    <row r="651" spans="2:15" x14ac:dyDescent="0.25">
      <c r="B651" t="s">
        <v>838</v>
      </c>
      <c r="C651">
        <v>70009110</v>
      </c>
      <c r="D651" t="s">
        <v>1923</v>
      </c>
      <c r="E651" t="s">
        <v>967</v>
      </c>
      <c r="F651" t="s">
        <v>45</v>
      </c>
      <c r="G651" t="s">
        <v>969</v>
      </c>
      <c r="H651" s="1">
        <v>50000</v>
      </c>
      <c r="I651" t="s">
        <v>2010</v>
      </c>
      <c r="N651" s="4">
        <f t="shared" ref="N651:N714" si="20">+C651</f>
        <v>70009110</v>
      </c>
      <c r="O651" t="str">
        <f t="shared" ref="O651:O714" si="21">+D651</f>
        <v>P206D1SLSS</v>
      </c>
    </row>
    <row r="652" spans="2:15" x14ac:dyDescent="0.25">
      <c r="B652" t="s">
        <v>838</v>
      </c>
      <c r="C652">
        <v>70101202</v>
      </c>
      <c r="D652" t="s">
        <v>2013</v>
      </c>
      <c r="E652" t="s">
        <v>970</v>
      </c>
      <c r="F652" t="s">
        <v>57</v>
      </c>
      <c r="G652" t="s">
        <v>971</v>
      </c>
      <c r="H652" s="1">
        <v>942500</v>
      </c>
      <c r="I652" t="s">
        <v>1980</v>
      </c>
      <c r="N652" s="4">
        <f t="shared" si="20"/>
        <v>70101202</v>
      </c>
      <c r="O652" t="str">
        <f t="shared" si="21"/>
        <v>R124FRA3</v>
      </c>
    </row>
    <row r="653" spans="2:15" x14ac:dyDescent="0.25">
      <c r="B653" t="s">
        <v>838</v>
      </c>
      <c r="C653">
        <v>70107600</v>
      </c>
      <c r="D653" t="s">
        <v>1921</v>
      </c>
      <c r="E653" t="s">
        <v>972</v>
      </c>
      <c r="F653" t="s">
        <v>126</v>
      </c>
      <c r="G653" t="s">
        <v>973</v>
      </c>
      <c r="H653" s="1">
        <v>997235</v>
      </c>
      <c r="I653" t="s">
        <v>1920</v>
      </c>
      <c r="N653" s="4">
        <f t="shared" si="20"/>
        <v>70107600</v>
      </c>
      <c r="O653" t="str">
        <f t="shared" si="21"/>
        <v>R124D1HRDV</v>
      </c>
    </row>
    <row r="654" spans="2:15" x14ac:dyDescent="0.25">
      <c r="B654" t="s">
        <v>838</v>
      </c>
      <c r="C654">
        <v>70107300</v>
      </c>
      <c r="D654" t="s">
        <v>1921</v>
      </c>
      <c r="E654" t="s">
        <v>974</v>
      </c>
      <c r="F654" t="s">
        <v>41</v>
      </c>
      <c r="G654" t="s">
        <v>975</v>
      </c>
      <c r="H654" s="1">
        <v>400000</v>
      </c>
      <c r="I654" t="s">
        <v>1920</v>
      </c>
      <c r="N654" s="4">
        <f t="shared" si="20"/>
        <v>70107300</v>
      </c>
      <c r="O654" t="str">
        <f t="shared" si="21"/>
        <v>R124D1HRDV</v>
      </c>
    </row>
    <row r="655" spans="2:15" x14ac:dyDescent="0.25">
      <c r="B655" t="s">
        <v>838</v>
      </c>
      <c r="C655">
        <v>70009110</v>
      </c>
      <c r="D655" t="s">
        <v>1923</v>
      </c>
      <c r="E655" t="s">
        <v>976</v>
      </c>
      <c r="F655" t="s">
        <v>45</v>
      </c>
      <c r="G655" t="s">
        <v>977</v>
      </c>
      <c r="H655" s="1">
        <v>50000</v>
      </c>
      <c r="I655" t="s">
        <v>1941</v>
      </c>
      <c r="N655" s="4">
        <f t="shared" si="20"/>
        <v>70009110</v>
      </c>
      <c r="O655" t="str">
        <f t="shared" si="21"/>
        <v>P206D1SLSS</v>
      </c>
    </row>
    <row r="656" spans="2:15" x14ac:dyDescent="0.25">
      <c r="B656" t="s">
        <v>838</v>
      </c>
      <c r="C656">
        <v>70101202</v>
      </c>
      <c r="D656" t="s">
        <v>1945</v>
      </c>
      <c r="E656" t="s">
        <v>978</v>
      </c>
      <c r="F656" t="s">
        <v>57</v>
      </c>
      <c r="G656" t="s">
        <v>979</v>
      </c>
      <c r="H656" s="1">
        <v>348280</v>
      </c>
      <c r="I656" t="s">
        <v>1944</v>
      </c>
      <c r="N656" s="4">
        <f t="shared" si="20"/>
        <v>70101202</v>
      </c>
      <c r="O656" t="str">
        <f t="shared" si="21"/>
        <v>R124MIN</v>
      </c>
    </row>
    <row r="657" spans="2:15" x14ac:dyDescent="0.25">
      <c r="B657" t="s">
        <v>838</v>
      </c>
      <c r="C657">
        <v>70101102</v>
      </c>
      <c r="D657" t="s">
        <v>1992</v>
      </c>
      <c r="E657" t="s">
        <v>980</v>
      </c>
      <c r="F657" t="s">
        <v>129</v>
      </c>
      <c r="G657" t="s">
        <v>981</v>
      </c>
      <c r="H657" s="1">
        <v>463000</v>
      </c>
      <c r="I657" t="s">
        <v>1991</v>
      </c>
      <c r="N657" s="4">
        <f t="shared" si="20"/>
        <v>70101102</v>
      </c>
      <c r="O657" t="str">
        <f t="shared" si="21"/>
        <v>R124FPO</v>
      </c>
    </row>
    <row r="658" spans="2:15" x14ac:dyDescent="0.25">
      <c r="B658" t="s">
        <v>838</v>
      </c>
      <c r="C658">
        <v>70009110</v>
      </c>
      <c r="D658" t="s">
        <v>1938</v>
      </c>
      <c r="E658" t="s">
        <v>982</v>
      </c>
      <c r="F658" t="s">
        <v>45</v>
      </c>
      <c r="G658" t="s">
        <v>983</v>
      </c>
      <c r="H658" s="1">
        <v>50000</v>
      </c>
      <c r="I658" t="s">
        <v>1941</v>
      </c>
      <c r="N658" s="4">
        <f t="shared" si="20"/>
        <v>70009110</v>
      </c>
      <c r="O658" t="str">
        <f t="shared" si="21"/>
        <v>M204D1COMM</v>
      </c>
    </row>
    <row r="659" spans="2:15" x14ac:dyDescent="0.25">
      <c r="B659" t="s">
        <v>838</v>
      </c>
      <c r="C659">
        <v>70009110</v>
      </c>
      <c r="D659" t="s">
        <v>1938</v>
      </c>
      <c r="E659" t="s">
        <v>982</v>
      </c>
      <c r="F659" t="s">
        <v>45</v>
      </c>
      <c r="G659" t="s">
        <v>984</v>
      </c>
      <c r="H659" s="1">
        <v>50000</v>
      </c>
      <c r="I659" t="s">
        <v>1941</v>
      </c>
      <c r="N659" s="4">
        <f t="shared" si="20"/>
        <v>70009110</v>
      </c>
      <c r="O659" t="str">
        <f t="shared" si="21"/>
        <v>M204D1COMM</v>
      </c>
    </row>
    <row r="660" spans="2:15" x14ac:dyDescent="0.25">
      <c r="B660" t="s">
        <v>838</v>
      </c>
      <c r="C660">
        <v>70009110</v>
      </c>
      <c r="D660" t="s">
        <v>1938</v>
      </c>
      <c r="E660" t="s">
        <v>982</v>
      </c>
      <c r="F660" t="s">
        <v>45</v>
      </c>
      <c r="G660" t="s">
        <v>985</v>
      </c>
      <c r="H660" s="1">
        <v>50000</v>
      </c>
      <c r="I660" t="s">
        <v>1941</v>
      </c>
      <c r="N660" s="4">
        <f t="shared" si="20"/>
        <v>70009110</v>
      </c>
      <c r="O660" t="str">
        <f t="shared" si="21"/>
        <v>M204D1COMM</v>
      </c>
    </row>
    <row r="661" spans="2:15" x14ac:dyDescent="0.25">
      <c r="B661" t="s">
        <v>838</v>
      </c>
      <c r="C661">
        <v>70106400</v>
      </c>
      <c r="D661" t="s">
        <v>1943</v>
      </c>
      <c r="E661" t="s">
        <v>986</v>
      </c>
      <c r="F661" t="s">
        <v>96</v>
      </c>
      <c r="G661" t="s">
        <v>987</v>
      </c>
      <c r="H661" s="1">
        <v>740000</v>
      </c>
      <c r="I661" t="s">
        <v>1942</v>
      </c>
      <c r="N661" s="4">
        <f t="shared" si="20"/>
        <v>70106400</v>
      </c>
      <c r="O661" t="str">
        <f t="shared" si="21"/>
        <v>R124D1HRGA</v>
      </c>
    </row>
    <row r="662" spans="2:15" x14ac:dyDescent="0.25">
      <c r="B662" t="s">
        <v>838</v>
      </c>
      <c r="C662">
        <v>70106100</v>
      </c>
      <c r="D662" t="s">
        <v>1943</v>
      </c>
      <c r="E662" t="s">
        <v>986</v>
      </c>
      <c r="F662" t="s">
        <v>67</v>
      </c>
      <c r="G662" t="s">
        <v>98</v>
      </c>
      <c r="H662" s="1">
        <v>260000</v>
      </c>
      <c r="I662" t="s">
        <v>1942</v>
      </c>
      <c r="N662" s="4">
        <f t="shared" si="20"/>
        <v>70106100</v>
      </c>
      <c r="O662" t="str">
        <f t="shared" si="21"/>
        <v>R124D1HRGA</v>
      </c>
    </row>
    <row r="663" spans="2:15" x14ac:dyDescent="0.25">
      <c r="B663" t="s">
        <v>838</v>
      </c>
      <c r="C663">
        <v>70107600</v>
      </c>
      <c r="D663" t="s">
        <v>2014</v>
      </c>
      <c r="E663" t="s">
        <v>988</v>
      </c>
      <c r="F663" t="s">
        <v>126</v>
      </c>
      <c r="G663" t="s">
        <v>989</v>
      </c>
      <c r="H663" s="1">
        <v>862500</v>
      </c>
      <c r="I663" t="s">
        <v>1966</v>
      </c>
      <c r="N663" s="4">
        <f t="shared" si="20"/>
        <v>70107600</v>
      </c>
      <c r="O663" t="str">
        <f t="shared" si="21"/>
        <v>R124BLR</v>
      </c>
    </row>
    <row r="664" spans="2:15" x14ac:dyDescent="0.25">
      <c r="B664" t="s">
        <v>838</v>
      </c>
      <c r="C664">
        <v>70101202</v>
      </c>
      <c r="D664" t="s">
        <v>1955</v>
      </c>
      <c r="E664" t="s">
        <v>990</v>
      </c>
      <c r="F664" t="s">
        <v>57</v>
      </c>
      <c r="G664" t="s">
        <v>991</v>
      </c>
      <c r="H664" s="1">
        <v>600000</v>
      </c>
      <c r="I664" t="s">
        <v>1954</v>
      </c>
      <c r="N664" s="4">
        <f t="shared" si="20"/>
        <v>70101202</v>
      </c>
      <c r="O664" t="str">
        <f t="shared" si="21"/>
        <v>R124WHP</v>
      </c>
    </row>
    <row r="665" spans="2:15" x14ac:dyDescent="0.25">
      <c r="B665" t="s">
        <v>838</v>
      </c>
      <c r="C665">
        <v>70115100</v>
      </c>
      <c r="D665" t="s">
        <v>1959</v>
      </c>
      <c r="E665" t="s">
        <v>992</v>
      </c>
      <c r="F665" t="s">
        <v>146</v>
      </c>
      <c r="G665" t="s">
        <v>993</v>
      </c>
      <c r="H665" s="1">
        <v>163700</v>
      </c>
      <c r="I665" t="s">
        <v>1958</v>
      </c>
      <c r="N665" s="4">
        <f t="shared" si="20"/>
        <v>70115100</v>
      </c>
      <c r="O665" t="str">
        <f t="shared" si="21"/>
        <v>R124QCA</v>
      </c>
    </row>
    <row r="666" spans="2:15" x14ac:dyDescent="0.25">
      <c r="B666" t="s">
        <v>838</v>
      </c>
      <c r="C666">
        <v>70119300</v>
      </c>
      <c r="D666" t="s">
        <v>1959</v>
      </c>
      <c r="E666" t="s">
        <v>992</v>
      </c>
      <c r="F666" t="s">
        <v>518</v>
      </c>
      <c r="G666" t="s">
        <v>902</v>
      </c>
      <c r="H666" s="1">
        <v>86000</v>
      </c>
      <c r="I666" t="s">
        <v>1958</v>
      </c>
      <c r="N666" s="4">
        <f t="shared" si="20"/>
        <v>70119300</v>
      </c>
      <c r="O666" t="str">
        <f t="shared" si="21"/>
        <v>R124QCA</v>
      </c>
    </row>
    <row r="667" spans="2:15" x14ac:dyDescent="0.25">
      <c r="B667" t="s">
        <v>838</v>
      </c>
      <c r="C667">
        <v>70101114</v>
      </c>
      <c r="D667" t="s">
        <v>1959</v>
      </c>
      <c r="E667" t="s">
        <v>992</v>
      </c>
      <c r="F667" t="s">
        <v>59</v>
      </c>
      <c r="G667" t="s">
        <v>994</v>
      </c>
      <c r="H667" s="1">
        <v>190700</v>
      </c>
      <c r="I667" t="s">
        <v>1958</v>
      </c>
      <c r="N667" s="4">
        <f t="shared" si="20"/>
        <v>70101114</v>
      </c>
      <c r="O667" t="str">
        <f t="shared" si="21"/>
        <v>R124QCA</v>
      </c>
    </row>
    <row r="668" spans="2:15" x14ac:dyDescent="0.25">
      <c r="B668" t="s">
        <v>838</v>
      </c>
      <c r="C668">
        <v>70107600</v>
      </c>
      <c r="D668" t="s">
        <v>1959</v>
      </c>
      <c r="E668" t="s">
        <v>992</v>
      </c>
      <c r="F668" t="s">
        <v>126</v>
      </c>
      <c r="G668" t="s">
        <v>995</v>
      </c>
      <c r="H668" s="1">
        <v>185500</v>
      </c>
      <c r="I668" t="s">
        <v>1958</v>
      </c>
      <c r="N668" s="4">
        <f t="shared" si="20"/>
        <v>70107600</v>
      </c>
      <c r="O668" t="str">
        <f t="shared" si="21"/>
        <v>R124QCA</v>
      </c>
    </row>
    <row r="669" spans="2:15" x14ac:dyDescent="0.25">
      <c r="B669" t="s">
        <v>838</v>
      </c>
      <c r="C669">
        <v>70101114</v>
      </c>
      <c r="D669" t="s">
        <v>1959</v>
      </c>
      <c r="E669" t="s">
        <v>996</v>
      </c>
      <c r="F669" t="s">
        <v>59</v>
      </c>
      <c r="G669" t="s">
        <v>997</v>
      </c>
      <c r="H669" s="1">
        <v>604000</v>
      </c>
      <c r="I669" t="s">
        <v>1958</v>
      </c>
      <c r="N669" s="4">
        <f t="shared" si="20"/>
        <v>70101114</v>
      </c>
      <c r="O669" t="str">
        <f t="shared" si="21"/>
        <v>R124QCA</v>
      </c>
    </row>
    <row r="670" spans="2:15" x14ac:dyDescent="0.25">
      <c r="B670" t="s">
        <v>838</v>
      </c>
      <c r="C670">
        <v>70009110</v>
      </c>
      <c r="D670" t="s">
        <v>1923</v>
      </c>
      <c r="E670" t="s">
        <v>998</v>
      </c>
      <c r="F670" t="s">
        <v>45</v>
      </c>
      <c r="G670" t="s">
        <v>999</v>
      </c>
      <c r="H670" s="1">
        <v>50000</v>
      </c>
      <c r="I670" t="s">
        <v>1936</v>
      </c>
      <c r="N670" s="4">
        <f t="shared" si="20"/>
        <v>70009110</v>
      </c>
      <c r="O670" t="str">
        <f t="shared" si="21"/>
        <v>P206D1SLSS</v>
      </c>
    </row>
    <row r="671" spans="2:15" x14ac:dyDescent="0.25">
      <c r="B671" t="s">
        <v>838</v>
      </c>
      <c r="C671">
        <v>70009110</v>
      </c>
      <c r="D671" t="s">
        <v>1923</v>
      </c>
      <c r="E671" t="s">
        <v>998</v>
      </c>
      <c r="F671" t="s">
        <v>45</v>
      </c>
      <c r="G671" t="s">
        <v>1000</v>
      </c>
      <c r="H671" s="1">
        <v>50000</v>
      </c>
      <c r="I671" t="s">
        <v>1936</v>
      </c>
      <c r="N671" s="4">
        <f t="shared" si="20"/>
        <v>70009110</v>
      </c>
      <c r="O671" t="str">
        <f t="shared" si="21"/>
        <v>P206D1SLSS</v>
      </c>
    </row>
    <row r="672" spans="2:15" x14ac:dyDescent="0.25">
      <c r="B672" t="s">
        <v>838</v>
      </c>
      <c r="C672">
        <v>70009110</v>
      </c>
      <c r="D672" t="s">
        <v>1924</v>
      </c>
      <c r="E672" t="s">
        <v>998</v>
      </c>
      <c r="F672" t="s">
        <v>45</v>
      </c>
      <c r="G672" t="s">
        <v>1001</v>
      </c>
      <c r="H672" s="1">
        <v>50000</v>
      </c>
      <c r="I672" t="s">
        <v>1936</v>
      </c>
      <c r="N672" s="4">
        <f t="shared" si="20"/>
        <v>70009110</v>
      </c>
      <c r="O672" t="str">
        <f t="shared" si="21"/>
        <v>C206D1SLSS</v>
      </c>
    </row>
    <row r="673" spans="2:15" x14ac:dyDescent="0.25">
      <c r="B673" t="s">
        <v>838</v>
      </c>
      <c r="C673">
        <v>70009110</v>
      </c>
      <c r="D673" t="s">
        <v>1967</v>
      </c>
      <c r="E673" t="s">
        <v>998</v>
      </c>
      <c r="F673" t="s">
        <v>45</v>
      </c>
      <c r="G673" t="s">
        <v>1002</v>
      </c>
      <c r="H673" s="1">
        <v>50000</v>
      </c>
      <c r="I673" t="s">
        <v>1936</v>
      </c>
      <c r="N673" s="4">
        <f t="shared" si="20"/>
        <v>70009110</v>
      </c>
      <c r="O673" t="str">
        <f t="shared" si="21"/>
        <v>P206D1SLSC</v>
      </c>
    </row>
    <row r="674" spans="2:15" x14ac:dyDescent="0.25">
      <c r="B674" t="s">
        <v>838</v>
      </c>
      <c r="C674">
        <v>70009110</v>
      </c>
      <c r="D674" t="s">
        <v>1923</v>
      </c>
      <c r="E674" t="s">
        <v>998</v>
      </c>
      <c r="F674" t="s">
        <v>45</v>
      </c>
      <c r="G674" t="s">
        <v>1003</v>
      </c>
      <c r="H674" s="1">
        <v>50000</v>
      </c>
      <c r="I674" t="s">
        <v>1936</v>
      </c>
      <c r="N674" s="4">
        <f t="shared" si="20"/>
        <v>70009110</v>
      </c>
      <c r="O674" t="str">
        <f t="shared" si="21"/>
        <v>P206D1SLSS</v>
      </c>
    </row>
    <row r="675" spans="2:15" x14ac:dyDescent="0.25">
      <c r="B675" t="s">
        <v>838</v>
      </c>
      <c r="C675">
        <v>70009110</v>
      </c>
      <c r="D675" t="s">
        <v>1938</v>
      </c>
      <c r="E675" t="s">
        <v>998</v>
      </c>
      <c r="F675" t="s">
        <v>45</v>
      </c>
      <c r="G675" t="s">
        <v>1004</v>
      </c>
      <c r="H675" s="1">
        <v>50000</v>
      </c>
      <c r="I675" t="s">
        <v>1936</v>
      </c>
      <c r="N675" s="4">
        <f t="shared" si="20"/>
        <v>70009110</v>
      </c>
      <c r="O675" t="str">
        <f t="shared" si="21"/>
        <v>M204D1COMM</v>
      </c>
    </row>
    <row r="676" spans="2:15" x14ac:dyDescent="0.25">
      <c r="B676" t="s">
        <v>838</v>
      </c>
      <c r="C676">
        <v>70009110</v>
      </c>
      <c r="D676" t="s">
        <v>1923</v>
      </c>
      <c r="E676" t="s">
        <v>998</v>
      </c>
      <c r="F676" t="s">
        <v>45</v>
      </c>
      <c r="G676" t="s">
        <v>1005</v>
      </c>
      <c r="H676" s="1">
        <v>200000</v>
      </c>
      <c r="I676" t="s">
        <v>1936</v>
      </c>
      <c r="N676" s="4">
        <f t="shared" si="20"/>
        <v>70009110</v>
      </c>
      <c r="O676" t="str">
        <f t="shared" si="21"/>
        <v>P206D1SLSS</v>
      </c>
    </row>
    <row r="677" spans="2:15" x14ac:dyDescent="0.25">
      <c r="B677" t="s">
        <v>838</v>
      </c>
      <c r="C677">
        <v>70101202</v>
      </c>
      <c r="D677" t="s">
        <v>2013</v>
      </c>
      <c r="E677" t="s">
        <v>1006</v>
      </c>
      <c r="F677" t="s">
        <v>57</v>
      </c>
      <c r="G677" t="s">
        <v>1007</v>
      </c>
      <c r="H677" s="1">
        <v>932000</v>
      </c>
      <c r="I677" t="s">
        <v>1980</v>
      </c>
      <c r="N677" s="4">
        <f t="shared" si="20"/>
        <v>70101202</v>
      </c>
      <c r="O677" t="str">
        <f t="shared" si="21"/>
        <v>R124FRA3</v>
      </c>
    </row>
    <row r="678" spans="2:15" x14ac:dyDescent="0.25">
      <c r="B678" t="s">
        <v>838</v>
      </c>
      <c r="C678">
        <v>70101202</v>
      </c>
      <c r="D678" t="s">
        <v>1926</v>
      </c>
      <c r="E678" t="s">
        <v>1008</v>
      </c>
      <c r="F678" t="s">
        <v>57</v>
      </c>
      <c r="G678" t="s">
        <v>1009</v>
      </c>
      <c r="H678" s="1">
        <v>927000</v>
      </c>
      <c r="I678" t="s">
        <v>1925</v>
      </c>
      <c r="N678" s="4">
        <f t="shared" si="20"/>
        <v>70101202</v>
      </c>
      <c r="O678" t="str">
        <f t="shared" si="21"/>
        <v>R124NSS</v>
      </c>
    </row>
    <row r="679" spans="2:15" x14ac:dyDescent="0.25">
      <c r="B679" t="s">
        <v>838</v>
      </c>
      <c r="C679">
        <v>70009110</v>
      </c>
      <c r="D679" t="s">
        <v>1923</v>
      </c>
      <c r="E679" t="s">
        <v>1010</v>
      </c>
      <c r="F679" t="s">
        <v>45</v>
      </c>
      <c r="G679" t="s">
        <v>1011</v>
      </c>
      <c r="H679" s="1">
        <v>50000</v>
      </c>
      <c r="I679" t="s">
        <v>1947</v>
      </c>
      <c r="N679" s="4">
        <f t="shared" si="20"/>
        <v>70009110</v>
      </c>
      <c r="O679" t="str">
        <f t="shared" si="21"/>
        <v>P206D1SLSS</v>
      </c>
    </row>
    <row r="680" spans="2:15" x14ac:dyDescent="0.25">
      <c r="B680" t="s">
        <v>838</v>
      </c>
      <c r="C680">
        <v>70009110</v>
      </c>
      <c r="D680" t="s">
        <v>1923</v>
      </c>
      <c r="E680" t="s">
        <v>1010</v>
      </c>
      <c r="F680" t="s">
        <v>45</v>
      </c>
      <c r="G680" t="s">
        <v>1012</v>
      </c>
      <c r="H680" s="1">
        <v>50000</v>
      </c>
      <c r="I680" t="s">
        <v>1947</v>
      </c>
      <c r="N680" s="4">
        <f t="shared" si="20"/>
        <v>70009110</v>
      </c>
      <c r="O680" t="str">
        <f t="shared" si="21"/>
        <v>P206D1SLSS</v>
      </c>
    </row>
    <row r="681" spans="2:15" x14ac:dyDescent="0.25">
      <c r="B681" t="s">
        <v>838</v>
      </c>
      <c r="C681">
        <v>70009110</v>
      </c>
      <c r="D681" t="s">
        <v>1938</v>
      </c>
      <c r="E681" t="s">
        <v>1010</v>
      </c>
      <c r="F681" t="s">
        <v>45</v>
      </c>
      <c r="G681" t="s">
        <v>1013</v>
      </c>
      <c r="H681" s="1">
        <v>50000</v>
      </c>
      <c r="I681" t="s">
        <v>1947</v>
      </c>
      <c r="N681" s="4">
        <f t="shared" si="20"/>
        <v>70009110</v>
      </c>
      <c r="O681" t="str">
        <f t="shared" si="21"/>
        <v>M204D1COMM</v>
      </c>
    </row>
    <row r="682" spans="2:15" x14ac:dyDescent="0.25">
      <c r="B682" t="s">
        <v>838</v>
      </c>
      <c r="C682">
        <v>70009110</v>
      </c>
      <c r="D682" t="s">
        <v>1938</v>
      </c>
      <c r="E682" t="s">
        <v>1010</v>
      </c>
      <c r="F682" t="s">
        <v>45</v>
      </c>
      <c r="G682" t="s">
        <v>1014</v>
      </c>
      <c r="H682" s="1">
        <v>50000</v>
      </c>
      <c r="I682" t="s">
        <v>1947</v>
      </c>
      <c r="N682" s="4">
        <f t="shared" si="20"/>
        <v>70009110</v>
      </c>
      <c r="O682" t="str">
        <f t="shared" si="21"/>
        <v>M204D1COMM</v>
      </c>
    </row>
    <row r="683" spans="2:15" x14ac:dyDescent="0.25">
      <c r="B683" t="s">
        <v>838</v>
      </c>
      <c r="C683">
        <v>70107600</v>
      </c>
      <c r="D683" t="s">
        <v>1935</v>
      </c>
      <c r="E683" t="s">
        <v>1015</v>
      </c>
      <c r="F683" t="s">
        <v>126</v>
      </c>
      <c r="G683" t="s">
        <v>1016</v>
      </c>
      <c r="H683" s="1">
        <v>665500</v>
      </c>
      <c r="I683" t="s">
        <v>2000</v>
      </c>
      <c r="N683" s="4">
        <f t="shared" si="20"/>
        <v>70107600</v>
      </c>
      <c r="O683" t="str">
        <f t="shared" si="21"/>
        <v>R124WHRS</v>
      </c>
    </row>
    <row r="684" spans="2:15" x14ac:dyDescent="0.25">
      <c r="B684" t="s">
        <v>838</v>
      </c>
      <c r="C684">
        <v>70101114</v>
      </c>
      <c r="D684" t="s">
        <v>1948</v>
      </c>
      <c r="E684" t="s">
        <v>1017</v>
      </c>
      <c r="F684" t="s">
        <v>59</v>
      </c>
      <c r="G684" t="s">
        <v>1018</v>
      </c>
      <c r="H684" s="1">
        <v>35000</v>
      </c>
      <c r="I684" t="s">
        <v>2000</v>
      </c>
      <c r="N684" s="4">
        <f t="shared" si="20"/>
        <v>70101114</v>
      </c>
      <c r="O684" t="str">
        <f t="shared" si="21"/>
        <v>R124WHFSB</v>
      </c>
    </row>
    <row r="685" spans="2:15" x14ac:dyDescent="0.25">
      <c r="B685" t="s">
        <v>838</v>
      </c>
      <c r="C685">
        <v>70101114</v>
      </c>
      <c r="D685" t="s">
        <v>1948</v>
      </c>
      <c r="E685" t="s">
        <v>1019</v>
      </c>
      <c r="F685" t="s">
        <v>59</v>
      </c>
      <c r="G685" t="s">
        <v>1020</v>
      </c>
      <c r="H685" s="1">
        <v>147000</v>
      </c>
      <c r="I685" t="s">
        <v>2000</v>
      </c>
      <c r="N685" s="4">
        <f t="shared" si="20"/>
        <v>70101114</v>
      </c>
      <c r="O685" t="str">
        <f t="shared" si="21"/>
        <v>R124WHFSB</v>
      </c>
    </row>
    <row r="686" spans="2:15" x14ac:dyDescent="0.25">
      <c r="B686" t="s">
        <v>838</v>
      </c>
      <c r="C686">
        <v>70009110</v>
      </c>
      <c r="D686" t="s">
        <v>1924</v>
      </c>
      <c r="E686" t="s">
        <v>1021</v>
      </c>
      <c r="F686" t="s">
        <v>45</v>
      </c>
      <c r="G686" t="s">
        <v>1022</v>
      </c>
      <c r="H686" s="1">
        <v>350000</v>
      </c>
      <c r="I686" t="s">
        <v>1922</v>
      </c>
      <c r="N686" s="4">
        <f t="shared" si="20"/>
        <v>70009110</v>
      </c>
      <c r="O686" t="str">
        <f t="shared" si="21"/>
        <v>C206D1SLSS</v>
      </c>
    </row>
    <row r="687" spans="2:15" x14ac:dyDescent="0.25">
      <c r="B687" t="s">
        <v>838</v>
      </c>
      <c r="C687">
        <v>70009110</v>
      </c>
      <c r="D687" t="s">
        <v>1924</v>
      </c>
      <c r="E687" t="s">
        <v>1021</v>
      </c>
      <c r="F687" t="s">
        <v>45</v>
      </c>
      <c r="G687" t="s">
        <v>1023</v>
      </c>
      <c r="H687" s="1">
        <v>150000</v>
      </c>
      <c r="I687" t="s">
        <v>1922</v>
      </c>
      <c r="N687" s="4">
        <f t="shared" si="20"/>
        <v>70009110</v>
      </c>
      <c r="O687" t="str">
        <f t="shared" si="21"/>
        <v>C206D1SLSS</v>
      </c>
    </row>
    <row r="688" spans="2:15" x14ac:dyDescent="0.25">
      <c r="B688" t="s">
        <v>838</v>
      </c>
      <c r="C688">
        <v>70009110</v>
      </c>
      <c r="D688" t="s">
        <v>1938</v>
      </c>
      <c r="E688" t="s">
        <v>1021</v>
      </c>
      <c r="F688" t="s">
        <v>45</v>
      </c>
      <c r="G688" t="s">
        <v>1024</v>
      </c>
      <c r="H688" s="1">
        <v>100000</v>
      </c>
      <c r="I688" t="s">
        <v>1922</v>
      </c>
      <c r="N688" s="4">
        <f t="shared" si="20"/>
        <v>70009110</v>
      </c>
      <c r="O688" t="str">
        <f t="shared" si="21"/>
        <v>M204D1COMM</v>
      </c>
    </row>
    <row r="689" spans="2:15" x14ac:dyDescent="0.25">
      <c r="B689" t="s">
        <v>838</v>
      </c>
      <c r="C689">
        <v>70009110</v>
      </c>
      <c r="D689" t="s">
        <v>1938</v>
      </c>
      <c r="E689" t="s">
        <v>1021</v>
      </c>
      <c r="F689" t="s">
        <v>45</v>
      </c>
      <c r="G689" t="s">
        <v>1025</v>
      </c>
      <c r="H689" s="1">
        <v>100000</v>
      </c>
      <c r="I689" t="s">
        <v>1922</v>
      </c>
      <c r="N689" s="4">
        <f t="shared" si="20"/>
        <v>70009110</v>
      </c>
      <c r="O689" t="str">
        <f t="shared" si="21"/>
        <v>M204D1COMM</v>
      </c>
    </row>
    <row r="690" spans="2:15" x14ac:dyDescent="0.25">
      <c r="B690" t="s">
        <v>838</v>
      </c>
      <c r="C690">
        <v>70009110</v>
      </c>
      <c r="D690" t="s">
        <v>1938</v>
      </c>
      <c r="E690" t="s">
        <v>1021</v>
      </c>
      <c r="F690" t="s">
        <v>45</v>
      </c>
      <c r="G690" t="s">
        <v>1026</v>
      </c>
      <c r="H690" s="1">
        <v>100000</v>
      </c>
      <c r="I690" t="s">
        <v>1922</v>
      </c>
      <c r="N690" s="4">
        <f t="shared" si="20"/>
        <v>70009110</v>
      </c>
      <c r="O690" t="str">
        <f t="shared" si="21"/>
        <v>M204D1COMM</v>
      </c>
    </row>
    <row r="691" spans="2:15" x14ac:dyDescent="0.25">
      <c r="B691" t="s">
        <v>838</v>
      </c>
      <c r="C691">
        <v>70009110</v>
      </c>
      <c r="D691" t="s">
        <v>1938</v>
      </c>
      <c r="E691" t="s">
        <v>1027</v>
      </c>
      <c r="F691" t="s">
        <v>45</v>
      </c>
      <c r="G691" t="s">
        <v>1028</v>
      </c>
      <c r="H691" s="1">
        <v>50000</v>
      </c>
      <c r="I691" t="s">
        <v>1941</v>
      </c>
      <c r="N691" s="4">
        <f t="shared" si="20"/>
        <v>70009110</v>
      </c>
      <c r="O691" t="str">
        <f t="shared" si="21"/>
        <v>M204D1COMM</v>
      </c>
    </row>
    <row r="692" spans="2:15" x14ac:dyDescent="0.25">
      <c r="B692" t="s">
        <v>838</v>
      </c>
      <c r="C692">
        <v>70009110</v>
      </c>
      <c r="D692" t="s">
        <v>1923</v>
      </c>
      <c r="E692" t="s">
        <v>1029</v>
      </c>
      <c r="F692" t="s">
        <v>45</v>
      </c>
      <c r="G692" t="s">
        <v>1030</v>
      </c>
      <c r="H692" s="1">
        <v>50000</v>
      </c>
      <c r="I692" t="s">
        <v>1968</v>
      </c>
      <c r="N692" s="4">
        <f t="shared" si="20"/>
        <v>70009110</v>
      </c>
      <c r="O692" t="str">
        <f t="shared" si="21"/>
        <v>P206D1SLSS</v>
      </c>
    </row>
    <row r="693" spans="2:15" x14ac:dyDescent="0.25">
      <c r="B693" t="s">
        <v>838</v>
      </c>
      <c r="C693">
        <v>70009110</v>
      </c>
      <c r="D693" t="s">
        <v>1923</v>
      </c>
      <c r="E693" t="s">
        <v>1029</v>
      </c>
      <c r="F693" t="s">
        <v>45</v>
      </c>
      <c r="G693" t="s">
        <v>1031</v>
      </c>
      <c r="H693" s="1">
        <v>50000</v>
      </c>
      <c r="I693" t="s">
        <v>1968</v>
      </c>
      <c r="N693" s="4">
        <f t="shared" si="20"/>
        <v>70009110</v>
      </c>
      <c r="O693" t="str">
        <f t="shared" si="21"/>
        <v>P206D1SLSS</v>
      </c>
    </row>
    <row r="694" spans="2:15" x14ac:dyDescent="0.25">
      <c r="B694" t="s">
        <v>838</v>
      </c>
      <c r="C694">
        <v>70009110</v>
      </c>
      <c r="D694" t="s">
        <v>1923</v>
      </c>
      <c r="E694" t="s">
        <v>1029</v>
      </c>
      <c r="F694" t="s">
        <v>45</v>
      </c>
      <c r="G694" t="s">
        <v>1032</v>
      </c>
      <c r="H694" s="1">
        <v>50000</v>
      </c>
      <c r="I694" t="s">
        <v>1968</v>
      </c>
      <c r="N694" s="4">
        <f t="shared" si="20"/>
        <v>70009110</v>
      </c>
      <c r="O694" t="str">
        <f t="shared" si="21"/>
        <v>P206D1SLSS</v>
      </c>
    </row>
    <row r="695" spans="2:15" x14ac:dyDescent="0.25">
      <c r="B695" t="s">
        <v>838</v>
      </c>
      <c r="C695">
        <v>70009110</v>
      </c>
      <c r="D695" t="s">
        <v>1923</v>
      </c>
      <c r="E695" t="s">
        <v>1029</v>
      </c>
      <c r="F695" t="s">
        <v>45</v>
      </c>
      <c r="G695" t="s">
        <v>1033</v>
      </c>
      <c r="H695" s="1">
        <v>50000</v>
      </c>
      <c r="I695" t="s">
        <v>1968</v>
      </c>
      <c r="N695" s="4">
        <f t="shared" si="20"/>
        <v>70009110</v>
      </c>
      <c r="O695" t="str">
        <f t="shared" si="21"/>
        <v>P206D1SLSS</v>
      </c>
    </row>
    <row r="696" spans="2:15" x14ac:dyDescent="0.25">
      <c r="B696" t="s">
        <v>838</v>
      </c>
      <c r="C696">
        <v>70009110</v>
      </c>
      <c r="D696" t="s">
        <v>1923</v>
      </c>
      <c r="E696" t="s">
        <v>1029</v>
      </c>
      <c r="F696" t="s">
        <v>45</v>
      </c>
      <c r="G696" t="s">
        <v>1034</v>
      </c>
      <c r="H696" s="1">
        <v>50000</v>
      </c>
      <c r="I696" t="s">
        <v>1968</v>
      </c>
      <c r="N696" s="4">
        <f t="shared" si="20"/>
        <v>70009110</v>
      </c>
      <c r="O696" t="str">
        <f t="shared" si="21"/>
        <v>P206D1SLSS</v>
      </c>
    </row>
    <row r="697" spans="2:15" x14ac:dyDescent="0.25">
      <c r="B697" t="s">
        <v>838</v>
      </c>
      <c r="C697">
        <v>70009110</v>
      </c>
      <c r="D697" t="s">
        <v>1923</v>
      </c>
      <c r="E697" t="s">
        <v>1029</v>
      </c>
      <c r="F697" t="s">
        <v>45</v>
      </c>
      <c r="G697" t="s">
        <v>1035</v>
      </c>
      <c r="H697" s="1">
        <v>50000</v>
      </c>
      <c r="I697" t="s">
        <v>1968</v>
      </c>
      <c r="N697" s="4">
        <f t="shared" si="20"/>
        <v>70009110</v>
      </c>
      <c r="O697" t="str">
        <f t="shared" si="21"/>
        <v>P206D1SLSS</v>
      </c>
    </row>
    <row r="698" spans="2:15" x14ac:dyDescent="0.25">
      <c r="B698" t="s">
        <v>838</v>
      </c>
      <c r="C698" t="s">
        <v>838</v>
      </c>
      <c r="D698" t="s">
        <v>1926</v>
      </c>
      <c r="E698" t="s">
        <v>1029</v>
      </c>
      <c r="F698" t="s">
        <v>375</v>
      </c>
      <c r="G698" t="s">
        <v>1036</v>
      </c>
      <c r="H698" s="1">
        <v>545000</v>
      </c>
      <c r="I698" t="s">
        <v>1968</v>
      </c>
      <c r="N698" s="4" t="str">
        <f t="shared" si="20"/>
        <v>03.10.2025</v>
      </c>
      <c r="O698" t="str">
        <f t="shared" si="21"/>
        <v>R124NSS</v>
      </c>
    </row>
    <row r="699" spans="2:15" x14ac:dyDescent="0.25">
      <c r="B699" t="s">
        <v>838</v>
      </c>
      <c r="C699" t="s">
        <v>838</v>
      </c>
      <c r="D699" t="s">
        <v>1926</v>
      </c>
      <c r="E699" t="s">
        <v>1037</v>
      </c>
      <c r="F699" t="s">
        <v>375</v>
      </c>
      <c r="G699" t="s">
        <v>1038</v>
      </c>
      <c r="H699" s="1">
        <v>198106</v>
      </c>
      <c r="I699" t="s">
        <v>2000</v>
      </c>
      <c r="N699" s="4" t="str">
        <f t="shared" si="20"/>
        <v>03.10.2025</v>
      </c>
      <c r="O699" t="str">
        <f t="shared" si="21"/>
        <v>R124NSS</v>
      </c>
    </row>
    <row r="700" spans="2:15" x14ac:dyDescent="0.25">
      <c r="B700" t="s">
        <v>838</v>
      </c>
      <c r="C700" t="s">
        <v>838</v>
      </c>
      <c r="D700" t="s">
        <v>1926</v>
      </c>
      <c r="E700" t="s">
        <v>1039</v>
      </c>
      <c r="F700" t="s">
        <v>375</v>
      </c>
      <c r="G700" t="s">
        <v>1040</v>
      </c>
      <c r="H700" s="1">
        <v>516150</v>
      </c>
      <c r="I700" t="s">
        <v>1950</v>
      </c>
      <c r="N700" s="4" t="str">
        <f t="shared" si="20"/>
        <v>03.10.2025</v>
      </c>
      <c r="O700" t="str">
        <f t="shared" si="21"/>
        <v>R124NSS</v>
      </c>
    </row>
    <row r="701" spans="2:15" x14ac:dyDescent="0.25">
      <c r="B701" t="s">
        <v>838</v>
      </c>
      <c r="C701" t="s">
        <v>1043</v>
      </c>
      <c r="D701" t="s">
        <v>1926</v>
      </c>
      <c r="E701" t="s">
        <v>1041</v>
      </c>
      <c r="F701" t="s">
        <v>375</v>
      </c>
      <c r="G701" t="s">
        <v>1042</v>
      </c>
      <c r="H701" s="1">
        <v>80000</v>
      </c>
      <c r="I701" t="s">
        <v>2015</v>
      </c>
      <c r="N701" s="4" t="str">
        <f t="shared" si="20"/>
        <v>06.10.2025</v>
      </c>
      <c r="O701" t="str">
        <f t="shared" si="21"/>
        <v>R124NSS</v>
      </c>
    </row>
    <row r="702" spans="2:15" x14ac:dyDescent="0.25">
      <c r="B702" t="s">
        <v>1043</v>
      </c>
      <c r="C702" t="s">
        <v>1045</v>
      </c>
      <c r="D702" t="s">
        <v>1926</v>
      </c>
      <c r="F702" t="s">
        <v>249</v>
      </c>
      <c r="H702">
        <v>0</v>
      </c>
      <c r="N702" s="4" t="str">
        <f t="shared" si="20"/>
        <v>14.10.2025</v>
      </c>
      <c r="O702" t="str">
        <f t="shared" si="21"/>
        <v>R124NSS</v>
      </c>
    </row>
    <row r="703" spans="2:15" x14ac:dyDescent="0.25">
      <c r="B703" t="s">
        <v>1045</v>
      </c>
      <c r="C703">
        <v>70101202</v>
      </c>
      <c r="D703" t="s">
        <v>1926</v>
      </c>
      <c r="E703" t="s">
        <v>1046</v>
      </c>
      <c r="F703" t="s">
        <v>57</v>
      </c>
      <c r="G703" t="s">
        <v>1047</v>
      </c>
      <c r="H703" s="1">
        <v>977000</v>
      </c>
      <c r="I703" t="s">
        <v>1925</v>
      </c>
      <c r="N703" s="4">
        <f t="shared" si="20"/>
        <v>70101202</v>
      </c>
      <c r="O703" t="str">
        <f t="shared" si="21"/>
        <v>R124NSS</v>
      </c>
    </row>
    <row r="704" spans="2:15" x14ac:dyDescent="0.25">
      <c r="B704" t="s">
        <v>1045</v>
      </c>
      <c r="C704">
        <v>70101202</v>
      </c>
      <c r="D704" t="s">
        <v>1926</v>
      </c>
      <c r="E704" t="s">
        <v>1048</v>
      </c>
      <c r="F704" t="s">
        <v>57</v>
      </c>
      <c r="G704" t="s">
        <v>1049</v>
      </c>
      <c r="H704" s="1">
        <v>900000</v>
      </c>
      <c r="I704" t="s">
        <v>1925</v>
      </c>
      <c r="N704" s="4">
        <f t="shared" si="20"/>
        <v>70101202</v>
      </c>
      <c r="O704" t="str">
        <f t="shared" si="21"/>
        <v>R124NSS</v>
      </c>
    </row>
    <row r="705" spans="2:15" x14ac:dyDescent="0.25">
      <c r="B705" t="s">
        <v>1045</v>
      </c>
      <c r="C705">
        <v>70101114</v>
      </c>
      <c r="D705" t="s">
        <v>2007</v>
      </c>
      <c r="E705" t="s">
        <v>1050</v>
      </c>
      <c r="F705" t="s">
        <v>59</v>
      </c>
      <c r="G705" t="s">
        <v>1051</v>
      </c>
      <c r="H705" s="1">
        <v>728000</v>
      </c>
      <c r="I705" t="s">
        <v>1994</v>
      </c>
      <c r="N705" s="4">
        <f t="shared" si="20"/>
        <v>70101114</v>
      </c>
      <c r="O705" t="str">
        <f t="shared" si="21"/>
        <v>R124FRA</v>
      </c>
    </row>
    <row r="706" spans="2:15" x14ac:dyDescent="0.25">
      <c r="B706" t="s">
        <v>1045</v>
      </c>
      <c r="C706">
        <v>70101202</v>
      </c>
      <c r="D706" t="s">
        <v>1971</v>
      </c>
      <c r="E706" t="s">
        <v>1052</v>
      </c>
      <c r="F706" t="s">
        <v>57</v>
      </c>
      <c r="G706" t="s">
        <v>1053</v>
      </c>
      <c r="H706" s="1">
        <v>859500</v>
      </c>
      <c r="I706" t="s">
        <v>1980</v>
      </c>
      <c r="N706" s="4">
        <f t="shared" si="20"/>
        <v>70101202</v>
      </c>
      <c r="O706" t="str">
        <f t="shared" si="21"/>
        <v>R124REF3</v>
      </c>
    </row>
    <row r="707" spans="2:15" x14ac:dyDescent="0.25">
      <c r="B707" t="s">
        <v>1045</v>
      </c>
      <c r="C707">
        <v>70101202</v>
      </c>
      <c r="D707" t="s">
        <v>1924</v>
      </c>
      <c r="E707" t="s">
        <v>1054</v>
      </c>
      <c r="F707" t="s">
        <v>57</v>
      </c>
      <c r="G707" t="s">
        <v>179</v>
      </c>
      <c r="H707" s="1">
        <v>375000</v>
      </c>
      <c r="I707" t="s">
        <v>1931</v>
      </c>
      <c r="N707" s="4">
        <f t="shared" si="20"/>
        <v>70101202</v>
      </c>
      <c r="O707" t="str">
        <f t="shared" si="21"/>
        <v>C206D1SLSS</v>
      </c>
    </row>
    <row r="708" spans="2:15" x14ac:dyDescent="0.25">
      <c r="B708" t="s">
        <v>1045</v>
      </c>
      <c r="C708">
        <v>70107600</v>
      </c>
      <c r="D708" t="s">
        <v>1945</v>
      </c>
      <c r="E708" t="s">
        <v>1055</v>
      </c>
      <c r="F708" t="s">
        <v>126</v>
      </c>
      <c r="G708" t="s">
        <v>1056</v>
      </c>
      <c r="H708" s="1">
        <v>477000</v>
      </c>
      <c r="I708" t="s">
        <v>1952</v>
      </c>
      <c r="N708" s="4">
        <f t="shared" si="20"/>
        <v>70107600</v>
      </c>
      <c r="O708" t="str">
        <f t="shared" si="21"/>
        <v>R124MIN</v>
      </c>
    </row>
    <row r="709" spans="2:15" x14ac:dyDescent="0.25">
      <c r="B709" t="s">
        <v>1045</v>
      </c>
      <c r="C709">
        <v>70101202</v>
      </c>
      <c r="D709" t="s">
        <v>2013</v>
      </c>
      <c r="E709" t="s">
        <v>1057</v>
      </c>
      <c r="F709" t="s">
        <v>57</v>
      </c>
      <c r="G709" t="s">
        <v>1058</v>
      </c>
      <c r="H709" s="1">
        <v>995000</v>
      </c>
      <c r="I709" t="s">
        <v>1980</v>
      </c>
      <c r="N709" s="4">
        <f t="shared" si="20"/>
        <v>70101202</v>
      </c>
      <c r="O709" t="str">
        <f t="shared" si="21"/>
        <v>R124FRA3</v>
      </c>
    </row>
    <row r="710" spans="2:15" x14ac:dyDescent="0.25">
      <c r="B710" t="s">
        <v>1045</v>
      </c>
      <c r="C710">
        <v>70101202</v>
      </c>
      <c r="D710" t="s">
        <v>1971</v>
      </c>
      <c r="E710" t="s">
        <v>1059</v>
      </c>
      <c r="F710" t="s">
        <v>57</v>
      </c>
      <c r="G710" t="s">
        <v>1060</v>
      </c>
      <c r="H710" s="1">
        <v>908000</v>
      </c>
      <c r="I710" t="s">
        <v>1980</v>
      </c>
      <c r="N710" s="4">
        <f t="shared" si="20"/>
        <v>70101202</v>
      </c>
      <c r="O710" t="str">
        <f t="shared" si="21"/>
        <v>R124REF3</v>
      </c>
    </row>
    <row r="711" spans="2:15" x14ac:dyDescent="0.25">
      <c r="B711" t="s">
        <v>1045</v>
      </c>
      <c r="C711">
        <v>70105300</v>
      </c>
      <c r="D711" t="s">
        <v>1943</v>
      </c>
      <c r="E711" t="s">
        <v>1061</v>
      </c>
      <c r="F711" t="s">
        <v>193</v>
      </c>
      <c r="G711" t="s">
        <v>1062</v>
      </c>
      <c r="H711" s="1">
        <v>57800</v>
      </c>
      <c r="I711" t="s">
        <v>1949</v>
      </c>
      <c r="N711" s="4">
        <f t="shared" si="20"/>
        <v>70105300</v>
      </c>
      <c r="O711" t="str">
        <f t="shared" si="21"/>
        <v>R124D1HRGA</v>
      </c>
    </row>
    <row r="712" spans="2:15" x14ac:dyDescent="0.25">
      <c r="B712" t="s">
        <v>1045</v>
      </c>
      <c r="C712">
        <v>70106400</v>
      </c>
      <c r="D712" t="s">
        <v>1943</v>
      </c>
      <c r="E712" t="s">
        <v>1063</v>
      </c>
      <c r="F712" t="s">
        <v>96</v>
      </c>
      <c r="G712" t="s">
        <v>1064</v>
      </c>
      <c r="H712" s="1">
        <v>740000</v>
      </c>
      <c r="I712" t="s">
        <v>1942</v>
      </c>
      <c r="N712" s="4">
        <f t="shared" si="20"/>
        <v>70106400</v>
      </c>
      <c r="O712" t="str">
        <f t="shared" si="21"/>
        <v>R124D1HRGA</v>
      </c>
    </row>
    <row r="713" spans="2:15" x14ac:dyDescent="0.25">
      <c r="B713" t="s">
        <v>1045</v>
      </c>
      <c r="C713">
        <v>70106100</v>
      </c>
      <c r="D713" t="s">
        <v>1943</v>
      </c>
      <c r="E713" t="s">
        <v>1063</v>
      </c>
      <c r="F713" t="s">
        <v>67</v>
      </c>
      <c r="G713" t="s">
        <v>98</v>
      </c>
      <c r="H713" s="1">
        <v>260000</v>
      </c>
      <c r="I713" t="s">
        <v>1942</v>
      </c>
      <c r="N713" s="4">
        <f t="shared" si="20"/>
        <v>70106100</v>
      </c>
      <c r="O713" t="str">
        <f t="shared" si="21"/>
        <v>R124D1HRGA</v>
      </c>
    </row>
    <row r="714" spans="2:15" x14ac:dyDescent="0.25">
      <c r="B714" t="s">
        <v>1045</v>
      </c>
      <c r="C714">
        <v>70009110</v>
      </c>
      <c r="D714" t="s">
        <v>1923</v>
      </c>
      <c r="E714" t="s">
        <v>1065</v>
      </c>
      <c r="F714" t="s">
        <v>45</v>
      </c>
      <c r="G714" t="s">
        <v>1066</v>
      </c>
      <c r="H714" s="1">
        <v>50000</v>
      </c>
      <c r="I714" t="s">
        <v>1947</v>
      </c>
      <c r="N714" s="4">
        <f t="shared" si="20"/>
        <v>70009110</v>
      </c>
      <c r="O714" t="str">
        <f t="shared" si="21"/>
        <v>P206D1SLSS</v>
      </c>
    </row>
    <row r="715" spans="2:15" x14ac:dyDescent="0.25">
      <c r="B715" t="s">
        <v>1045</v>
      </c>
      <c r="C715">
        <v>70009110</v>
      </c>
      <c r="D715" t="s">
        <v>1923</v>
      </c>
      <c r="E715" t="s">
        <v>1065</v>
      </c>
      <c r="F715" t="s">
        <v>45</v>
      </c>
      <c r="G715" t="s">
        <v>1067</v>
      </c>
      <c r="H715" s="1">
        <v>50000</v>
      </c>
      <c r="I715" t="s">
        <v>1947</v>
      </c>
      <c r="N715" s="4">
        <f t="shared" ref="N715:N778" si="22">+C715</f>
        <v>70009110</v>
      </c>
      <c r="O715" t="str">
        <f t="shared" ref="O715:O778" si="23">+D715</f>
        <v>P206D1SLSS</v>
      </c>
    </row>
    <row r="716" spans="2:15" x14ac:dyDescent="0.25">
      <c r="B716" t="s">
        <v>1045</v>
      </c>
      <c r="C716">
        <v>70009110</v>
      </c>
      <c r="D716" t="s">
        <v>1923</v>
      </c>
      <c r="E716" t="s">
        <v>1068</v>
      </c>
      <c r="F716" t="s">
        <v>45</v>
      </c>
      <c r="G716" t="s">
        <v>1069</v>
      </c>
      <c r="H716" s="1">
        <v>50000</v>
      </c>
      <c r="I716" t="s">
        <v>2010</v>
      </c>
      <c r="N716" s="4">
        <f t="shared" si="22"/>
        <v>70009110</v>
      </c>
      <c r="O716" t="str">
        <f t="shared" si="23"/>
        <v>P206D1SLSS</v>
      </c>
    </row>
    <row r="717" spans="2:15" x14ac:dyDescent="0.25">
      <c r="B717" t="s">
        <v>1045</v>
      </c>
      <c r="C717">
        <v>70009110</v>
      </c>
      <c r="D717" t="s">
        <v>1938</v>
      </c>
      <c r="E717" t="s">
        <v>1068</v>
      </c>
      <c r="F717" t="s">
        <v>45</v>
      </c>
      <c r="G717" t="s">
        <v>1070</v>
      </c>
      <c r="H717" s="1">
        <v>100000</v>
      </c>
      <c r="I717" t="s">
        <v>2010</v>
      </c>
      <c r="N717" s="4">
        <f t="shared" si="22"/>
        <v>70009110</v>
      </c>
      <c r="O717" t="str">
        <f t="shared" si="23"/>
        <v>M204D1COMM</v>
      </c>
    </row>
    <row r="718" spans="2:15" x14ac:dyDescent="0.25">
      <c r="B718" t="s">
        <v>1045</v>
      </c>
      <c r="C718">
        <v>70009110</v>
      </c>
      <c r="D718" t="s">
        <v>1923</v>
      </c>
      <c r="E718" t="s">
        <v>1071</v>
      </c>
      <c r="F718" t="s">
        <v>45</v>
      </c>
      <c r="G718" t="s">
        <v>1072</v>
      </c>
      <c r="H718" s="1">
        <v>50000</v>
      </c>
      <c r="I718" t="s">
        <v>1941</v>
      </c>
      <c r="N718" s="4">
        <f t="shared" si="22"/>
        <v>70009110</v>
      </c>
      <c r="O718" t="str">
        <f t="shared" si="23"/>
        <v>P206D1SLSS</v>
      </c>
    </row>
    <row r="719" spans="2:15" x14ac:dyDescent="0.25">
      <c r="B719" t="s">
        <v>1045</v>
      </c>
      <c r="C719">
        <v>70009110</v>
      </c>
      <c r="D719" t="s">
        <v>1923</v>
      </c>
      <c r="E719" t="s">
        <v>1071</v>
      </c>
      <c r="F719" t="s">
        <v>45</v>
      </c>
      <c r="G719" t="s">
        <v>1073</v>
      </c>
      <c r="H719" s="1">
        <v>50000</v>
      </c>
      <c r="I719" t="s">
        <v>1941</v>
      </c>
      <c r="N719" s="4">
        <f t="shared" si="22"/>
        <v>70009110</v>
      </c>
      <c r="O719" t="str">
        <f t="shared" si="23"/>
        <v>P206D1SLSS</v>
      </c>
    </row>
    <row r="720" spans="2:15" x14ac:dyDescent="0.25">
      <c r="B720" t="s">
        <v>1074</v>
      </c>
      <c r="C720">
        <v>70009110</v>
      </c>
      <c r="D720" t="s">
        <v>1923</v>
      </c>
      <c r="E720" t="s">
        <v>1075</v>
      </c>
      <c r="F720" t="s">
        <v>45</v>
      </c>
      <c r="G720" t="s">
        <v>1076</v>
      </c>
      <c r="H720" s="1">
        <v>50000</v>
      </c>
      <c r="I720" t="s">
        <v>1940</v>
      </c>
      <c r="N720" s="4">
        <f t="shared" si="22"/>
        <v>70009110</v>
      </c>
      <c r="O720" t="str">
        <f t="shared" si="23"/>
        <v>P206D1SLSS</v>
      </c>
    </row>
    <row r="721" spans="2:15" x14ac:dyDescent="0.25">
      <c r="B721" t="s">
        <v>1074</v>
      </c>
      <c r="C721">
        <v>70009110</v>
      </c>
      <c r="D721" t="s">
        <v>1923</v>
      </c>
      <c r="E721" t="s">
        <v>1075</v>
      </c>
      <c r="F721" t="s">
        <v>45</v>
      </c>
      <c r="G721" t="s">
        <v>1077</v>
      </c>
      <c r="H721" s="1">
        <v>50000</v>
      </c>
      <c r="I721" t="s">
        <v>1940</v>
      </c>
      <c r="N721" s="4">
        <f t="shared" si="22"/>
        <v>70009110</v>
      </c>
      <c r="O721" t="str">
        <f t="shared" si="23"/>
        <v>P206D1SLSS</v>
      </c>
    </row>
    <row r="722" spans="2:15" x14ac:dyDescent="0.25">
      <c r="B722" t="s">
        <v>1074</v>
      </c>
      <c r="C722">
        <v>70009110</v>
      </c>
      <c r="D722" t="s">
        <v>1923</v>
      </c>
      <c r="E722" t="s">
        <v>1075</v>
      </c>
      <c r="F722" t="s">
        <v>45</v>
      </c>
      <c r="G722" t="s">
        <v>1078</v>
      </c>
      <c r="H722" s="1">
        <v>50000</v>
      </c>
      <c r="I722" t="s">
        <v>1940</v>
      </c>
      <c r="N722" s="4">
        <f t="shared" si="22"/>
        <v>70009110</v>
      </c>
      <c r="O722" t="str">
        <f t="shared" si="23"/>
        <v>P206D1SLSS</v>
      </c>
    </row>
    <row r="723" spans="2:15" x14ac:dyDescent="0.25">
      <c r="B723" t="s">
        <v>1074</v>
      </c>
      <c r="C723">
        <v>70009110</v>
      </c>
      <c r="D723" t="s">
        <v>1923</v>
      </c>
      <c r="E723" t="s">
        <v>1075</v>
      </c>
      <c r="F723" t="s">
        <v>45</v>
      </c>
      <c r="G723" t="s">
        <v>1079</v>
      </c>
      <c r="H723" s="1">
        <v>50000</v>
      </c>
      <c r="I723" t="s">
        <v>1940</v>
      </c>
      <c r="N723" s="4">
        <f t="shared" si="22"/>
        <v>70009110</v>
      </c>
      <c r="O723" t="str">
        <f t="shared" si="23"/>
        <v>P206D1SLSS</v>
      </c>
    </row>
    <row r="724" spans="2:15" x14ac:dyDescent="0.25">
      <c r="B724" t="s">
        <v>1074</v>
      </c>
      <c r="C724">
        <v>70009110</v>
      </c>
      <c r="D724" t="s">
        <v>1967</v>
      </c>
      <c r="E724" t="s">
        <v>1075</v>
      </c>
      <c r="F724" t="s">
        <v>45</v>
      </c>
      <c r="G724" t="s">
        <v>1080</v>
      </c>
      <c r="H724" s="1">
        <v>50000</v>
      </c>
      <c r="I724" t="s">
        <v>1940</v>
      </c>
      <c r="N724" s="4">
        <f t="shared" si="22"/>
        <v>70009110</v>
      </c>
      <c r="O724" t="str">
        <f t="shared" si="23"/>
        <v>P206D1SLSC</v>
      </c>
    </row>
    <row r="725" spans="2:15" x14ac:dyDescent="0.25">
      <c r="B725" t="s">
        <v>1074</v>
      </c>
      <c r="C725">
        <v>70009110</v>
      </c>
      <c r="D725" t="s">
        <v>1923</v>
      </c>
      <c r="E725" t="s">
        <v>1075</v>
      </c>
      <c r="F725" t="s">
        <v>45</v>
      </c>
      <c r="G725" t="s">
        <v>1081</v>
      </c>
      <c r="H725" s="1">
        <v>50000</v>
      </c>
      <c r="I725" t="s">
        <v>1940</v>
      </c>
      <c r="N725" s="4">
        <f t="shared" si="22"/>
        <v>70009110</v>
      </c>
      <c r="O725" t="str">
        <f t="shared" si="23"/>
        <v>P206D1SLSS</v>
      </c>
    </row>
    <row r="726" spans="2:15" x14ac:dyDescent="0.25">
      <c r="B726" t="s">
        <v>1074</v>
      </c>
      <c r="C726">
        <v>70009110</v>
      </c>
      <c r="D726" t="s">
        <v>1923</v>
      </c>
      <c r="E726" t="s">
        <v>1075</v>
      </c>
      <c r="F726" t="s">
        <v>45</v>
      </c>
      <c r="G726" t="s">
        <v>1082</v>
      </c>
      <c r="H726" s="1">
        <v>50000</v>
      </c>
      <c r="I726" t="s">
        <v>1940</v>
      </c>
      <c r="N726" s="4">
        <f t="shared" si="22"/>
        <v>70009110</v>
      </c>
      <c r="O726" t="str">
        <f t="shared" si="23"/>
        <v>P206D1SLSS</v>
      </c>
    </row>
    <row r="727" spans="2:15" x14ac:dyDescent="0.25">
      <c r="B727" t="s">
        <v>1074</v>
      </c>
      <c r="C727">
        <v>70009110</v>
      </c>
      <c r="D727" t="s">
        <v>1923</v>
      </c>
      <c r="E727" t="s">
        <v>1075</v>
      </c>
      <c r="F727" t="s">
        <v>45</v>
      </c>
      <c r="G727" t="s">
        <v>1083</v>
      </c>
      <c r="H727" s="1">
        <v>50000</v>
      </c>
      <c r="I727" t="s">
        <v>1940</v>
      </c>
      <c r="N727" s="4">
        <f t="shared" si="22"/>
        <v>70009110</v>
      </c>
      <c r="O727" t="str">
        <f t="shared" si="23"/>
        <v>P206D1SLSS</v>
      </c>
    </row>
    <row r="728" spans="2:15" x14ac:dyDescent="0.25">
      <c r="B728" t="s">
        <v>1074</v>
      </c>
      <c r="C728">
        <v>70009110</v>
      </c>
      <c r="D728" t="s">
        <v>1923</v>
      </c>
      <c r="E728" t="s">
        <v>1075</v>
      </c>
      <c r="F728" t="s">
        <v>45</v>
      </c>
      <c r="G728" t="s">
        <v>1084</v>
      </c>
      <c r="H728" s="1">
        <v>50000</v>
      </c>
      <c r="I728" t="s">
        <v>1940</v>
      </c>
      <c r="N728" s="4">
        <f t="shared" si="22"/>
        <v>70009110</v>
      </c>
      <c r="O728" t="str">
        <f t="shared" si="23"/>
        <v>P206D1SLSS</v>
      </c>
    </row>
    <row r="729" spans="2:15" x14ac:dyDescent="0.25">
      <c r="B729" t="s">
        <v>1074</v>
      </c>
      <c r="C729">
        <v>70001110</v>
      </c>
      <c r="D729" t="s">
        <v>1938</v>
      </c>
      <c r="E729" t="s">
        <v>1075</v>
      </c>
      <c r="F729" t="s">
        <v>334</v>
      </c>
      <c r="G729" t="s">
        <v>1085</v>
      </c>
      <c r="H729" s="1">
        <v>4000</v>
      </c>
      <c r="I729" t="s">
        <v>1940</v>
      </c>
      <c r="N729" s="4">
        <f t="shared" si="22"/>
        <v>70001110</v>
      </c>
      <c r="O729" t="str">
        <f t="shared" si="23"/>
        <v>M204D1COMM</v>
      </c>
    </row>
    <row r="730" spans="2:15" x14ac:dyDescent="0.25">
      <c r="B730" t="s">
        <v>1074</v>
      </c>
      <c r="C730">
        <v>70107600</v>
      </c>
      <c r="D730" t="s">
        <v>2014</v>
      </c>
      <c r="E730" t="s">
        <v>1086</v>
      </c>
      <c r="F730" t="s">
        <v>126</v>
      </c>
      <c r="G730" t="s">
        <v>1087</v>
      </c>
      <c r="H730" s="1">
        <v>200000</v>
      </c>
      <c r="I730" t="s">
        <v>2016</v>
      </c>
      <c r="N730" s="4">
        <f t="shared" si="22"/>
        <v>70107600</v>
      </c>
      <c r="O730" t="str">
        <f t="shared" si="23"/>
        <v>R124BLR</v>
      </c>
    </row>
    <row r="731" spans="2:15" x14ac:dyDescent="0.25">
      <c r="B731" t="s">
        <v>1074</v>
      </c>
      <c r="C731">
        <v>70101114</v>
      </c>
      <c r="D731" t="s">
        <v>2014</v>
      </c>
      <c r="E731" t="s">
        <v>1086</v>
      </c>
      <c r="F731" t="s">
        <v>59</v>
      </c>
      <c r="G731" t="s">
        <v>1088</v>
      </c>
      <c r="H731" s="1">
        <v>331000</v>
      </c>
      <c r="I731" t="s">
        <v>2016</v>
      </c>
      <c r="N731" s="4">
        <f t="shared" si="22"/>
        <v>70101114</v>
      </c>
      <c r="O731" t="str">
        <f t="shared" si="23"/>
        <v>R124BLR</v>
      </c>
    </row>
    <row r="732" spans="2:15" x14ac:dyDescent="0.25">
      <c r="B732" t="s">
        <v>1074</v>
      </c>
      <c r="C732">
        <v>70106100</v>
      </c>
      <c r="D732" t="s">
        <v>2014</v>
      </c>
      <c r="E732" t="s">
        <v>1089</v>
      </c>
      <c r="F732" t="s">
        <v>67</v>
      </c>
      <c r="G732" t="s">
        <v>1090</v>
      </c>
      <c r="H732" s="1">
        <v>931500</v>
      </c>
      <c r="I732" t="s">
        <v>2016</v>
      </c>
      <c r="N732" s="4">
        <f t="shared" si="22"/>
        <v>70106100</v>
      </c>
      <c r="O732" t="str">
        <f t="shared" si="23"/>
        <v>R124BLR</v>
      </c>
    </row>
    <row r="733" spans="2:15" x14ac:dyDescent="0.25">
      <c r="B733" t="s">
        <v>1074</v>
      </c>
      <c r="C733">
        <v>70106400</v>
      </c>
      <c r="D733" t="s">
        <v>1943</v>
      </c>
      <c r="E733" t="s">
        <v>1091</v>
      </c>
      <c r="F733" t="s">
        <v>96</v>
      </c>
      <c r="G733" t="s">
        <v>1092</v>
      </c>
      <c r="H733" s="1">
        <v>590000</v>
      </c>
      <c r="I733" t="s">
        <v>1942</v>
      </c>
      <c r="N733" s="4">
        <f t="shared" si="22"/>
        <v>70106400</v>
      </c>
      <c r="O733" t="str">
        <f t="shared" si="23"/>
        <v>R124D1HRGA</v>
      </c>
    </row>
    <row r="734" spans="2:15" x14ac:dyDescent="0.25">
      <c r="B734" t="s">
        <v>1074</v>
      </c>
      <c r="C734">
        <v>70106100</v>
      </c>
      <c r="D734" t="s">
        <v>1943</v>
      </c>
      <c r="E734" t="s">
        <v>1091</v>
      </c>
      <c r="F734" t="s">
        <v>67</v>
      </c>
      <c r="G734" t="s">
        <v>98</v>
      </c>
      <c r="H734" s="1">
        <v>409000</v>
      </c>
      <c r="I734" t="s">
        <v>1942</v>
      </c>
      <c r="N734" s="4">
        <f t="shared" si="22"/>
        <v>70106100</v>
      </c>
      <c r="O734" t="str">
        <f t="shared" si="23"/>
        <v>R124D1HRGA</v>
      </c>
    </row>
    <row r="735" spans="2:15" x14ac:dyDescent="0.25">
      <c r="B735" t="s">
        <v>1074</v>
      </c>
      <c r="C735">
        <v>70101202</v>
      </c>
      <c r="D735" t="s">
        <v>1923</v>
      </c>
      <c r="E735" t="s">
        <v>1093</v>
      </c>
      <c r="F735" t="s">
        <v>57</v>
      </c>
      <c r="G735" t="s">
        <v>181</v>
      </c>
      <c r="H735" s="1">
        <v>300000</v>
      </c>
      <c r="I735" t="s">
        <v>2009</v>
      </c>
      <c r="N735" s="4">
        <f t="shared" si="22"/>
        <v>70101202</v>
      </c>
      <c r="O735" t="str">
        <f t="shared" si="23"/>
        <v>P206D1SLSS</v>
      </c>
    </row>
    <row r="736" spans="2:15" x14ac:dyDescent="0.25">
      <c r="B736" t="s">
        <v>1074</v>
      </c>
      <c r="C736">
        <v>70101202</v>
      </c>
      <c r="D736" t="s">
        <v>1979</v>
      </c>
      <c r="E736" t="s">
        <v>1094</v>
      </c>
      <c r="F736" t="s">
        <v>57</v>
      </c>
      <c r="G736" t="s">
        <v>1095</v>
      </c>
      <c r="H736" s="1">
        <v>361000</v>
      </c>
      <c r="I736" t="s">
        <v>1949</v>
      </c>
      <c r="N736" s="4">
        <f t="shared" si="22"/>
        <v>70101202</v>
      </c>
      <c r="O736" t="str">
        <f t="shared" si="23"/>
        <v>R124D1FRCO</v>
      </c>
    </row>
    <row r="737" spans="2:15" x14ac:dyDescent="0.25">
      <c r="B737" t="s">
        <v>1074</v>
      </c>
      <c r="C737">
        <v>70106400</v>
      </c>
      <c r="D737" t="s">
        <v>1943</v>
      </c>
      <c r="E737" t="s">
        <v>1096</v>
      </c>
      <c r="F737" t="s">
        <v>96</v>
      </c>
      <c r="G737" t="s">
        <v>1097</v>
      </c>
      <c r="H737" s="1">
        <v>610000</v>
      </c>
      <c r="I737" t="s">
        <v>1942</v>
      </c>
      <c r="N737" s="4">
        <f t="shared" si="22"/>
        <v>70106400</v>
      </c>
      <c r="O737" t="str">
        <f t="shared" si="23"/>
        <v>R124D1HRGA</v>
      </c>
    </row>
    <row r="738" spans="2:15" x14ac:dyDescent="0.25">
      <c r="B738" t="s">
        <v>1074</v>
      </c>
      <c r="C738">
        <v>70106100</v>
      </c>
      <c r="D738" t="s">
        <v>1943</v>
      </c>
      <c r="E738" t="s">
        <v>1096</v>
      </c>
      <c r="F738" t="s">
        <v>67</v>
      </c>
      <c r="G738" t="s">
        <v>98</v>
      </c>
      <c r="H738" s="1">
        <v>389500</v>
      </c>
      <c r="I738" t="s">
        <v>1942</v>
      </c>
      <c r="N738" s="4">
        <f t="shared" si="22"/>
        <v>70106100</v>
      </c>
      <c r="O738" t="str">
        <f t="shared" si="23"/>
        <v>R124D1HRGA</v>
      </c>
    </row>
    <row r="739" spans="2:15" x14ac:dyDescent="0.25">
      <c r="B739" t="s">
        <v>1074</v>
      </c>
      <c r="C739">
        <v>70009110</v>
      </c>
      <c r="D739" t="s">
        <v>1924</v>
      </c>
      <c r="E739" t="s">
        <v>1098</v>
      </c>
      <c r="F739" t="s">
        <v>45</v>
      </c>
      <c r="G739" t="s">
        <v>1099</v>
      </c>
      <c r="H739" s="1">
        <v>100000</v>
      </c>
      <c r="I739" t="s">
        <v>2010</v>
      </c>
      <c r="N739" s="4">
        <f t="shared" si="22"/>
        <v>70009110</v>
      </c>
      <c r="O739" t="str">
        <f t="shared" si="23"/>
        <v>C206D1SLSS</v>
      </c>
    </row>
    <row r="740" spans="2:15" x14ac:dyDescent="0.25">
      <c r="B740" t="s">
        <v>1074</v>
      </c>
      <c r="C740">
        <v>70009110</v>
      </c>
      <c r="D740" t="s">
        <v>1924</v>
      </c>
      <c r="E740" t="s">
        <v>1098</v>
      </c>
      <c r="F740" t="s">
        <v>45</v>
      </c>
      <c r="G740" t="s">
        <v>1100</v>
      </c>
      <c r="H740" s="1">
        <v>100000</v>
      </c>
      <c r="I740" t="s">
        <v>2010</v>
      </c>
      <c r="N740" s="4">
        <f t="shared" si="22"/>
        <v>70009110</v>
      </c>
      <c r="O740" t="str">
        <f t="shared" si="23"/>
        <v>C206D1SLSS</v>
      </c>
    </row>
    <row r="741" spans="2:15" x14ac:dyDescent="0.25">
      <c r="B741" t="s">
        <v>1074</v>
      </c>
      <c r="C741">
        <v>70107600</v>
      </c>
      <c r="D741" t="s">
        <v>1953</v>
      </c>
      <c r="E741" t="s">
        <v>1101</v>
      </c>
      <c r="F741" t="s">
        <v>126</v>
      </c>
      <c r="G741" t="s">
        <v>1102</v>
      </c>
      <c r="H741" s="1">
        <v>75000</v>
      </c>
      <c r="I741" t="s">
        <v>1957</v>
      </c>
      <c r="N741" s="4">
        <f t="shared" si="22"/>
        <v>70107600</v>
      </c>
      <c r="O741" t="str">
        <f t="shared" si="23"/>
        <v>R124MNT</v>
      </c>
    </row>
    <row r="742" spans="2:15" x14ac:dyDescent="0.25">
      <c r="B742" t="s">
        <v>1074</v>
      </c>
      <c r="C742">
        <v>70107600</v>
      </c>
      <c r="D742" t="s">
        <v>1953</v>
      </c>
      <c r="E742" t="s">
        <v>1103</v>
      </c>
      <c r="F742" t="s">
        <v>126</v>
      </c>
      <c r="G742" t="s">
        <v>1104</v>
      </c>
      <c r="H742" s="1">
        <v>50000</v>
      </c>
      <c r="I742" t="s">
        <v>2017</v>
      </c>
      <c r="N742" s="4">
        <f t="shared" si="22"/>
        <v>70107600</v>
      </c>
      <c r="O742" t="str">
        <f t="shared" si="23"/>
        <v>R124MNT</v>
      </c>
    </row>
    <row r="743" spans="2:15" x14ac:dyDescent="0.25">
      <c r="B743" t="s">
        <v>1074</v>
      </c>
      <c r="C743">
        <v>70106100</v>
      </c>
      <c r="D743" t="s">
        <v>1953</v>
      </c>
      <c r="E743" t="s">
        <v>1103</v>
      </c>
      <c r="F743" t="s">
        <v>67</v>
      </c>
      <c r="G743" t="s">
        <v>1105</v>
      </c>
      <c r="H743" s="1">
        <v>202500</v>
      </c>
      <c r="I743" t="s">
        <v>2017</v>
      </c>
      <c r="N743" s="4">
        <f t="shared" si="22"/>
        <v>70106100</v>
      </c>
      <c r="O743" t="str">
        <f t="shared" si="23"/>
        <v>R124MNT</v>
      </c>
    </row>
    <row r="744" spans="2:15" x14ac:dyDescent="0.25">
      <c r="B744" t="s">
        <v>1074</v>
      </c>
      <c r="C744">
        <v>70107600</v>
      </c>
      <c r="D744" t="s">
        <v>1953</v>
      </c>
      <c r="E744" t="s">
        <v>1106</v>
      </c>
      <c r="F744" t="s">
        <v>126</v>
      </c>
      <c r="G744" t="s">
        <v>1107</v>
      </c>
      <c r="H744" s="1">
        <v>25000</v>
      </c>
      <c r="I744" t="s">
        <v>2017</v>
      </c>
      <c r="N744" s="4">
        <f t="shared" si="22"/>
        <v>70107600</v>
      </c>
      <c r="O744" t="str">
        <f t="shared" si="23"/>
        <v>R124MNT</v>
      </c>
    </row>
    <row r="745" spans="2:15" x14ac:dyDescent="0.25">
      <c r="B745" t="s">
        <v>1074</v>
      </c>
      <c r="C745">
        <v>70101202</v>
      </c>
      <c r="D745" t="s">
        <v>2012</v>
      </c>
      <c r="E745" t="s">
        <v>1108</v>
      </c>
      <c r="F745" t="s">
        <v>57</v>
      </c>
      <c r="G745" t="s">
        <v>1109</v>
      </c>
      <c r="H745" s="1">
        <v>706000</v>
      </c>
      <c r="I745" t="s">
        <v>1925</v>
      </c>
      <c r="N745" s="4">
        <f t="shared" si="22"/>
        <v>70101202</v>
      </c>
      <c r="O745" t="str">
        <f t="shared" si="23"/>
        <v>R124REF4</v>
      </c>
    </row>
    <row r="746" spans="2:15" x14ac:dyDescent="0.25">
      <c r="B746" t="s">
        <v>1074</v>
      </c>
      <c r="C746">
        <v>70101114</v>
      </c>
      <c r="D746" t="s">
        <v>2007</v>
      </c>
      <c r="E746" t="s">
        <v>1110</v>
      </c>
      <c r="F746" t="s">
        <v>59</v>
      </c>
      <c r="G746" t="s">
        <v>1111</v>
      </c>
      <c r="H746" s="1">
        <v>972500</v>
      </c>
      <c r="I746" t="s">
        <v>1950</v>
      </c>
      <c r="N746" s="4">
        <f t="shared" si="22"/>
        <v>70101114</v>
      </c>
      <c r="O746" t="str">
        <f t="shared" si="23"/>
        <v>R124FRA</v>
      </c>
    </row>
    <row r="747" spans="2:15" x14ac:dyDescent="0.25">
      <c r="B747" t="s">
        <v>1074</v>
      </c>
      <c r="C747">
        <v>70107600</v>
      </c>
      <c r="D747" t="s">
        <v>1953</v>
      </c>
      <c r="E747" t="s">
        <v>1112</v>
      </c>
      <c r="F747" t="s">
        <v>126</v>
      </c>
      <c r="G747" t="s">
        <v>1113</v>
      </c>
      <c r="H747" s="1">
        <v>25000</v>
      </c>
      <c r="I747" t="s">
        <v>1957</v>
      </c>
      <c r="N747" s="4">
        <f t="shared" si="22"/>
        <v>70107600</v>
      </c>
      <c r="O747" t="str">
        <f t="shared" si="23"/>
        <v>R124MNT</v>
      </c>
    </row>
    <row r="748" spans="2:15" x14ac:dyDescent="0.25">
      <c r="B748" t="s">
        <v>1074</v>
      </c>
      <c r="C748">
        <v>70101114</v>
      </c>
      <c r="D748" t="s">
        <v>1943</v>
      </c>
      <c r="E748" t="s">
        <v>1114</v>
      </c>
      <c r="F748" t="s">
        <v>59</v>
      </c>
      <c r="G748" t="s">
        <v>1115</v>
      </c>
      <c r="H748" s="1">
        <v>984580</v>
      </c>
      <c r="I748" t="s">
        <v>1949</v>
      </c>
      <c r="N748" s="4">
        <f t="shared" si="22"/>
        <v>70101114</v>
      </c>
      <c r="O748" t="str">
        <f t="shared" si="23"/>
        <v>R124D1HRGA</v>
      </c>
    </row>
    <row r="749" spans="2:15" x14ac:dyDescent="0.25">
      <c r="B749" t="s">
        <v>1074</v>
      </c>
      <c r="C749">
        <v>70009110</v>
      </c>
      <c r="D749" t="s">
        <v>1923</v>
      </c>
      <c r="E749" t="s">
        <v>1116</v>
      </c>
      <c r="F749" t="s">
        <v>45</v>
      </c>
      <c r="G749" t="s">
        <v>1117</v>
      </c>
      <c r="H749" s="1">
        <v>50000</v>
      </c>
      <c r="I749" t="s">
        <v>1936</v>
      </c>
      <c r="N749" s="4">
        <f t="shared" si="22"/>
        <v>70009110</v>
      </c>
      <c r="O749" t="str">
        <f t="shared" si="23"/>
        <v>P206D1SLSS</v>
      </c>
    </row>
    <row r="750" spans="2:15" x14ac:dyDescent="0.25">
      <c r="B750" t="s">
        <v>1074</v>
      </c>
      <c r="C750">
        <v>70009110</v>
      </c>
      <c r="D750" t="s">
        <v>1923</v>
      </c>
      <c r="E750" t="s">
        <v>1116</v>
      </c>
      <c r="F750" t="s">
        <v>45</v>
      </c>
      <c r="G750" t="s">
        <v>1118</v>
      </c>
      <c r="H750" s="1">
        <v>50000</v>
      </c>
      <c r="I750" t="s">
        <v>1936</v>
      </c>
      <c r="N750" s="4">
        <f t="shared" si="22"/>
        <v>70009110</v>
      </c>
      <c r="O750" t="str">
        <f t="shared" si="23"/>
        <v>P206D1SLSS</v>
      </c>
    </row>
    <row r="751" spans="2:15" x14ac:dyDescent="0.25">
      <c r="B751" t="s">
        <v>1074</v>
      </c>
      <c r="C751">
        <v>70009110</v>
      </c>
      <c r="D751" t="s">
        <v>1938</v>
      </c>
      <c r="E751" t="s">
        <v>1116</v>
      </c>
      <c r="F751" t="s">
        <v>45</v>
      </c>
      <c r="G751" t="s">
        <v>1119</v>
      </c>
      <c r="H751" s="1">
        <v>50000</v>
      </c>
      <c r="I751" t="s">
        <v>1936</v>
      </c>
      <c r="N751" s="4">
        <f t="shared" si="22"/>
        <v>70009110</v>
      </c>
      <c r="O751" t="str">
        <f t="shared" si="23"/>
        <v>M204D1COMM</v>
      </c>
    </row>
    <row r="752" spans="2:15" x14ac:dyDescent="0.25">
      <c r="B752" t="s">
        <v>1074</v>
      </c>
      <c r="C752">
        <v>70009110</v>
      </c>
      <c r="D752" t="s">
        <v>1923</v>
      </c>
      <c r="E752" t="s">
        <v>1116</v>
      </c>
      <c r="F752" t="s">
        <v>45</v>
      </c>
      <c r="G752" t="s">
        <v>1120</v>
      </c>
      <c r="H752" s="1">
        <v>50000</v>
      </c>
      <c r="I752" t="s">
        <v>1936</v>
      </c>
      <c r="N752" s="4">
        <f t="shared" si="22"/>
        <v>70009110</v>
      </c>
      <c r="O752" t="str">
        <f t="shared" si="23"/>
        <v>P206D1SLSS</v>
      </c>
    </row>
    <row r="753" spans="2:15" x14ac:dyDescent="0.25">
      <c r="B753" t="s">
        <v>1074</v>
      </c>
      <c r="C753">
        <v>70009110</v>
      </c>
      <c r="D753" t="s">
        <v>1924</v>
      </c>
      <c r="E753" t="s">
        <v>1116</v>
      </c>
      <c r="F753" t="s">
        <v>45</v>
      </c>
      <c r="G753" t="s">
        <v>1121</v>
      </c>
      <c r="H753" s="1">
        <v>200000</v>
      </c>
      <c r="I753" t="s">
        <v>1936</v>
      </c>
      <c r="N753" s="4">
        <f t="shared" si="22"/>
        <v>70009110</v>
      </c>
      <c r="O753" t="str">
        <f t="shared" si="23"/>
        <v>C206D1SLSS</v>
      </c>
    </row>
    <row r="754" spans="2:15" x14ac:dyDescent="0.25">
      <c r="B754" t="s">
        <v>1122</v>
      </c>
      <c r="C754">
        <v>70107100</v>
      </c>
      <c r="D754" t="s">
        <v>1943</v>
      </c>
      <c r="E754" t="s">
        <v>1123</v>
      </c>
      <c r="F754" t="s">
        <v>254</v>
      </c>
      <c r="G754" t="s">
        <v>1124</v>
      </c>
      <c r="H754" s="1">
        <v>290500</v>
      </c>
      <c r="I754" t="s">
        <v>1949</v>
      </c>
      <c r="N754" s="4">
        <f t="shared" si="22"/>
        <v>70107100</v>
      </c>
      <c r="O754" t="str">
        <f t="shared" si="23"/>
        <v>R124D1HRGA</v>
      </c>
    </row>
    <row r="755" spans="2:15" x14ac:dyDescent="0.25">
      <c r="B755" t="s">
        <v>1122</v>
      </c>
      <c r="C755">
        <v>70009110</v>
      </c>
      <c r="D755" t="s">
        <v>1923</v>
      </c>
      <c r="E755" t="s">
        <v>1125</v>
      </c>
      <c r="F755" t="s">
        <v>45</v>
      </c>
      <c r="G755" t="s">
        <v>1126</v>
      </c>
      <c r="H755" s="1">
        <v>50000</v>
      </c>
      <c r="I755" t="s">
        <v>1947</v>
      </c>
      <c r="N755" s="4">
        <f t="shared" si="22"/>
        <v>70009110</v>
      </c>
      <c r="O755" t="str">
        <f t="shared" si="23"/>
        <v>P206D1SLSS</v>
      </c>
    </row>
    <row r="756" spans="2:15" x14ac:dyDescent="0.25">
      <c r="B756" t="s">
        <v>1122</v>
      </c>
      <c r="C756">
        <v>70009110</v>
      </c>
      <c r="D756" t="s">
        <v>1923</v>
      </c>
      <c r="E756" t="s">
        <v>1125</v>
      </c>
      <c r="F756" t="s">
        <v>45</v>
      </c>
      <c r="G756" t="s">
        <v>1127</v>
      </c>
      <c r="H756" s="1">
        <v>50000</v>
      </c>
      <c r="I756" t="s">
        <v>1947</v>
      </c>
      <c r="N756" s="4">
        <f t="shared" si="22"/>
        <v>70009110</v>
      </c>
      <c r="O756" t="str">
        <f t="shared" si="23"/>
        <v>P206D1SLSS</v>
      </c>
    </row>
    <row r="757" spans="2:15" x14ac:dyDescent="0.25">
      <c r="B757" t="s">
        <v>1122</v>
      </c>
      <c r="C757">
        <v>70009110</v>
      </c>
      <c r="D757" t="s">
        <v>1923</v>
      </c>
      <c r="E757" t="s">
        <v>1125</v>
      </c>
      <c r="F757" t="s">
        <v>45</v>
      </c>
      <c r="G757" t="s">
        <v>1128</v>
      </c>
      <c r="H757" s="1">
        <v>50000</v>
      </c>
      <c r="I757" t="s">
        <v>1947</v>
      </c>
      <c r="N757" s="4">
        <f t="shared" si="22"/>
        <v>70009110</v>
      </c>
      <c r="O757" t="str">
        <f t="shared" si="23"/>
        <v>P206D1SLSS</v>
      </c>
    </row>
    <row r="758" spans="2:15" x14ac:dyDescent="0.25">
      <c r="B758" t="s">
        <v>1122</v>
      </c>
      <c r="C758">
        <v>70009110</v>
      </c>
      <c r="D758" t="s">
        <v>1923</v>
      </c>
      <c r="E758" t="s">
        <v>1129</v>
      </c>
      <c r="F758" t="s">
        <v>45</v>
      </c>
      <c r="G758" t="s">
        <v>1130</v>
      </c>
      <c r="H758" s="1">
        <v>50000</v>
      </c>
      <c r="I758" t="s">
        <v>1941</v>
      </c>
      <c r="N758" s="4">
        <f t="shared" si="22"/>
        <v>70009110</v>
      </c>
      <c r="O758" t="str">
        <f t="shared" si="23"/>
        <v>P206D1SLSS</v>
      </c>
    </row>
    <row r="759" spans="2:15" x14ac:dyDescent="0.25">
      <c r="B759" t="s">
        <v>1122</v>
      </c>
      <c r="C759">
        <v>70101202</v>
      </c>
      <c r="D759" t="s">
        <v>1951</v>
      </c>
      <c r="E759" t="s">
        <v>1131</v>
      </c>
      <c r="F759" t="s">
        <v>57</v>
      </c>
      <c r="G759" t="s">
        <v>1132</v>
      </c>
      <c r="H759" s="1">
        <v>152000</v>
      </c>
      <c r="I759" t="s">
        <v>1994</v>
      </c>
      <c r="N759" s="4">
        <f t="shared" si="22"/>
        <v>70101202</v>
      </c>
      <c r="O759" t="str">
        <f t="shared" si="23"/>
        <v>R124REF</v>
      </c>
    </row>
    <row r="760" spans="2:15" x14ac:dyDescent="0.25">
      <c r="B760" t="s">
        <v>1122</v>
      </c>
      <c r="C760">
        <v>70106400</v>
      </c>
      <c r="D760" t="s">
        <v>1943</v>
      </c>
      <c r="E760" t="s">
        <v>1133</v>
      </c>
      <c r="F760" t="s">
        <v>96</v>
      </c>
      <c r="G760" t="s">
        <v>1134</v>
      </c>
      <c r="H760" s="1">
        <v>530000</v>
      </c>
      <c r="I760" t="s">
        <v>1942</v>
      </c>
      <c r="N760" s="4">
        <f t="shared" si="22"/>
        <v>70106400</v>
      </c>
      <c r="O760" t="str">
        <f t="shared" si="23"/>
        <v>R124D1HRGA</v>
      </c>
    </row>
    <row r="761" spans="2:15" x14ac:dyDescent="0.25">
      <c r="B761" t="s">
        <v>1122</v>
      </c>
      <c r="C761">
        <v>70106100</v>
      </c>
      <c r="D761" t="s">
        <v>1943</v>
      </c>
      <c r="E761" t="s">
        <v>1133</v>
      </c>
      <c r="F761" t="s">
        <v>67</v>
      </c>
      <c r="G761" t="s">
        <v>98</v>
      </c>
      <c r="H761" s="1">
        <v>469500</v>
      </c>
      <c r="I761" t="s">
        <v>1942</v>
      </c>
      <c r="N761" s="4">
        <f t="shared" si="22"/>
        <v>70106100</v>
      </c>
      <c r="O761" t="str">
        <f t="shared" si="23"/>
        <v>R124D1HRGA</v>
      </c>
    </row>
    <row r="762" spans="2:15" x14ac:dyDescent="0.25">
      <c r="B762" t="s">
        <v>1122</v>
      </c>
      <c r="C762">
        <v>70107500</v>
      </c>
      <c r="D762" t="s">
        <v>1948</v>
      </c>
      <c r="E762" t="s">
        <v>1135</v>
      </c>
      <c r="F762" t="s">
        <v>439</v>
      </c>
      <c r="G762" t="s">
        <v>1136</v>
      </c>
      <c r="H762" s="1">
        <v>600000</v>
      </c>
      <c r="I762" t="s">
        <v>1974</v>
      </c>
      <c r="N762" s="4">
        <f t="shared" si="22"/>
        <v>70107500</v>
      </c>
      <c r="O762" t="str">
        <f t="shared" si="23"/>
        <v>R124WHFSB</v>
      </c>
    </row>
    <row r="763" spans="2:15" x14ac:dyDescent="0.25">
      <c r="B763" t="s">
        <v>1122</v>
      </c>
      <c r="C763">
        <v>70107600</v>
      </c>
      <c r="D763" t="s">
        <v>1928</v>
      </c>
      <c r="E763" t="s">
        <v>1137</v>
      </c>
      <c r="F763" t="s">
        <v>126</v>
      </c>
      <c r="G763" t="s">
        <v>1138</v>
      </c>
      <c r="H763" s="1">
        <v>519520</v>
      </c>
      <c r="I763" t="s">
        <v>1952</v>
      </c>
      <c r="N763" s="4">
        <f t="shared" si="22"/>
        <v>70107600</v>
      </c>
      <c r="O763" t="str">
        <f t="shared" si="23"/>
        <v>R124MMP</v>
      </c>
    </row>
    <row r="764" spans="2:15" x14ac:dyDescent="0.25">
      <c r="B764" t="s">
        <v>1122</v>
      </c>
      <c r="C764">
        <v>70105321</v>
      </c>
      <c r="D764" t="s">
        <v>1938</v>
      </c>
      <c r="E764" t="s">
        <v>1139</v>
      </c>
      <c r="F764" t="s">
        <v>1140</v>
      </c>
      <c r="G764" t="s">
        <v>1141</v>
      </c>
      <c r="H764" s="1">
        <v>916000</v>
      </c>
      <c r="I764" t="s">
        <v>2018</v>
      </c>
      <c r="N764" s="4">
        <f t="shared" si="22"/>
        <v>70105321</v>
      </c>
      <c r="O764" t="str">
        <f t="shared" si="23"/>
        <v>M204D1COMM</v>
      </c>
    </row>
    <row r="765" spans="2:15" x14ac:dyDescent="0.25">
      <c r="B765" t="s">
        <v>1122</v>
      </c>
      <c r="C765">
        <v>70106400</v>
      </c>
      <c r="D765" t="s">
        <v>1943</v>
      </c>
      <c r="E765" t="s">
        <v>1142</v>
      </c>
      <c r="F765" t="s">
        <v>96</v>
      </c>
      <c r="G765" t="s">
        <v>1143</v>
      </c>
      <c r="H765" s="1">
        <v>690000</v>
      </c>
      <c r="I765" t="s">
        <v>1942</v>
      </c>
      <c r="N765" s="4">
        <f t="shared" si="22"/>
        <v>70106400</v>
      </c>
      <c r="O765" t="str">
        <f t="shared" si="23"/>
        <v>R124D1HRGA</v>
      </c>
    </row>
    <row r="766" spans="2:15" x14ac:dyDescent="0.25">
      <c r="B766" t="s">
        <v>1122</v>
      </c>
      <c r="C766">
        <v>70106100</v>
      </c>
      <c r="D766" t="s">
        <v>1943</v>
      </c>
      <c r="E766" t="s">
        <v>1142</v>
      </c>
      <c r="F766" t="s">
        <v>67</v>
      </c>
      <c r="G766" t="s">
        <v>98</v>
      </c>
      <c r="H766" s="1">
        <v>307500</v>
      </c>
      <c r="I766" t="s">
        <v>1942</v>
      </c>
      <c r="N766" s="4">
        <f t="shared" si="22"/>
        <v>70106100</v>
      </c>
      <c r="O766" t="str">
        <f t="shared" si="23"/>
        <v>R124D1HRGA</v>
      </c>
    </row>
    <row r="767" spans="2:15" x14ac:dyDescent="0.25">
      <c r="B767" t="s">
        <v>1122</v>
      </c>
      <c r="C767">
        <v>70107300</v>
      </c>
      <c r="D767" t="s">
        <v>1921</v>
      </c>
      <c r="E767" t="s">
        <v>1144</v>
      </c>
      <c r="F767" t="s">
        <v>41</v>
      </c>
      <c r="G767" t="s">
        <v>1145</v>
      </c>
      <c r="H767" s="1">
        <v>500000</v>
      </c>
      <c r="I767" t="s">
        <v>1920</v>
      </c>
      <c r="N767" s="4">
        <f t="shared" si="22"/>
        <v>70107300</v>
      </c>
      <c r="O767" t="str">
        <f t="shared" si="23"/>
        <v>R124D1HRDV</v>
      </c>
    </row>
    <row r="768" spans="2:15" x14ac:dyDescent="0.25">
      <c r="B768" t="s">
        <v>1122</v>
      </c>
      <c r="C768">
        <v>70107300</v>
      </c>
      <c r="D768" t="s">
        <v>1921</v>
      </c>
      <c r="E768" t="s">
        <v>1146</v>
      </c>
      <c r="F768" t="s">
        <v>41</v>
      </c>
      <c r="G768" t="s">
        <v>1147</v>
      </c>
      <c r="H768" s="1">
        <v>500000</v>
      </c>
      <c r="I768" t="s">
        <v>1920</v>
      </c>
      <c r="N768" s="4">
        <f t="shared" si="22"/>
        <v>70107300</v>
      </c>
      <c r="O768" t="str">
        <f t="shared" si="23"/>
        <v>R124D1HRDV</v>
      </c>
    </row>
    <row r="769" spans="2:15" x14ac:dyDescent="0.25">
      <c r="B769" t="s">
        <v>1148</v>
      </c>
      <c r="C769">
        <v>70009110</v>
      </c>
      <c r="D769" t="s">
        <v>1924</v>
      </c>
      <c r="E769" t="s">
        <v>1149</v>
      </c>
      <c r="F769" t="s">
        <v>45</v>
      </c>
      <c r="G769" t="s">
        <v>1150</v>
      </c>
      <c r="H769" s="1">
        <v>350000</v>
      </c>
      <c r="I769" t="s">
        <v>1922</v>
      </c>
      <c r="N769" s="4">
        <f t="shared" si="22"/>
        <v>70009110</v>
      </c>
      <c r="O769" t="str">
        <f t="shared" si="23"/>
        <v>C206D1SLSS</v>
      </c>
    </row>
    <row r="770" spans="2:15" x14ac:dyDescent="0.25">
      <c r="B770" t="s">
        <v>1148</v>
      </c>
      <c r="C770">
        <v>70009110</v>
      </c>
      <c r="D770" t="s">
        <v>1923</v>
      </c>
      <c r="E770" t="s">
        <v>1149</v>
      </c>
      <c r="F770" t="s">
        <v>45</v>
      </c>
      <c r="G770" t="s">
        <v>1151</v>
      </c>
      <c r="H770" s="1">
        <v>50000</v>
      </c>
      <c r="I770" t="s">
        <v>1922</v>
      </c>
      <c r="N770" s="4">
        <f t="shared" si="22"/>
        <v>70009110</v>
      </c>
      <c r="O770" t="str">
        <f t="shared" si="23"/>
        <v>P206D1SLSS</v>
      </c>
    </row>
    <row r="771" spans="2:15" x14ac:dyDescent="0.25">
      <c r="B771" t="s">
        <v>1148</v>
      </c>
      <c r="C771">
        <v>70009110</v>
      </c>
      <c r="D771" t="s">
        <v>1938</v>
      </c>
      <c r="E771" t="s">
        <v>1149</v>
      </c>
      <c r="F771" t="s">
        <v>45</v>
      </c>
      <c r="G771" t="s">
        <v>1152</v>
      </c>
      <c r="H771" s="1">
        <v>100000</v>
      </c>
      <c r="I771" t="s">
        <v>1922</v>
      </c>
      <c r="N771" s="4">
        <f t="shared" si="22"/>
        <v>70009110</v>
      </c>
      <c r="O771" t="str">
        <f t="shared" si="23"/>
        <v>M204D1COMM</v>
      </c>
    </row>
    <row r="772" spans="2:15" x14ac:dyDescent="0.25">
      <c r="B772" t="s">
        <v>1148</v>
      </c>
      <c r="C772">
        <v>70009110</v>
      </c>
      <c r="D772" t="s">
        <v>1938</v>
      </c>
      <c r="E772" t="s">
        <v>1149</v>
      </c>
      <c r="F772" t="s">
        <v>45</v>
      </c>
      <c r="G772" t="s">
        <v>1153</v>
      </c>
      <c r="H772" s="1">
        <v>100000</v>
      </c>
      <c r="I772" t="s">
        <v>1922</v>
      </c>
      <c r="N772" s="4">
        <f t="shared" si="22"/>
        <v>70009110</v>
      </c>
      <c r="O772" t="str">
        <f t="shared" si="23"/>
        <v>M204D1COMM</v>
      </c>
    </row>
    <row r="773" spans="2:15" x14ac:dyDescent="0.25">
      <c r="B773" t="s">
        <v>1148</v>
      </c>
      <c r="C773">
        <v>70009110</v>
      </c>
      <c r="D773" t="s">
        <v>1938</v>
      </c>
      <c r="E773" t="s">
        <v>1149</v>
      </c>
      <c r="F773" t="s">
        <v>45</v>
      </c>
      <c r="G773" t="s">
        <v>1154</v>
      </c>
      <c r="H773" s="1">
        <v>100000</v>
      </c>
      <c r="I773" t="s">
        <v>1922</v>
      </c>
      <c r="N773" s="4">
        <f t="shared" si="22"/>
        <v>70009110</v>
      </c>
      <c r="O773" t="str">
        <f t="shared" si="23"/>
        <v>M204D1COMM</v>
      </c>
    </row>
    <row r="774" spans="2:15" x14ac:dyDescent="0.25">
      <c r="B774" t="s">
        <v>1148</v>
      </c>
      <c r="C774">
        <v>70009110</v>
      </c>
      <c r="D774" t="s">
        <v>1938</v>
      </c>
      <c r="E774" t="s">
        <v>1149</v>
      </c>
      <c r="F774" t="s">
        <v>45</v>
      </c>
      <c r="G774" t="s">
        <v>1155</v>
      </c>
      <c r="H774" s="1">
        <v>100000</v>
      </c>
      <c r="I774" t="s">
        <v>1922</v>
      </c>
      <c r="N774" s="4">
        <f t="shared" si="22"/>
        <v>70009110</v>
      </c>
      <c r="O774" t="str">
        <f t="shared" si="23"/>
        <v>M204D1COMM</v>
      </c>
    </row>
    <row r="775" spans="2:15" x14ac:dyDescent="0.25">
      <c r="B775" t="s">
        <v>1148</v>
      </c>
      <c r="C775">
        <v>70101114</v>
      </c>
      <c r="D775" t="s">
        <v>1943</v>
      </c>
      <c r="E775" t="s">
        <v>1156</v>
      </c>
      <c r="F775" t="s">
        <v>59</v>
      </c>
      <c r="G775" t="s">
        <v>1157</v>
      </c>
      <c r="H775" s="1">
        <v>152000</v>
      </c>
      <c r="I775" t="s">
        <v>1949</v>
      </c>
      <c r="N775" s="4">
        <f t="shared" si="22"/>
        <v>70101114</v>
      </c>
      <c r="O775" t="str">
        <f t="shared" si="23"/>
        <v>R124D1HRGA</v>
      </c>
    </row>
    <row r="776" spans="2:15" x14ac:dyDescent="0.25">
      <c r="B776" t="s">
        <v>1148</v>
      </c>
      <c r="C776">
        <v>70107600</v>
      </c>
      <c r="D776" t="s">
        <v>1979</v>
      </c>
      <c r="E776" t="s">
        <v>1158</v>
      </c>
      <c r="F776" t="s">
        <v>126</v>
      </c>
      <c r="G776" t="s">
        <v>1159</v>
      </c>
      <c r="H776" s="1">
        <v>150000</v>
      </c>
      <c r="I776" t="s">
        <v>1966</v>
      </c>
      <c r="N776" s="4">
        <f t="shared" si="22"/>
        <v>70107600</v>
      </c>
      <c r="O776" t="str">
        <f t="shared" si="23"/>
        <v>R124D1FRCO</v>
      </c>
    </row>
    <row r="777" spans="2:15" x14ac:dyDescent="0.25">
      <c r="B777" t="s">
        <v>1148</v>
      </c>
      <c r="C777">
        <v>70106400</v>
      </c>
      <c r="D777" t="s">
        <v>1943</v>
      </c>
      <c r="E777" t="s">
        <v>1160</v>
      </c>
      <c r="F777" t="s">
        <v>96</v>
      </c>
      <c r="G777" t="s">
        <v>1161</v>
      </c>
      <c r="H777" s="1">
        <v>630000</v>
      </c>
      <c r="I777" t="s">
        <v>1942</v>
      </c>
      <c r="N777" s="4">
        <f t="shared" si="22"/>
        <v>70106400</v>
      </c>
      <c r="O777" t="str">
        <f t="shared" si="23"/>
        <v>R124D1HRGA</v>
      </c>
    </row>
    <row r="778" spans="2:15" x14ac:dyDescent="0.25">
      <c r="B778" t="s">
        <v>1148</v>
      </c>
      <c r="C778">
        <v>70106100</v>
      </c>
      <c r="D778" t="s">
        <v>1943</v>
      </c>
      <c r="E778" t="s">
        <v>1160</v>
      </c>
      <c r="F778" t="s">
        <v>67</v>
      </c>
      <c r="G778" t="s">
        <v>98</v>
      </c>
      <c r="H778" s="1">
        <v>369500</v>
      </c>
      <c r="I778" t="s">
        <v>1942</v>
      </c>
      <c r="N778" s="4">
        <f t="shared" si="22"/>
        <v>70106100</v>
      </c>
      <c r="O778" t="str">
        <f t="shared" si="23"/>
        <v>R124D1HRGA</v>
      </c>
    </row>
    <row r="779" spans="2:15" x14ac:dyDescent="0.25">
      <c r="B779" t="s">
        <v>1148</v>
      </c>
      <c r="C779">
        <v>70101202</v>
      </c>
      <c r="D779" t="s">
        <v>1945</v>
      </c>
      <c r="E779" t="s">
        <v>1162</v>
      </c>
      <c r="F779" t="s">
        <v>57</v>
      </c>
      <c r="G779" t="s">
        <v>1163</v>
      </c>
      <c r="H779" s="1">
        <v>704000</v>
      </c>
      <c r="I779" t="s">
        <v>2001</v>
      </c>
      <c r="N779" s="4">
        <f t="shared" ref="N779:N842" si="24">+C779</f>
        <v>70101202</v>
      </c>
      <c r="O779" t="str">
        <f t="shared" ref="O779:O842" si="25">+D779</f>
        <v>R124MIN</v>
      </c>
    </row>
    <row r="780" spans="2:15" x14ac:dyDescent="0.25">
      <c r="B780" t="s">
        <v>1148</v>
      </c>
      <c r="C780">
        <v>70107100</v>
      </c>
      <c r="D780" t="s">
        <v>1943</v>
      </c>
      <c r="E780" t="s">
        <v>1164</v>
      </c>
      <c r="F780" t="s">
        <v>254</v>
      </c>
      <c r="G780" t="s">
        <v>1165</v>
      </c>
      <c r="H780" s="1">
        <v>800000</v>
      </c>
      <c r="I780" t="s">
        <v>1949</v>
      </c>
      <c r="N780" s="4">
        <f t="shared" si="24"/>
        <v>70107100</v>
      </c>
      <c r="O780" t="str">
        <f t="shared" si="25"/>
        <v>R124D1HRGA</v>
      </c>
    </row>
    <row r="781" spans="2:15" x14ac:dyDescent="0.25">
      <c r="B781" t="s">
        <v>1166</v>
      </c>
      <c r="C781">
        <v>70101202</v>
      </c>
      <c r="D781" t="s">
        <v>1971</v>
      </c>
      <c r="E781" t="s">
        <v>1167</v>
      </c>
      <c r="F781" t="s">
        <v>57</v>
      </c>
      <c r="G781" t="s">
        <v>1168</v>
      </c>
      <c r="H781" s="1">
        <v>977000</v>
      </c>
      <c r="I781" t="s">
        <v>1980</v>
      </c>
      <c r="N781" s="4">
        <f t="shared" si="24"/>
        <v>70101202</v>
      </c>
      <c r="O781" t="str">
        <f t="shared" si="25"/>
        <v>R124REF3</v>
      </c>
    </row>
    <row r="782" spans="2:15" x14ac:dyDescent="0.25">
      <c r="B782" t="s">
        <v>1166</v>
      </c>
      <c r="C782">
        <v>70009110</v>
      </c>
      <c r="D782" t="s">
        <v>1924</v>
      </c>
      <c r="E782" t="s">
        <v>1169</v>
      </c>
      <c r="F782" t="s">
        <v>45</v>
      </c>
      <c r="G782" t="s">
        <v>1170</v>
      </c>
      <c r="H782" s="1">
        <v>200000</v>
      </c>
      <c r="I782" t="s">
        <v>1984</v>
      </c>
      <c r="N782" s="4">
        <f t="shared" si="24"/>
        <v>70009110</v>
      </c>
      <c r="O782" t="str">
        <f t="shared" si="25"/>
        <v>C206D1SLSS</v>
      </c>
    </row>
    <row r="783" spans="2:15" x14ac:dyDescent="0.25">
      <c r="B783" t="s">
        <v>1166</v>
      </c>
      <c r="C783">
        <v>70009110</v>
      </c>
      <c r="D783" t="s">
        <v>1924</v>
      </c>
      <c r="E783" t="s">
        <v>1169</v>
      </c>
      <c r="F783" t="s">
        <v>45</v>
      </c>
      <c r="G783" t="s">
        <v>1171</v>
      </c>
      <c r="H783" s="1">
        <v>150000</v>
      </c>
      <c r="I783" t="s">
        <v>1984</v>
      </c>
      <c r="N783" s="4">
        <f t="shared" si="24"/>
        <v>70009110</v>
      </c>
      <c r="O783" t="str">
        <f t="shared" si="25"/>
        <v>C206D1SLSS</v>
      </c>
    </row>
    <row r="784" spans="2:15" x14ac:dyDescent="0.25">
      <c r="B784" t="s">
        <v>1166</v>
      </c>
      <c r="C784">
        <v>70009110</v>
      </c>
      <c r="D784" t="s">
        <v>1924</v>
      </c>
      <c r="E784" t="s">
        <v>1169</v>
      </c>
      <c r="F784" t="s">
        <v>45</v>
      </c>
      <c r="G784" t="s">
        <v>1172</v>
      </c>
      <c r="H784" s="1">
        <v>50000</v>
      </c>
      <c r="I784" t="s">
        <v>1984</v>
      </c>
      <c r="N784" s="4">
        <f t="shared" si="24"/>
        <v>70009110</v>
      </c>
      <c r="O784" t="str">
        <f t="shared" si="25"/>
        <v>C206D1SLSS</v>
      </c>
    </row>
    <row r="785" spans="2:15" x14ac:dyDescent="0.25">
      <c r="B785" t="s">
        <v>1166</v>
      </c>
      <c r="C785">
        <v>70009110</v>
      </c>
      <c r="D785" t="s">
        <v>1924</v>
      </c>
      <c r="E785" t="s">
        <v>1169</v>
      </c>
      <c r="F785" t="s">
        <v>45</v>
      </c>
      <c r="G785" t="s">
        <v>1173</v>
      </c>
      <c r="H785" s="1">
        <v>50000</v>
      </c>
      <c r="I785" t="s">
        <v>1984</v>
      </c>
      <c r="N785" s="4">
        <f t="shared" si="24"/>
        <v>70009110</v>
      </c>
      <c r="O785" t="str">
        <f t="shared" si="25"/>
        <v>C206D1SLSS</v>
      </c>
    </row>
    <row r="786" spans="2:15" x14ac:dyDescent="0.25">
      <c r="B786" t="s">
        <v>1166</v>
      </c>
      <c r="C786">
        <v>70009110</v>
      </c>
      <c r="D786" t="s">
        <v>1938</v>
      </c>
      <c r="E786" t="s">
        <v>1169</v>
      </c>
      <c r="F786" t="s">
        <v>45</v>
      </c>
      <c r="G786" t="s">
        <v>1174</v>
      </c>
      <c r="H786" s="1">
        <v>50000</v>
      </c>
      <c r="I786" t="s">
        <v>1984</v>
      </c>
      <c r="N786" s="4">
        <f t="shared" si="24"/>
        <v>70009110</v>
      </c>
      <c r="O786" t="str">
        <f t="shared" si="25"/>
        <v>M204D1COMM</v>
      </c>
    </row>
    <row r="787" spans="2:15" x14ac:dyDescent="0.25">
      <c r="B787" t="s">
        <v>1166</v>
      </c>
      <c r="C787">
        <v>70009110</v>
      </c>
      <c r="D787" t="s">
        <v>1924</v>
      </c>
      <c r="E787" t="s">
        <v>1169</v>
      </c>
      <c r="F787" t="s">
        <v>45</v>
      </c>
      <c r="G787" t="s">
        <v>1175</v>
      </c>
      <c r="H787" s="1">
        <v>50000</v>
      </c>
      <c r="I787" t="s">
        <v>1984</v>
      </c>
      <c r="N787" s="4">
        <f t="shared" si="24"/>
        <v>70009110</v>
      </c>
      <c r="O787" t="str">
        <f t="shared" si="25"/>
        <v>C206D1SLSS</v>
      </c>
    </row>
    <row r="788" spans="2:15" x14ac:dyDescent="0.25">
      <c r="B788" t="s">
        <v>1166</v>
      </c>
      <c r="C788">
        <v>70009110</v>
      </c>
      <c r="D788" t="s">
        <v>1938</v>
      </c>
      <c r="E788" t="s">
        <v>1169</v>
      </c>
      <c r="F788" t="s">
        <v>45</v>
      </c>
      <c r="G788" t="s">
        <v>1176</v>
      </c>
      <c r="H788" s="1">
        <v>50000</v>
      </c>
      <c r="I788" t="s">
        <v>1984</v>
      </c>
      <c r="N788" s="4">
        <f t="shared" si="24"/>
        <v>70009110</v>
      </c>
      <c r="O788" t="str">
        <f t="shared" si="25"/>
        <v>M204D1COMM</v>
      </c>
    </row>
    <row r="789" spans="2:15" x14ac:dyDescent="0.25">
      <c r="B789" t="s">
        <v>1166</v>
      </c>
      <c r="C789">
        <v>70107600</v>
      </c>
      <c r="D789" t="s">
        <v>1975</v>
      </c>
      <c r="E789" t="s">
        <v>1177</v>
      </c>
      <c r="F789" t="s">
        <v>126</v>
      </c>
      <c r="G789" t="s">
        <v>1178</v>
      </c>
      <c r="H789" s="1">
        <v>470000</v>
      </c>
      <c r="I789" t="s">
        <v>1920</v>
      </c>
      <c r="N789" s="4">
        <f t="shared" si="24"/>
        <v>70107600</v>
      </c>
      <c r="O789" t="str">
        <f t="shared" si="25"/>
        <v>R124D1MGMT</v>
      </c>
    </row>
    <row r="790" spans="2:15" x14ac:dyDescent="0.25">
      <c r="B790" t="s">
        <v>1166</v>
      </c>
      <c r="C790">
        <v>70009110</v>
      </c>
      <c r="D790" t="s">
        <v>1938</v>
      </c>
      <c r="E790" t="s">
        <v>1179</v>
      </c>
      <c r="F790" t="s">
        <v>45</v>
      </c>
      <c r="G790" t="s">
        <v>1180</v>
      </c>
      <c r="H790" s="1">
        <v>50000</v>
      </c>
      <c r="I790" t="s">
        <v>1941</v>
      </c>
      <c r="N790" s="4">
        <f t="shared" si="24"/>
        <v>70009110</v>
      </c>
      <c r="O790" t="str">
        <f t="shared" si="25"/>
        <v>M204D1COMM</v>
      </c>
    </row>
    <row r="791" spans="2:15" x14ac:dyDescent="0.25">
      <c r="B791" t="s">
        <v>1166</v>
      </c>
      <c r="C791">
        <v>70009110</v>
      </c>
      <c r="D791" t="s">
        <v>1938</v>
      </c>
      <c r="E791" t="s">
        <v>1179</v>
      </c>
      <c r="F791" t="s">
        <v>45</v>
      </c>
      <c r="G791" t="s">
        <v>1181</v>
      </c>
      <c r="H791" s="1">
        <v>50000</v>
      </c>
      <c r="I791" t="s">
        <v>1941</v>
      </c>
      <c r="N791" s="4">
        <f t="shared" si="24"/>
        <v>70009110</v>
      </c>
      <c r="O791" t="str">
        <f t="shared" si="25"/>
        <v>M204D1COMM</v>
      </c>
    </row>
    <row r="792" spans="2:15" x14ac:dyDescent="0.25">
      <c r="B792" t="s">
        <v>1166</v>
      </c>
      <c r="C792">
        <v>70009110</v>
      </c>
      <c r="D792" t="s">
        <v>1938</v>
      </c>
      <c r="E792" t="s">
        <v>1179</v>
      </c>
      <c r="F792" t="s">
        <v>45</v>
      </c>
      <c r="G792" t="s">
        <v>1182</v>
      </c>
      <c r="H792" s="1">
        <v>50000</v>
      </c>
      <c r="I792" t="s">
        <v>1941</v>
      </c>
      <c r="N792" s="4">
        <f t="shared" si="24"/>
        <v>70009110</v>
      </c>
      <c r="O792" t="str">
        <f t="shared" si="25"/>
        <v>M204D1COMM</v>
      </c>
    </row>
    <row r="793" spans="2:15" x14ac:dyDescent="0.25">
      <c r="B793" t="s">
        <v>1183</v>
      </c>
      <c r="C793">
        <v>70101114</v>
      </c>
      <c r="D793" t="s">
        <v>1943</v>
      </c>
      <c r="E793" t="s">
        <v>1184</v>
      </c>
      <c r="F793" t="s">
        <v>59</v>
      </c>
      <c r="G793" t="s">
        <v>1185</v>
      </c>
      <c r="H793" s="1">
        <v>293655</v>
      </c>
      <c r="I793" t="s">
        <v>1949</v>
      </c>
      <c r="N793" s="4">
        <f t="shared" si="24"/>
        <v>70101114</v>
      </c>
      <c r="O793" t="str">
        <f t="shared" si="25"/>
        <v>R124D1HRGA</v>
      </c>
    </row>
    <row r="794" spans="2:15" x14ac:dyDescent="0.25">
      <c r="B794" t="s">
        <v>1183</v>
      </c>
      <c r="C794">
        <v>70110210</v>
      </c>
      <c r="D794" t="s">
        <v>2019</v>
      </c>
      <c r="E794" t="s">
        <v>1186</v>
      </c>
      <c r="F794" t="s">
        <v>1187</v>
      </c>
      <c r="G794" t="s">
        <v>1188</v>
      </c>
      <c r="H794" s="1">
        <v>135000</v>
      </c>
      <c r="I794" t="s">
        <v>1949</v>
      </c>
      <c r="N794" s="4">
        <f t="shared" si="24"/>
        <v>70110210</v>
      </c>
      <c r="O794" t="str">
        <f t="shared" si="25"/>
        <v>H200D1MMDP</v>
      </c>
    </row>
    <row r="795" spans="2:15" x14ac:dyDescent="0.25">
      <c r="B795" t="s">
        <v>1183</v>
      </c>
      <c r="C795">
        <v>70108100</v>
      </c>
      <c r="D795" t="s">
        <v>1943</v>
      </c>
      <c r="E795" t="s">
        <v>1189</v>
      </c>
      <c r="F795" t="s">
        <v>274</v>
      </c>
      <c r="G795" t="s">
        <v>1190</v>
      </c>
      <c r="H795" s="1">
        <v>971000</v>
      </c>
      <c r="I795" t="s">
        <v>1949</v>
      </c>
      <c r="N795" s="4">
        <f t="shared" si="24"/>
        <v>70108100</v>
      </c>
      <c r="O795" t="str">
        <f t="shared" si="25"/>
        <v>R124D1HRGA</v>
      </c>
    </row>
    <row r="796" spans="2:15" x14ac:dyDescent="0.25">
      <c r="B796" t="s">
        <v>1183</v>
      </c>
      <c r="C796">
        <v>70108100</v>
      </c>
      <c r="D796" t="s">
        <v>1943</v>
      </c>
      <c r="E796" t="s">
        <v>1191</v>
      </c>
      <c r="F796" t="s">
        <v>274</v>
      </c>
      <c r="G796" t="s">
        <v>1192</v>
      </c>
      <c r="H796" s="1">
        <v>760000</v>
      </c>
      <c r="I796" t="s">
        <v>1949</v>
      </c>
      <c r="N796" s="4">
        <f t="shared" si="24"/>
        <v>70108100</v>
      </c>
      <c r="O796" t="str">
        <f t="shared" si="25"/>
        <v>R124D1HRGA</v>
      </c>
    </row>
    <row r="797" spans="2:15" x14ac:dyDescent="0.25">
      <c r="B797" t="s">
        <v>1183</v>
      </c>
      <c r="C797">
        <v>70106400</v>
      </c>
      <c r="D797" t="s">
        <v>1943</v>
      </c>
      <c r="E797" t="s">
        <v>1193</v>
      </c>
      <c r="F797" t="s">
        <v>96</v>
      </c>
      <c r="G797" t="s">
        <v>1194</v>
      </c>
      <c r="H797" s="1">
        <v>560000</v>
      </c>
      <c r="I797" t="s">
        <v>1942</v>
      </c>
      <c r="N797" s="4">
        <f t="shared" si="24"/>
        <v>70106400</v>
      </c>
      <c r="O797" t="str">
        <f t="shared" si="25"/>
        <v>R124D1HRGA</v>
      </c>
    </row>
    <row r="798" spans="2:15" x14ac:dyDescent="0.25">
      <c r="B798" t="s">
        <v>1183</v>
      </c>
      <c r="C798">
        <v>70106100</v>
      </c>
      <c r="D798" t="s">
        <v>1943</v>
      </c>
      <c r="E798" t="s">
        <v>1193</v>
      </c>
      <c r="F798" t="s">
        <v>67</v>
      </c>
      <c r="G798" t="s">
        <v>98</v>
      </c>
      <c r="H798" s="1">
        <v>439000</v>
      </c>
      <c r="I798" t="s">
        <v>1942</v>
      </c>
      <c r="N798" s="4">
        <f t="shared" si="24"/>
        <v>70106100</v>
      </c>
      <c r="O798" t="str">
        <f t="shared" si="25"/>
        <v>R124D1HRGA</v>
      </c>
    </row>
    <row r="799" spans="2:15" x14ac:dyDescent="0.25">
      <c r="B799" t="s">
        <v>1183</v>
      </c>
      <c r="C799">
        <v>70107600</v>
      </c>
      <c r="D799" t="s">
        <v>1951</v>
      </c>
      <c r="E799" t="s">
        <v>1195</v>
      </c>
      <c r="F799" t="s">
        <v>126</v>
      </c>
      <c r="G799" t="s">
        <v>1196</v>
      </c>
      <c r="H799" s="1">
        <v>227000</v>
      </c>
      <c r="I799" t="s">
        <v>1952</v>
      </c>
      <c r="N799" s="4">
        <f t="shared" si="24"/>
        <v>70107600</v>
      </c>
      <c r="O799" t="str">
        <f t="shared" si="25"/>
        <v>R124REF</v>
      </c>
    </row>
    <row r="800" spans="2:15" x14ac:dyDescent="0.25">
      <c r="B800" t="s">
        <v>1183</v>
      </c>
      <c r="C800">
        <v>70009110</v>
      </c>
      <c r="D800" t="s">
        <v>1923</v>
      </c>
      <c r="E800" t="s">
        <v>1197</v>
      </c>
      <c r="F800" t="s">
        <v>45</v>
      </c>
      <c r="G800" t="s">
        <v>1198</v>
      </c>
      <c r="H800" s="1">
        <v>50000</v>
      </c>
      <c r="I800" t="s">
        <v>1985</v>
      </c>
      <c r="N800" s="4">
        <f t="shared" si="24"/>
        <v>70009110</v>
      </c>
      <c r="O800" t="str">
        <f t="shared" si="25"/>
        <v>P206D1SLSS</v>
      </c>
    </row>
    <row r="801" spans="2:15" x14ac:dyDescent="0.25">
      <c r="B801" t="s">
        <v>1183</v>
      </c>
      <c r="C801">
        <v>70009110</v>
      </c>
      <c r="D801" t="s">
        <v>1923</v>
      </c>
      <c r="E801" t="s">
        <v>1197</v>
      </c>
      <c r="F801" t="s">
        <v>45</v>
      </c>
      <c r="G801" t="s">
        <v>1199</v>
      </c>
      <c r="H801" s="1">
        <v>50000</v>
      </c>
      <c r="I801" t="s">
        <v>1985</v>
      </c>
      <c r="N801" s="4">
        <f t="shared" si="24"/>
        <v>70009110</v>
      </c>
      <c r="O801" t="str">
        <f t="shared" si="25"/>
        <v>P206D1SLSS</v>
      </c>
    </row>
    <row r="802" spans="2:15" x14ac:dyDescent="0.25">
      <c r="B802" t="s">
        <v>1183</v>
      </c>
      <c r="C802">
        <v>70009110</v>
      </c>
      <c r="D802" t="s">
        <v>1923</v>
      </c>
      <c r="E802" t="s">
        <v>1197</v>
      </c>
      <c r="F802" t="s">
        <v>45</v>
      </c>
      <c r="G802" t="s">
        <v>1200</v>
      </c>
      <c r="H802" s="1">
        <v>50000</v>
      </c>
      <c r="I802" t="s">
        <v>1985</v>
      </c>
      <c r="N802" s="4">
        <f t="shared" si="24"/>
        <v>70009110</v>
      </c>
      <c r="O802" t="str">
        <f t="shared" si="25"/>
        <v>P206D1SLSS</v>
      </c>
    </row>
    <row r="803" spans="2:15" x14ac:dyDescent="0.25">
      <c r="B803" t="s">
        <v>1183</v>
      </c>
      <c r="C803">
        <v>70009110</v>
      </c>
      <c r="D803" t="s">
        <v>1923</v>
      </c>
      <c r="E803" t="s">
        <v>1197</v>
      </c>
      <c r="F803" t="s">
        <v>45</v>
      </c>
      <c r="G803" t="s">
        <v>1201</v>
      </c>
      <c r="H803" s="1">
        <v>50000</v>
      </c>
      <c r="I803" t="s">
        <v>1985</v>
      </c>
      <c r="N803" s="4">
        <f t="shared" si="24"/>
        <v>70009110</v>
      </c>
      <c r="O803" t="str">
        <f t="shared" si="25"/>
        <v>P206D1SLSS</v>
      </c>
    </row>
    <row r="804" spans="2:15" x14ac:dyDescent="0.25">
      <c r="B804" t="s">
        <v>1183</v>
      </c>
      <c r="C804">
        <v>70009110</v>
      </c>
      <c r="D804" t="s">
        <v>1923</v>
      </c>
      <c r="E804" t="s">
        <v>1197</v>
      </c>
      <c r="F804" t="s">
        <v>45</v>
      </c>
      <c r="G804" t="s">
        <v>1202</v>
      </c>
      <c r="H804" s="1">
        <v>50000</v>
      </c>
      <c r="I804" t="s">
        <v>1985</v>
      </c>
      <c r="N804" s="4">
        <f t="shared" si="24"/>
        <v>70009110</v>
      </c>
      <c r="O804" t="str">
        <f t="shared" si="25"/>
        <v>P206D1SLSS</v>
      </c>
    </row>
    <row r="805" spans="2:15" x14ac:dyDescent="0.25">
      <c r="B805" t="s">
        <v>1183</v>
      </c>
      <c r="C805" t="s">
        <v>1183</v>
      </c>
      <c r="D805" t="s">
        <v>1943</v>
      </c>
      <c r="E805" t="s">
        <v>1203</v>
      </c>
      <c r="F805" t="s">
        <v>375</v>
      </c>
      <c r="G805">
        <v>0</v>
      </c>
      <c r="H805" s="1">
        <v>48300</v>
      </c>
      <c r="I805" t="s">
        <v>1970</v>
      </c>
      <c r="N805" s="4" t="str">
        <f t="shared" si="24"/>
        <v>21.10.2025</v>
      </c>
      <c r="O805" t="str">
        <f t="shared" si="25"/>
        <v>R124D1HRGA</v>
      </c>
    </row>
    <row r="806" spans="2:15" x14ac:dyDescent="0.25">
      <c r="B806" t="s">
        <v>1183</v>
      </c>
      <c r="C806" t="s">
        <v>1183</v>
      </c>
      <c r="D806" t="s">
        <v>1943</v>
      </c>
      <c r="E806" t="s">
        <v>1203</v>
      </c>
      <c r="F806" t="s">
        <v>375</v>
      </c>
      <c r="G806">
        <v>0</v>
      </c>
      <c r="H806" s="1">
        <v>82100</v>
      </c>
      <c r="I806" t="s">
        <v>1970</v>
      </c>
      <c r="N806" s="4" t="str">
        <f t="shared" si="24"/>
        <v>21.10.2025</v>
      </c>
      <c r="O806" t="str">
        <f t="shared" si="25"/>
        <v>R124D1HRGA</v>
      </c>
    </row>
    <row r="807" spans="2:15" x14ac:dyDescent="0.25">
      <c r="B807" t="s">
        <v>1183</v>
      </c>
      <c r="C807" t="s">
        <v>1212</v>
      </c>
      <c r="D807" t="s">
        <v>1943</v>
      </c>
      <c r="F807" t="s">
        <v>249</v>
      </c>
      <c r="H807">
        <v>0</v>
      </c>
      <c r="I807" t="s">
        <v>1969</v>
      </c>
      <c r="N807" s="4" t="str">
        <f t="shared" si="24"/>
        <v>03.11.2025</v>
      </c>
      <c r="O807" t="str">
        <f t="shared" si="25"/>
        <v>R124D1HRGA</v>
      </c>
    </row>
    <row r="808" spans="2:15" x14ac:dyDescent="0.25">
      <c r="B808" t="s">
        <v>1212</v>
      </c>
      <c r="C808">
        <v>70106400</v>
      </c>
      <c r="D808" t="s">
        <v>1943</v>
      </c>
      <c r="E808" t="s">
        <v>1213</v>
      </c>
      <c r="F808" t="s">
        <v>96</v>
      </c>
      <c r="G808" t="s">
        <v>1214</v>
      </c>
      <c r="H808" s="1">
        <v>510000</v>
      </c>
      <c r="I808" t="s">
        <v>1942</v>
      </c>
      <c r="N808" s="4">
        <f t="shared" si="24"/>
        <v>70106400</v>
      </c>
      <c r="O808" t="str">
        <f t="shared" si="25"/>
        <v>R124D1HRGA</v>
      </c>
    </row>
    <row r="809" spans="2:15" x14ac:dyDescent="0.25">
      <c r="B809" t="s">
        <v>1212</v>
      </c>
      <c r="C809">
        <v>70106100</v>
      </c>
      <c r="D809" t="s">
        <v>1943</v>
      </c>
      <c r="E809" t="s">
        <v>1213</v>
      </c>
      <c r="F809" t="s">
        <v>67</v>
      </c>
      <c r="G809" t="s">
        <v>1215</v>
      </c>
      <c r="H809" s="1">
        <v>489500</v>
      </c>
      <c r="I809" t="s">
        <v>1942</v>
      </c>
      <c r="N809" s="4">
        <f t="shared" si="24"/>
        <v>70106100</v>
      </c>
      <c r="O809" t="str">
        <f t="shared" si="25"/>
        <v>R124D1HRGA</v>
      </c>
    </row>
    <row r="810" spans="2:15" x14ac:dyDescent="0.25">
      <c r="B810" t="s">
        <v>1212</v>
      </c>
      <c r="C810">
        <v>70107600</v>
      </c>
      <c r="D810" t="s">
        <v>1953</v>
      </c>
      <c r="E810" t="s">
        <v>1216</v>
      </c>
      <c r="F810" t="s">
        <v>126</v>
      </c>
      <c r="G810" t="s">
        <v>1217</v>
      </c>
      <c r="H810" s="1">
        <v>50000</v>
      </c>
      <c r="I810" t="s">
        <v>2020</v>
      </c>
      <c r="N810" s="4">
        <f t="shared" si="24"/>
        <v>70107600</v>
      </c>
      <c r="O810" t="str">
        <f t="shared" si="25"/>
        <v>R124MNT</v>
      </c>
    </row>
    <row r="811" spans="2:15" x14ac:dyDescent="0.25">
      <c r="B811" t="s">
        <v>1212</v>
      </c>
      <c r="C811">
        <v>70106100</v>
      </c>
      <c r="D811" t="s">
        <v>2014</v>
      </c>
      <c r="E811" t="s">
        <v>1218</v>
      </c>
      <c r="F811" t="s">
        <v>67</v>
      </c>
      <c r="G811" t="s">
        <v>1219</v>
      </c>
      <c r="H811" s="1">
        <v>122500</v>
      </c>
      <c r="I811" t="s">
        <v>2016</v>
      </c>
      <c r="N811" s="4">
        <f t="shared" si="24"/>
        <v>70106100</v>
      </c>
      <c r="O811" t="str">
        <f t="shared" si="25"/>
        <v>R124BLR</v>
      </c>
    </row>
    <row r="812" spans="2:15" x14ac:dyDescent="0.25">
      <c r="B812" t="s">
        <v>1212</v>
      </c>
      <c r="C812">
        <v>70107600</v>
      </c>
      <c r="D812" t="s">
        <v>2014</v>
      </c>
      <c r="E812" t="s">
        <v>1218</v>
      </c>
      <c r="F812" t="s">
        <v>126</v>
      </c>
      <c r="G812" t="s">
        <v>1220</v>
      </c>
      <c r="H812" s="1">
        <v>450000</v>
      </c>
      <c r="I812" t="s">
        <v>2016</v>
      </c>
      <c r="N812" s="4">
        <f t="shared" si="24"/>
        <v>70107600</v>
      </c>
      <c r="O812" t="str">
        <f t="shared" si="25"/>
        <v>R124BLR</v>
      </c>
    </row>
    <row r="813" spans="2:15" x14ac:dyDescent="0.25">
      <c r="B813" t="s">
        <v>1212</v>
      </c>
      <c r="C813">
        <v>70101202</v>
      </c>
      <c r="D813" t="s">
        <v>2014</v>
      </c>
      <c r="E813" t="s">
        <v>1218</v>
      </c>
      <c r="F813" t="s">
        <v>57</v>
      </c>
      <c r="G813" t="s">
        <v>1221</v>
      </c>
      <c r="H813" s="1">
        <v>200000</v>
      </c>
      <c r="I813" t="s">
        <v>2016</v>
      </c>
      <c r="N813" s="4">
        <f t="shared" si="24"/>
        <v>70101202</v>
      </c>
      <c r="O813" t="str">
        <f t="shared" si="25"/>
        <v>R124BLR</v>
      </c>
    </row>
    <row r="814" spans="2:15" x14ac:dyDescent="0.25">
      <c r="B814" t="s">
        <v>1212</v>
      </c>
      <c r="C814">
        <v>70106400</v>
      </c>
      <c r="D814" t="s">
        <v>1943</v>
      </c>
      <c r="E814" t="s">
        <v>1222</v>
      </c>
      <c r="F814" t="s">
        <v>96</v>
      </c>
      <c r="G814" t="s">
        <v>1223</v>
      </c>
      <c r="H814" s="1">
        <v>490000</v>
      </c>
      <c r="I814" t="s">
        <v>1942</v>
      </c>
      <c r="N814" s="4">
        <f t="shared" si="24"/>
        <v>70106400</v>
      </c>
      <c r="O814" t="str">
        <f t="shared" si="25"/>
        <v>R124D1HRGA</v>
      </c>
    </row>
    <row r="815" spans="2:15" x14ac:dyDescent="0.25">
      <c r="B815" t="s">
        <v>1212</v>
      </c>
      <c r="C815">
        <v>70106100</v>
      </c>
      <c r="D815" t="s">
        <v>1943</v>
      </c>
      <c r="E815" t="s">
        <v>1222</v>
      </c>
      <c r="F815" t="s">
        <v>67</v>
      </c>
      <c r="G815" t="s">
        <v>1224</v>
      </c>
      <c r="H815" s="1">
        <v>509000</v>
      </c>
      <c r="I815" t="s">
        <v>1942</v>
      </c>
      <c r="N815" s="4">
        <f t="shared" si="24"/>
        <v>70106100</v>
      </c>
      <c r="O815" t="str">
        <f t="shared" si="25"/>
        <v>R124D1HRGA</v>
      </c>
    </row>
    <row r="816" spans="2:15" x14ac:dyDescent="0.25">
      <c r="B816" t="s">
        <v>1212</v>
      </c>
      <c r="C816">
        <v>70106400</v>
      </c>
      <c r="D816" t="s">
        <v>1943</v>
      </c>
      <c r="E816" t="s">
        <v>1225</v>
      </c>
      <c r="F816" t="s">
        <v>96</v>
      </c>
      <c r="G816" t="s">
        <v>1214</v>
      </c>
      <c r="H816" s="1">
        <v>500000</v>
      </c>
      <c r="I816" t="s">
        <v>1942</v>
      </c>
      <c r="N816" s="4">
        <f t="shared" si="24"/>
        <v>70106400</v>
      </c>
      <c r="O816" t="str">
        <f t="shared" si="25"/>
        <v>R124D1HRGA</v>
      </c>
    </row>
    <row r="817" spans="2:15" x14ac:dyDescent="0.25">
      <c r="B817" t="s">
        <v>1212</v>
      </c>
      <c r="C817">
        <v>70106100</v>
      </c>
      <c r="D817" t="s">
        <v>1943</v>
      </c>
      <c r="E817" t="s">
        <v>1225</v>
      </c>
      <c r="F817" t="s">
        <v>67</v>
      </c>
      <c r="G817" t="s">
        <v>1226</v>
      </c>
      <c r="H817" s="1">
        <v>497000</v>
      </c>
      <c r="I817" t="s">
        <v>1942</v>
      </c>
      <c r="N817" s="4">
        <f t="shared" si="24"/>
        <v>70106100</v>
      </c>
      <c r="O817" t="str">
        <f t="shared" si="25"/>
        <v>R124D1HRGA</v>
      </c>
    </row>
    <row r="818" spans="2:15" x14ac:dyDescent="0.25">
      <c r="B818" t="s">
        <v>1227</v>
      </c>
      <c r="C818">
        <v>70110210</v>
      </c>
      <c r="D818" t="s">
        <v>2019</v>
      </c>
      <c r="E818" t="s">
        <v>1228</v>
      </c>
      <c r="F818" t="s">
        <v>1187</v>
      </c>
      <c r="G818" t="s">
        <v>1229</v>
      </c>
      <c r="H818" s="1">
        <v>90000</v>
      </c>
      <c r="I818" t="s">
        <v>1949</v>
      </c>
      <c r="N818" s="4">
        <f t="shared" si="24"/>
        <v>70110210</v>
      </c>
      <c r="O818" t="str">
        <f t="shared" si="25"/>
        <v>H200D1MMDP</v>
      </c>
    </row>
    <row r="819" spans="2:15" x14ac:dyDescent="0.25">
      <c r="B819" t="s">
        <v>1227</v>
      </c>
      <c r="C819">
        <v>70110200</v>
      </c>
      <c r="D819" t="s">
        <v>1921</v>
      </c>
      <c r="E819" t="s">
        <v>1230</v>
      </c>
      <c r="F819" t="s">
        <v>1231</v>
      </c>
      <c r="G819" t="s">
        <v>1232</v>
      </c>
      <c r="H819" s="1">
        <v>600000</v>
      </c>
      <c r="I819" t="s">
        <v>1966</v>
      </c>
      <c r="N819" s="4">
        <f t="shared" si="24"/>
        <v>70110200</v>
      </c>
      <c r="O819" t="str">
        <f t="shared" si="25"/>
        <v>R124D1HRDV</v>
      </c>
    </row>
    <row r="820" spans="2:15" x14ac:dyDescent="0.25">
      <c r="B820" t="s">
        <v>1227</v>
      </c>
      <c r="C820">
        <v>70106400</v>
      </c>
      <c r="D820" t="s">
        <v>1943</v>
      </c>
      <c r="E820" t="s">
        <v>1233</v>
      </c>
      <c r="F820" t="s">
        <v>96</v>
      </c>
      <c r="G820" t="s">
        <v>1234</v>
      </c>
      <c r="H820" s="1">
        <v>720000</v>
      </c>
      <c r="I820" t="s">
        <v>1942</v>
      </c>
      <c r="N820" s="4">
        <f t="shared" si="24"/>
        <v>70106400</v>
      </c>
      <c r="O820" t="str">
        <f t="shared" si="25"/>
        <v>R124D1HRGA</v>
      </c>
    </row>
    <row r="821" spans="2:15" x14ac:dyDescent="0.25">
      <c r="B821" t="s">
        <v>1227</v>
      </c>
      <c r="C821">
        <v>70106100</v>
      </c>
      <c r="D821" t="s">
        <v>1943</v>
      </c>
      <c r="E821" t="s">
        <v>1233</v>
      </c>
      <c r="F821" t="s">
        <v>67</v>
      </c>
      <c r="G821" t="s">
        <v>98</v>
      </c>
      <c r="H821" s="1">
        <v>278000</v>
      </c>
      <c r="I821" t="s">
        <v>1942</v>
      </c>
      <c r="N821" s="4">
        <f t="shared" si="24"/>
        <v>70106100</v>
      </c>
      <c r="O821" t="str">
        <f t="shared" si="25"/>
        <v>R124D1HRGA</v>
      </c>
    </row>
    <row r="822" spans="2:15" x14ac:dyDescent="0.25">
      <c r="B822" t="s">
        <v>1227</v>
      </c>
      <c r="C822">
        <v>70001110</v>
      </c>
      <c r="D822" t="s">
        <v>1923</v>
      </c>
      <c r="E822" t="s">
        <v>1235</v>
      </c>
      <c r="F822" t="s">
        <v>334</v>
      </c>
      <c r="G822" t="s">
        <v>1236</v>
      </c>
      <c r="H822" s="1">
        <v>50000</v>
      </c>
      <c r="I822" t="s">
        <v>1936</v>
      </c>
      <c r="N822" s="4">
        <f t="shared" si="24"/>
        <v>70001110</v>
      </c>
      <c r="O822" t="str">
        <f t="shared" si="25"/>
        <v>P206D1SLSS</v>
      </c>
    </row>
    <row r="823" spans="2:15" x14ac:dyDescent="0.25">
      <c r="B823" t="s">
        <v>1227</v>
      </c>
      <c r="C823">
        <v>70001110</v>
      </c>
      <c r="D823" t="s">
        <v>1938</v>
      </c>
      <c r="E823" t="s">
        <v>1235</v>
      </c>
      <c r="F823" t="s">
        <v>334</v>
      </c>
      <c r="G823" t="s">
        <v>1237</v>
      </c>
      <c r="H823" s="1">
        <v>50000</v>
      </c>
      <c r="I823" t="s">
        <v>1936</v>
      </c>
      <c r="N823" s="4">
        <f t="shared" si="24"/>
        <v>70001110</v>
      </c>
      <c r="O823" t="str">
        <f t="shared" si="25"/>
        <v>M204D1COMM</v>
      </c>
    </row>
    <row r="824" spans="2:15" x14ac:dyDescent="0.25">
      <c r="B824" t="s">
        <v>1227</v>
      </c>
      <c r="C824">
        <v>70001110</v>
      </c>
      <c r="D824" t="s">
        <v>1923</v>
      </c>
      <c r="E824" t="s">
        <v>1235</v>
      </c>
      <c r="F824" t="s">
        <v>334</v>
      </c>
      <c r="G824" t="s">
        <v>1238</v>
      </c>
      <c r="H824" s="1">
        <v>50000</v>
      </c>
      <c r="I824" t="s">
        <v>1936</v>
      </c>
      <c r="N824" s="4">
        <f t="shared" si="24"/>
        <v>70001110</v>
      </c>
      <c r="O824" t="str">
        <f t="shared" si="25"/>
        <v>P206D1SLSS</v>
      </c>
    </row>
    <row r="825" spans="2:15" x14ac:dyDescent="0.25">
      <c r="B825" t="s">
        <v>1227</v>
      </c>
      <c r="C825">
        <v>70001110</v>
      </c>
      <c r="D825" t="s">
        <v>1923</v>
      </c>
      <c r="E825" t="s">
        <v>1235</v>
      </c>
      <c r="F825" t="s">
        <v>334</v>
      </c>
      <c r="G825" t="s">
        <v>1239</v>
      </c>
      <c r="H825" s="1">
        <v>50000</v>
      </c>
      <c r="I825" t="s">
        <v>1936</v>
      </c>
      <c r="N825" s="4">
        <f t="shared" si="24"/>
        <v>70001110</v>
      </c>
      <c r="O825" t="str">
        <f t="shared" si="25"/>
        <v>P206D1SLSS</v>
      </c>
    </row>
    <row r="826" spans="2:15" x14ac:dyDescent="0.25">
      <c r="B826" t="s">
        <v>1227</v>
      </c>
      <c r="C826">
        <v>70001110</v>
      </c>
      <c r="D826" t="s">
        <v>1923</v>
      </c>
      <c r="E826" t="s">
        <v>1235</v>
      </c>
      <c r="F826" t="s">
        <v>334</v>
      </c>
      <c r="G826" t="s">
        <v>1240</v>
      </c>
      <c r="H826" s="1">
        <v>50000</v>
      </c>
      <c r="I826" t="s">
        <v>1936</v>
      </c>
      <c r="N826" s="4">
        <f t="shared" si="24"/>
        <v>70001110</v>
      </c>
      <c r="O826" t="str">
        <f t="shared" si="25"/>
        <v>P206D1SLSS</v>
      </c>
    </row>
    <row r="827" spans="2:15" x14ac:dyDescent="0.25">
      <c r="B827" t="s">
        <v>1227</v>
      </c>
      <c r="C827">
        <v>70001110</v>
      </c>
      <c r="D827" t="s">
        <v>1923</v>
      </c>
      <c r="E827" t="s">
        <v>1235</v>
      </c>
      <c r="F827" t="s">
        <v>334</v>
      </c>
      <c r="G827" t="s">
        <v>1241</v>
      </c>
      <c r="H827" s="1">
        <v>50000</v>
      </c>
      <c r="I827" t="s">
        <v>1936</v>
      </c>
      <c r="N827" s="4">
        <f t="shared" si="24"/>
        <v>70001110</v>
      </c>
      <c r="O827" t="str">
        <f t="shared" si="25"/>
        <v>P206D1SLSS</v>
      </c>
    </row>
    <row r="828" spans="2:15" x14ac:dyDescent="0.25">
      <c r="B828" t="s">
        <v>1227</v>
      </c>
      <c r="C828">
        <v>70001110</v>
      </c>
      <c r="D828" t="s">
        <v>1923</v>
      </c>
      <c r="E828" t="s">
        <v>1235</v>
      </c>
      <c r="F828" t="s">
        <v>334</v>
      </c>
      <c r="G828" t="s">
        <v>1242</v>
      </c>
      <c r="H828" s="1">
        <v>50000</v>
      </c>
      <c r="I828" t="s">
        <v>1936</v>
      </c>
      <c r="N828" s="4">
        <f t="shared" si="24"/>
        <v>70001110</v>
      </c>
      <c r="O828" t="str">
        <f t="shared" si="25"/>
        <v>P206D1SLSS</v>
      </c>
    </row>
    <row r="829" spans="2:15" x14ac:dyDescent="0.25">
      <c r="B829" t="s">
        <v>1227</v>
      </c>
      <c r="C829">
        <v>70107600</v>
      </c>
      <c r="D829" t="s">
        <v>1921</v>
      </c>
      <c r="E829" t="s">
        <v>1243</v>
      </c>
      <c r="F829" t="s">
        <v>126</v>
      </c>
      <c r="G829" t="s">
        <v>1244</v>
      </c>
      <c r="H829" s="1">
        <v>237500</v>
      </c>
      <c r="I829" t="s">
        <v>1966</v>
      </c>
      <c r="N829" s="4">
        <f t="shared" si="24"/>
        <v>70107600</v>
      </c>
      <c r="O829" t="str">
        <f t="shared" si="25"/>
        <v>R124D1HRDV</v>
      </c>
    </row>
    <row r="830" spans="2:15" x14ac:dyDescent="0.25">
      <c r="B830" t="s">
        <v>1227</v>
      </c>
      <c r="C830">
        <v>70110210</v>
      </c>
      <c r="D830" t="s">
        <v>2019</v>
      </c>
      <c r="E830" t="s">
        <v>1245</v>
      </c>
      <c r="F830" t="s">
        <v>1187</v>
      </c>
      <c r="G830" t="s">
        <v>1246</v>
      </c>
      <c r="H830" s="1">
        <v>975000</v>
      </c>
      <c r="I830" t="s">
        <v>1949</v>
      </c>
      <c r="N830" s="4">
        <f t="shared" si="24"/>
        <v>70110210</v>
      </c>
      <c r="O830" t="str">
        <f t="shared" si="25"/>
        <v>H200D1MMDP</v>
      </c>
    </row>
    <row r="831" spans="2:15" x14ac:dyDescent="0.25">
      <c r="B831" t="s">
        <v>1227</v>
      </c>
      <c r="C831">
        <v>70110210</v>
      </c>
      <c r="D831" t="s">
        <v>2019</v>
      </c>
      <c r="E831" t="s">
        <v>1247</v>
      </c>
      <c r="F831" t="s">
        <v>1187</v>
      </c>
      <c r="G831" t="s">
        <v>1248</v>
      </c>
      <c r="H831" s="1">
        <v>985000</v>
      </c>
      <c r="I831" t="s">
        <v>1949</v>
      </c>
      <c r="N831" s="4">
        <f t="shared" si="24"/>
        <v>70110210</v>
      </c>
      <c r="O831" t="str">
        <f t="shared" si="25"/>
        <v>H200D1MMDP</v>
      </c>
    </row>
    <row r="832" spans="2:15" x14ac:dyDescent="0.25">
      <c r="B832" t="s">
        <v>1227</v>
      </c>
      <c r="C832">
        <v>70107600</v>
      </c>
      <c r="D832" t="s">
        <v>1959</v>
      </c>
      <c r="E832" t="s">
        <v>1249</v>
      </c>
      <c r="F832" t="s">
        <v>126</v>
      </c>
      <c r="G832" t="s">
        <v>1250</v>
      </c>
      <c r="H832" s="1">
        <v>240000</v>
      </c>
      <c r="I832" t="s">
        <v>1966</v>
      </c>
      <c r="N832" s="4">
        <f t="shared" si="24"/>
        <v>70107600</v>
      </c>
      <c r="O832" t="str">
        <f t="shared" si="25"/>
        <v>R124QCA</v>
      </c>
    </row>
    <row r="833" spans="2:15" x14ac:dyDescent="0.25">
      <c r="B833" t="s">
        <v>1227</v>
      </c>
      <c r="C833">
        <v>70106400</v>
      </c>
      <c r="D833" t="s">
        <v>1943</v>
      </c>
      <c r="E833" t="s">
        <v>1251</v>
      </c>
      <c r="F833" t="s">
        <v>96</v>
      </c>
      <c r="G833" t="s">
        <v>1252</v>
      </c>
      <c r="H833" s="1">
        <v>650000</v>
      </c>
      <c r="I833" t="s">
        <v>1942</v>
      </c>
      <c r="N833" s="4">
        <f t="shared" si="24"/>
        <v>70106400</v>
      </c>
      <c r="O833" t="str">
        <f t="shared" si="25"/>
        <v>R124D1HRGA</v>
      </c>
    </row>
    <row r="834" spans="2:15" x14ac:dyDescent="0.25">
      <c r="B834" t="s">
        <v>1227</v>
      </c>
      <c r="C834">
        <v>70106100</v>
      </c>
      <c r="D834" t="s">
        <v>1943</v>
      </c>
      <c r="E834" t="s">
        <v>1251</v>
      </c>
      <c r="F834" t="s">
        <v>67</v>
      </c>
      <c r="G834" t="s">
        <v>98</v>
      </c>
      <c r="H834" s="1">
        <v>350000</v>
      </c>
      <c r="I834" t="s">
        <v>1942</v>
      </c>
      <c r="N834" s="4">
        <f t="shared" si="24"/>
        <v>70106100</v>
      </c>
      <c r="O834" t="str">
        <f t="shared" si="25"/>
        <v>R124D1HRGA</v>
      </c>
    </row>
    <row r="835" spans="2:15" x14ac:dyDescent="0.25">
      <c r="B835" t="s">
        <v>1227</v>
      </c>
      <c r="C835">
        <v>70107600</v>
      </c>
      <c r="D835" t="s">
        <v>1943</v>
      </c>
      <c r="E835" t="s">
        <v>1253</v>
      </c>
      <c r="F835" t="s">
        <v>126</v>
      </c>
      <c r="G835" t="s">
        <v>1254</v>
      </c>
      <c r="H835" s="1">
        <v>993960</v>
      </c>
      <c r="I835" t="s">
        <v>1920</v>
      </c>
      <c r="N835" s="4">
        <f t="shared" si="24"/>
        <v>70107600</v>
      </c>
      <c r="O835" t="str">
        <f t="shared" si="25"/>
        <v>R124D1HRGA</v>
      </c>
    </row>
    <row r="836" spans="2:15" x14ac:dyDescent="0.25">
      <c r="B836" t="s">
        <v>1227</v>
      </c>
      <c r="C836">
        <v>70001110</v>
      </c>
      <c r="D836" t="s">
        <v>1938</v>
      </c>
      <c r="E836" t="s">
        <v>1255</v>
      </c>
      <c r="F836" t="s">
        <v>334</v>
      </c>
      <c r="G836" t="s">
        <v>1256</v>
      </c>
      <c r="H836" s="1">
        <v>50000</v>
      </c>
      <c r="I836" t="s">
        <v>1941</v>
      </c>
      <c r="N836" s="4">
        <f t="shared" si="24"/>
        <v>70001110</v>
      </c>
      <c r="O836" t="str">
        <f t="shared" si="25"/>
        <v>M204D1COMM</v>
      </c>
    </row>
    <row r="837" spans="2:15" x14ac:dyDescent="0.25">
      <c r="B837" t="s">
        <v>1227</v>
      </c>
      <c r="C837">
        <v>70001110</v>
      </c>
      <c r="D837" t="s">
        <v>1938</v>
      </c>
      <c r="E837" t="s">
        <v>1257</v>
      </c>
      <c r="F837" t="s">
        <v>334</v>
      </c>
      <c r="G837" t="s">
        <v>1258</v>
      </c>
      <c r="H837" s="1">
        <v>50000</v>
      </c>
      <c r="I837" t="s">
        <v>1968</v>
      </c>
      <c r="N837" s="4">
        <f t="shared" si="24"/>
        <v>70001110</v>
      </c>
      <c r="O837" t="str">
        <f t="shared" si="25"/>
        <v>M204D1COMM</v>
      </c>
    </row>
    <row r="838" spans="2:15" x14ac:dyDescent="0.25">
      <c r="B838" t="s">
        <v>1227</v>
      </c>
      <c r="C838">
        <v>70001110</v>
      </c>
      <c r="D838" t="s">
        <v>1938</v>
      </c>
      <c r="E838" t="s">
        <v>1257</v>
      </c>
      <c r="F838" t="s">
        <v>334</v>
      </c>
      <c r="G838" t="s">
        <v>1259</v>
      </c>
      <c r="H838" s="1">
        <v>50000</v>
      </c>
      <c r="I838" t="s">
        <v>1968</v>
      </c>
      <c r="N838" s="4">
        <f t="shared" si="24"/>
        <v>70001110</v>
      </c>
      <c r="O838" t="str">
        <f t="shared" si="25"/>
        <v>M204D1COMM</v>
      </c>
    </row>
    <row r="839" spans="2:15" x14ac:dyDescent="0.25">
      <c r="B839" t="s">
        <v>1227</v>
      </c>
      <c r="C839">
        <v>70001110</v>
      </c>
      <c r="D839" t="s">
        <v>1938</v>
      </c>
      <c r="E839" t="s">
        <v>1257</v>
      </c>
      <c r="F839" t="s">
        <v>334</v>
      </c>
      <c r="G839" t="s">
        <v>1260</v>
      </c>
      <c r="H839" s="1">
        <v>50000</v>
      </c>
      <c r="I839" t="s">
        <v>1968</v>
      </c>
      <c r="N839" s="4">
        <f t="shared" si="24"/>
        <v>70001110</v>
      </c>
      <c r="O839" t="str">
        <f t="shared" si="25"/>
        <v>M204D1COMM</v>
      </c>
    </row>
    <row r="840" spans="2:15" x14ac:dyDescent="0.25">
      <c r="B840" t="s">
        <v>1227</v>
      </c>
      <c r="C840">
        <v>70001110</v>
      </c>
      <c r="D840" t="s">
        <v>1923</v>
      </c>
      <c r="E840" t="s">
        <v>1257</v>
      </c>
      <c r="F840" t="s">
        <v>334</v>
      </c>
      <c r="G840" t="s">
        <v>1261</v>
      </c>
      <c r="H840" s="1">
        <v>50000</v>
      </c>
      <c r="I840" t="s">
        <v>1968</v>
      </c>
      <c r="N840" s="4">
        <f t="shared" si="24"/>
        <v>70001110</v>
      </c>
      <c r="O840" t="str">
        <f t="shared" si="25"/>
        <v>P206D1SLSS</v>
      </c>
    </row>
    <row r="841" spans="2:15" x14ac:dyDescent="0.25">
      <c r="B841" t="s">
        <v>1227</v>
      </c>
      <c r="C841">
        <v>70001110</v>
      </c>
      <c r="D841" t="s">
        <v>1923</v>
      </c>
      <c r="E841" t="s">
        <v>1257</v>
      </c>
      <c r="F841" t="s">
        <v>334</v>
      </c>
      <c r="G841" t="s">
        <v>1262</v>
      </c>
      <c r="H841" s="1">
        <v>50000</v>
      </c>
      <c r="I841" t="s">
        <v>1968</v>
      </c>
      <c r="N841" s="4">
        <f t="shared" si="24"/>
        <v>70001110</v>
      </c>
      <c r="O841" t="str">
        <f t="shared" si="25"/>
        <v>P206D1SLSS</v>
      </c>
    </row>
    <row r="842" spans="2:15" x14ac:dyDescent="0.25">
      <c r="B842" t="s">
        <v>1227</v>
      </c>
      <c r="C842">
        <v>70001110</v>
      </c>
      <c r="D842" t="s">
        <v>1923</v>
      </c>
      <c r="E842" t="s">
        <v>1257</v>
      </c>
      <c r="F842" t="s">
        <v>334</v>
      </c>
      <c r="G842" t="s">
        <v>1263</v>
      </c>
      <c r="H842" s="1">
        <v>50000</v>
      </c>
      <c r="I842" t="s">
        <v>1968</v>
      </c>
      <c r="N842" s="4">
        <f t="shared" si="24"/>
        <v>70001110</v>
      </c>
      <c r="O842" t="str">
        <f t="shared" si="25"/>
        <v>P206D1SLSS</v>
      </c>
    </row>
    <row r="843" spans="2:15" x14ac:dyDescent="0.25">
      <c r="B843" t="s">
        <v>1227</v>
      </c>
      <c r="C843">
        <v>70001110</v>
      </c>
      <c r="D843" t="s">
        <v>1923</v>
      </c>
      <c r="E843" t="s">
        <v>1257</v>
      </c>
      <c r="F843" t="s">
        <v>334</v>
      </c>
      <c r="G843" t="s">
        <v>1264</v>
      </c>
      <c r="H843" s="1">
        <v>50000</v>
      </c>
      <c r="I843" t="s">
        <v>1968</v>
      </c>
      <c r="N843" s="4">
        <f t="shared" ref="N843:N906" si="26">+C843</f>
        <v>70001110</v>
      </c>
      <c r="O843" t="str">
        <f t="shared" ref="O843:O906" si="27">+D843</f>
        <v>P206D1SLSS</v>
      </c>
    </row>
    <row r="844" spans="2:15" x14ac:dyDescent="0.25">
      <c r="B844" t="s">
        <v>1227</v>
      </c>
      <c r="C844">
        <v>70001110</v>
      </c>
      <c r="D844" t="s">
        <v>1924</v>
      </c>
      <c r="E844" t="s">
        <v>1257</v>
      </c>
      <c r="F844" t="s">
        <v>334</v>
      </c>
      <c r="G844" t="s">
        <v>1265</v>
      </c>
      <c r="H844" s="1">
        <v>50000</v>
      </c>
      <c r="I844" t="s">
        <v>1968</v>
      </c>
      <c r="N844" s="4">
        <f t="shared" si="26"/>
        <v>70001110</v>
      </c>
      <c r="O844" t="str">
        <f t="shared" si="27"/>
        <v>C206D1SLSS</v>
      </c>
    </row>
    <row r="845" spans="2:15" x14ac:dyDescent="0.25">
      <c r="B845" t="s">
        <v>1227</v>
      </c>
      <c r="C845">
        <v>70001110</v>
      </c>
      <c r="D845" t="s">
        <v>1923</v>
      </c>
      <c r="E845" t="s">
        <v>1257</v>
      </c>
      <c r="F845" t="s">
        <v>334</v>
      </c>
      <c r="G845" t="s">
        <v>1266</v>
      </c>
      <c r="H845" s="1">
        <v>50000</v>
      </c>
      <c r="I845" t="s">
        <v>1968</v>
      </c>
      <c r="N845" s="4">
        <f t="shared" si="26"/>
        <v>70001110</v>
      </c>
      <c r="O845" t="str">
        <f t="shared" si="27"/>
        <v>P206D1SLSS</v>
      </c>
    </row>
    <row r="846" spans="2:15" x14ac:dyDescent="0.25">
      <c r="B846" t="s">
        <v>1227</v>
      </c>
      <c r="C846">
        <v>70001110</v>
      </c>
      <c r="D846" t="s">
        <v>1923</v>
      </c>
      <c r="E846" t="s">
        <v>1257</v>
      </c>
      <c r="F846" t="s">
        <v>334</v>
      </c>
      <c r="G846" t="s">
        <v>1267</v>
      </c>
      <c r="H846" s="1">
        <v>50000</v>
      </c>
      <c r="I846" t="s">
        <v>1968</v>
      </c>
      <c r="N846" s="4">
        <f t="shared" si="26"/>
        <v>70001110</v>
      </c>
      <c r="O846" t="str">
        <f t="shared" si="27"/>
        <v>P206D1SLSS</v>
      </c>
    </row>
    <row r="847" spans="2:15" x14ac:dyDescent="0.25">
      <c r="B847" t="s">
        <v>1227</v>
      </c>
      <c r="C847">
        <v>70001110</v>
      </c>
      <c r="D847" t="s">
        <v>1938</v>
      </c>
      <c r="E847" t="s">
        <v>1257</v>
      </c>
      <c r="F847" t="s">
        <v>334</v>
      </c>
      <c r="G847" t="s">
        <v>1268</v>
      </c>
      <c r="H847" s="1">
        <v>50000</v>
      </c>
      <c r="I847" t="s">
        <v>1968</v>
      </c>
      <c r="N847" s="4">
        <f t="shared" si="26"/>
        <v>70001110</v>
      </c>
      <c r="O847" t="str">
        <f t="shared" si="27"/>
        <v>M204D1COMM</v>
      </c>
    </row>
    <row r="848" spans="2:15" x14ac:dyDescent="0.25">
      <c r="B848" t="s">
        <v>1227</v>
      </c>
      <c r="C848">
        <v>70001110</v>
      </c>
      <c r="D848" t="s">
        <v>1923</v>
      </c>
      <c r="E848" t="s">
        <v>1257</v>
      </c>
      <c r="F848" t="s">
        <v>334</v>
      </c>
      <c r="G848" t="s">
        <v>1269</v>
      </c>
      <c r="H848" s="1">
        <v>50000</v>
      </c>
      <c r="I848" t="s">
        <v>1968</v>
      </c>
      <c r="N848" s="4">
        <f t="shared" si="26"/>
        <v>70001110</v>
      </c>
      <c r="O848" t="str">
        <f t="shared" si="27"/>
        <v>P206D1SLSS</v>
      </c>
    </row>
    <row r="849" spans="2:15" x14ac:dyDescent="0.25">
      <c r="B849" t="s">
        <v>1227</v>
      </c>
      <c r="C849">
        <v>70001110</v>
      </c>
      <c r="D849" t="s">
        <v>1923</v>
      </c>
      <c r="E849" t="s">
        <v>1257</v>
      </c>
      <c r="F849" t="s">
        <v>334</v>
      </c>
      <c r="G849" t="s">
        <v>1270</v>
      </c>
      <c r="H849" s="1">
        <v>50000</v>
      </c>
      <c r="I849" t="s">
        <v>1968</v>
      </c>
      <c r="N849" s="4">
        <f t="shared" si="26"/>
        <v>70001110</v>
      </c>
      <c r="O849" t="str">
        <f t="shared" si="27"/>
        <v>P206D1SLSS</v>
      </c>
    </row>
    <row r="850" spans="2:15" x14ac:dyDescent="0.25">
      <c r="B850" t="s">
        <v>1227</v>
      </c>
      <c r="C850">
        <v>70001110</v>
      </c>
      <c r="D850" t="s">
        <v>1924</v>
      </c>
      <c r="E850" t="s">
        <v>1257</v>
      </c>
      <c r="F850" t="s">
        <v>334</v>
      </c>
      <c r="G850" t="s">
        <v>1270</v>
      </c>
      <c r="H850" s="1">
        <v>50000</v>
      </c>
      <c r="I850" t="s">
        <v>1968</v>
      </c>
      <c r="N850" s="4">
        <f t="shared" si="26"/>
        <v>70001110</v>
      </c>
      <c r="O850" t="str">
        <f t="shared" si="27"/>
        <v>C206D1SLSS</v>
      </c>
    </row>
    <row r="851" spans="2:15" x14ac:dyDescent="0.25">
      <c r="B851" t="s">
        <v>1227</v>
      </c>
      <c r="C851">
        <v>70001110</v>
      </c>
      <c r="D851" t="s">
        <v>1924</v>
      </c>
      <c r="E851" t="s">
        <v>1257</v>
      </c>
      <c r="F851" t="s">
        <v>334</v>
      </c>
      <c r="G851" t="s">
        <v>1270</v>
      </c>
      <c r="H851" s="1">
        <v>50000</v>
      </c>
      <c r="I851" t="s">
        <v>1968</v>
      </c>
      <c r="N851" s="4">
        <f t="shared" si="26"/>
        <v>70001110</v>
      </c>
      <c r="O851" t="str">
        <f t="shared" si="27"/>
        <v>C206D1SLSS</v>
      </c>
    </row>
    <row r="852" spans="2:15" x14ac:dyDescent="0.25">
      <c r="B852" t="s">
        <v>1227</v>
      </c>
      <c r="C852">
        <v>70001110</v>
      </c>
      <c r="D852" t="s">
        <v>1924</v>
      </c>
      <c r="E852" t="s">
        <v>1257</v>
      </c>
      <c r="F852" t="s">
        <v>334</v>
      </c>
      <c r="G852" t="s">
        <v>1270</v>
      </c>
      <c r="H852" s="1">
        <v>50000</v>
      </c>
      <c r="I852" t="s">
        <v>1968</v>
      </c>
      <c r="N852" s="4">
        <f t="shared" si="26"/>
        <v>70001110</v>
      </c>
      <c r="O852" t="str">
        <f t="shared" si="27"/>
        <v>C206D1SLSS</v>
      </c>
    </row>
    <row r="853" spans="2:15" x14ac:dyDescent="0.25">
      <c r="B853" t="s">
        <v>1227</v>
      </c>
      <c r="C853">
        <v>70001110</v>
      </c>
      <c r="D853" t="s">
        <v>1924</v>
      </c>
      <c r="E853" t="s">
        <v>1257</v>
      </c>
      <c r="F853" t="s">
        <v>334</v>
      </c>
      <c r="G853" t="s">
        <v>1270</v>
      </c>
      <c r="H853" s="1">
        <v>50000</v>
      </c>
      <c r="I853" t="s">
        <v>1968</v>
      </c>
      <c r="N853" s="4">
        <f t="shared" si="26"/>
        <v>70001110</v>
      </c>
      <c r="O853" t="str">
        <f t="shared" si="27"/>
        <v>C206D1SLSS</v>
      </c>
    </row>
    <row r="854" spans="2:15" x14ac:dyDescent="0.25">
      <c r="B854" t="s">
        <v>1227</v>
      </c>
      <c r="C854">
        <v>70001110</v>
      </c>
      <c r="D854" t="s">
        <v>1924</v>
      </c>
      <c r="E854" t="s">
        <v>1257</v>
      </c>
      <c r="F854" t="s">
        <v>334</v>
      </c>
      <c r="G854" t="s">
        <v>1270</v>
      </c>
      <c r="H854" s="1">
        <v>50000</v>
      </c>
      <c r="I854" t="s">
        <v>1968</v>
      </c>
      <c r="N854" s="4">
        <f t="shared" si="26"/>
        <v>70001110</v>
      </c>
      <c r="O854" t="str">
        <f t="shared" si="27"/>
        <v>C206D1SLSS</v>
      </c>
    </row>
    <row r="855" spans="2:15" x14ac:dyDescent="0.25">
      <c r="B855" t="s">
        <v>1227</v>
      </c>
      <c r="C855">
        <v>70001110</v>
      </c>
      <c r="D855" t="s">
        <v>1923</v>
      </c>
      <c r="E855" t="s">
        <v>1257</v>
      </c>
      <c r="F855" t="s">
        <v>334</v>
      </c>
      <c r="G855" t="s">
        <v>1271</v>
      </c>
      <c r="H855" s="1">
        <v>50000</v>
      </c>
      <c r="I855" t="s">
        <v>1968</v>
      </c>
      <c r="N855" s="4">
        <f t="shared" si="26"/>
        <v>70001110</v>
      </c>
      <c r="O855" t="str">
        <f t="shared" si="27"/>
        <v>P206D1SLSS</v>
      </c>
    </row>
    <row r="856" spans="2:15" x14ac:dyDescent="0.25">
      <c r="B856" t="s">
        <v>1227</v>
      </c>
      <c r="C856">
        <v>70001110</v>
      </c>
      <c r="D856" t="s">
        <v>1923</v>
      </c>
      <c r="E856" t="s">
        <v>1257</v>
      </c>
      <c r="F856" t="s">
        <v>334</v>
      </c>
      <c r="G856" t="s">
        <v>1272</v>
      </c>
      <c r="H856" s="1">
        <v>50000</v>
      </c>
      <c r="I856" t="s">
        <v>1968</v>
      </c>
      <c r="N856" s="4">
        <f t="shared" si="26"/>
        <v>70001110</v>
      </c>
      <c r="O856" t="str">
        <f t="shared" si="27"/>
        <v>P206D1SLSS</v>
      </c>
    </row>
    <row r="857" spans="2:15" x14ac:dyDescent="0.25">
      <c r="B857" t="s">
        <v>1227</v>
      </c>
      <c r="C857">
        <v>70001110</v>
      </c>
      <c r="D857" t="s">
        <v>1923</v>
      </c>
      <c r="E857" t="s">
        <v>1273</v>
      </c>
      <c r="F857" t="s">
        <v>334</v>
      </c>
      <c r="G857" t="s">
        <v>1274</v>
      </c>
      <c r="H857" s="1">
        <v>50000</v>
      </c>
      <c r="I857" t="s">
        <v>2021</v>
      </c>
      <c r="N857" s="4">
        <f t="shared" si="26"/>
        <v>70001110</v>
      </c>
      <c r="O857" t="str">
        <f t="shared" si="27"/>
        <v>P206D1SLSS</v>
      </c>
    </row>
    <row r="858" spans="2:15" x14ac:dyDescent="0.25">
      <c r="B858" t="s">
        <v>1227</v>
      </c>
      <c r="C858">
        <v>70001110</v>
      </c>
      <c r="D858" t="s">
        <v>1923</v>
      </c>
      <c r="E858" t="s">
        <v>1273</v>
      </c>
      <c r="F858" t="s">
        <v>334</v>
      </c>
      <c r="G858" t="s">
        <v>1275</v>
      </c>
      <c r="H858" s="1">
        <v>50000</v>
      </c>
      <c r="I858" t="s">
        <v>2021</v>
      </c>
      <c r="N858" s="4">
        <f t="shared" si="26"/>
        <v>70001110</v>
      </c>
      <c r="O858" t="str">
        <f t="shared" si="27"/>
        <v>P206D1SLSS</v>
      </c>
    </row>
    <row r="859" spans="2:15" x14ac:dyDescent="0.25">
      <c r="B859" t="s">
        <v>1227</v>
      </c>
      <c r="C859">
        <v>70001110</v>
      </c>
      <c r="D859" t="s">
        <v>1923</v>
      </c>
      <c r="E859" t="s">
        <v>1273</v>
      </c>
      <c r="F859" t="s">
        <v>334</v>
      </c>
      <c r="G859" t="s">
        <v>1276</v>
      </c>
      <c r="H859" s="1">
        <v>50000</v>
      </c>
      <c r="I859" t="s">
        <v>2021</v>
      </c>
      <c r="N859" s="4">
        <f t="shared" si="26"/>
        <v>70001110</v>
      </c>
      <c r="O859" t="str">
        <f t="shared" si="27"/>
        <v>P206D1SLSS</v>
      </c>
    </row>
    <row r="860" spans="2:15" x14ac:dyDescent="0.25">
      <c r="B860" t="s">
        <v>1227</v>
      </c>
      <c r="C860">
        <v>70001110</v>
      </c>
      <c r="D860" t="s">
        <v>1923</v>
      </c>
      <c r="E860" t="s">
        <v>1273</v>
      </c>
      <c r="F860" t="s">
        <v>334</v>
      </c>
      <c r="G860" t="s">
        <v>1277</v>
      </c>
      <c r="H860" s="1">
        <v>50000</v>
      </c>
      <c r="I860" t="s">
        <v>2021</v>
      </c>
      <c r="N860" s="4">
        <f t="shared" si="26"/>
        <v>70001110</v>
      </c>
      <c r="O860" t="str">
        <f t="shared" si="27"/>
        <v>P206D1SLSS</v>
      </c>
    </row>
    <row r="861" spans="2:15" x14ac:dyDescent="0.25">
      <c r="B861" t="s">
        <v>1227</v>
      </c>
      <c r="C861">
        <v>70001110</v>
      </c>
      <c r="D861" t="s">
        <v>1923</v>
      </c>
      <c r="E861" t="s">
        <v>1273</v>
      </c>
      <c r="F861" t="s">
        <v>334</v>
      </c>
      <c r="G861" t="s">
        <v>1278</v>
      </c>
      <c r="H861" s="1">
        <v>50000</v>
      </c>
      <c r="I861" t="s">
        <v>2021</v>
      </c>
      <c r="N861" s="4">
        <f t="shared" si="26"/>
        <v>70001110</v>
      </c>
      <c r="O861" t="str">
        <f t="shared" si="27"/>
        <v>P206D1SLSS</v>
      </c>
    </row>
    <row r="862" spans="2:15" x14ac:dyDescent="0.25">
      <c r="B862" t="s">
        <v>1227</v>
      </c>
      <c r="C862">
        <v>70001110</v>
      </c>
      <c r="D862" t="s">
        <v>1923</v>
      </c>
      <c r="E862" t="s">
        <v>1273</v>
      </c>
      <c r="F862" t="s">
        <v>334</v>
      </c>
      <c r="G862" t="s">
        <v>1279</v>
      </c>
      <c r="H862" s="1">
        <v>50000</v>
      </c>
      <c r="I862" t="s">
        <v>2021</v>
      </c>
      <c r="N862" s="4">
        <f t="shared" si="26"/>
        <v>70001110</v>
      </c>
      <c r="O862" t="str">
        <f t="shared" si="27"/>
        <v>P206D1SLSS</v>
      </c>
    </row>
    <row r="863" spans="2:15" x14ac:dyDescent="0.25">
      <c r="B863" t="s">
        <v>1227</v>
      </c>
      <c r="C863">
        <v>70001110</v>
      </c>
      <c r="D863" t="s">
        <v>1923</v>
      </c>
      <c r="E863" t="s">
        <v>1273</v>
      </c>
      <c r="F863" t="s">
        <v>334</v>
      </c>
      <c r="G863" t="s">
        <v>1280</v>
      </c>
      <c r="H863" s="1">
        <v>50000</v>
      </c>
      <c r="I863" t="s">
        <v>2021</v>
      </c>
      <c r="N863" s="4">
        <f t="shared" si="26"/>
        <v>70001110</v>
      </c>
      <c r="O863" t="str">
        <f t="shared" si="27"/>
        <v>P206D1SLSS</v>
      </c>
    </row>
    <row r="864" spans="2:15" x14ac:dyDescent="0.25">
      <c r="B864" t="s">
        <v>1227</v>
      </c>
      <c r="C864">
        <v>70001110</v>
      </c>
      <c r="D864" t="s">
        <v>1923</v>
      </c>
      <c r="E864" t="s">
        <v>1273</v>
      </c>
      <c r="F864" t="s">
        <v>334</v>
      </c>
      <c r="G864" t="s">
        <v>1281</v>
      </c>
      <c r="H864" s="1">
        <v>50000</v>
      </c>
      <c r="I864" t="s">
        <v>2021</v>
      </c>
      <c r="N864" s="4">
        <f t="shared" si="26"/>
        <v>70001110</v>
      </c>
      <c r="O864" t="str">
        <f t="shared" si="27"/>
        <v>P206D1SLSS</v>
      </c>
    </row>
    <row r="865" spans="2:15" x14ac:dyDescent="0.25">
      <c r="B865" t="s">
        <v>1227</v>
      </c>
      <c r="C865">
        <v>70001110</v>
      </c>
      <c r="D865" t="s">
        <v>1923</v>
      </c>
      <c r="E865" t="s">
        <v>1273</v>
      </c>
      <c r="F865" t="s">
        <v>334</v>
      </c>
      <c r="G865" t="s">
        <v>1282</v>
      </c>
      <c r="H865" s="1">
        <v>50000</v>
      </c>
      <c r="I865" t="s">
        <v>2021</v>
      </c>
      <c r="N865" s="4">
        <f t="shared" si="26"/>
        <v>70001110</v>
      </c>
      <c r="O865" t="str">
        <f t="shared" si="27"/>
        <v>P206D1SLSS</v>
      </c>
    </row>
    <row r="866" spans="2:15" x14ac:dyDescent="0.25">
      <c r="B866" t="s">
        <v>1227</v>
      </c>
      <c r="C866">
        <v>70001110</v>
      </c>
      <c r="D866" t="s">
        <v>1938</v>
      </c>
      <c r="E866" t="s">
        <v>1273</v>
      </c>
      <c r="F866" t="s">
        <v>334</v>
      </c>
      <c r="G866" t="s">
        <v>1283</v>
      </c>
      <c r="H866" s="1">
        <v>2000</v>
      </c>
      <c r="I866" t="s">
        <v>2021</v>
      </c>
      <c r="N866" s="4">
        <f t="shared" si="26"/>
        <v>70001110</v>
      </c>
      <c r="O866" t="str">
        <f t="shared" si="27"/>
        <v>M204D1COMM</v>
      </c>
    </row>
    <row r="867" spans="2:15" x14ac:dyDescent="0.25">
      <c r="B867" t="s">
        <v>1227</v>
      </c>
      <c r="C867">
        <v>70106100</v>
      </c>
      <c r="D867" t="s">
        <v>2014</v>
      </c>
      <c r="E867" t="s">
        <v>1284</v>
      </c>
      <c r="F867" t="s">
        <v>67</v>
      </c>
      <c r="G867" t="s">
        <v>1285</v>
      </c>
      <c r="H867" s="1">
        <v>954000</v>
      </c>
      <c r="I867" t="s">
        <v>1976</v>
      </c>
      <c r="N867" s="4">
        <f t="shared" si="26"/>
        <v>70106100</v>
      </c>
      <c r="O867" t="str">
        <f t="shared" si="27"/>
        <v>R124BLR</v>
      </c>
    </row>
    <row r="868" spans="2:15" x14ac:dyDescent="0.25">
      <c r="B868" t="s">
        <v>1227</v>
      </c>
      <c r="C868">
        <v>70101102</v>
      </c>
      <c r="D868" t="s">
        <v>1943</v>
      </c>
      <c r="E868" t="s">
        <v>1286</v>
      </c>
      <c r="F868" t="s">
        <v>129</v>
      </c>
      <c r="G868" t="s">
        <v>1287</v>
      </c>
      <c r="H868" s="1">
        <v>945000</v>
      </c>
      <c r="I868" t="s">
        <v>1949</v>
      </c>
      <c r="N868" s="4">
        <f t="shared" si="26"/>
        <v>70101102</v>
      </c>
      <c r="O868" t="str">
        <f t="shared" si="27"/>
        <v>R124D1HRGA</v>
      </c>
    </row>
    <row r="869" spans="2:15" x14ac:dyDescent="0.25">
      <c r="B869" t="s">
        <v>1227</v>
      </c>
      <c r="C869">
        <v>70101114</v>
      </c>
      <c r="D869" t="s">
        <v>1951</v>
      </c>
      <c r="E869" t="s">
        <v>1288</v>
      </c>
      <c r="F869" t="s">
        <v>59</v>
      </c>
      <c r="G869" t="s">
        <v>1289</v>
      </c>
      <c r="H869" s="1">
        <v>443000</v>
      </c>
      <c r="I869" t="s">
        <v>1994</v>
      </c>
      <c r="N869" s="4">
        <f t="shared" si="26"/>
        <v>70101114</v>
      </c>
      <c r="O869" t="str">
        <f t="shared" si="27"/>
        <v>R124REF</v>
      </c>
    </row>
    <row r="870" spans="2:15" x14ac:dyDescent="0.25">
      <c r="B870" t="s">
        <v>1227</v>
      </c>
      <c r="C870">
        <v>70119300</v>
      </c>
      <c r="D870" t="s">
        <v>1923</v>
      </c>
      <c r="E870" t="s">
        <v>1290</v>
      </c>
      <c r="F870" t="s">
        <v>259</v>
      </c>
      <c r="G870" t="s">
        <v>1291</v>
      </c>
      <c r="H870" s="1">
        <v>1000000</v>
      </c>
      <c r="I870" t="s">
        <v>1941</v>
      </c>
      <c r="N870" s="4">
        <f t="shared" si="26"/>
        <v>70119300</v>
      </c>
      <c r="O870" t="str">
        <f t="shared" si="27"/>
        <v>P206D1SLSS</v>
      </c>
    </row>
    <row r="871" spans="2:15" x14ac:dyDescent="0.25">
      <c r="B871" t="s">
        <v>1227</v>
      </c>
      <c r="C871">
        <v>70106400</v>
      </c>
      <c r="D871" t="s">
        <v>1943</v>
      </c>
      <c r="E871" t="s">
        <v>1292</v>
      </c>
      <c r="F871" t="s">
        <v>96</v>
      </c>
      <c r="G871" t="s">
        <v>1293</v>
      </c>
      <c r="H871" s="1">
        <v>490000</v>
      </c>
      <c r="I871" t="s">
        <v>1942</v>
      </c>
      <c r="N871" s="4">
        <f t="shared" si="26"/>
        <v>70106400</v>
      </c>
      <c r="O871" t="str">
        <f t="shared" si="27"/>
        <v>R124D1HRGA</v>
      </c>
    </row>
    <row r="872" spans="2:15" x14ac:dyDescent="0.25">
      <c r="B872" t="s">
        <v>1227</v>
      </c>
      <c r="C872">
        <v>70106100</v>
      </c>
      <c r="D872" t="s">
        <v>1943</v>
      </c>
      <c r="E872" t="s">
        <v>1292</v>
      </c>
      <c r="F872" t="s">
        <v>67</v>
      </c>
      <c r="G872" t="s">
        <v>98</v>
      </c>
      <c r="H872" s="1">
        <v>509500</v>
      </c>
      <c r="I872" t="s">
        <v>1942</v>
      </c>
      <c r="N872" s="4">
        <f t="shared" si="26"/>
        <v>70106100</v>
      </c>
      <c r="O872" t="str">
        <f t="shared" si="27"/>
        <v>R124D1HRGA</v>
      </c>
    </row>
    <row r="873" spans="2:15" x14ac:dyDescent="0.25">
      <c r="B873" t="s">
        <v>1227</v>
      </c>
      <c r="C873">
        <v>70106100</v>
      </c>
      <c r="D873" t="s">
        <v>1923</v>
      </c>
      <c r="E873" t="s">
        <v>1294</v>
      </c>
      <c r="F873" t="s">
        <v>67</v>
      </c>
      <c r="G873" t="s">
        <v>1295</v>
      </c>
      <c r="H873" s="1">
        <v>176000</v>
      </c>
      <c r="I873" t="s">
        <v>2009</v>
      </c>
      <c r="N873" s="4">
        <f t="shared" si="26"/>
        <v>70106100</v>
      </c>
      <c r="O873" t="str">
        <f t="shared" si="27"/>
        <v>P206D1SLSS</v>
      </c>
    </row>
    <row r="874" spans="2:15" x14ac:dyDescent="0.25">
      <c r="B874" t="s">
        <v>1227</v>
      </c>
      <c r="C874">
        <v>70106400</v>
      </c>
      <c r="D874" t="s">
        <v>1943</v>
      </c>
      <c r="E874" t="s">
        <v>1296</v>
      </c>
      <c r="F874" t="s">
        <v>96</v>
      </c>
      <c r="G874" t="s">
        <v>1297</v>
      </c>
      <c r="H874" s="1">
        <v>790000</v>
      </c>
      <c r="I874" t="s">
        <v>1942</v>
      </c>
      <c r="N874" s="4">
        <f t="shared" si="26"/>
        <v>70106400</v>
      </c>
      <c r="O874" t="str">
        <f t="shared" si="27"/>
        <v>R124D1HRGA</v>
      </c>
    </row>
    <row r="875" spans="2:15" x14ac:dyDescent="0.25">
      <c r="B875" t="s">
        <v>1227</v>
      </c>
      <c r="C875">
        <v>70106100</v>
      </c>
      <c r="D875" t="s">
        <v>1943</v>
      </c>
      <c r="E875" t="s">
        <v>1296</v>
      </c>
      <c r="F875" t="s">
        <v>67</v>
      </c>
      <c r="G875" t="s">
        <v>98</v>
      </c>
      <c r="H875" s="1">
        <v>210000</v>
      </c>
      <c r="I875" t="s">
        <v>1942</v>
      </c>
      <c r="N875" s="4">
        <f t="shared" si="26"/>
        <v>70106100</v>
      </c>
      <c r="O875" t="str">
        <f t="shared" si="27"/>
        <v>R124D1HRGA</v>
      </c>
    </row>
    <row r="876" spans="2:15" x14ac:dyDescent="0.25">
      <c r="B876" t="s">
        <v>1227</v>
      </c>
      <c r="C876">
        <v>70101114</v>
      </c>
      <c r="D876" t="s">
        <v>1959</v>
      </c>
      <c r="E876" t="s">
        <v>1298</v>
      </c>
      <c r="F876" t="s">
        <v>59</v>
      </c>
      <c r="G876" t="s">
        <v>1299</v>
      </c>
      <c r="H876" s="1">
        <v>715000</v>
      </c>
      <c r="I876" t="s">
        <v>1958</v>
      </c>
      <c r="N876" s="4">
        <f t="shared" si="26"/>
        <v>70101114</v>
      </c>
      <c r="O876" t="str">
        <f t="shared" si="27"/>
        <v>R124QCA</v>
      </c>
    </row>
    <row r="877" spans="2:15" x14ac:dyDescent="0.25">
      <c r="B877" t="s">
        <v>1227</v>
      </c>
      <c r="C877">
        <v>70115100</v>
      </c>
      <c r="D877" t="s">
        <v>1959</v>
      </c>
      <c r="E877" t="s">
        <v>1298</v>
      </c>
      <c r="F877" t="s">
        <v>146</v>
      </c>
      <c r="G877" t="s">
        <v>1300</v>
      </c>
      <c r="H877" s="1">
        <v>22000</v>
      </c>
      <c r="I877" t="s">
        <v>1958</v>
      </c>
      <c r="N877" s="4">
        <f t="shared" si="26"/>
        <v>70115100</v>
      </c>
      <c r="O877" t="str">
        <f t="shared" si="27"/>
        <v>R124QCA</v>
      </c>
    </row>
    <row r="878" spans="2:15" x14ac:dyDescent="0.25">
      <c r="B878" t="s">
        <v>1227</v>
      </c>
      <c r="C878">
        <v>70101202</v>
      </c>
      <c r="D878" t="s">
        <v>2013</v>
      </c>
      <c r="E878" t="s">
        <v>1301</v>
      </c>
      <c r="F878" t="s">
        <v>57</v>
      </c>
      <c r="G878" t="s">
        <v>1302</v>
      </c>
      <c r="H878" s="1">
        <v>188500</v>
      </c>
      <c r="I878" t="s">
        <v>1952</v>
      </c>
      <c r="N878" s="4">
        <f t="shared" si="26"/>
        <v>70101202</v>
      </c>
      <c r="O878" t="str">
        <f t="shared" si="27"/>
        <v>R124FRA3</v>
      </c>
    </row>
    <row r="879" spans="2:15" x14ac:dyDescent="0.25">
      <c r="B879" t="s">
        <v>1227</v>
      </c>
      <c r="C879">
        <v>70108110</v>
      </c>
      <c r="D879" t="s">
        <v>1930</v>
      </c>
      <c r="E879" t="s">
        <v>1303</v>
      </c>
      <c r="F879" t="s">
        <v>64</v>
      </c>
      <c r="G879" t="s">
        <v>1304</v>
      </c>
      <c r="H879" s="1">
        <v>180000</v>
      </c>
      <c r="I879" t="s">
        <v>1996</v>
      </c>
      <c r="N879" s="4">
        <f t="shared" si="26"/>
        <v>70108110</v>
      </c>
      <c r="O879" t="str">
        <f t="shared" si="27"/>
        <v>R124QMR</v>
      </c>
    </row>
    <row r="880" spans="2:15" x14ac:dyDescent="0.25">
      <c r="B880" t="s">
        <v>1227</v>
      </c>
      <c r="C880">
        <v>70119300</v>
      </c>
      <c r="D880" t="s">
        <v>2023</v>
      </c>
      <c r="E880" t="s">
        <v>1305</v>
      </c>
      <c r="F880" t="s">
        <v>259</v>
      </c>
      <c r="G880" t="s">
        <v>1306</v>
      </c>
      <c r="H880" s="1">
        <v>385000</v>
      </c>
      <c r="I880" t="s">
        <v>2022</v>
      </c>
      <c r="N880" s="4">
        <f t="shared" si="26"/>
        <v>70119300</v>
      </c>
      <c r="O880" t="str">
        <f t="shared" si="27"/>
        <v>R124D1TPDU</v>
      </c>
    </row>
    <row r="881" spans="2:15" x14ac:dyDescent="0.25">
      <c r="B881" t="s">
        <v>1227</v>
      </c>
      <c r="C881">
        <v>70001110</v>
      </c>
      <c r="D881" t="s">
        <v>1923</v>
      </c>
      <c r="E881" t="s">
        <v>1307</v>
      </c>
      <c r="F881" t="s">
        <v>334</v>
      </c>
      <c r="G881" t="s">
        <v>1308</v>
      </c>
      <c r="H881" s="1">
        <v>50000</v>
      </c>
      <c r="I881" t="s">
        <v>1947</v>
      </c>
      <c r="N881" s="4">
        <f t="shared" si="26"/>
        <v>70001110</v>
      </c>
      <c r="O881" t="str">
        <f t="shared" si="27"/>
        <v>P206D1SLSS</v>
      </c>
    </row>
    <row r="882" spans="2:15" x14ac:dyDescent="0.25">
      <c r="B882" t="s">
        <v>1227</v>
      </c>
      <c r="C882">
        <v>70001110</v>
      </c>
      <c r="D882" t="s">
        <v>1923</v>
      </c>
      <c r="E882" t="s">
        <v>1307</v>
      </c>
      <c r="F882" t="s">
        <v>334</v>
      </c>
      <c r="G882" t="s">
        <v>1309</v>
      </c>
      <c r="H882" s="1">
        <v>50000</v>
      </c>
      <c r="I882" t="s">
        <v>1947</v>
      </c>
      <c r="N882" s="4">
        <f t="shared" si="26"/>
        <v>70001110</v>
      </c>
      <c r="O882" t="str">
        <f t="shared" si="27"/>
        <v>P206D1SLSS</v>
      </c>
    </row>
    <row r="883" spans="2:15" x14ac:dyDescent="0.25">
      <c r="B883" t="s">
        <v>1227</v>
      </c>
      <c r="C883">
        <v>70001110</v>
      </c>
      <c r="D883" t="s">
        <v>1923</v>
      </c>
      <c r="E883" t="s">
        <v>1307</v>
      </c>
      <c r="F883" t="s">
        <v>334</v>
      </c>
      <c r="G883" t="s">
        <v>1310</v>
      </c>
      <c r="H883" s="1">
        <v>50000</v>
      </c>
      <c r="I883" t="s">
        <v>1947</v>
      </c>
      <c r="N883" s="4">
        <f t="shared" si="26"/>
        <v>70001110</v>
      </c>
      <c r="O883" t="str">
        <f t="shared" si="27"/>
        <v>P206D1SLSS</v>
      </c>
    </row>
    <row r="884" spans="2:15" x14ac:dyDescent="0.25">
      <c r="B884" t="s">
        <v>1227</v>
      </c>
      <c r="C884">
        <v>70107600</v>
      </c>
      <c r="D884" t="s">
        <v>1926</v>
      </c>
      <c r="E884" t="s">
        <v>1311</v>
      </c>
      <c r="F884" t="s">
        <v>126</v>
      </c>
      <c r="G884" t="s">
        <v>1312</v>
      </c>
      <c r="H884" s="1">
        <v>992050</v>
      </c>
      <c r="I884" t="s">
        <v>1925</v>
      </c>
      <c r="N884" s="4">
        <f t="shared" si="26"/>
        <v>70107600</v>
      </c>
      <c r="O884" t="str">
        <f t="shared" si="27"/>
        <v>R124NSS</v>
      </c>
    </row>
    <row r="885" spans="2:15" x14ac:dyDescent="0.25">
      <c r="B885" t="s">
        <v>1227</v>
      </c>
      <c r="C885">
        <v>70107300</v>
      </c>
      <c r="D885" t="s">
        <v>1921</v>
      </c>
      <c r="E885" t="s">
        <v>1313</v>
      </c>
      <c r="F885" t="s">
        <v>41</v>
      </c>
      <c r="G885" t="s">
        <v>1314</v>
      </c>
      <c r="H885" s="1">
        <v>500000</v>
      </c>
      <c r="I885" t="s">
        <v>1920</v>
      </c>
      <c r="N885" s="4">
        <f t="shared" si="26"/>
        <v>70107300</v>
      </c>
      <c r="O885" t="str">
        <f t="shared" si="27"/>
        <v>R124D1HRDV</v>
      </c>
    </row>
    <row r="886" spans="2:15" x14ac:dyDescent="0.25">
      <c r="B886" t="s">
        <v>1227</v>
      </c>
      <c r="C886">
        <v>70106100</v>
      </c>
      <c r="D886" t="s">
        <v>1923</v>
      </c>
      <c r="E886" t="s">
        <v>1315</v>
      </c>
      <c r="F886" t="s">
        <v>67</v>
      </c>
      <c r="G886" t="s">
        <v>1316</v>
      </c>
      <c r="H886" s="1">
        <v>256000</v>
      </c>
      <c r="I886" t="s">
        <v>1931</v>
      </c>
      <c r="N886" s="4">
        <f t="shared" si="26"/>
        <v>70106100</v>
      </c>
      <c r="O886" t="str">
        <f t="shared" si="27"/>
        <v>P206D1SLSS</v>
      </c>
    </row>
    <row r="887" spans="2:15" x14ac:dyDescent="0.25">
      <c r="B887" t="s">
        <v>1227</v>
      </c>
      <c r="C887">
        <v>70108110</v>
      </c>
      <c r="D887" t="s">
        <v>1923</v>
      </c>
      <c r="E887" t="s">
        <v>1315</v>
      </c>
      <c r="F887" t="s">
        <v>64</v>
      </c>
      <c r="G887" t="s">
        <v>1317</v>
      </c>
      <c r="H887" s="1">
        <v>16000</v>
      </c>
      <c r="I887" t="s">
        <v>1931</v>
      </c>
      <c r="N887" s="4">
        <f t="shared" si="26"/>
        <v>70108110</v>
      </c>
      <c r="O887" t="str">
        <f t="shared" si="27"/>
        <v>P206D1SLSS</v>
      </c>
    </row>
    <row r="888" spans="2:15" x14ac:dyDescent="0.25">
      <c r="B888" t="s">
        <v>1227</v>
      </c>
      <c r="C888">
        <v>70106400</v>
      </c>
      <c r="D888" t="s">
        <v>1943</v>
      </c>
      <c r="E888" t="s">
        <v>1318</v>
      </c>
      <c r="F888" t="s">
        <v>96</v>
      </c>
      <c r="G888" t="s">
        <v>1319</v>
      </c>
      <c r="H888" s="1">
        <v>700000</v>
      </c>
      <c r="I888" t="s">
        <v>1942</v>
      </c>
      <c r="N888" s="4">
        <f t="shared" si="26"/>
        <v>70106400</v>
      </c>
      <c r="O888" t="str">
        <f t="shared" si="27"/>
        <v>R124D1HRGA</v>
      </c>
    </row>
    <row r="889" spans="2:15" x14ac:dyDescent="0.25">
      <c r="B889" t="s">
        <v>1227</v>
      </c>
      <c r="C889">
        <v>70106100</v>
      </c>
      <c r="D889" t="s">
        <v>1943</v>
      </c>
      <c r="E889" t="s">
        <v>1318</v>
      </c>
      <c r="F889" t="s">
        <v>67</v>
      </c>
      <c r="G889" t="s">
        <v>98</v>
      </c>
      <c r="H889" s="1">
        <v>300000</v>
      </c>
      <c r="I889" t="s">
        <v>1942</v>
      </c>
      <c r="N889" s="4">
        <f t="shared" si="26"/>
        <v>70106100</v>
      </c>
      <c r="O889" t="str">
        <f t="shared" si="27"/>
        <v>R124D1HRGA</v>
      </c>
    </row>
    <row r="890" spans="2:15" x14ac:dyDescent="0.25">
      <c r="B890" t="s">
        <v>1227</v>
      </c>
      <c r="C890">
        <v>70106100</v>
      </c>
      <c r="D890" t="s">
        <v>2014</v>
      </c>
      <c r="E890" t="s">
        <v>1320</v>
      </c>
      <c r="F890" t="s">
        <v>67</v>
      </c>
      <c r="G890" t="s">
        <v>1321</v>
      </c>
      <c r="H890" s="1">
        <v>915000</v>
      </c>
      <c r="I890" t="s">
        <v>2016</v>
      </c>
      <c r="N890" s="4">
        <f t="shared" si="26"/>
        <v>70106100</v>
      </c>
      <c r="O890" t="str">
        <f t="shared" si="27"/>
        <v>R124BLR</v>
      </c>
    </row>
    <row r="891" spans="2:15" x14ac:dyDescent="0.25">
      <c r="B891" t="s">
        <v>1227</v>
      </c>
      <c r="C891">
        <v>70101102</v>
      </c>
      <c r="D891" t="s">
        <v>1992</v>
      </c>
      <c r="E891" t="s">
        <v>1322</v>
      </c>
      <c r="F891" t="s">
        <v>129</v>
      </c>
      <c r="G891" t="s">
        <v>1323</v>
      </c>
      <c r="H891" s="1">
        <v>543510</v>
      </c>
      <c r="I891" t="s">
        <v>1991</v>
      </c>
      <c r="N891" s="4">
        <f t="shared" si="26"/>
        <v>70101102</v>
      </c>
      <c r="O891" t="str">
        <f t="shared" si="27"/>
        <v>R124FPO</v>
      </c>
    </row>
    <row r="892" spans="2:15" x14ac:dyDescent="0.25">
      <c r="B892" t="s">
        <v>1227</v>
      </c>
      <c r="C892">
        <v>70106400</v>
      </c>
      <c r="D892" t="s">
        <v>1943</v>
      </c>
      <c r="E892" t="s">
        <v>1324</v>
      </c>
      <c r="F892" t="s">
        <v>96</v>
      </c>
      <c r="G892" t="s">
        <v>1325</v>
      </c>
      <c r="H892" s="1">
        <v>490000</v>
      </c>
      <c r="I892" t="s">
        <v>1942</v>
      </c>
      <c r="N892" s="4">
        <f t="shared" si="26"/>
        <v>70106400</v>
      </c>
      <c r="O892" t="str">
        <f t="shared" si="27"/>
        <v>R124D1HRGA</v>
      </c>
    </row>
    <row r="893" spans="2:15" x14ac:dyDescent="0.25">
      <c r="B893" t="s">
        <v>1227</v>
      </c>
      <c r="C893">
        <v>70106100</v>
      </c>
      <c r="D893" t="s">
        <v>1943</v>
      </c>
      <c r="E893" t="s">
        <v>1324</v>
      </c>
      <c r="F893" t="s">
        <v>67</v>
      </c>
      <c r="G893" t="s">
        <v>98</v>
      </c>
      <c r="H893" s="1">
        <v>509500</v>
      </c>
      <c r="I893" t="s">
        <v>1942</v>
      </c>
      <c r="N893" s="4">
        <f t="shared" si="26"/>
        <v>70106100</v>
      </c>
      <c r="O893" t="str">
        <f t="shared" si="27"/>
        <v>R124D1HRGA</v>
      </c>
    </row>
    <row r="894" spans="2:15" x14ac:dyDescent="0.25">
      <c r="B894" t="s">
        <v>1211</v>
      </c>
      <c r="C894">
        <v>70001110</v>
      </c>
      <c r="D894" t="s">
        <v>1938</v>
      </c>
      <c r="E894" t="s">
        <v>1326</v>
      </c>
      <c r="F894" t="s">
        <v>334</v>
      </c>
      <c r="G894" t="s">
        <v>1327</v>
      </c>
      <c r="H894" s="1">
        <v>100000</v>
      </c>
      <c r="I894" t="s">
        <v>1922</v>
      </c>
      <c r="N894" s="4">
        <f t="shared" si="26"/>
        <v>70001110</v>
      </c>
      <c r="O894" t="str">
        <f t="shared" si="27"/>
        <v>M204D1COMM</v>
      </c>
    </row>
    <row r="895" spans="2:15" x14ac:dyDescent="0.25">
      <c r="B895" t="s">
        <v>1211</v>
      </c>
      <c r="C895">
        <v>70001110</v>
      </c>
      <c r="D895" t="s">
        <v>1938</v>
      </c>
      <c r="E895" t="s">
        <v>1326</v>
      </c>
      <c r="F895" t="s">
        <v>334</v>
      </c>
      <c r="G895" t="s">
        <v>1328</v>
      </c>
      <c r="H895" s="1">
        <v>100000</v>
      </c>
      <c r="I895" t="s">
        <v>1922</v>
      </c>
      <c r="N895" s="4">
        <f t="shared" si="26"/>
        <v>70001110</v>
      </c>
      <c r="O895" t="str">
        <f t="shared" si="27"/>
        <v>M204D1COMM</v>
      </c>
    </row>
    <row r="896" spans="2:15" x14ac:dyDescent="0.25">
      <c r="B896" t="s">
        <v>1211</v>
      </c>
      <c r="C896">
        <v>70001110</v>
      </c>
      <c r="D896" t="s">
        <v>1924</v>
      </c>
      <c r="E896" t="s">
        <v>1326</v>
      </c>
      <c r="F896" t="s">
        <v>334</v>
      </c>
      <c r="G896" t="s">
        <v>1329</v>
      </c>
      <c r="H896" s="1">
        <v>50000</v>
      </c>
      <c r="I896" t="s">
        <v>1922</v>
      </c>
      <c r="N896" s="4">
        <f t="shared" si="26"/>
        <v>70001110</v>
      </c>
      <c r="O896" t="str">
        <f t="shared" si="27"/>
        <v>C206D1SLSS</v>
      </c>
    </row>
    <row r="897" spans="2:15" x14ac:dyDescent="0.25">
      <c r="B897" t="s">
        <v>1211</v>
      </c>
      <c r="C897">
        <v>70001110</v>
      </c>
      <c r="D897" t="s">
        <v>1923</v>
      </c>
      <c r="E897" t="s">
        <v>1326</v>
      </c>
      <c r="F897" t="s">
        <v>334</v>
      </c>
      <c r="G897" t="s">
        <v>1330</v>
      </c>
      <c r="H897" s="1">
        <v>50000</v>
      </c>
      <c r="I897" t="s">
        <v>1922</v>
      </c>
      <c r="N897" s="4">
        <f t="shared" si="26"/>
        <v>70001110</v>
      </c>
      <c r="O897" t="str">
        <f t="shared" si="27"/>
        <v>P206D1SLSS</v>
      </c>
    </row>
    <row r="898" spans="2:15" x14ac:dyDescent="0.25">
      <c r="B898" t="s">
        <v>1211</v>
      </c>
      <c r="C898">
        <v>70001110</v>
      </c>
      <c r="D898" t="s">
        <v>1923</v>
      </c>
      <c r="E898" t="s">
        <v>1326</v>
      </c>
      <c r="F898" t="s">
        <v>334</v>
      </c>
      <c r="G898" t="s">
        <v>1331</v>
      </c>
      <c r="H898" s="1">
        <v>50000</v>
      </c>
      <c r="I898" t="s">
        <v>1922</v>
      </c>
      <c r="N898" s="4">
        <f t="shared" si="26"/>
        <v>70001110</v>
      </c>
      <c r="O898" t="str">
        <f t="shared" si="27"/>
        <v>P206D1SLSS</v>
      </c>
    </row>
    <row r="899" spans="2:15" x14ac:dyDescent="0.25">
      <c r="B899" t="s">
        <v>1211</v>
      </c>
      <c r="C899">
        <v>70001110</v>
      </c>
      <c r="D899" t="s">
        <v>1924</v>
      </c>
      <c r="E899" t="s">
        <v>1326</v>
      </c>
      <c r="F899" t="s">
        <v>334</v>
      </c>
      <c r="G899" t="s">
        <v>1332</v>
      </c>
      <c r="H899" s="1">
        <v>50000</v>
      </c>
      <c r="I899" t="s">
        <v>1922</v>
      </c>
      <c r="N899" s="4">
        <f t="shared" si="26"/>
        <v>70001110</v>
      </c>
      <c r="O899" t="str">
        <f t="shared" si="27"/>
        <v>C206D1SLSS</v>
      </c>
    </row>
    <row r="900" spans="2:15" x14ac:dyDescent="0.25">
      <c r="B900" t="s">
        <v>1211</v>
      </c>
      <c r="C900">
        <v>70107600</v>
      </c>
      <c r="D900" t="s">
        <v>1953</v>
      </c>
      <c r="E900" t="s">
        <v>1333</v>
      </c>
      <c r="F900" t="s">
        <v>126</v>
      </c>
      <c r="G900" t="s">
        <v>1334</v>
      </c>
      <c r="H900" s="1">
        <v>50000</v>
      </c>
      <c r="I900" t="s">
        <v>1957</v>
      </c>
      <c r="N900" s="4">
        <f t="shared" si="26"/>
        <v>70107600</v>
      </c>
      <c r="O900" t="str">
        <f t="shared" si="27"/>
        <v>R124MNT</v>
      </c>
    </row>
    <row r="901" spans="2:15" x14ac:dyDescent="0.25">
      <c r="B901" t="s">
        <v>1211</v>
      </c>
      <c r="C901">
        <v>70107600</v>
      </c>
      <c r="D901" t="s">
        <v>1953</v>
      </c>
      <c r="E901" t="s">
        <v>1333</v>
      </c>
      <c r="F901" t="s">
        <v>126</v>
      </c>
      <c r="G901" t="s">
        <v>1335</v>
      </c>
      <c r="H901" s="1">
        <v>50000</v>
      </c>
      <c r="I901" t="s">
        <v>1957</v>
      </c>
      <c r="N901" s="4">
        <f t="shared" si="26"/>
        <v>70107600</v>
      </c>
      <c r="O901" t="str">
        <f t="shared" si="27"/>
        <v>R124MNT</v>
      </c>
    </row>
    <row r="902" spans="2:15" x14ac:dyDescent="0.25">
      <c r="B902" t="s">
        <v>1211</v>
      </c>
      <c r="C902">
        <v>70001110</v>
      </c>
      <c r="D902" t="s">
        <v>1924</v>
      </c>
      <c r="E902" t="s">
        <v>1336</v>
      </c>
      <c r="F902" t="s">
        <v>334</v>
      </c>
      <c r="G902" t="s">
        <v>1337</v>
      </c>
      <c r="H902" s="1">
        <v>350000</v>
      </c>
      <c r="I902" t="s">
        <v>1922</v>
      </c>
      <c r="N902" s="4">
        <f t="shared" si="26"/>
        <v>70001110</v>
      </c>
      <c r="O902" t="str">
        <f t="shared" si="27"/>
        <v>C206D1SLSS</v>
      </c>
    </row>
    <row r="903" spans="2:15" x14ac:dyDescent="0.25">
      <c r="B903" t="s">
        <v>1211</v>
      </c>
      <c r="C903">
        <v>70001110</v>
      </c>
      <c r="D903" t="s">
        <v>1923</v>
      </c>
      <c r="E903" t="s">
        <v>1336</v>
      </c>
      <c r="F903" t="s">
        <v>334</v>
      </c>
      <c r="G903" t="s">
        <v>1338</v>
      </c>
      <c r="H903" s="1">
        <v>200000</v>
      </c>
      <c r="I903" t="s">
        <v>1922</v>
      </c>
      <c r="N903" s="4">
        <f t="shared" si="26"/>
        <v>70001110</v>
      </c>
      <c r="O903" t="str">
        <f t="shared" si="27"/>
        <v>P206D1SLSS</v>
      </c>
    </row>
    <row r="904" spans="2:15" x14ac:dyDescent="0.25">
      <c r="B904" t="s">
        <v>1211</v>
      </c>
      <c r="C904">
        <v>70119300</v>
      </c>
      <c r="D904" t="s">
        <v>1923</v>
      </c>
      <c r="E904" t="s">
        <v>1336</v>
      </c>
      <c r="F904" t="s">
        <v>259</v>
      </c>
      <c r="G904" t="s">
        <v>1339</v>
      </c>
      <c r="H904" s="1">
        <v>50000</v>
      </c>
      <c r="I904" t="s">
        <v>1922</v>
      </c>
      <c r="N904" s="4">
        <f t="shared" si="26"/>
        <v>70119300</v>
      </c>
      <c r="O904" t="str">
        <f t="shared" si="27"/>
        <v>P206D1SLSS</v>
      </c>
    </row>
    <row r="905" spans="2:15" x14ac:dyDescent="0.25">
      <c r="B905" t="s">
        <v>1211</v>
      </c>
      <c r="C905">
        <v>70106400</v>
      </c>
      <c r="D905" t="s">
        <v>1943</v>
      </c>
      <c r="E905" t="s">
        <v>1340</v>
      </c>
      <c r="F905" t="s">
        <v>96</v>
      </c>
      <c r="G905" t="s">
        <v>1341</v>
      </c>
      <c r="H905" s="1">
        <v>200000</v>
      </c>
      <c r="I905" t="s">
        <v>1942</v>
      </c>
      <c r="N905" s="4">
        <f t="shared" si="26"/>
        <v>70106400</v>
      </c>
      <c r="O905" t="str">
        <f t="shared" si="27"/>
        <v>R124D1HRGA</v>
      </c>
    </row>
    <row r="906" spans="2:15" x14ac:dyDescent="0.25">
      <c r="B906" t="s">
        <v>1211</v>
      </c>
      <c r="C906">
        <v>70106100</v>
      </c>
      <c r="D906" t="s">
        <v>1943</v>
      </c>
      <c r="E906" t="s">
        <v>1340</v>
      </c>
      <c r="F906" t="s">
        <v>67</v>
      </c>
      <c r="G906" t="s">
        <v>98</v>
      </c>
      <c r="H906" s="1">
        <v>798500</v>
      </c>
      <c r="I906" t="s">
        <v>1942</v>
      </c>
      <c r="N906" s="4">
        <f t="shared" si="26"/>
        <v>70106100</v>
      </c>
      <c r="O906" t="str">
        <f t="shared" si="27"/>
        <v>R124D1HRGA</v>
      </c>
    </row>
    <row r="907" spans="2:15" x14ac:dyDescent="0.25">
      <c r="B907" t="s">
        <v>1211</v>
      </c>
      <c r="C907">
        <v>70001110</v>
      </c>
      <c r="D907" t="s">
        <v>1923</v>
      </c>
      <c r="E907" t="s">
        <v>1342</v>
      </c>
      <c r="F907" t="s">
        <v>334</v>
      </c>
      <c r="G907" t="s">
        <v>1343</v>
      </c>
      <c r="H907" s="1">
        <v>50000</v>
      </c>
      <c r="I907" t="s">
        <v>1922</v>
      </c>
      <c r="N907" s="4">
        <f t="shared" ref="N907:N970" si="28">+C907</f>
        <v>70001110</v>
      </c>
      <c r="O907" t="str">
        <f t="shared" ref="O907:O970" si="29">+D907</f>
        <v>P206D1SLSS</v>
      </c>
    </row>
    <row r="908" spans="2:15" x14ac:dyDescent="0.25">
      <c r="B908" t="s">
        <v>1211</v>
      </c>
      <c r="C908">
        <v>70101102</v>
      </c>
      <c r="D908" t="s">
        <v>1935</v>
      </c>
      <c r="E908" t="s">
        <v>1344</v>
      </c>
      <c r="F908" t="s">
        <v>129</v>
      </c>
      <c r="G908" t="s">
        <v>1345</v>
      </c>
      <c r="H908" s="1">
        <v>100000</v>
      </c>
      <c r="I908" t="s">
        <v>2000</v>
      </c>
      <c r="N908" s="4">
        <f t="shared" si="28"/>
        <v>70101102</v>
      </c>
      <c r="O908" t="str">
        <f t="shared" si="29"/>
        <v>R124WHRS</v>
      </c>
    </row>
    <row r="909" spans="2:15" x14ac:dyDescent="0.25">
      <c r="B909" t="s">
        <v>1211</v>
      </c>
      <c r="C909">
        <v>70107300</v>
      </c>
      <c r="D909" t="s">
        <v>1921</v>
      </c>
      <c r="E909" t="s">
        <v>1346</v>
      </c>
      <c r="F909" t="s">
        <v>41</v>
      </c>
      <c r="G909" t="s">
        <v>1347</v>
      </c>
      <c r="H909" s="1">
        <v>500000</v>
      </c>
      <c r="I909" t="s">
        <v>1920</v>
      </c>
      <c r="N909" s="4">
        <f t="shared" si="28"/>
        <v>70107300</v>
      </c>
      <c r="O909" t="str">
        <f t="shared" si="29"/>
        <v>R124D1HRDV</v>
      </c>
    </row>
    <row r="910" spans="2:15" x14ac:dyDescent="0.25">
      <c r="B910" t="s">
        <v>1211</v>
      </c>
      <c r="C910">
        <v>70107600</v>
      </c>
      <c r="D910" t="s">
        <v>1961</v>
      </c>
      <c r="E910" t="s">
        <v>1348</v>
      </c>
      <c r="F910" t="s">
        <v>126</v>
      </c>
      <c r="G910" t="s">
        <v>1349</v>
      </c>
      <c r="H910" s="1">
        <v>826800</v>
      </c>
      <c r="I910" t="s">
        <v>1960</v>
      </c>
      <c r="N910" s="4">
        <f t="shared" si="28"/>
        <v>70107600</v>
      </c>
      <c r="O910" t="str">
        <f t="shared" si="29"/>
        <v>R124D1EHFS</v>
      </c>
    </row>
    <row r="911" spans="2:15" x14ac:dyDescent="0.25">
      <c r="B911" t="s">
        <v>1211</v>
      </c>
      <c r="C911">
        <v>70107600</v>
      </c>
      <c r="D911" t="s">
        <v>1953</v>
      </c>
      <c r="E911" t="s">
        <v>1350</v>
      </c>
      <c r="F911" t="s">
        <v>126</v>
      </c>
      <c r="G911" t="s">
        <v>1351</v>
      </c>
      <c r="H911" s="1">
        <v>75000</v>
      </c>
      <c r="I911" t="s">
        <v>1957</v>
      </c>
      <c r="N911" s="4">
        <f t="shared" si="28"/>
        <v>70107600</v>
      </c>
      <c r="O911" t="str">
        <f t="shared" si="29"/>
        <v>R124MNT</v>
      </c>
    </row>
    <row r="912" spans="2:15" x14ac:dyDescent="0.25">
      <c r="B912" t="s">
        <v>1211</v>
      </c>
      <c r="C912">
        <v>70107600</v>
      </c>
      <c r="D912" t="s">
        <v>1953</v>
      </c>
      <c r="E912" t="s">
        <v>1352</v>
      </c>
      <c r="F912" t="s">
        <v>126</v>
      </c>
      <c r="G912" t="s">
        <v>1353</v>
      </c>
      <c r="H912" s="1">
        <v>75000</v>
      </c>
      <c r="I912" t="s">
        <v>1957</v>
      </c>
      <c r="N912" s="4">
        <f t="shared" si="28"/>
        <v>70107600</v>
      </c>
      <c r="O912" t="str">
        <f t="shared" si="29"/>
        <v>R124MNT</v>
      </c>
    </row>
    <row r="913" spans="2:15" x14ac:dyDescent="0.25">
      <c r="B913" t="s">
        <v>1211</v>
      </c>
      <c r="C913">
        <v>70107600</v>
      </c>
      <c r="D913" t="s">
        <v>1953</v>
      </c>
      <c r="E913" t="s">
        <v>1354</v>
      </c>
      <c r="F913" t="s">
        <v>126</v>
      </c>
      <c r="G913" t="s">
        <v>1355</v>
      </c>
      <c r="H913" s="1">
        <v>50000</v>
      </c>
      <c r="I913" t="s">
        <v>1957</v>
      </c>
      <c r="N913" s="4">
        <f t="shared" si="28"/>
        <v>70107600</v>
      </c>
      <c r="O913" t="str">
        <f t="shared" si="29"/>
        <v>R124MNT</v>
      </c>
    </row>
    <row r="914" spans="2:15" x14ac:dyDescent="0.25">
      <c r="B914" t="s">
        <v>1211</v>
      </c>
      <c r="C914">
        <v>70001110</v>
      </c>
      <c r="D914" t="s">
        <v>1938</v>
      </c>
      <c r="E914" t="s">
        <v>1356</v>
      </c>
      <c r="F914" t="s">
        <v>334</v>
      </c>
      <c r="G914" t="s">
        <v>1357</v>
      </c>
      <c r="H914" s="1">
        <v>50000</v>
      </c>
      <c r="I914" t="s">
        <v>1936</v>
      </c>
      <c r="N914" s="4">
        <f t="shared" si="28"/>
        <v>70001110</v>
      </c>
      <c r="O914" t="str">
        <f t="shared" si="29"/>
        <v>M204D1COMM</v>
      </c>
    </row>
    <row r="915" spans="2:15" x14ac:dyDescent="0.25">
      <c r="B915" t="s">
        <v>1211</v>
      </c>
      <c r="C915">
        <v>70001110</v>
      </c>
      <c r="D915" t="s">
        <v>1938</v>
      </c>
      <c r="E915" t="s">
        <v>1356</v>
      </c>
      <c r="F915" t="s">
        <v>334</v>
      </c>
      <c r="G915" t="s">
        <v>1358</v>
      </c>
      <c r="H915" s="1">
        <v>50000</v>
      </c>
      <c r="I915" t="s">
        <v>1936</v>
      </c>
      <c r="N915" s="4">
        <f t="shared" si="28"/>
        <v>70001110</v>
      </c>
      <c r="O915" t="str">
        <f t="shared" si="29"/>
        <v>M204D1COMM</v>
      </c>
    </row>
    <row r="916" spans="2:15" x14ac:dyDescent="0.25">
      <c r="B916" t="s">
        <v>1211</v>
      </c>
      <c r="C916">
        <v>70001110</v>
      </c>
      <c r="D916" t="s">
        <v>1924</v>
      </c>
      <c r="E916" t="s">
        <v>1356</v>
      </c>
      <c r="F916" t="s">
        <v>334</v>
      </c>
      <c r="G916" t="s">
        <v>1359</v>
      </c>
      <c r="H916" s="1">
        <v>50000</v>
      </c>
      <c r="I916" t="s">
        <v>1936</v>
      </c>
      <c r="N916" s="4">
        <f t="shared" si="28"/>
        <v>70001110</v>
      </c>
      <c r="O916" t="str">
        <f t="shared" si="29"/>
        <v>C206D1SLSS</v>
      </c>
    </row>
    <row r="917" spans="2:15" x14ac:dyDescent="0.25">
      <c r="B917" t="s">
        <v>1211</v>
      </c>
      <c r="C917">
        <v>70001110</v>
      </c>
      <c r="D917" t="s">
        <v>1923</v>
      </c>
      <c r="E917" t="s">
        <v>1356</v>
      </c>
      <c r="F917" t="s">
        <v>334</v>
      </c>
      <c r="G917" t="s">
        <v>1360</v>
      </c>
      <c r="H917" s="1">
        <v>50000</v>
      </c>
      <c r="I917" t="s">
        <v>1936</v>
      </c>
      <c r="N917" s="4">
        <f t="shared" si="28"/>
        <v>70001110</v>
      </c>
      <c r="O917" t="str">
        <f t="shared" si="29"/>
        <v>P206D1SLSS</v>
      </c>
    </row>
    <row r="918" spans="2:15" x14ac:dyDescent="0.25">
      <c r="B918" t="s">
        <v>1211</v>
      </c>
      <c r="C918">
        <v>70001110</v>
      </c>
      <c r="D918" t="s">
        <v>1923</v>
      </c>
      <c r="E918" t="s">
        <v>1356</v>
      </c>
      <c r="F918" t="s">
        <v>334</v>
      </c>
      <c r="G918" t="s">
        <v>1361</v>
      </c>
      <c r="H918" s="1">
        <v>50000</v>
      </c>
      <c r="I918" t="s">
        <v>1936</v>
      </c>
      <c r="N918" s="4">
        <f t="shared" si="28"/>
        <v>70001110</v>
      </c>
      <c r="O918" t="str">
        <f t="shared" si="29"/>
        <v>P206D1SLSS</v>
      </c>
    </row>
    <row r="919" spans="2:15" x14ac:dyDescent="0.25">
      <c r="B919" t="s">
        <v>1211</v>
      </c>
      <c r="C919">
        <v>70001110</v>
      </c>
      <c r="D919" t="s">
        <v>1923</v>
      </c>
      <c r="E919" t="s">
        <v>1356</v>
      </c>
      <c r="F919" t="s">
        <v>334</v>
      </c>
      <c r="G919" t="s">
        <v>1362</v>
      </c>
      <c r="H919" s="1">
        <v>50000</v>
      </c>
      <c r="I919" t="s">
        <v>1936</v>
      </c>
      <c r="N919" s="4">
        <f t="shared" si="28"/>
        <v>70001110</v>
      </c>
      <c r="O919" t="str">
        <f t="shared" si="29"/>
        <v>P206D1SLSS</v>
      </c>
    </row>
    <row r="920" spans="2:15" x14ac:dyDescent="0.25">
      <c r="B920" t="s">
        <v>1211</v>
      </c>
      <c r="C920">
        <v>70001110</v>
      </c>
      <c r="D920" t="s">
        <v>1967</v>
      </c>
      <c r="E920" t="s">
        <v>1356</v>
      </c>
      <c r="F920" t="s">
        <v>334</v>
      </c>
      <c r="G920" t="s">
        <v>1363</v>
      </c>
      <c r="H920" s="1">
        <v>50000</v>
      </c>
      <c r="I920" t="s">
        <v>1936</v>
      </c>
      <c r="N920" s="4">
        <f t="shared" si="28"/>
        <v>70001110</v>
      </c>
      <c r="O920" t="str">
        <f t="shared" si="29"/>
        <v>P206D1SLSC</v>
      </c>
    </row>
    <row r="921" spans="2:15" x14ac:dyDescent="0.25">
      <c r="B921" t="s">
        <v>1211</v>
      </c>
      <c r="C921">
        <v>70001110</v>
      </c>
      <c r="D921" t="s">
        <v>1938</v>
      </c>
      <c r="E921" t="s">
        <v>1356</v>
      </c>
      <c r="F921" t="s">
        <v>334</v>
      </c>
      <c r="G921" t="s">
        <v>1364</v>
      </c>
      <c r="H921" s="1">
        <v>50000</v>
      </c>
      <c r="I921" t="s">
        <v>1936</v>
      </c>
      <c r="N921" s="4">
        <f t="shared" si="28"/>
        <v>70001110</v>
      </c>
      <c r="O921" t="str">
        <f t="shared" si="29"/>
        <v>M204D1COMM</v>
      </c>
    </row>
    <row r="922" spans="2:15" x14ac:dyDescent="0.25">
      <c r="B922" t="s">
        <v>1211</v>
      </c>
      <c r="C922">
        <v>70001110</v>
      </c>
      <c r="D922" t="s">
        <v>1967</v>
      </c>
      <c r="E922" t="s">
        <v>1356</v>
      </c>
      <c r="F922" t="s">
        <v>334</v>
      </c>
      <c r="G922" t="s">
        <v>1365</v>
      </c>
      <c r="H922" s="1">
        <v>50000</v>
      </c>
      <c r="I922" t="s">
        <v>1936</v>
      </c>
      <c r="N922" s="4">
        <f t="shared" si="28"/>
        <v>70001110</v>
      </c>
      <c r="O922" t="str">
        <f t="shared" si="29"/>
        <v>P206D1SLSC</v>
      </c>
    </row>
    <row r="923" spans="2:15" x14ac:dyDescent="0.25">
      <c r="B923" t="s">
        <v>1211</v>
      </c>
      <c r="C923">
        <v>70001110</v>
      </c>
      <c r="D923" t="s">
        <v>1923</v>
      </c>
      <c r="E923" t="s">
        <v>1366</v>
      </c>
      <c r="F923" t="s">
        <v>334</v>
      </c>
      <c r="G923" t="s">
        <v>1367</v>
      </c>
      <c r="H923" s="1">
        <v>50000</v>
      </c>
      <c r="I923" t="s">
        <v>1947</v>
      </c>
      <c r="N923" s="4">
        <f t="shared" si="28"/>
        <v>70001110</v>
      </c>
      <c r="O923" t="str">
        <f t="shared" si="29"/>
        <v>P206D1SLSS</v>
      </c>
    </row>
    <row r="924" spans="2:15" x14ac:dyDescent="0.25">
      <c r="B924" t="s">
        <v>1211</v>
      </c>
      <c r="C924">
        <v>70001110</v>
      </c>
      <c r="D924" t="s">
        <v>1967</v>
      </c>
      <c r="E924" t="s">
        <v>1366</v>
      </c>
      <c r="F924" t="s">
        <v>334</v>
      </c>
      <c r="G924" t="s">
        <v>1368</v>
      </c>
      <c r="H924" s="1">
        <v>50000</v>
      </c>
      <c r="I924" t="s">
        <v>1947</v>
      </c>
      <c r="N924" s="4">
        <f t="shared" si="28"/>
        <v>70001110</v>
      </c>
      <c r="O924" t="str">
        <f t="shared" si="29"/>
        <v>P206D1SLSC</v>
      </c>
    </row>
    <row r="925" spans="2:15" x14ac:dyDescent="0.25">
      <c r="B925" t="s">
        <v>1211</v>
      </c>
      <c r="C925">
        <v>70001110</v>
      </c>
      <c r="D925" t="s">
        <v>1923</v>
      </c>
      <c r="E925" t="s">
        <v>1366</v>
      </c>
      <c r="F925" t="s">
        <v>334</v>
      </c>
      <c r="G925" t="s">
        <v>1369</v>
      </c>
      <c r="H925" s="1">
        <v>50000</v>
      </c>
      <c r="I925" t="s">
        <v>1947</v>
      </c>
      <c r="N925" s="4">
        <f t="shared" si="28"/>
        <v>70001110</v>
      </c>
      <c r="O925" t="str">
        <f t="shared" si="29"/>
        <v>P206D1SLSS</v>
      </c>
    </row>
    <row r="926" spans="2:15" x14ac:dyDescent="0.25">
      <c r="B926" t="s">
        <v>1211</v>
      </c>
      <c r="C926">
        <v>70001110</v>
      </c>
      <c r="D926" t="s">
        <v>1923</v>
      </c>
      <c r="E926" t="s">
        <v>1366</v>
      </c>
      <c r="F926" t="s">
        <v>334</v>
      </c>
      <c r="G926" t="s">
        <v>1370</v>
      </c>
      <c r="H926" s="1">
        <v>50000</v>
      </c>
      <c r="I926" t="s">
        <v>1947</v>
      </c>
      <c r="N926" s="4">
        <f t="shared" si="28"/>
        <v>70001110</v>
      </c>
      <c r="O926" t="str">
        <f t="shared" si="29"/>
        <v>P206D1SLSS</v>
      </c>
    </row>
    <row r="927" spans="2:15" x14ac:dyDescent="0.25">
      <c r="B927" t="s">
        <v>1211</v>
      </c>
      <c r="C927">
        <v>70001110</v>
      </c>
      <c r="D927" t="s">
        <v>1923</v>
      </c>
      <c r="E927" t="s">
        <v>1366</v>
      </c>
      <c r="F927" t="s">
        <v>334</v>
      </c>
      <c r="G927" t="s">
        <v>1371</v>
      </c>
      <c r="H927" s="1">
        <v>50000</v>
      </c>
      <c r="I927" t="s">
        <v>1947</v>
      </c>
      <c r="N927" s="4">
        <f t="shared" si="28"/>
        <v>70001110</v>
      </c>
      <c r="O927" t="str">
        <f t="shared" si="29"/>
        <v>P206D1SLSS</v>
      </c>
    </row>
    <row r="928" spans="2:15" x14ac:dyDescent="0.25">
      <c r="B928" t="s">
        <v>1211</v>
      </c>
      <c r="C928">
        <v>70001110</v>
      </c>
      <c r="D928" t="s">
        <v>1923</v>
      </c>
      <c r="E928" t="s">
        <v>1366</v>
      </c>
      <c r="F928" t="s">
        <v>334</v>
      </c>
      <c r="G928" t="s">
        <v>1372</v>
      </c>
      <c r="H928" s="1">
        <v>50000</v>
      </c>
      <c r="I928" t="s">
        <v>1947</v>
      </c>
      <c r="N928" s="4">
        <f t="shared" si="28"/>
        <v>70001110</v>
      </c>
      <c r="O928" t="str">
        <f t="shared" si="29"/>
        <v>P206D1SLSS</v>
      </c>
    </row>
    <row r="929" spans="2:15" x14ac:dyDescent="0.25">
      <c r="B929" t="s">
        <v>1211</v>
      </c>
      <c r="C929">
        <v>70001110</v>
      </c>
      <c r="D929" t="s">
        <v>1923</v>
      </c>
      <c r="E929" t="s">
        <v>1373</v>
      </c>
      <c r="F929" t="s">
        <v>334</v>
      </c>
      <c r="G929" t="s">
        <v>1374</v>
      </c>
      <c r="H929" s="1">
        <v>50000</v>
      </c>
      <c r="I929" t="s">
        <v>1947</v>
      </c>
      <c r="N929" s="4">
        <f t="shared" si="28"/>
        <v>70001110</v>
      </c>
      <c r="O929" t="str">
        <f t="shared" si="29"/>
        <v>P206D1SLSS</v>
      </c>
    </row>
    <row r="930" spans="2:15" x14ac:dyDescent="0.25">
      <c r="B930" t="s">
        <v>1211</v>
      </c>
      <c r="C930">
        <v>70001110</v>
      </c>
      <c r="D930" t="s">
        <v>1923</v>
      </c>
      <c r="E930" t="s">
        <v>1373</v>
      </c>
      <c r="F930" t="s">
        <v>334</v>
      </c>
      <c r="G930" t="s">
        <v>1375</v>
      </c>
      <c r="H930" s="1">
        <v>50000</v>
      </c>
      <c r="I930" t="s">
        <v>1947</v>
      </c>
      <c r="N930" s="4">
        <f t="shared" si="28"/>
        <v>70001110</v>
      </c>
      <c r="O930" t="str">
        <f t="shared" si="29"/>
        <v>P206D1SLSS</v>
      </c>
    </row>
    <row r="931" spans="2:15" x14ac:dyDescent="0.25">
      <c r="B931" t="s">
        <v>1211</v>
      </c>
      <c r="C931">
        <v>70001110</v>
      </c>
      <c r="D931" t="s">
        <v>1967</v>
      </c>
      <c r="E931" t="s">
        <v>1373</v>
      </c>
      <c r="F931" t="s">
        <v>334</v>
      </c>
      <c r="G931" t="s">
        <v>1376</v>
      </c>
      <c r="H931" s="1">
        <v>50000</v>
      </c>
      <c r="I931" t="s">
        <v>1947</v>
      </c>
      <c r="N931" s="4">
        <f t="shared" si="28"/>
        <v>70001110</v>
      </c>
      <c r="O931" t="str">
        <f t="shared" si="29"/>
        <v>P206D1SLSC</v>
      </c>
    </row>
    <row r="932" spans="2:15" x14ac:dyDescent="0.25">
      <c r="B932" t="s">
        <v>1211</v>
      </c>
      <c r="C932">
        <v>70001110</v>
      </c>
      <c r="D932" t="s">
        <v>1923</v>
      </c>
      <c r="E932" t="s">
        <v>1373</v>
      </c>
      <c r="F932" t="s">
        <v>334</v>
      </c>
      <c r="G932" t="s">
        <v>1377</v>
      </c>
      <c r="H932" s="1">
        <v>50000</v>
      </c>
      <c r="I932" t="s">
        <v>1947</v>
      </c>
      <c r="N932" s="4">
        <f t="shared" si="28"/>
        <v>70001110</v>
      </c>
      <c r="O932" t="str">
        <f t="shared" si="29"/>
        <v>P206D1SLSS</v>
      </c>
    </row>
    <row r="933" spans="2:15" x14ac:dyDescent="0.25">
      <c r="B933" t="s">
        <v>1211</v>
      </c>
      <c r="C933">
        <v>70110210</v>
      </c>
      <c r="D933" t="s">
        <v>2019</v>
      </c>
      <c r="E933" t="s">
        <v>1378</v>
      </c>
      <c r="F933" t="s">
        <v>1187</v>
      </c>
      <c r="G933" t="s">
        <v>1379</v>
      </c>
      <c r="H933" s="1">
        <v>977650</v>
      </c>
      <c r="I933" t="s">
        <v>1949</v>
      </c>
      <c r="N933" s="4">
        <f t="shared" si="28"/>
        <v>70110210</v>
      </c>
      <c r="O933" t="str">
        <f t="shared" si="29"/>
        <v>H200D1MMDP</v>
      </c>
    </row>
    <row r="934" spans="2:15" x14ac:dyDescent="0.25">
      <c r="B934" t="s">
        <v>1211</v>
      </c>
      <c r="C934">
        <v>70110210</v>
      </c>
      <c r="D934" t="s">
        <v>2019</v>
      </c>
      <c r="E934" t="s">
        <v>1380</v>
      </c>
      <c r="F934" t="s">
        <v>1187</v>
      </c>
      <c r="G934" t="s">
        <v>1381</v>
      </c>
      <c r="H934" s="1">
        <v>950000</v>
      </c>
      <c r="I934" t="s">
        <v>1949</v>
      </c>
      <c r="N934" s="4">
        <f t="shared" si="28"/>
        <v>70110210</v>
      </c>
      <c r="O934" t="str">
        <f t="shared" si="29"/>
        <v>H200D1MMDP</v>
      </c>
    </row>
    <row r="935" spans="2:15" x14ac:dyDescent="0.25">
      <c r="B935" t="s">
        <v>1211</v>
      </c>
      <c r="C935">
        <v>70110210</v>
      </c>
      <c r="D935" t="s">
        <v>2019</v>
      </c>
      <c r="E935" t="s">
        <v>1382</v>
      </c>
      <c r="F935" t="s">
        <v>1187</v>
      </c>
      <c r="G935" t="s">
        <v>1383</v>
      </c>
      <c r="H935" s="1">
        <v>952650</v>
      </c>
      <c r="I935" t="s">
        <v>1949</v>
      </c>
      <c r="N935" s="4">
        <f t="shared" si="28"/>
        <v>70110210</v>
      </c>
      <c r="O935" t="str">
        <f t="shared" si="29"/>
        <v>H200D1MMDP</v>
      </c>
    </row>
    <row r="936" spans="2:15" x14ac:dyDescent="0.25">
      <c r="B936" t="s">
        <v>1211</v>
      </c>
      <c r="C936">
        <v>70101202</v>
      </c>
      <c r="D936" t="s">
        <v>1971</v>
      </c>
      <c r="E936" t="s">
        <v>1384</v>
      </c>
      <c r="F936" t="s">
        <v>57</v>
      </c>
      <c r="G936" t="s">
        <v>1385</v>
      </c>
      <c r="H936" s="1">
        <v>289600</v>
      </c>
      <c r="I936" t="s">
        <v>1980</v>
      </c>
      <c r="N936" s="4">
        <f t="shared" si="28"/>
        <v>70101202</v>
      </c>
      <c r="O936" t="str">
        <f t="shared" si="29"/>
        <v>R124REF3</v>
      </c>
    </row>
    <row r="937" spans="2:15" x14ac:dyDescent="0.25">
      <c r="B937" t="s">
        <v>1211</v>
      </c>
      <c r="C937" t="s">
        <v>1211</v>
      </c>
      <c r="D937" t="s">
        <v>2013</v>
      </c>
      <c r="E937" t="s">
        <v>1384</v>
      </c>
      <c r="F937" t="s">
        <v>375</v>
      </c>
      <c r="G937" t="s">
        <v>1388</v>
      </c>
      <c r="H937" s="1">
        <v>710400</v>
      </c>
      <c r="I937" t="s">
        <v>1980</v>
      </c>
      <c r="N937" s="4" t="str">
        <f t="shared" si="28"/>
        <v>05.11.2025</v>
      </c>
      <c r="O937" t="str">
        <f t="shared" si="29"/>
        <v>R124FRA3</v>
      </c>
    </row>
    <row r="938" spans="2:15" x14ac:dyDescent="0.25">
      <c r="B938" t="s">
        <v>1211</v>
      </c>
      <c r="C938">
        <v>70101202</v>
      </c>
      <c r="D938" t="s">
        <v>2013</v>
      </c>
      <c r="E938" t="s">
        <v>1387</v>
      </c>
      <c r="F938" t="s">
        <v>57</v>
      </c>
      <c r="G938" t="s">
        <v>1388</v>
      </c>
      <c r="H938" s="1">
        <v>174000</v>
      </c>
      <c r="I938" t="s">
        <v>1980</v>
      </c>
      <c r="N938" s="4">
        <f t="shared" si="28"/>
        <v>70101202</v>
      </c>
      <c r="O938" t="str">
        <f t="shared" si="29"/>
        <v>R124FRA3</v>
      </c>
    </row>
    <row r="939" spans="2:15" x14ac:dyDescent="0.25">
      <c r="B939" t="s">
        <v>1211</v>
      </c>
      <c r="C939" t="s">
        <v>1211</v>
      </c>
      <c r="D939" t="s">
        <v>1962</v>
      </c>
      <c r="E939" t="s">
        <v>1387</v>
      </c>
      <c r="F939" t="s">
        <v>375</v>
      </c>
      <c r="G939" t="s">
        <v>1394</v>
      </c>
      <c r="H939" s="1">
        <v>700010</v>
      </c>
      <c r="I939" t="s">
        <v>1980</v>
      </c>
      <c r="N939" s="4" t="str">
        <f t="shared" si="28"/>
        <v>05.11.2025</v>
      </c>
      <c r="O939" t="str">
        <f t="shared" si="29"/>
        <v>R124LOG</v>
      </c>
    </row>
    <row r="940" spans="2:15" x14ac:dyDescent="0.25">
      <c r="B940" t="s">
        <v>1211</v>
      </c>
      <c r="C940" t="s">
        <v>1211</v>
      </c>
      <c r="D940" t="s">
        <v>1962</v>
      </c>
      <c r="E940" t="s">
        <v>1387</v>
      </c>
      <c r="F940" t="s">
        <v>375</v>
      </c>
      <c r="G940" t="s">
        <v>1394</v>
      </c>
      <c r="H940" s="1">
        <v>123601</v>
      </c>
      <c r="I940" t="s">
        <v>1980</v>
      </c>
      <c r="N940" s="4" t="str">
        <f t="shared" si="28"/>
        <v>05.11.2025</v>
      </c>
      <c r="O940" t="str">
        <f t="shared" si="29"/>
        <v>R124LOG</v>
      </c>
    </row>
    <row r="941" spans="2:15" x14ac:dyDescent="0.25">
      <c r="B941" t="s">
        <v>1211</v>
      </c>
      <c r="C941" t="s">
        <v>1211</v>
      </c>
      <c r="D941" t="s">
        <v>1962</v>
      </c>
      <c r="E941" t="s">
        <v>1391</v>
      </c>
      <c r="F941" t="s">
        <v>375</v>
      </c>
      <c r="G941" t="s">
        <v>1394</v>
      </c>
      <c r="H941" s="1">
        <v>980014</v>
      </c>
      <c r="I941" t="s">
        <v>1994</v>
      </c>
      <c r="N941" s="4" t="str">
        <f t="shared" si="28"/>
        <v>05.11.2025</v>
      </c>
      <c r="O941" t="str">
        <f t="shared" si="29"/>
        <v>R124LOG</v>
      </c>
    </row>
    <row r="942" spans="2:15" x14ac:dyDescent="0.25">
      <c r="B942" t="s">
        <v>1211</v>
      </c>
      <c r="C942">
        <v>70107600</v>
      </c>
      <c r="D942" t="s">
        <v>1962</v>
      </c>
      <c r="E942" t="s">
        <v>1393</v>
      </c>
      <c r="F942" t="s">
        <v>126</v>
      </c>
      <c r="G942" t="s">
        <v>1394</v>
      </c>
      <c r="H942" s="1">
        <v>299200</v>
      </c>
      <c r="I942" t="s">
        <v>1963</v>
      </c>
      <c r="N942" s="4">
        <f t="shared" si="28"/>
        <v>70107600</v>
      </c>
      <c r="O942" t="str">
        <f t="shared" si="29"/>
        <v>R124LOG</v>
      </c>
    </row>
    <row r="943" spans="2:15" x14ac:dyDescent="0.25">
      <c r="B943" t="s">
        <v>1395</v>
      </c>
      <c r="C943" t="s">
        <v>1397</v>
      </c>
      <c r="D943" t="s">
        <v>1921</v>
      </c>
      <c r="F943" t="s">
        <v>249</v>
      </c>
      <c r="G943" t="s">
        <v>1396</v>
      </c>
      <c r="H943">
        <v>0</v>
      </c>
      <c r="I943" t="s">
        <v>1969</v>
      </c>
      <c r="N943" s="4" t="str">
        <f t="shared" si="28"/>
        <v>10.11.2025</v>
      </c>
      <c r="O943" t="str">
        <f t="shared" si="29"/>
        <v>R124D1HRDV</v>
      </c>
    </row>
    <row r="944" spans="2:15" x14ac:dyDescent="0.25">
      <c r="B944" t="s">
        <v>1397</v>
      </c>
      <c r="C944">
        <v>70107300</v>
      </c>
      <c r="D944" t="s">
        <v>1921</v>
      </c>
      <c r="E944" t="s">
        <v>1398</v>
      </c>
      <c r="F944" t="s">
        <v>41</v>
      </c>
      <c r="G944" t="s">
        <v>1399</v>
      </c>
      <c r="H944" s="1">
        <v>350000</v>
      </c>
      <c r="I944" t="s">
        <v>1920</v>
      </c>
      <c r="N944" s="4">
        <f t="shared" si="28"/>
        <v>70107300</v>
      </c>
      <c r="O944" t="str">
        <f t="shared" si="29"/>
        <v>R124D1HRDV</v>
      </c>
    </row>
    <row r="945" spans="2:15" x14ac:dyDescent="0.25">
      <c r="B945" t="s">
        <v>1397</v>
      </c>
      <c r="C945">
        <v>70101114</v>
      </c>
      <c r="D945" t="s">
        <v>1992</v>
      </c>
      <c r="E945" t="s">
        <v>1400</v>
      </c>
      <c r="F945" t="s">
        <v>59</v>
      </c>
      <c r="G945" t="s">
        <v>1401</v>
      </c>
      <c r="H945" s="1">
        <v>302000</v>
      </c>
      <c r="I945" t="s">
        <v>1991</v>
      </c>
      <c r="N945" s="4">
        <f t="shared" si="28"/>
        <v>70101114</v>
      </c>
      <c r="O945" t="str">
        <f t="shared" si="29"/>
        <v>R124FPO</v>
      </c>
    </row>
    <row r="946" spans="2:15" x14ac:dyDescent="0.25">
      <c r="B946" t="s">
        <v>1397</v>
      </c>
      <c r="C946">
        <v>70105300</v>
      </c>
      <c r="D946" t="s">
        <v>1943</v>
      </c>
      <c r="E946" t="s">
        <v>1402</v>
      </c>
      <c r="F946" t="s">
        <v>193</v>
      </c>
      <c r="G946" t="s">
        <v>1403</v>
      </c>
      <c r="H946" s="1">
        <v>210500</v>
      </c>
      <c r="I946" t="s">
        <v>1949</v>
      </c>
      <c r="N946" s="4">
        <f t="shared" si="28"/>
        <v>70105300</v>
      </c>
      <c r="O946" t="str">
        <f t="shared" si="29"/>
        <v>R124D1HRGA</v>
      </c>
    </row>
    <row r="947" spans="2:15" x14ac:dyDescent="0.25">
      <c r="B947" t="s">
        <v>1397</v>
      </c>
      <c r="C947">
        <v>70001110</v>
      </c>
      <c r="D947" t="s">
        <v>1923</v>
      </c>
      <c r="E947" t="s">
        <v>1404</v>
      </c>
      <c r="F947" t="s">
        <v>334</v>
      </c>
      <c r="G947" t="s">
        <v>1405</v>
      </c>
      <c r="H947" s="1">
        <v>50000</v>
      </c>
      <c r="I947" t="s">
        <v>1941</v>
      </c>
      <c r="N947" s="4">
        <f t="shared" si="28"/>
        <v>70001110</v>
      </c>
      <c r="O947" t="str">
        <f t="shared" si="29"/>
        <v>P206D1SLSS</v>
      </c>
    </row>
    <row r="948" spans="2:15" x14ac:dyDescent="0.25">
      <c r="B948" t="s">
        <v>1397</v>
      </c>
      <c r="C948">
        <v>70001110</v>
      </c>
      <c r="D948" t="s">
        <v>1923</v>
      </c>
      <c r="E948" t="s">
        <v>1404</v>
      </c>
      <c r="F948" t="s">
        <v>334</v>
      </c>
      <c r="G948" t="s">
        <v>1406</v>
      </c>
      <c r="H948" s="1">
        <v>50000</v>
      </c>
      <c r="I948" t="s">
        <v>1941</v>
      </c>
      <c r="N948" s="4">
        <f t="shared" si="28"/>
        <v>70001110</v>
      </c>
      <c r="O948" t="str">
        <f t="shared" si="29"/>
        <v>P206D1SLSS</v>
      </c>
    </row>
    <row r="949" spans="2:15" x14ac:dyDescent="0.25">
      <c r="B949" t="s">
        <v>1397</v>
      </c>
      <c r="C949">
        <v>70110210</v>
      </c>
      <c r="D949" t="s">
        <v>2019</v>
      </c>
      <c r="E949" t="s">
        <v>1407</v>
      </c>
      <c r="F949" t="s">
        <v>1187</v>
      </c>
      <c r="G949" t="s">
        <v>1408</v>
      </c>
      <c r="H949" s="1">
        <v>975000</v>
      </c>
      <c r="I949" t="s">
        <v>1966</v>
      </c>
      <c r="N949" s="4">
        <f t="shared" si="28"/>
        <v>70110210</v>
      </c>
      <c r="O949" t="str">
        <f t="shared" si="29"/>
        <v>H200D1MMDP</v>
      </c>
    </row>
    <row r="950" spans="2:15" x14ac:dyDescent="0.25">
      <c r="B950" t="s">
        <v>1397</v>
      </c>
      <c r="C950">
        <v>70106400</v>
      </c>
      <c r="D950" t="s">
        <v>1943</v>
      </c>
      <c r="E950" t="s">
        <v>1409</v>
      </c>
      <c r="F950" t="s">
        <v>96</v>
      </c>
      <c r="G950" t="s">
        <v>1410</v>
      </c>
      <c r="H950" s="1">
        <v>490000</v>
      </c>
      <c r="I950" t="s">
        <v>1942</v>
      </c>
      <c r="N950" s="4">
        <f t="shared" si="28"/>
        <v>70106400</v>
      </c>
      <c r="O950" t="str">
        <f t="shared" si="29"/>
        <v>R124D1HRGA</v>
      </c>
    </row>
    <row r="951" spans="2:15" x14ac:dyDescent="0.25">
      <c r="B951" t="s">
        <v>1397</v>
      </c>
      <c r="C951">
        <v>70106100</v>
      </c>
      <c r="D951" t="s">
        <v>1943</v>
      </c>
      <c r="E951" t="s">
        <v>1409</v>
      </c>
      <c r="F951" t="s">
        <v>67</v>
      </c>
      <c r="G951" t="s">
        <v>98</v>
      </c>
      <c r="H951" s="1">
        <v>508000</v>
      </c>
      <c r="I951" t="s">
        <v>1942</v>
      </c>
      <c r="N951" s="4">
        <f t="shared" si="28"/>
        <v>70106100</v>
      </c>
      <c r="O951" t="str">
        <f t="shared" si="29"/>
        <v>R124D1HRGA</v>
      </c>
    </row>
    <row r="952" spans="2:15" x14ac:dyDescent="0.25">
      <c r="B952" t="s">
        <v>1397</v>
      </c>
      <c r="C952">
        <v>70106400</v>
      </c>
      <c r="D952" t="s">
        <v>1943</v>
      </c>
      <c r="E952" t="s">
        <v>1411</v>
      </c>
      <c r="F952" t="s">
        <v>96</v>
      </c>
      <c r="G952" t="s">
        <v>1412</v>
      </c>
      <c r="H952" s="1">
        <v>800000</v>
      </c>
      <c r="I952" t="s">
        <v>1942</v>
      </c>
      <c r="N952" s="4">
        <f t="shared" si="28"/>
        <v>70106400</v>
      </c>
      <c r="O952" t="str">
        <f t="shared" si="29"/>
        <v>R124D1HRGA</v>
      </c>
    </row>
    <row r="953" spans="2:15" x14ac:dyDescent="0.25">
      <c r="B953" t="s">
        <v>1397</v>
      </c>
      <c r="C953">
        <v>70106100</v>
      </c>
      <c r="D953" t="s">
        <v>1943</v>
      </c>
      <c r="E953" t="s">
        <v>1411</v>
      </c>
      <c r="F953" t="s">
        <v>67</v>
      </c>
      <c r="G953" t="s">
        <v>98</v>
      </c>
      <c r="H953" s="1">
        <v>200000</v>
      </c>
      <c r="I953" t="s">
        <v>1942</v>
      </c>
      <c r="N953" s="4">
        <f t="shared" si="28"/>
        <v>70106100</v>
      </c>
      <c r="O953" t="str">
        <f t="shared" si="29"/>
        <v>R124D1HRGA</v>
      </c>
    </row>
    <row r="954" spans="2:15" x14ac:dyDescent="0.25">
      <c r="B954" t="s">
        <v>1397</v>
      </c>
      <c r="C954">
        <v>70107600</v>
      </c>
      <c r="D954" t="s">
        <v>2012</v>
      </c>
      <c r="E954" t="s">
        <v>1413</v>
      </c>
      <c r="F954" t="s">
        <v>126</v>
      </c>
      <c r="G954" t="s">
        <v>1414</v>
      </c>
      <c r="H954" s="1">
        <v>877100</v>
      </c>
      <c r="I954" t="s">
        <v>1925</v>
      </c>
      <c r="N954" s="4">
        <f t="shared" si="28"/>
        <v>70107600</v>
      </c>
      <c r="O954" t="str">
        <f t="shared" si="29"/>
        <v>R124REF4</v>
      </c>
    </row>
    <row r="955" spans="2:15" x14ac:dyDescent="0.25">
      <c r="B955" t="s">
        <v>1397</v>
      </c>
      <c r="C955">
        <v>70110210</v>
      </c>
      <c r="D955" t="s">
        <v>2019</v>
      </c>
      <c r="E955" t="s">
        <v>1415</v>
      </c>
      <c r="F955" t="s">
        <v>1187</v>
      </c>
      <c r="G955" t="s">
        <v>1416</v>
      </c>
      <c r="H955" s="1">
        <v>950000</v>
      </c>
      <c r="I955" t="s">
        <v>1966</v>
      </c>
      <c r="N955" s="4">
        <f t="shared" si="28"/>
        <v>70110210</v>
      </c>
      <c r="O955" t="str">
        <f t="shared" si="29"/>
        <v>H200D1MMDP</v>
      </c>
    </row>
    <row r="956" spans="2:15" x14ac:dyDescent="0.25">
      <c r="B956" t="s">
        <v>1397</v>
      </c>
      <c r="C956">
        <v>70119300</v>
      </c>
      <c r="D956" t="s">
        <v>1921</v>
      </c>
      <c r="E956" t="s">
        <v>1417</v>
      </c>
      <c r="F956" t="s">
        <v>259</v>
      </c>
      <c r="G956" t="s">
        <v>1418</v>
      </c>
      <c r="H956" s="1">
        <v>1000000</v>
      </c>
      <c r="I956" t="s">
        <v>1974</v>
      </c>
      <c r="N956" s="4">
        <f t="shared" si="28"/>
        <v>70119300</v>
      </c>
      <c r="O956" t="str">
        <f t="shared" si="29"/>
        <v>R124D1HRDV</v>
      </c>
    </row>
    <row r="957" spans="2:15" x14ac:dyDescent="0.25">
      <c r="B957" t="s">
        <v>1397</v>
      </c>
      <c r="C957">
        <v>70106100</v>
      </c>
      <c r="D957" t="s">
        <v>2014</v>
      </c>
      <c r="E957" t="s">
        <v>1419</v>
      </c>
      <c r="F957" t="s">
        <v>67</v>
      </c>
      <c r="G957" t="s">
        <v>1420</v>
      </c>
      <c r="H957" s="1">
        <v>129500</v>
      </c>
      <c r="I957" t="s">
        <v>2016</v>
      </c>
      <c r="N957" s="4">
        <f t="shared" si="28"/>
        <v>70106100</v>
      </c>
      <c r="O957" t="str">
        <f t="shared" si="29"/>
        <v>R124BLR</v>
      </c>
    </row>
    <row r="958" spans="2:15" x14ac:dyDescent="0.25">
      <c r="B958" t="s">
        <v>1397</v>
      </c>
      <c r="C958">
        <v>70107600</v>
      </c>
      <c r="D958" t="s">
        <v>2014</v>
      </c>
      <c r="E958" t="s">
        <v>1419</v>
      </c>
      <c r="F958" t="s">
        <v>126</v>
      </c>
      <c r="G958" t="s">
        <v>1421</v>
      </c>
      <c r="H958" s="1">
        <v>50000</v>
      </c>
      <c r="I958" t="s">
        <v>2016</v>
      </c>
      <c r="N958" s="4">
        <f t="shared" si="28"/>
        <v>70107600</v>
      </c>
      <c r="O958" t="str">
        <f t="shared" si="29"/>
        <v>R124BLR</v>
      </c>
    </row>
    <row r="959" spans="2:15" x14ac:dyDescent="0.25">
      <c r="B959" t="s">
        <v>1397</v>
      </c>
      <c r="C959">
        <v>70107600</v>
      </c>
      <c r="D959" t="s">
        <v>1959</v>
      </c>
      <c r="E959" t="s">
        <v>1422</v>
      </c>
      <c r="F959" t="s">
        <v>126</v>
      </c>
      <c r="G959" t="s">
        <v>1423</v>
      </c>
      <c r="H959" s="1">
        <v>75000</v>
      </c>
      <c r="I959" t="s">
        <v>1958</v>
      </c>
      <c r="N959" s="4">
        <f t="shared" si="28"/>
        <v>70107600</v>
      </c>
      <c r="O959" t="str">
        <f t="shared" si="29"/>
        <v>R124QCA</v>
      </c>
    </row>
    <row r="960" spans="2:15" x14ac:dyDescent="0.25">
      <c r="B960" t="s">
        <v>1397</v>
      </c>
      <c r="C960">
        <v>70101114</v>
      </c>
      <c r="D960" t="s">
        <v>1959</v>
      </c>
      <c r="E960" t="s">
        <v>1422</v>
      </c>
      <c r="F960" t="s">
        <v>59</v>
      </c>
      <c r="G960" t="s">
        <v>1424</v>
      </c>
      <c r="H960" s="1">
        <v>262820</v>
      </c>
      <c r="I960" t="s">
        <v>1958</v>
      </c>
      <c r="N960" s="4">
        <f t="shared" si="28"/>
        <v>70101114</v>
      </c>
      <c r="O960" t="str">
        <f t="shared" si="29"/>
        <v>R124QCA</v>
      </c>
    </row>
    <row r="961" spans="2:15" x14ac:dyDescent="0.25">
      <c r="B961" t="s">
        <v>1397</v>
      </c>
      <c r="C961">
        <v>70115100</v>
      </c>
      <c r="D961" t="s">
        <v>1959</v>
      </c>
      <c r="E961" t="s">
        <v>1422</v>
      </c>
      <c r="F961" t="s">
        <v>146</v>
      </c>
      <c r="G961" t="s">
        <v>1425</v>
      </c>
      <c r="H961" s="1">
        <v>225500</v>
      </c>
      <c r="I961" t="s">
        <v>1958</v>
      </c>
      <c r="N961" s="4">
        <f t="shared" si="28"/>
        <v>70115100</v>
      </c>
      <c r="O961" t="str">
        <f t="shared" si="29"/>
        <v>R124QCA</v>
      </c>
    </row>
    <row r="962" spans="2:15" x14ac:dyDescent="0.25">
      <c r="B962" t="s">
        <v>1397</v>
      </c>
      <c r="C962">
        <v>70115100</v>
      </c>
      <c r="D962" t="s">
        <v>1959</v>
      </c>
      <c r="E962" t="s">
        <v>1422</v>
      </c>
      <c r="F962" t="s">
        <v>146</v>
      </c>
      <c r="G962" t="s">
        <v>1426</v>
      </c>
      <c r="H962" s="1">
        <v>118400</v>
      </c>
      <c r="I962" t="s">
        <v>1958</v>
      </c>
      <c r="N962" s="4">
        <f t="shared" si="28"/>
        <v>70115100</v>
      </c>
      <c r="O962" t="str">
        <f t="shared" si="29"/>
        <v>R124QCA</v>
      </c>
    </row>
    <row r="963" spans="2:15" x14ac:dyDescent="0.25">
      <c r="B963" t="s">
        <v>1397</v>
      </c>
      <c r="C963">
        <v>70101202</v>
      </c>
      <c r="D963" t="s">
        <v>1923</v>
      </c>
      <c r="E963" t="s">
        <v>1427</v>
      </c>
      <c r="F963" t="s">
        <v>57</v>
      </c>
      <c r="G963" t="s">
        <v>181</v>
      </c>
      <c r="H963" s="1">
        <v>452000</v>
      </c>
      <c r="I963" t="s">
        <v>2009</v>
      </c>
      <c r="N963" s="4">
        <f t="shared" si="28"/>
        <v>70101202</v>
      </c>
      <c r="O963" t="str">
        <f t="shared" si="29"/>
        <v>P206D1SLSS</v>
      </c>
    </row>
    <row r="964" spans="2:15" x14ac:dyDescent="0.25">
      <c r="B964" t="s">
        <v>1397</v>
      </c>
      <c r="C964">
        <v>70101202</v>
      </c>
      <c r="D964" t="s">
        <v>1924</v>
      </c>
      <c r="E964" t="s">
        <v>1428</v>
      </c>
      <c r="F964" t="s">
        <v>57</v>
      </c>
      <c r="G964" t="s">
        <v>179</v>
      </c>
      <c r="H964" s="1">
        <v>358000</v>
      </c>
      <c r="I964" t="s">
        <v>1964</v>
      </c>
      <c r="N964" s="4">
        <f t="shared" si="28"/>
        <v>70101202</v>
      </c>
      <c r="O964" t="str">
        <f t="shared" si="29"/>
        <v>C206D1SLSS</v>
      </c>
    </row>
    <row r="965" spans="2:15" x14ac:dyDescent="0.25">
      <c r="B965" t="s">
        <v>1397</v>
      </c>
      <c r="C965">
        <v>70001110</v>
      </c>
      <c r="D965" t="s">
        <v>1923</v>
      </c>
      <c r="E965" t="s">
        <v>1429</v>
      </c>
      <c r="F965" t="s">
        <v>334</v>
      </c>
      <c r="G965" t="s">
        <v>1430</v>
      </c>
      <c r="H965" s="1">
        <v>50000</v>
      </c>
      <c r="I965" t="s">
        <v>1936</v>
      </c>
      <c r="N965" s="4">
        <f t="shared" si="28"/>
        <v>70001110</v>
      </c>
      <c r="O965" t="str">
        <f t="shared" si="29"/>
        <v>P206D1SLSS</v>
      </c>
    </row>
    <row r="966" spans="2:15" x14ac:dyDescent="0.25">
      <c r="B966" t="s">
        <v>1397</v>
      </c>
      <c r="C966">
        <v>70001110</v>
      </c>
      <c r="D966" t="s">
        <v>1923</v>
      </c>
      <c r="E966" t="s">
        <v>1429</v>
      </c>
      <c r="F966" t="s">
        <v>334</v>
      </c>
      <c r="G966" t="s">
        <v>1431</v>
      </c>
      <c r="H966" s="1">
        <v>50000</v>
      </c>
      <c r="I966" t="s">
        <v>1936</v>
      </c>
      <c r="N966" s="4">
        <f t="shared" si="28"/>
        <v>70001110</v>
      </c>
      <c r="O966" t="str">
        <f t="shared" si="29"/>
        <v>P206D1SLSS</v>
      </c>
    </row>
    <row r="967" spans="2:15" x14ac:dyDescent="0.25">
      <c r="B967" t="s">
        <v>1397</v>
      </c>
      <c r="C967">
        <v>70001110</v>
      </c>
      <c r="D967" t="s">
        <v>1923</v>
      </c>
      <c r="E967" t="s">
        <v>1429</v>
      </c>
      <c r="F967" t="s">
        <v>334</v>
      </c>
      <c r="G967" t="s">
        <v>1432</v>
      </c>
      <c r="H967" s="1">
        <v>50000</v>
      </c>
      <c r="I967" t="s">
        <v>1936</v>
      </c>
      <c r="N967" s="4">
        <f t="shared" si="28"/>
        <v>70001110</v>
      </c>
      <c r="O967" t="str">
        <f t="shared" si="29"/>
        <v>P206D1SLSS</v>
      </c>
    </row>
    <row r="968" spans="2:15" x14ac:dyDescent="0.25">
      <c r="B968" t="s">
        <v>1397</v>
      </c>
      <c r="C968">
        <v>70001110</v>
      </c>
      <c r="D968" t="s">
        <v>1923</v>
      </c>
      <c r="E968" t="s">
        <v>1429</v>
      </c>
      <c r="F968" t="s">
        <v>334</v>
      </c>
      <c r="G968" t="s">
        <v>1433</v>
      </c>
      <c r="H968" s="1">
        <v>50000</v>
      </c>
      <c r="I968" t="s">
        <v>1936</v>
      </c>
      <c r="N968" s="4">
        <f t="shared" si="28"/>
        <v>70001110</v>
      </c>
      <c r="O968" t="str">
        <f t="shared" si="29"/>
        <v>P206D1SLSS</v>
      </c>
    </row>
    <row r="969" spans="2:15" x14ac:dyDescent="0.25">
      <c r="B969" t="s">
        <v>1397</v>
      </c>
      <c r="C969">
        <v>70001110</v>
      </c>
      <c r="D969" t="s">
        <v>1923</v>
      </c>
      <c r="E969" t="s">
        <v>1429</v>
      </c>
      <c r="F969" t="s">
        <v>334</v>
      </c>
      <c r="G969" t="s">
        <v>1434</v>
      </c>
      <c r="H969" s="1">
        <v>50000</v>
      </c>
      <c r="I969" t="s">
        <v>1936</v>
      </c>
      <c r="N969" s="4">
        <f t="shared" si="28"/>
        <v>70001110</v>
      </c>
      <c r="O969" t="str">
        <f t="shared" si="29"/>
        <v>P206D1SLSS</v>
      </c>
    </row>
    <row r="970" spans="2:15" x14ac:dyDescent="0.25">
      <c r="B970" t="s">
        <v>1397</v>
      </c>
      <c r="C970">
        <v>70001110</v>
      </c>
      <c r="D970" t="s">
        <v>1923</v>
      </c>
      <c r="E970" t="s">
        <v>1429</v>
      </c>
      <c r="F970" t="s">
        <v>334</v>
      </c>
      <c r="G970" t="s">
        <v>1435</v>
      </c>
      <c r="H970" s="1">
        <v>200000</v>
      </c>
      <c r="I970" t="s">
        <v>1936</v>
      </c>
      <c r="N970" s="4">
        <f t="shared" si="28"/>
        <v>70001110</v>
      </c>
      <c r="O970" t="str">
        <f t="shared" si="29"/>
        <v>P206D1SLSS</v>
      </c>
    </row>
    <row r="971" spans="2:15" x14ac:dyDescent="0.25">
      <c r="B971" t="s">
        <v>1397</v>
      </c>
      <c r="C971">
        <v>70001110</v>
      </c>
      <c r="D971" t="s">
        <v>1923</v>
      </c>
      <c r="E971" t="s">
        <v>1429</v>
      </c>
      <c r="F971" t="s">
        <v>334</v>
      </c>
      <c r="G971" t="s">
        <v>1436</v>
      </c>
      <c r="H971" s="1">
        <v>200000</v>
      </c>
      <c r="I971" t="s">
        <v>1936</v>
      </c>
      <c r="N971" s="4">
        <f t="shared" ref="N971:N1034" si="30">+C971</f>
        <v>70001110</v>
      </c>
      <c r="O971" t="str">
        <f t="shared" ref="O971:O1034" si="31">+D971</f>
        <v>P206D1SLSS</v>
      </c>
    </row>
    <row r="972" spans="2:15" x14ac:dyDescent="0.25">
      <c r="B972" t="s">
        <v>1397</v>
      </c>
      <c r="C972">
        <v>70001110</v>
      </c>
      <c r="D972" t="s">
        <v>1924</v>
      </c>
      <c r="E972" t="s">
        <v>1437</v>
      </c>
      <c r="F972" t="s">
        <v>334</v>
      </c>
      <c r="G972" t="s">
        <v>1438</v>
      </c>
      <c r="H972" s="1">
        <v>410000</v>
      </c>
      <c r="I972" t="s">
        <v>1990</v>
      </c>
      <c r="N972" s="4">
        <f t="shared" si="30"/>
        <v>70001110</v>
      </c>
      <c r="O972" t="str">
        <f t="shared" si="31"/>
        <v>C206D1SLSS</v>
      </c>
    </row>
    <row r="973" spans="2:15" x14ac:dyDescent="0.25">
      <c r="B973" t="s">
        <v>1397</v>
      </c>
      <c r="C973">
        <v>70001110</v>
      </c>
      <c r="D973" t="s">
        <v>1924</v>
      </c>
      <c r="E973" t="s">
        <v>1437</v>
      </c>
      <c r="F973" t="s">
        <v>334</v>
      </c>
      <c r="G973" t="s">
        <v>1439</v>
      </c>
      <c r="H973" s="1">
        <v>410000</v>
      </c>
      <c r="I973" t="s">
        <v>1990</v>
      </c>
      <c r="N973" s="4">
        <f t="shared" si="30"/>
        <v>70001110</v>
      </c>
      <c r="O973" t="str">
        <f t="shared" si="31"/>
        <v>C206D1SLSS</v>
      </c>
    </row>
    <row r="974" spans="2:15" x14ac:dyDescent="0.25">
      <c r="B974" t="s">
        <v>1397</v>
      </c>
      <c r="C974">
        <v>70001110</v>
      </c>
      <c r="D974" t="s">
        <v>1923</v>
      </c>
      <c r="E974" t="s">
        <v>1440</v>
      </c>
      <c r="F974" t="s">
        <v>334</v>
      </c>
      <c r="G974" t="s">
        <v>1441</v>
      </c>
      <c r="H974" s="1">
        <v>50000</v>
      </c>
      <c r="I974" t="s">
        <v>1941</v>
      </c>
      <c r="N974" s="4">
        <f t="shared" si="30"/>
        <v>70001110</v>
      </c>
      <c r="O974" t="str">
        <f t="shared" si="31"/>
        <v>P206D1SLSS</v>
      </c>
    </row>
    <row r="975" spans="2:15" x14ac:dyDescent="0.25">
      <c r="B975" t="s">
        <v>1397</v>
      </c>
      <c r="C975">
        <v>70107600</v>
      </c>
      <c r="D975" t="s">
        <v>1953</v>
      </c>
      <c r="E975" t="s">
        <v>1442</v>
      </c>
      <c r="F975" t="s">
        <v>126</v>
      </c>
      <c r="G975" t="s">
        <v>1443</v>
      </c>
      <c r="H975" s="1">
        <v>25000</v>
      </c>
      <c r="I975" t="s">
        <v>2017</v>
      </c>
      <c r="N975" s="4">
        <f t="shared" si="30"/>
        <v>70107600</v>
      </c>
      <c r="O975" t="str">
        <f t="shared" si="31"/>
        <v>R124MNT</v>
      </c>
    </row>
    <row r="976" spans="2:15" x14ac:dyDescent="0.25">
      <c r="B976" t="s">
        <v>1397</v>
      </c>
      <c r="C976">
        <v>70110210</v>
      </c>
      <c r="D976" t="s">
        <v>2019</v>
      </c>
      <c r="E976" t="s">
        <v>1444</v>
      </c>
      <c r="F976" t="s">
        <v>1187</v>
      </c>
      <c r="G976" t="s">
        <v>1445</v>
      </c>
      <c r="H976" s="1">
        <v>623500</v>
      </c>
      <c r="I976" t="s">
        <v>1949</v>
      </c>
      <c r="N976" s="4">
        <f t="shared" si="30"/>
        <v>70110210</v>
      </c>
      <c r="O976" t="str">
        <f t="shared" si="31"/>
        <v>H200D1MMDP</v>
      </c>
    </row>
    <row r="977" spans="2:15" x14ac:dyDescent="0.25">
      <c r="B977" t="s">
        <v>1446</v>
      </c>
      <c r="C977">
        <v>70107600</v>
      </c>
      <c r="D977" t="s">
        <v>1951</v>
      </c>
      <c r="E977" t="s">
        <v>1447</v>
      </c>
      <c r="F977" t="s">
        <v>126</v>
      </c>
      <c r="G977" t="s">
        <v>1448</v>
      </c>
      <c r="H977" s="1">
        <v>396000</v>
      </c>
      <c r="I977" t="s">
        <v>1994</v>
      </c>
      <c r="N977" s="4">
        <f t="shared" si="30"/>
        <v>70107600</v>
      </c>
      <c r="O977" t="str">
        <f t="shared" si="31"/>
        <v>R124REF</v>
      </c>
    </row>
    <row r="978" spans="2:15" x14ac:dyDescent="0.25">
      <c r="B978" t="s">
        <v>1446</v>
      </c>
      <c r="C978">
        <v>70001110</v>
      </c>
      <c r="D978" t="s">
        <v>1938</v>
      </c>
      <c r="E978" t="s">
        <v>1449</v>
      </c>
      <c r="F978" t="s">
        <v>334</v>
      </c>
      <c r="G978" t="s">
        <v>1450</v>
      </c>
      <c r="H978" s="1">
        <v>2000</v>
      </c>
      <c r="I978" t="s">
        <v>1941</v>
      </c>
      <c r="N978" s="4">
        <f t="shared" si="30"/>
        <v>70001110</v>
      </c>
      <c r="O978" t="str">
        <f t="shared" si="31"/>
        <v>M204D1COMM</v>
      </c>
    </row>
    <row r="979" spans="2:15" x14ac:dyDescent="0.25">
      <c r="B979" t="s">
        <v>1446</v>
      </c>
      <c r="C979">
        <v>70106400</v>
      </c>
      <c r="D979" t="s">
        <v>1943</v>
      </c>
      <c r="E979" t="s">
        <v>1451</v>
      </c>
      <c r="F979" t="s">
        <v>96</v>
      </c>
      <c r="G979" t="s">
        <v>1452</v>
      </c>
      <c r="H979" s="1">
        <v>650000</v>
      </c>
      <c r="I979" t="s">
        <v>1942</v>
      </c>
      <c r="N979" s="4">
        <f t="shared" si="30"/>
        <v>70106400</v>
      </c>
      <c r="O979" t="str">
        <f t="shared" si="31"/>
        <v>R124D1HRGA</v>
      </c>
    </row>
    <row r="980" spans="2:15" x14ac:dyDescent="0.25">
      <c r="B980" t="s">
        <v>1446</v>
      </c>
      <c r="C980">
        <v>70106100</v>
      </c>
      <c r="D980" t="s">
        <v>1943</v>
      </c>
      <c r="E980" t="s">
        <v>1451</v>
      </c>
      <c r="F980" t="s">
        <v>67</v>
      </c>
      <c r="G980" t="s">
        <v>98</v>
      </c>
      <c r="H980" s="1">
        <v>347500</v>
      </c>
      <c r="I980" t="s">
        <v>1942</v>
      </c>
      <c r="N980" s="4">
        <f t="shared" si="30"/>
        <v>70106100</v>
      </c>
      <c r="O980" t="str">
        <f t="shared" si="31"/>
        <v>R124D1HRGA</v>
      </c>
    </row>
    <row r="981" spans="2:15" x14ac:dyDescent="0.25">
      <c r="B981" t="s">
        <v>1446</v>
      </c>
      <c r="C981">
        <v>70107100</v>
      </c>
      <c r="D981" t="s">
        <v>1943</v>
      </c>
      <c r="E981" t="s">
        <v>1453</v>
      </c>
      <c r="F981" t="s">
        <v>254</v>
      </c>
      <c r="G981" t="s">
        <v>1454</v>
      </c>
      <c r="H981" s="1">
        <v>290500</v>
      </c>
      <c r="I981" t="s">
        <v>1949</v>
      </c>
      <c r="N981" s="4">
        <f t="shared" si="30"/>
        <v>70107100</v>
      </c>
      <c r="O981" t="str">
        <f t="shared" si="31"/>
        <v>R124D1HRGA</v>
      </c>
    </row>
    <row r="982" spans="2:15" x14ac:dyDescent="0.25">
      <c r="B982" t="s">
        <v>1446</v>
      </c>
      <c r="C982">
        <v>70106400</v>
      </c>
      <c r="D982" t="s">
        <v>1943</v>
      </c>
      <c r="E982" t="s">
        <v>1455</v>
      </c>
      <c r="F982" t="s">
        <v>96</v>
      </c>
      <c r="G982" t="s">
        <v>1456</v>
      </c>
      <c r="H982" s="1">
        <v>510000</v>
      </c>
      <c r="I982" t="s">
        <v>1942</v>
      </c>
      <c r="N982" s="4">
        <f t="shared" si="30"/>
        <v>70106400</v>
      </c>
      <c r="O982" t="str">
        <f t="shared" si="31"/>
        <v>R124D1HRGA</v>
      </c>
    </row>
    <row r="983" spans="2:15" x14ac:dyDescent="0.25">
      <c r="B983" t="s">
        <v>1446</v>
      </c>
      <c r="C983">
        <v>70106100</v>
      </c>
      <c r="D983" t="s">
        <v>1943</v>
      </c>
      <c r="E983" t="s">
        <v>1455</v>
      </c>
      <c r="F983" t="s">
        <v>67</v>
      </c>
      <c r="G983" t="s">
        <v>98</v>
      </c>
      <c r="H983" s="1">
        <v>488000</v>
      </c>
      <c r="I983" t="s">
        <v>1942</v>
      </c>
      <c r="N983" s="4">
        <f t="shared" si="30"/>
        <v>70106100</v>
      </c>
      <c r="O983" t="str">
        <f t="shared" si="31"/>
        <v>R124D1HRGA</v>
      </c>
    </row>
    <row r="984" spans="2:15" x14ac:dyDescent="0.25">
      <c r="B984" t="s">
        <v>1446</v>
      </c>
      <c r="C984">
        <v>70001110</v>
      </c>
      <c r="D984" t="s">
        <v>1967</v>
      </c>
      <c r="E984" t="s">
        <v>1457</v>
      </c>
      <c r="F984" t="s">
        <v>334</v>
      </c>
      <c r="G984" t="s">
        <v>1458</v>
      </c>
      <c r="H984" s="1">
        <v>50000</v>
      </c>
      <c r="I984" t="s">
        <v>1947</v>
      </c>
      <c r="N984" s="4">
        <f t="shared" si="30"/>
        <v>70001110</v>
      </c>
      <c r="O984" t="str">
        <f t="shared" si="31"/>
        <v>P206D1SLSC</v>
      </c>
    </row>
    <row r="985" spans="2:15" x14ac:dyDescent="0.25">
      <c r="B985" t="s">
        <v>1446</v>
      </c>
      <c r="C985">
        <v>70001110</v>
      </c>
      <c r="D985" t="s">
        <v>1923</v>
      </c>
      <c r="E985" t="s">
        <v>1457</v>
      </c>
      <c r="F985" t="s">
        <v>334</v>
      </c>
      <c r="G985" t="s">
        <v>1459</v>
      </c>
      <c r="H985" s="1">
        <v>50000</v>
      </c>
      <c r="I985" t="s">
        <v>1947</v>
      </c>
      <c r="N985" s="4">
        <f t="shared" si="30"/>
        <v>70001110</v>
      </c>
      <c r="O985" t="str">
        <f t="shared" si="31"/>
        <v>P206D1SLSS</v>
      </c>
    </row>
    <row r="986" spans="2:15" x14ac:dyDescent="0.25">
      <c r="B986" t="s">
        <v>1446</v>
      </c>
      <c r="C986">
        <v>70001110</v>
      </c>
      <c r="D986" t="s">
        <v>1923</v>
      </c>
      <c r="E986" t="s">
        <v>1457</v>
      </c>
      <c r="F986" t="s">
        <v>334</v>
      </c>
      <c r="G986" t="s">
        <v>1460</v>
      </c>
      <c r="H986" s="1">
        <v>50000</v>
      </c>
      <c r="I986" t="s">
        <v>1947</v>
      </c>
      <c r="N986" s="4">
        <f t="shared" si="30"/>
        <v>70001110</v>
      </c>
      <c r="O986" t="str">
        <f t="shared" si="31"/>
        <v>P206D1SLSS</v>
      </c>
    </row>
    <row r="987" spans="2:15" x14ac:dyDescent="0.25">
      <c r="B987" t="s">
        <v>1446</v>
      </c>
      <c r="C987">
        <v>70101102</v>
      </c>
      <c r="D987" t="s">
        <v>1943</v>
      </c>
      <c r="E987" t="s">
        <v>1461</v>
      </c>
      <c r="F987" t="s">
        <v>129</v>
      </c>
      <c r="G987" t="s">
        <v>1462</v>
      </c>
      <c r="H987" s="1">
        <v>159800</v>
      </c>
      <c r="I987" t="s">
        <v>1949</v>
      </c>
      <c r="N987" s="4">
        <f t="shared" si="30"/>
        <v>70101102</v>
      </c>
      <c r="O987" t="str">
        <f t="shared" si="31"/>
        <v>R124D1HRGA</v>
      </c>
    </row>
    <row r="988" spans="2:15" x14ac:dyDescent="0.25">
      <c r="B988" t="s">
        <v>1446</v>
      </c>
      <c r="C988">
        <v>70101114</v>
      </c>
      <c r="D988" t="s">
        <v>1943</v>
      </c>
      <c r="E988" t="s">
        <v>1461</v>
      </c>
      <c r="F988" t="s">
        <v>59</v>
      </c>
      <c r="G988" t="s">
        <v>1463</v>
      </c>
      <c r="H988" s="1">
        <v>106000</v>
      </c>
      <c r="I988" t="s">
        <v>1949</v>
      </c>
      <c r="N988" s="4">
        <f t="shared" si="30"/>
        <v>70101114</v>
      </c>
      <c r="O988" t="str">
        <f t="shared" si="31"/>
        <v>R124D1HRGA</v>
      </c>
    </row>
    <row r="989" spans="2:15" x14ac:dyDescent="0.25">
      <c r="B989" t="s">
        <v>1446</v>
      </c>
      <c r="C989">
        <v>70106400</v>
      </c>
      <c r="D989" t="s">
        <v>1943</v>
      </c>
      <c r="E989" t="s">
        <v>1464</v>
      </c>
      <c r="F989" t="s">
        <v>96</v>
      </c>
      <c r="G989" t="s">
        <v>1465</v>
      </c>
      <c r="H989" s="1">
        <v>780000</v>
      </c>
      <c r="I989" t="s">
        <v>1942</v>
      </c>
      <c r="N989" s="4">
        <f t="shared" si="30"/>
        <v>70106400</v>
      </c>
      <c r="O989" t="str">
        <f t="shared" si="31"/>
        <v>R124D1HRGA</v>
      </c>
    </row>
    <row r="990" spans="2:15" x14ac:dyDescent="0.25">
      <c r="B990" t="s">
        <v>1446</v>
      </c>
      <c r="C990">
        <v>70106100</v>
      </c>
      <c r="D990" t="s">
        <v>1943</v>
      </c>
      <c r="E990" t="s">
        <v>1464</v>
      </c>
      <c r="F990" t="s">
        <v>67</v>
      </c>
      <c r="G990" t="s">
        <v>98</v>
      </c>
      <c r="H990" s="1">
        <v>217500</v>
      </c>
      <c r="I990" t="s">
        <v>1942</v>
      </c>
      <c r="N990" s="4">
        <f t="shared" si="30"/>
        <v>70106100</v>
      </c>
      <c r="O990" t="str">
        <f t="shared" si="31"/>
        <v>R124D1HRGA</v>
      </c>
    </row>
    <row r="991" spans="2:15" x14ac:dyDescent="0.25">
      <c r="B991" t="s">
        <v>1466</v>
      </c>
      <c r="C991">
        <v>70107100</v>
      </c>
      <c r="D991" t="s">
        <v>1943</v>
      </c>
      <c r="E991" t="s">
        <v>1467</v>
      </c>
      <c r="F991" t="s">
        <v>254</v>
      </c>
      <c r="G991" t="s">
        <v>1468</v>
      </c>
      <c r="H991" s="1">
        <v>800000</v>
      </c>
      <c r="I991" t="s">
        <v>1949</v>
      </c>
      <c r="N991" s="4">
        <f t="shared" si="30"/>
        <v>70107100</v>
      </c>
      <c r="O991" t="str">
        <f t="shared" si="31"/>
        <v>R124D1HRGA</v>
      </c>
    </row>
    <row r="992" spans="2:15" x14ac:dyDescent="0.25">
      <c r="B992" t="s">
        <v>1466</v>
      </c>
      <c r="C992">
        <v>70107600</v>
      </c>
      <c r="D992" t="s">
        <v>1995</v>
      </c>
      <c r="E992" t="s">
        <v>1469</v>
      </c>
      <c r="F992" t="s">
        <v>126</v>
      </c>
      <c r="G992" t="s">
        <v>1470</v>
      </c>
      <c r="H992" s="1">
        <v>482200</v>
      </c>
      <c r="I992" t="s">
        <v>1994</v>
      </c>
      <c r="N992" s="4">
        <f t="shared" si="30"/>
        <v>70107600</v>
      </c>
      <c r="O992" t="str">
        <f t="shared" si="31"/>
        <v>R124REF2</v>
      </c>
    </row>
    <row r="993" spans="2:15" x14ac:dyDescent="0.25">
      <c r="B993" t="s">
        <v>1466</v>
      </c>
      <c r="C993">
        <v>70101202</v>
      </c>
      <c r="D993" t="s">
        <v>1995</v>
      </c>
      <c r="E993" t="s">
        <v>1469</v>
      </c>
      <c r="F993" t="s">
        <v>57</v>
      </c>
      <c r="G993" t="s">
        <v>1471</v>
      </c>
      <c r="H993" s="1">
        <v>167756</v>
      </c>
      <c r="I993" t="s">
        <v>1994</v>
      </c>
      <c r="N993" s="4">
        <f t="shared" si="30"/>
        <v>70101202</v>
      </c>
      <c r="O993" t="str">
        <f t="shared" si="31"/>
        <v>R124REF2</v>
      </c>
    </row>
    <row r="994" spans="2:15" x14ac:dyDescent="0.25">
      <c r="B994" t="s">
        <v>1466</v>
      </c>
      <c r="C994">
        <v>70101114</v>
      </c>
      <c r="D994" t="s">
        <v>1943</v>
      </c>
      <c r="E994" t="s">
        <v>1472</v>
      </c>
      <c r="F994" t="s">
        <v>59</v>
      </c>
      <c r="G994" t="s">
        <v>1473</v>
      </c>
      <c r="H994" s="1">
        <v>423500</v>
      </c>
      <c r="I994" t="s">
        <v>1949</v>
      </c>
      <c r="N994" s="4">
        <f t="shared" si="30"/>
        <v>70101114</v>
      </c>
      <c r="O994" t="str">
        <f t="shared" si="31"/>
        <v>R124D1HRGA</v>
      </c>
    </row>
    <row r="995" spans="2:15" x14ac:dyDescent="0.25">
      <c r="B995" t="s">
        <v>1466</v>
      </c>
      <c r="C995">
        <v>70105210</v>
      </c>
      <c r="D995" t="s">
        <v>1943</v>
      </c>
      <c r="E995" t="s">
        <v>1472</v>
      </c>
      <c r="F995" t="s">
        <v>1474</v>
      </c>
      <c r="G995" t="s">
        <v>1475</v>
      </c>
      <c r="H995" s="1">
        <v>420500</v>
      </c>
      <c r="I995" t="s">
        <v>1949</v>
      </c>
      <c r="N995" s="4">
        <f t="shared" si="30"/>
        <v>70105210</v>
      </c>
      <c r="O995" t="str">
        <f t="shared" si="31"/>
        <v>R124D1HRGA</v>
      </c>
    </row>
    <row r="996" spans="2:15" x14ac:dyDescent="0.25">
      <c r="B996" t="s">
        <v>1466</v>
      </c>
      <c r="C996">
        <v>70107600</v>
      </c>
      <c r="D996" t="s">
        <v>1953</v>
      </c>
      <c r="E996" t="s">
        <v>1476</v>
      </c>
      <c r="F996" t="s">
        <v>126</v>
      </c>
      <c r="G996" t="s">
        <v>1477</v>
      </c>
      <c r="H996" s="1">
        <v>50000</v>
      </c>
      <c r="I996" t="s">
        <v>1957</v>
      </c>
      <c r="N996" s="4">
        <f t="shared" si="30"/>
        <v>70107600</v>
      </c>
      <c r="O996" t="str">
        <f t="shared" si="31"/>
        <v>R124MNT</v>
      </c>
    </row>
    <row r="997" spans="2:15" x14ac:dyDescent="0.25">
      <c r="B997" t="s">
        <v>1466</v>
      </c>
      <c r="C997">
        <v>70107600</v>
      </c>
      <c r="D997" t="s">
        <v>1953</v>
      </c>
      <c r="E997" t="s">
        <v>1478</v>
      </c>
      <c r="F997" t="s">
        <v>126</v>
      </c>
      <c r="G997" t="s">
        <v>1479</v>
      </c>
      <c r="H997" s="1">
        <v>50000</v>
      </c>
      <c r="I997" t="s">
        <v>1957</v>
      </c>
      <c r="N997" s="4">
        <f t="shared" si="30"/>
        <v>70107600</v>
      </c>
      <c r="O997" t="str">
        <f t="shared" si="31"/>
        <v>R124MNT</v>
      </c>
    </row>
    <row r="998" spans="2:15" x14ac:dyDescent="0.25">
      <c r="B998" t="s">
        <v>1466</v>
      </c>
      <c r="C998">
        <v>70106400</v>
      </c>
      <c r="D998" t="s">
        <v>1943</v>
      </c>
      <c r="E998" t="s">
        <v>1480</v>
      </c>
      <c r="F998" t="s">
        <v>96</v>
      </c>
      <c r="G998" t="s">
        <v>1481</v>
      </c>
      <c r="H998" s="1">
        <v>750000</v>
      </c>
      <c r="I998" t="s">
        <v>1942</v>
      </c>
      <c r="N998" s="4">
        <f t="shared" si="30"/>
        <v>70106400</v>
      </c>
      <c r="O998" t="str">
        <f t="shared" si="31"/>
        <v>R124D1HRGA</v>
      </c>
    </row>
    <row r="999" spans="2:15" x14ac:dyDescent="0.25">
      <c r="B999" t="s">
        <v>1466</v>
      </c>
      <c r="C999">
        <v>70106100</v>
      </c>
      <c r="D999" t="s">
        <v>1943</v>
      </c>
      <c r="E999" t="s">
        <v>1480</v>
      </c>
      <c r="F999" t="s">
        <v>67</v>
      </c>
      <c r="G999" t="s">
        <v>98</v>
      </c>
      <c r="H999" s="1">
        <v>247500</v>
      </c>
      <c r="I999" t="s">
        <v>1942</v>
      </c>
      <c r="N999" s="4">
        <f t="shared" si="30"/>
        <v>70106100</v>
      </c>
      <c r="O999" t="str">
        <f t="shared" si="31"/>
        <v>R124D1HRGA</v>
      </c>
    </row>
    <row r="1000" spans="2:15" x14ac:dyDescent="0.25">
      <c r="B1000" t="s">
        <v>1466</v>
      </c>
      <c r="C1000">
        <v>70110110</v>
      </c>
      <c r="D1000" t="s">
        <v>1921</v>
      </c>
      <c r="E1000" t="s">
        <v>1482</v>
      </c>
      <c r="F1000" t="s">
        <v>281</v>
      </c>
      <c r="G1000" t="s">
        <v>1483</v>
      </c>
      <c r="H1000" s="1">
        <v>700000</v>
      </c>
      <c r="I1000" t="s">
        <v>1974</v>
      </c>
      <c r="N1000" s="4">
        <f t="shared" si="30"/>
        <v>70110110</v>
      </c>
      <c r="O1000" t="str">
        <f t="shared" si="31"/>
        <v>R124D1HRDV</v>
      </c>
    </row>
    <row r="1001" spans="2:15" x14ac:dyDescent="0.25">
      <c r="B1001" t="s">
        <v>1466</v>
      </c>
      <c r="C1001">
        <v>70107100</v>
      </c>
      <c r="D1001" t="s">
        <v>1943</v>
      </c>
      <c r="E1001" t="s">
        <v>1484</v>
      </c>
      <c r="F1001" t="s">
        <v>254</v>
      </c>
      <c r="G1001" t="s">
        <v>1485</v>
      </c>
      <c r="H1001" s="1">
        <v>450000</v>
      </c>
      <c r="I1001" t="s">
        <v>1949</v>
      </c>
      <c r="N1001" s="4">
        <f t="shared" si="30"/>
        <v>70107100</v>
      </c>
      <c r="O1001" t="str">
        <f t="shared" si="31"/>
        <v>R124D1HRGA</v>
      </c>
    </row>
    <row r="1002" spans="2:15" x14ac:dyDescent="0.25">
      <c r="B1002" t="s">
        <v>1466</v>
      </c>
      <c r="C1002">
        <v>70001110</v>
      </c>
      <c r="D1002" t="s">
        <v>1923</v>
      </c>
      <c r="E1002" t="s">
        <v>1486</v>
      </c>
      <c r="F1002" t="s">
        <v>334</v>
      </c>
      <c r="G1002" t="s">
        <v>1487</v>
      </c>
      <c r="H1002" s="1">
        <v>50000</v>
      </c>
      <c r="I1002" t="s">
        <v>1941</v>
      </c>
      <c r="N1002" s="4">
        <f t="shared" si="30"/>
        <v>70001110</v>
      </c>
      <c r="O1002" t="str">
        <f t="shared" si="31"/>
        <v>P206D1SLSS</v>
      </c>
    </row>
    <row r="1003" spans="2:15" x14ac:dyDescent="0.25">
      <c r="B1003" t="s">
        <v>1466</v>
      </c>
      <c r="C1003">
        <v>70001110</v>
      </c>
      <c r="D1003" t="s">
        <v>1938</v>
      </c>
      <c r="E1003" t="s">
        <v>1486</v>
      </c>
      <c r="F1003" t="s">
        <v>334</v>
      </c>
      <c r="G1003" t="s">
        <v>1488</v>
      </c>
      <c r="H1003" s="1">
        <v>16000</v>
      </c>
      <c r="I1003" t="s">
        <v>1941</v>
      </c>
      <c r="N1003" s="4">
        <f t="shared" si="30"/>
        <v>70001110</v>
      </c>
      <c r="O1003" t="str">
        <f t="shared" si="31"/>
        <v>M204D1COMM</v>
      </c>
    </row>
    <row r="1004" spans="2:15" x14ac:dyDescent="0.25">
      <c r="B1004" t="s">
        <v>1466</v>
      </c>
      <c r="C1004">
        <v>70106400</v>
      </c>
      <c r="D1004" t="s">
        <v>1943</v>
      </c>
      <c r="E1004" t="s">
        <v>1489</v>
      </c>
      <c r="F1004" t="s">
        <v>96</v>
      </c>
      <c r="G1004" t="s">
        <v>1490</v>
      </c>
      <c r="H1004" s="1">
        <v>740000</v>
      </c>
      <c r="I1004" t="s">
        <v>1942</v>
      </c>
      <c r="N1004" s="4">
        <f t="shared" si="30"/>
        <v>70106400</v>
      </c>
      <c r="O1004" t="str">
        <f t="shared" si="31"/>
        <v>R124D1HRGA</v>
      </c>
    </row>
    <row r="1005" spans="2:15" x14ac:dyDescent="0.25">
      <c r="B1005" t="s">
        <v>1466</v>
      </c>
      <c r="C1005">
        <v>70106100</v>
      </c>
      <c r="D1005" t="s">
        <v>1943</v>
      </c>
      <c r="E1005" t="s">
        <v>1489</v>
      </c>
      <c r="F1005" t="s">
        <v>67</v>
      </c>
      <c r="G1005" t="s">
        <v>98</v>
      </c>
      <c r="H1005" s="1">
        <v>259000</v>
      </c>
      <c r="I1005" t="s">
        <v>1942</v>
      </c>
      <c r="N1005" s="4">
        <f t="shared" si="30"/>
        <v>70106100</v>
      </c>
      <c r="O1005" t="str">
        <f t="shared" si="31"/>
        <v>R124D1HRGA</v>
      </c>
    </row>
    <row r="1006" spans="2:15" x14ac:dyDescent="0.25">
      <c r="B1006" t="s">
        <v>1466</v>
      </c>
      <c r="C1006">
        <v>70107300</v>
      </c>
      <c r="D1006" t="s">
        <v>1921</v>
      </c>
      <c r="E1006" t="s">
        <v>1491</v>
      </c>
      <c r="F1006" t="s">
        <v>41</v>
      </c>
      <c r="G1006" t="s">
        <v>1492</v>
      </c>
      <c r="H1006" s="1">
        <v>400000</v>
      </c>
      <c r="I1006" t="s">
        <v>1920</v>
      </c>
      <c r="N1006" s="4">
        <f t="shared" si="30"/>
        <v>70107300</v>
      </c>
      <c r="O1006" t="str">
        <f t="shared" si="31"/>
        <v>R124D1HRDV</v>
      </c>
    </row>
    <row r="1007" spans="2:15" x14ac:dyDescent="0.25">
      <c r="B1007" t="s">
        <v>1466</v>
      </c>
      <c r="C1007">
        <v>70107600</v>
      </c>
      <c r="D1007" t="s">
        <v>1953</v>
      </c>
      <c r="E1007" t="s">
        <v>1493</v>
      </c>
      <c r="F1007" t="s">
        <v>126</v>
      </c>
      <c r="G1007" t="s">
        <v>1494</v>
      </c>
      <c r="H1007" s="1">
        <v>50000</v>
      </c>
      <c r="I1007" t="s">
        <v>1957</v>
      </c>
      <c r="N1007" s="4">
        <f t="shared" si="30"/>
        <v>70107600</v>
      </c>
      <c r="O1007" t="str">
        <f t="shared" si="31"/>
        <v>R124MNT</v>
      </c>
    </row>
    <row r="1008" spans="2:15" x14ac:dyDescent="0.25">
      <c r="B1008" t="s">
        <v>1495</v>
      </c>
      <c r="C1008">
        <v>70001110</v>
      </c>
      <c r="D1008" t="s">
        <v>1938</v>
      </c>
      <c r="E1008" t="s">
        <v>1496</v>
      </c>
      <c r="F1008" t="s">
        <v>334</v>
      </c>
      <c r="G1008" t="s">
        <v>1497</v>
      </c>
      <c r="H1008" s="1">
        <v>50000</v>
      </c>
      <c r="I1008" t="s">
        <v>1936</v>
      </c>
      <c r="N1008" s="4">
        <f t="shared" si="30"/>
        <v>70001110</v>
      </c>
      <c r="O1008" t="str">
        <f t="shared" si="31"/>
        <v>M204D1COMM</v>
      </c>
    </row>
    <row r="1009" spans="2:15" x14ac:dyDescent="0.25">
      <c r="B1009" t="s">
        <v>1495</v>
      </c>
      <c r="C1009">
        <v>70001110</v>
      </c>
      <c r="D1009" t="s">
        <v>1938</v>
      </c>
      <c r="E1009" t="s">
        <v>1496</v>
      </c>
      <c r="F1009" t="s">
        <v>334</v>
      </c>
      <c r="G1009" t="s">
        <v>1498</v>
      </c>
      <c r="H1009" s="1">
        <v>100000</v>
      </c>
      <c r="I1009" t="s">
        <v>1936</v>
      </c>
      <c r="N1009" s="4">
        <f t="shared" si="30"/>
        <v>70001110</v>
      </c>
      <c r="O1009" t="str">
        <f t="shared" si="31"/>
        <v>M204D1COMM</v>
      </c>
    </row>
    <row r="1010" spans="2:15" x14ac:dyDescent="0.25">
      <c r="B1010" t="s">
        <v>1495</v>
      </c>
      <c r="C1010">
        <v>70001110</v>
      </c>
      <c r="D1010" t="s">
        <v>1938</v>
      </c>
      <c r="E1010" t="s">
        <v>1496</v>
      </c>
      <c r="F1010" t="s">
        <v>334</v>
      </c>
      <c r="G1010" t="s">
        <v>1499</v>
      </c>
      <c r="H1010" s="1">
        <v>100000</v>
      </c>
      <c r="I1010" t="s">
        <v>1936</v>
      </c>
      <c r="N1010" s="4">
        <f t="shared" si="30"/>
        <v>70001110</v>
      </c>
      <c r="O1010" t="str">
        <f t="shared" si="31"/>
        <v>M204D1COMM</v>
      </c>
    </row>
    <row r="1011" spans="2:15" x14ac:dyDescent="0.25">
      <c r="B1011" t="s">
        <v>1495</v>
      </c>
      <c r="C1011">
        <v>70001110</v>
      </c>
      <c r="D1011" t="s">
        <v>1938</v>
      </c>
      <c r="E1011" t="s">
        <v>1496</v>
      </c>
      <c r="F1011" t="s">
        <v>334</v>
      </c>
      <c r="G1011" t="s">
        <v>1500</v>
      </c>
      <c r="H1011" s="1">
        <v>200000</v>
      </c>
      <c r="I1011" t="s">
        <v>1936</v>
      </c>
      <c r="N1011" s="4">
        <f t="shared" si="30"/>
        <v>70001110</v>
      </c>
      <c r="O1011" t="str">
        <f t="shared" si="31"/>
        <v>M204D1COMM</v>
      </c>
    </row>
    <row r="1012" spans="2:15" x14ac:dyDescent="0.25">
      <c r="B1012" t="s">
        <v>1495</v>
      </c>
      <c r="C1012">
        <v>70107300</v>
      </c>
      <c r="D1012" t="s">
        <v>1921</v>
      </c>
      <c r="E1012" t="s">
        <v>1501</v>
      </c>
      <c r="F1012" t="s">
        <v>41</v>
      </c>
      <c r="G1012" t="s">
        <v>1502</v>
      </c>
      <c r="H1012" s="1">
        <v>350000</v>
      </c>
      <c r="I1012" t="s">
        <v>1920</v>
      </c>
      <c r="N1012" s="4">
        <f t="shared" si="30"/>
        <v>70107300</v>
      </c>
      <c r="O1012" t="str">
        <f t="shared" si="31"/>
        <v>R124D1HRDV</v>
      </c>
    </row>
    <row r="1013" spans="2:15" x14ac:dyDescent="0.25">
      <c r="B1013" t="s">
        <v>1495</v>
      </c>
      <c r="C1013">
        <v>70107600</v>
      </c>
      <c r="D1013" t="s">
        <v>1951</v>
      </c>
      <c r="E1013" t="s">
        <v>1503</v>
      </c>
      <c r="F1013" t="s">
        <v>126</v>
      </c>
      <c r="G1013" t="s">
        <v>1470</v>
      </c>
      <c r="H1013" s="1">
        <v>119000</v>
      </c>
      <c r="I1013" t="s">
        <v>1994</v>
      </c>
      <c r="N1013" s="4">
        <f t="shared" si="30"/>
        <v>70107600</v>
      </c>
      <c r="O1013" t="str">
        <f t="shared" si="31"/>
        <v>R124REF</v>
      </c>
    </row>
    <row r="1014" spans="2:15" x14ac:dyDescent="0.25">
      <c r="B1014" t="s">
        <v>1495</v>
      </c>
      <c r="C1014">
        <v>70101114</v>
      </c>
      <c r="D1014" t="s">
        <v>1951</v>
      </c>
      <c r="E1014" t="s">
        <v>1503</v>
      </c>
      <c r="F1014" t="s">
        <v>59</v>
      </c>
      <c r="G1014" t="s">
        <v>1504</v>
      </c>
      <c r="H1014" s="1">
        <v>80000</v>
      </c>
      <c r="I1014" t="s">
        <v>1994</v>
      </c>
      <c r="N1014" s="4">
        <f t="shared" si="30"/>
        <v>70101114</v>
      </c>
      <c r="O1014" t="str">
        <f t="shared" si="31"/>
        <v>R124REF</v>
      </c>
    </row>
    <row r="1015" spans="2:15" x14ac:dyDescent="0.25">
      <c r="B1015" t="s">
        <v>1495</v>
      </c>
      <c r="C1015">
        <v>70106400</v>
      </c>
      <c r="D1015" t="s">
        <v>1943</v>
      </c>
      <c r="E1015" t="s">
        <v>1505</v>
      </c>
      <c r="F1015" t="s">
        <v>96</v>
      </c>
      <c r="G1015" t="s">
        <v>1506</v>
      </c>
      <c r="H1015" s="1">
        <v>800000</v>
      </c>
      <c r="I1015" t="s">
        <v>1942</v>
      </c>
      <c r="N1015" s="4">
        <f t="shared" si="30"/>
        <v>70106400</v>
      </c>
      <c r="O1015" t="str">
        <f t="shared" si="31"/>
        <v>R124D1HRGA</v>
      </c>
    </row>
    <row r="1016" spans="2:15" x14ac:dyDescent="0.25">
      <c r="B1016" t="s">
        <v>1495</v>
      </c>
      <c r="C1016">
        <v>70106100</v>
      </c>
      <c r="D1016" t="s">
        <v>1943</v>
      </c>
      <c r="E1016" t="s">
        <v>1505</v>
      </c>
      <c r="F1016" t="s">
        <v>67</v>
      </c>
      <c r="G1016" t="s">
        <v>98</v>
      </c>
      <c r="H1016" s="1">
        <v>200000</v>
      </c>
      <c r="I1016" t="s">
        <v>1942</v>
      </c>
      <c r="N1016" s="4">
        <f t="shared" si="30"/>
        <v>70106100</v>
      </c>
      <c r="O1016" t="str">
        <f t="shared" si="31"/>
        <v>R124D1HRGA</v>
      </c>
    </row>
    <row r="1017" spans="2:15" x14ac:dyDescent="0.25">
      <c r="B1017" t="s">
        <v>1495</v>
      </c>
      <c r="C1017">
        <v>70107600</v>
      </c>
      <c r="D1017" t="s">
        <v>1975</v>
      </c>
      <c r="E1017" t="s">
        <v>1507</v>
      </c>
      <c r="F1017" t="s">
        <v>126</v>
      </c>
      <c r="G1017" t="s">
        <v>1508</v>
      </c>
      <c r="H1017" s="1">
        <v>500000</v>
      </c>
      <c r="I1017" t="s">
        <v>1920</v>
      </c>
      <c r="N1017" s="4">
        <f t="shared" si="30"/>
        <v>70107600</v>
      </c>
      <c r="O1017" t="str">
        <f t="shared" si="31"/>
        <v>R124D1MGMT</v>
      </c>
    </row>
    <row r="1018" spans="2:15" x14ac:dyDescent="0.25">
      <c r="B1018" t="s">
        <v>1495</v>
      </c>
      <c r="C1018">
        <v>70101114</v>
      </c>
      <c r="D1018" t="s">
        <v>1961</v>
      </c>
      <c r="E1018" t="s">
        <v>1509</v>
      </c>
      <c r="F1018" t="s">
        <v>59</v>
      </c>
      <c r="G1018" t="s">
        <v>1510</v>
      </c>
      <c r="H1018" s="1">
        <v>50000</v>
      </c>
      <c r="I1018" t="s">
        <v>1960</v>
      </c>
      <c r="N1018" s="4">
        <f t="shared" si="30"/>
        <v>70101114</v>
      </c>
      <c r="O1018" t="str">
        <f t="shared" si="31"/>
        <v>R124D1EHFS</v>
      </c>
    </row>
    <row r="1019" spans="2:15" x14ac:dyDescent="0.25">
      <c r="B1019" t="s">
        <v>1495</v>
      </c>
      <c r="C1019">
        <v>70108100</v>
      </c>
      <c r="D1019" t="s">
        <v>1979</v>
      </c>
      <c r="E1019" t="s">
        <v>1511</v>
      </c>
      <c r="F1019" t="s">
        <v>274</v>
      </c>
      <c r="G1019" t="s">
        <v>1512</v>
      </c>
      <c r="H1019" s="1">
        <v>543200</v>
      </c>
      <c r="I1019" t="s">
        <v>2024</v>
      </c>
      <c r="N1019" s="4">
        <f t="shared" si="30"/>
        <v>70108100</v>
      </c>
      <c r="O1019" t="str">
        <f t="shared" si="31"/>
        <v>R124D1FRCO</v>
      </c>
    </row>
    <row r="1020" spans="2:15" x14ac:dyDescent="0.25">
      <c r="B1020" t="s">
        <v>1495</v>
      </c>
      <c r="C1020">
        <v>70106400</v>
      </c>
      <c r="D1020" t="s">
        <v>1943</v>
      </c>
      <c r="E1020" t="s">
        <v>1513</v>
      </c>
      <c r="F1020" t="s">
        <v>96</v>
      </c>
      <c r="G1020" t="s">
        <v>1514</v>
      </c>
      <c r="H1020" s="1">
        <v>550000</v>
      </c>
      <c r="I1020" t="s">
        <v>1942</v>
      </c>
      <c r="N1020" s="4">
        <f t="shared" si="30"/>
        <v>70106400</v>
      </c>
      <c r="O1020" t="str">
        <f t="shared" si="31"/>
        <v>R124D1HRGA</v>
      </c>
    </row>
    <row r="1021" spans="2:15" x14ac:dyDescent="0.25">
      <c r="B1021" t="s">
        <v>1495</v>
      </c>
      <c r="C1021">
        <v>70106100</v>
      </c>
      <c r="D1021" t="s">
        <v>1943</v>
      </c>
      <c r="E1021" t="s">
        <v>1513</v>
      </c>
      <c r="F1021" t="s">
        <v>67</v>
      </c>
      <c r="G1021" t="s">
        <v>98</v>
      </c>
      <c r="H1021" s="1">
        <v>450000</v>
      </c>
      <c r="I1021" t="s">
        <v>1942</v>
      </c>
      <c r="N1021" s="4">
        <f t="shared" si="30"/>
        <v>70106100</v>
      </c>
      <c r="O1021" t="str">
        <f t="shared" si="31"/>
        <v>R124D1HRGA</v>
      </c>
    </row>
    <row r="1022" spans="2:15" x14ac:dyDescent="0.25">
      <c r="B1022" t="s">
        <v>1495</v>
      </c>
      <c r="C1022">
        <v>70101114</v>
      </c>
      <c r="D1022" t="s">
        <v>1943</v>
      </c>
      <c r="E1022" t="s">
        <v>1515</v>
      </c>
      <c r="F1022" t="s">
        <v>59</v>
      </c>
      <c r="G1022" t="s">
        <v>1516</v>
      </c>
      <c r="H1022" s="1">
        <v>430000</v>
      </c>
      <c r="I1022" t="s">
        <v>1949</v>
      </c>
      <c r="N1022" s="4">
        <f t="shared" si="30"/>
        <v>70101114</v>
      </c>
      <c r="O1022" t="str">
        <f t="shared" si="31"/>
        <v>R124D1HRGA</v>
      </c>
    </row>
    <row r="1023" spans="2:15" x14ac:dyDescent="0.25">
      <c r="B1023" t="s">
        <v>1495</v>
      </c>
      <c r="C1023">
        <v>70108100</v>
      </c>
      <c r="D1023" t="s">
        <v>1943</v>
      </c>
      <c r="E1023" t="s">
        <v>1517</v>
      </c>
      <c r="F1023" t="s">
        <v>274</v>
      </c>
      <c r="G1023" t="s">
        <v>1518</v>
      </c>
      <c r="H1023" s="1">
        <v>996100</v>
      </c>
      <c r="I1023" t="s">
        <v>1949</v>
      </c>
      <c r="N1023" s="4">
        <f t="shared" si="30"/>
        <v>70108100</v>
      </c>
      <c r="O1023" t="str">
        <f t="shared" si="31"/>
        <v>R124D1HRGA</v>
      </c>
    </row>
    <row r="1024" spans="2:15" x14ac:dyDescent="0.25">
      <c r="B1024" t="s">
        <v>1495</v>
      </c>
      <c r="C1024">
        <v>70101102</v>
      </c>
      <c r="D1024" t="s">
        <v>2008</v>
      </c>
      <c r="E1024" t="s">
        <v>1519</v>
      </c>
      <c r="F1024" t="s">
        <v>129</v>
      </c>
      <c r="G1024" t="s">
        <v>1520</v>
      </c>
      <c r="H1024" s="1">
        <v>208000</v>
      </c>
      <c r="I1024" t="s">
        <v>2025</v>
      </c>
      <c r="N1024" s="4">
        <f t="shared" si="30"/>
        <v>70101102</v>
      </c>
      <c r="O1024" t="str">
        <f t="shared" si="31"/>
        <v>R124STTRK</v>
      </c>
    </row>
    <row r="1025" spans="2:15" x14ac:dyDescent="0.25">
      <c r="B1025" t="s">
        <v>1521</v>
      </c>
      <c r="C1025">
        <v>70001110</v>
      </c>
      <c r="D1025" t="s">
        <v>1923</v>
      </c>
      <c r="E1025" t="s">
        <v>1522</v>
      </c>
      <c r="F1025" t="s">
        <v>334</v>
      </c>
      <c r="G1025" t="s">
        <v>1523</v>
      </c>
      <c r="H1025" s="1">
        <v>50000</v>
      </c>
      <c r="I1025" t="s">
        <v>1990</v>
      </c>
      <c r="N1025" s="4">
        <f t="shared" si="30"/>
        <v>70001110</v>
      </c>
      <c r="O1025" t="str">
        <f t="shared" si="31"/>
        <v>P206D1SLSS</v>
      </c>
    </row>
    <row r="1026" spans="2:15" x14ac:dyDescent="0.25">
      <c r="B1026" t="s">
        <v>1521</v>
      </c>
      <c r="C1026">
        <v>70001110</v>
      </c>
      <c r="D1026" t="s">
        <v>1967</v>
      </c>
      <c r="E1026" t="s">
        <v>1524</v>
      </c>
      <c r="F1026" t="s">
        <v>334</v>
      </c>
      <c r="G1026" t="s">
        <v>1525</v>
      </c>
      <c r="H1026" s="1">
        <v>50000</v>
      </c>
      <c r="I1026" t="s">
        <v>1947</v>
      </c>
      <c r="N1026" s="4">
        <f t="shared" si="30"/>
        <v>70001110</v>
      </c>
      <c r="O1026" t="str">
        <f t="shared" si="31"/>
        <v>P206D1SLSC</v>
      </c>
    </row>
    <row r="1027" spans="2:15" x14ac:dyDescent="0.25">
      <c r="B1027" t="s">
        <v>1521</v>
      </c>
      <c r="C1027">
        <v>70001110</v>
      </c>
      <c r="D1027" t="s">
        <v>1923</v>
      </c>
      <c r="E1027" t="s">
        <v>1524</v>
      </c>
      <c r="F1027" t="s">
        <v>334</v>
      </c>
      <c r="G1027" t="s">
        <v>1526</v>
      </c>
      <c r="H1027" s="1">
        <v>50000</v>
      </c>
      <c r="I1027" t="s">
        <v>1947</v>
      </c>
      <c r="N1027" s="4">
        <f t="shared" si="30"/>
        <v>70001110</v>
      </c>
      <c r="O1027" t="str">
        <f t="shared" si="31"/>
        <v>P206D1SLSS</v>
      </c>
    </row>
    <row r="1028" spans="2:15" x14ac:dyDescent="0.25">
      <c r="B1028" t="s">
        <v>1521</v>
      </c>
      <c r="C1028">
        <v>70001110</v>
      </c>
      <c r="D1028" t="s">
        <v>1923</v>
      </c>
      <c r="E1028" t="s">
        <v>1524</v>
      </c>
      <c r="F1028" t="s">
        <v>334</v>
      </c>
      <c r="G1028" t="s">
        <v>1527</v>
      </c>
      <c r="H1028" s="1">
        <v>50000</v>
      </c>
      <c r="I1028" t="s">
        <v>1947</v>
      </c>
      <c r="N1028" s="4">
        <f t="shared" si="30"/>
        <v>70001110</v>
      </c>
      <c r="O1028" t="str">
        <f t="shared" si="31"/>
        <v>P206D1SLSS</v>
      </c>
    </row>
    <row r="1029" spans="2:15" x14ac:dyDescent="0.25">
      <c r="B1029" t="s">
        <v>1521</v>
      </c>
      <c r="C1029">
        <v>70001110</v>
      </c>
      <c r="D1029" t="s">
        <v>1923</v>
      </c>
      <c r="E1029" t="s">
        <v>1524</v>
      </c>
      <c r="F1029" t="s">
        <v>334</v>
      </c>
      <c r="G1029" t="s">
        <v>1528</v>
      </c>
      <c r="H1029" s="1">
        <v>50000</v>
      </c>
      <c r="I1029" t="s">
        <v>1947</v>
      </c>
      <c r="N1029" s="4">
        <f t="shared" si="30"/>
        <v>70001110</v>
      </c>
      <c r="O1029" t="str">
        <f t="shared" si="31"/>
        <v>P206D1SLSS</v>
      </c>
    </row>
    <row r="1030" spans="2:15" x14ac:dyDescent="0.25">
      <c r="B1030" t="s">
        <v>1521</v>
      </c>
      <c r="C1030">
        <v>70001110</v>
      </c>
      <c r="D1030" t="s">
        <v>1923</v>
      </c>
      <c r="E1030" t="s">
        <v>1524</v>
      </c>
      <c r="F1030" t="s">
        <v>334</v>
      </c>
      <c r="G1030" t="s">
        <v>1529</v>
      </c>
      <c r="H1030" s="1">
        <v>50000</v>
      </c>
      <c r="I1030" t="s">
        <v>1947</v>
      </c>
      <c r="N1030" s="4">
        <f t="shared" si="30"/>
        <v>70001110</v>
      </c>
      <c r="O1030" t="str">
        <f t="shared" si="31"/>
        <v>P206D1SLSS</v>
      </c>
    </row>
    <row r="1031" spans="2:15" x14ac:dyDescent="0.25">
      <c r="B1031" t="s">
        <v>1521</v>
      </c>
      <c r="C1031">
        <v>70001110</v>
      </c>
      <c r="D1031" t="s">
        <v>1923</v>
      </c>
      <c r="E1031" t="s">
        <v>1530</v>
      </c>
      <c r="F1031" t="s">
        <v>334</v>
      </c>
      <c r="G1031" t="s">
        <v>1531</v>
      </c>
      <c r="H1031" s="1">
        <v>50000</v>
      </c>
      <c r="I1031" t="s">
        <v>1940</v>
      </c>
      <c r="N1031" s="4">
        <f t="shared" si="30"/>
        <v>70001110</v>
      </c>
      <c r="O1031" t="str">
        <f t="shared" si="31"/>
        <v>P206D1SLSS</v>
      </c>
    </row>
    <row r="1032" spans="2:15" x14ac:dyDescent="0.25">
      <c r="B1032" t="s">
        <v>1521</v>
      </c>
      <c r="C1032">
        <v>70001110</v>
      </c>
      <c r="D1032" t="s">
        <v>1923</v>
      </c>
      <c r="E1032" t="s">
        <v>1530</v>
      </c>
      <c r="F1032" t="s">
        <v>334</v>
      </c>
      <c r="G1032" t="s">
        <v>1532</v>
      </c>
      <c r="H1032" s="1">
        <v>50000</v>
      </c>
      <c r="I1032" t="s">
        <v>1940</v>
      </c>
      <c r="N1032" s="4">
        <f t="shared" si="30"/>
        <v>70001110</v>
      </c>
      <c r="O1032" t="str">
        <f t="shared" si="31"/>
        <v>P206D1SLSS</v>
      </c>
    </row>
    <row r="1033" spans="2:15" x14ac:dyDescent="0.25">
      <c r="B1033" t="s">
        <v>1521</v>
      </c>
      <c r="C1033">
        <v>70001110</v>
      </c>
      <c r="D1033" t="s">
        <v>1923</v>
      </c>
      <c r="E1033" t="s">
        <v>1530</v>
      </c>
      <c r="F1033" t="s">
        <v>334</v>
      </c>
      <c r="G1033" t="s">
        <v>1533</v>
      </c>
      <c r="H1033" s="1">
        <v>50000</v>
      </c>
      <c r="I1033" t="s">
        <v>1940</v>
      </c>
      <c r="N1033" s="4">
        <f t="shared" si="30"/>
        <v>70001110</v>
      </c>
      <c r="O1033" t="str">
        <f t="shared" si="31"/>
        <v>P206D1SLSS</v>
      </c>
    </row>
    <row r="1034" spans="2:15" x14ac:dyDescent="0.25">
      <c r="B1034" t="s">
        <v>1521</v>
      </c>
      <c r="C1034">
        <v>70001110</v>
      </c>
      <c r="D1034" t="s">
        <v>1967</v>
      </c>
      <c r="E1034" t="s">
        <v>1530</v>
      </c>
      <c r="F1034" t="s">
        <v>334</v>
      </c>
      <c r="G1034" t="s">
        <v>1534</v>
      </c>
      <c r="H1034" s="1">
        <v>50000</v>
      </c>
      <c r="I1034" t="s">
        <v>1940</v>
      </c>
      <c r="N1034" s="4">
        <f t="shared" si="30"/>
        <v>70001110</v>
      </c>
      <c r="O1034" t="str">
        <f t="shared" si="31"/>
        <v>P206D1SLSC</v>
      </c>
    </row>
    <row r="1035" spans="2:15" x14ac:dyDescent="0.25">
      <c r="B1035" t="s">
        <v>1521</v>
      </c>
      <c r="C1035">
        <v>70001110</v>
      </c>
      <c r="D1035" t="s">
        <v>1923</v>
      </c>
      <c r="E1035" t="s">
        <v>1530</v>
      </c>
      <c r="F1035" t="s">
        <v>334</v>
      </c>
      <c r="G1035" t="s">
        <v>1535</v>
      </c>
      <c r="H1035" s="1">
        <v>50000</v>
      </c>
      <c r="I1035" t="s">
        <v>1940</v>
      </c>
      <c r="N1035" s="4">
        <f t="shared" ref="N1035:N1098" si="32">+C1035</f>
        <v>70001110</v>
      </c>
      <c r="O1035" t="str">
        <f t="shared" ref="O1035:O1098" si="33">+D1035</f>
        <v>P206D1SLSS</v>
      </c>
    </row>
    <row r="1036" spans="2:15" x14ac:dyDescent="0.25">
      <c r="B1036" t="s">
        <v>1521</v>
      </c>
      <c r="C1036">
        <v>70001110</v>
      </c>
      <c r="D1036" t="s">
        <v>1923</v>
      </c>
      <c r="E1036" t="s">
        <v>1530</v>
      </c>
      <c r="F1036" t="s">
        <v>334</v>
      </c>
      <c r="G1036" t="s">
        <v>1536</v>
      </c>
      <c r="H1036" s="1">
        <v>50000</v>
      </c>
      <c r="I1036" t="s">
        <v>1940</v>
      </c>
      <c r="N1036" s="4">
        <f t="shared" si="32"/>
        <v>70001110</v>
      </c>
      <c r="O1036" t="str">
        <f t="shared" si="33"/>
        <v>P206D1SLSS</v>
      </c>
    </row>
    <row r="1037" spans="2:15" x14ac:dyDescent="0.25">
      <c r="B1037" t="s">
        <v>1521</v>
      </c>
      <c r="C1037">
        <v>70001110</v>
      </c>
      <c r="D1037" t="s">
        <v>1923</v>
      </c>
      <c r="E1037" t="s">
        <v>1530</v>
      </c>
      <c r="F1037" t="s">
        <v>334</v>
      </c>
      <c r="G1037" t="s">
        <v>1535</v>
      </c>
      <c r="H1037" s="1">
        <v>50000</v>
      </c>
      <c r="I1037" t="s">
        <v>1940</v>
      </c>
      <c r="N1037" s="4">
        <f t="shared" si="32"/>
        <v>70001110</v>
      </c>
      <c r="O1037" t="str">
        <f t="shared" si="33"/>
        <v>P206D1SLSS</v>
      </c>
    </row>
    <row r="1038" spans="2:15" x14ac:dyDescent="0.25">
      <c r="B1038" t="s">
        <v>1537</v>
      </c>
      <c r="C1038">
        <v>70001110</v>
      </c>
      <c r="D1038" t="s">
        <v>1923</v>
      </c>
      <c r="E1038" t="s">
        <v>1538</v>
      </c>
      <c r="F1038" t="s">
        <v>334</v>
      </c>
      <c r="G1038" t="s">
        <v>1539</v>
      </c>
      <c r="H1038" s="1">
        <v>50000</v>
      </c>
      <c r="I1038" t="s">
        <v>1936</v>
      </c>
      <c r="N1038" s="4">
        <f t="shared" si="32"/>
        <v>70001110</v>
      </c>
      <c r="O1038" t="str">
        <f t="shared" si="33"/>
        <v>P206D1SLSS</v>
      </c>
    </row>
    <row r="1039" spans="2:15" x14ac:dyDescent="0.25">
      <c r="B1039" t="s">
        <v>1537</v>
      </c>
      <c r="C1039">
        <v>70001110</v>
      </c>
      <c r="D1039" t="s">
        <v>1967</v>
      </c>
      <c r="E1039" t="s">
        <v>1538</v>
      </c>
      <c r="F1039" t="s">
        <v>334</v>
      </c>
      <c r="G1039" t="s">
        <v>1540</v>
      </c>
      <c r="H1039" s="1">
        <v>50000</v>
      </c>
      <c r="I1039" t="s">
        <v>1936</v>
      </c>
      <c r="N1039" s="4">
        <f t="shared" si="32"/>
        <v>70001110</v>
      </c>
      <c r="O1039" t="str">
        <f t="shared" si="33"/>
        <v>P206D1SLSC</v>
      </c>
    </row>
    <row r="1040" spans="2:15" x14ac:dyDescent="0.25">
      <c r="B1040" t="s">
        <v>1537</v>
      </c>
      <c r="C1040">
        <v>70001110</v>
      </c>
      <c r="D1040" t="s">
        <v>1923</v>
      </c>
      <c r="E1040" t="s">
        <v>1538</v>
      </c>
      <c r="F1040" t="s">
        <v>334</v>
      </c>
      <c r="G1040" t="s">
        <v>1541</v>
      </c>
      <c r="H1040" s="1">
        <v>50000</v>
      </c>
      <c r="I1040" t="s">
        <v>1936</v>
      </c>
      <c r="N1040" s="4">
        <f t="shared" si="32"/>
        <v>70001110</v>
      </c>
      <c r="O1040" t="str">
        <f t="shared" si="33"/>
        <v>P206D1SLSS</v>
      </c>
    </row>
    <row r="1041" spans="2:15" x14ac:dyDescent="0.25">
      <c r="B1041" t="s">
        <v>1537</v>
      </c>
      <c r="C1041">
        <v>70001110</v>
      </c>
      <c r="D1041" t="s">
        <v>1923</v>
      </c>
      <c r="E1041" t="s">
        <v>1538</v>
      </c>
      <c r="F1041" t="s">
        <v>334</v>
      </c>
      <c r="G1041" t="s">
        <v>1542</v>
      </c>
      <c r="H1041" s="1">
        <v>50000</v>
      </c>
      <c r="I1041" t="s">
        <v>1936</v>
      </c>
      <c r="N1041" s="4">
        <f t="shared" si="32"/>
        <v>70001110</v>
      </c>
      <c r="O1041" t="str">
        <f t="shared" si="33"/>
        <v>P206D1SLSS</v>
      </c>
    </row>
    <row r="1042" spans="2:15" x14ac:dyDescent="0.25">
      <c r="B1042" t="s">
        <v>1537</v>
      </c>
      <c r="C1042">
        <v>70001110</v>
      </c>
      <c r="D1042" t="s">
        <v>1923</v>
      </c>
      <c r="E1042" t="s">
        <v>1538</v>
      </c>
      <c r="F1042" t="s">
        <v>334</v>
      </c>
      <c r="G1042" t="s">
        <v>1543</v>
      </c>
      <c r="H1042" s="1">
        <v>50000</v>
      </c>
      <c r="I1042" t="s">
        <v>1936</v>
      </c>
      <c r="N1042" s="4">
        <f t="shared" si="32"/>
        <v>70001110</v>
      </c>
      <c r="O1042" t="str">
        <f t="shared" si="33"/>
        <v>P206D1SLSS</v>
      </c>
    </row>
    <row r="1043" spans="2:15" x14ac:dyDescent="0.25">
      <c r="B1043" t="s">
        <v>1537</v>
      </c>
      <c r="C1043">
        <v>70001110</v>
      </c>
      <c r="D1043" t="s">
        <v>1924</v>
      </c>
      <c r="E1043" t="s">
        <v>1538</v>
      </c>
      <c r="F1043" t="s">
        <v>334</v>
      </c>
      <c r="G1043" t="s">
        <v>1544</v>
      </c>
      <c r="H1043" s="1">
        <v>50000</v>
      </c>
      <c r="I1043" t="s">
        <v>1936</v>
      </c>
      <c r="N1043" s="4">
        <f t="shared" si="32"/>
        <v>70001110</v>
      </c>
      <c r="O1043" t="str">
        <f t="shared" si="33"/>
        <v>C206D1SLSS</v>
      </c>
    </row>
    <row r="1044" spans="2:15" x14ac:dyDescent="0.25">
      <c r="B1044" t="s">
        <v>1537</v>
      </c>
      <c r="C1044">
        <v>70101202</v>
      </c>
      <c r="D1044" t="s">
        <v>1928</v>
      </c>
      <c r="E1044" t="s">
        <v>1545</v>
      </c>
      <c r="F1044" t="s">
        <v>57</v>
      </c>
      <c r="G1044" t="s">
        <v>1546</v>
      </c>
      <c r="H1044" s="1">
        <v>591120</v>
      </c>
      <c r="I1044" t="s">
        <v>1944</v>
      </c>
      <c r="N1044" s="4">
        <f t="shared" si="32"/>
        <v>70101202</v>
      </c>
      <c r="O1044" t="str">
        <f t="shared" si="33"/>
        <v>R124MMP</v>
      </c>
    </row>
    <row r="1045" spans="2:15" x14ac:dyDescent="0.25">
      <c r="B1045" t="s">
        <v>1537</v>
      </c>
      <c r="C1045" t="s">
        <v>1537</v>
      </c>
      <c r="D1045" t="s">
        <v>1971</v>
      </c>
      <c r="E1045" t="s">
        <v>1545</v>
      </c>
      <c r="F1045" t="s">
        <v>375</v>
      </c>
      <c r="G1045" t="s">
        <v>1549</v>
      </c>
      <c r="H1045" s="1">
        <v>162060</v>
      </c>
      <c r="I1045" t="s">
        <v>1944</v>
      </c>
      <c r="N1045" s="4" t="str">
        <f t="shared" si="32"/>
        <v>24.11.2025</v>
      </c>
      <c r="O1045" t="str">
        <f t="shared" si="33"/>
        <v>R124REF3</v>
      </c>
    </row>
    <row r="1046" spans="2:15" x14ac:dyDescent="0.25">
      <c r="B1046" t="s">
        <v>1537</v>
      </c>
      <c r="C1046">
        <v>70101202</v>
      </c>
      <c r="D1046" t="s">
        <v>1971</v>
      </c>
      <c r="E1046" t="s">
        <v>1548</v>
      </c>
      <c r="F1046" t="s">
        <v>57</v>
      </c>
      <c r="G1046" t="s">
        <v>1549</v>
      </c>
      <c r="H1046" s="1">
        <v>530000</v>
      </c>
      <c r="I1046" t="s">
        <v>1980</v>
      </c>
      <c r="N1046" s="4">
        <f t="shared" si="32"/>
        <v>70101202</v>
      </c>
      <c r="O1046" t="str">
        <f t="shared" si="33"/>
        <v>R124REF3</v>
      </c>
    </row>
    <row r="1047" spans="2:15" x14ac:dyDescent="0.25">
      <c r="B1047" t="s">
        <v>1537</v>
      </c>
      <c r="C1047" t="s">
        <v>1537</v>
      </c>
      <c r="D1047" t="s">
        <v>2013</v>
      </c>
      <c r="E1047" t="s">
        <v>1548</v>
      </c>
      <c r="F1047" t="s">
        <v>375</v>
      </c>
      <c r="G1047" t="s">
        <v>1552</v>
      </c>
      <c r="H1047" s="1">
        <v>466200</v>
      </c>
      <c r="I1047" t="s">
        <v>1980</v>
      </c>
      <c r="N1047" s="4" t="str">
        <f t="shared" si="32"/>
        <v>24.11.2025</v>
      </c>
      <c r="O1047" t="str">
        <f t="shared" si="33"/>
        <v>R124FRA3</v>
      </c>
    </row>
    <row r="1048" spans="2:15" x14ac:dyDescent="0.25">
      <c r="B1048" t="s">
        <v>1537</v>
      </c>
      <c r="C1048">
        <v>70107600</v>
      </c>
      <c r="D1048" t="s">
        <v>2013</v>
      </c>
      <c r="E1048" t="s">
        <v>1551</v>
      </c>
      <c r="F1048" t="s">
        <v>126</v>
      </c>
      <c r="G1048" t="s">
        <v>1552</v>
      </c>
      <c r="H1048" s="1">
        <v>263450</v>
      </c>
      <c r="I1048" t="s">
        <v>1980</v>
      </c>
      <c r="N1048" s="4">
        <f t="shared" si="32"/>
        <v>70107600</v>
      </c>
      <c r="O1048" t="str">
        <f t="shared" si="33"/>
        <v>R124FRA3</v>
      </c>
    </row>
    <row r="1049" spans="2:15" x14ac:dyDescent="0.25">
      <c r="B1049" t="s">
        <v>1537</v>
      </c>
      <c r="C1049" t="s">
        <v>1537</v>
      </c>
      <c r="D1049" t="s">
        <v>1971</v>
      </c>
      <c r="E1049" t="s">
        <v>1551</v>
      </c>
      <c r="F1049" t="s">
        <v>375</v>
      </c>
      <c r="G1049">
        <v>0</v>
      </c>
      <c r="H1049" s="1">
        <v>666000</v>
      </c>
      <c r="I1049" t="s">
        <v>1980</v>
      </c>
      <c r="N1049" s="4" t="str">
        <f t="shared" si="32"/>
        <v>24.11.2025</v>
      </c>
      <c r="O1049" t="str">
        <f t="shared" si="33"/>
        <v>R124REF3</v>
      </c>
    </row>
    <row r="1050" spans="2:15" x14ac:dyDescent="0.25">
      <c r="B1050" t="s">
        <v>1537</v>
      </c>
      <c r="C1050" t="s">
        <v>1537</v>
      </c>
      <c r="D1050" t="s">
        <v>1971</v>
      </c>
      <c r="E1050" t="s">
        <v>1554</v>
      </c>
      <c r="F1050" t="s">
        <v>375</v>
      </c>
      <c r="G1050">
        <v>0</v>
      </c>
      <c r="H1050" s="1">
        <v>417360</v>
      </c>
      <c r="I1050" t="s">
        <v>1944</v>
      </c>
      <c r="N1050" s="4" t="str">
        <f t="shared" si="32"/>
        <v>24.11.2025</v>
      </c>
      <c r="O1050" t="str">
        <f t="shared" si="33"/>
        <v>R124REF3</v>
      </c>
    </row>
    <row r="1051" spans="2:15" x14ac:dyDescent="0.25">
      <c r="B1051" t="s">
        <v>1537</v>
      </c>
      <c r="C1051" t="s">
        <v>1537</v>
      </c>
      <c r="D1051" t="s">
        <v>1971</v>
      </c>
      <c r="E1051" t="s">
        <v>1556</v>
      </c>
      <c r="F1051" t="s">
        <v>375</v>
      </c>
      <c r="G1051">
        <v>0</v>
      </c>
      <c r="H1051" s="1">
        <v>344907</v>
      </c>
      <c r="I1051" t="s">
        <v>1940</v>
      </c>
      <c r="N1051" s="4" t="str">
        <f t="shared" si="32"/>
        <v>24.11.2025</v>
      </c>
      <c r="O1051" t="str">
        <f t="shared" si="33"/>
        <v>R124REF3</v>
      </c>
    </row>
    <row r="1052" spans="2:15" x14ac:dyDescent="0.25">
      <c r="B1052" t="s">
        <v>1537</v>
      </c>
      <c r="C1052" t="s">
        <v>1537</v>
      </c>
      <c r="D1052" t="s">
        <v>1971</v>
      </c>
      <c r="E1052" t="s">
        <v>1558</v>
      </c>
      <c r="F1052" t="s">
        <v>375</v>
      </c>
      <c r="G1052">
        <v>0</v>
      </c>
      <c r="H1052" s="1">
        <v>220500</v>
      </c>
      <c r="I1052" t="s">
        <v>1974</v>
      </c>
      <c r="N1052" s="4" t="str">
        <f t="shared" si="32"/>
        <v>24.11.2025</v>
      </c>
      <c r="O1052" t="str">
        <f t="shared" si="33"/>
        <v>R124REF3</v>
      </c>
    </row>
    <row r="1053" spans="2:15" x14ac:dyDescent="0.25">
      <c r="B1053" t="s">
        <v>1537</v>
      </c>
      <c r="C1053" t="s">
        <v>1566</v>
      </c>
      <c r="D1053" t="s">
        <v>1971</v>
      </c>
      <c r="F1053" t="s">
        <v>249</v>
      </c>
      <c r="H1053">
        <v>0</v>
      </c>
      <c r="I1053" t="s">
        <v>1969</v>
      </c>
      <c r="N1053" s="4" t="str">
        <f t="shared" si="32"/>
        <v>02.12.2025</v>
      </c>
      <c r="O1053" t="str">
        <f t="shared" si="33"/>
        <v>R124REF3</v>
      </c>
    </row>
    <row r="1054" spans="2:15" x14ac:dyDescent="0.25">
      <c r="B1054" t="s">
        <v>1566</v>
      </c>
      <c r="C1054">
        <v>70101202</v>
      </c>
      <c r="D1054" t="s">
        <v>1971</v>
      </c>
      <c r="E1054" t="s">
        <v>1567</v>
      </c>
      <c r="F1054" t="s">
        <v>57</v>
      </c>
      <c r="G1054" t="s">
        <v>1568</v>
      </c>
      <c r="H1054" s="1">
        <v>1000000</v>
      </c>
      <c r="I1054" t="s">
        <v>1980</v>
      </c>
      <c r="N1054" s="4">
        <f t="shared" si="32"/>
        <v>70101202</v>
      </c>
      <c r="O1054" t="str">
        <f t="shared" si="33"/>
        <v>R124REF3</v>
      </c>
    </row>
    <row r="1055" spans="2:15" x14ac:dyDescent="0.25">
      <c r="B1055" t="s">
        <v>1566</v>
      </c>
      <c r="C1055">
        <v>70101202</v>
      </c>
      <c r="D1055" t="s">
        <v>2013</v>
      </c>
      <c r="E1055" t="s">
        <v>1569</v>
      </c>
      <c r="F1055" t="s">
        <v>57</v>
      </c>
      <c r="G1055" t="s">
        <v>1570</v>
      </c>
      <c r="H1055" s="1">
        <v>800000</v>
      </c>
      <c r="I1055" t="s">
        <v>1980</v>
      </c>
      <c r="N1055" s="4">
        <f t="shared" si="32"/>
        <v>70101202</v>
      </c>
      <c r="O1055" t="str">
        <f t="shared" si="33"/>
        <v>R124FRA3</v>
      </c>
    </row>
    <row r="1056" spans="2:15" x14ac:dyDescent="0.25">
      <c r="B1056" t="s">
        <v>1566</v>
      </c>
      <c r="C1056">
        <v>70110210</v>
      </c>
      <c r="D1056" t="s">
        <v>2019</v>
      </c>
      <c r="E1056" t="s">
        <v>1571</v>
      </c>
      <c r="F1056" t="s">
        <v>1187</v>
      </c>
      <c r="G1056" t="s">
        <v>1572</v>
      </c>
      <c r="H1056" s="1">
        <v>670000</v>
      </c>
      <c r="I1056" t="s">
        <v>1949</v>
      </c>
      <c r="N1056" s="4">
        <f t="shared" si="32"/>
        <v>70110210</v>
      </c>
      <c r="O1056" t="str">
        <f t="shared" si="33"/>
        <v>H200D1MMDP</v>
      </c>
    </row>
    <row r="1057" spans="2:15" x14ac:dyDescent="0.25">
      <c r="B1057" t="s">
        <v>1565</v>
      </c>
      <c r="C1057">
        <v>70107600</v>
      </c>
      <c r="D1057" t="s">
        <v>1921</v>
      </c>
      <c r="E1057" t="s">
        <v>1573</v>
      </c>
      <c r="F1057" t="s">
        <v>126</v>
      </c>
      <c r="G1057" t="s">
        <v>1574</v>
      </c>
      <c r="H1057" s="1">
        <v>340500</v>
      </c>
      <c r="I1057" t="s">
        <v>1966</v>
      </c>
      <c r="N1057" s="4">
        <f t="shared" si="32"/>
        <v>70107600</v>
      </c>
      <c r="O1057" t="str">
        <f t="shared" si="33"/>
        <v>R124D1HRDV</v>
      </c>
    </row>
    <row r="1058" spans="2:15" x14ac:dyDescent="0.25">
      <c r="B1058" t="s">
        <v>1565</v>
      </c>
      <c r="C1058">
        <v>70107600</v>
      </c>
      <c r="D1058" t="s">
        <v>1951</v>
      </c>
      <c r="E1058" t="s">
        <v>1575</v>
      </c>
      <c r="F1058" t="s">
        <v>126</v>
      </c>
      <c r="G1058" t="s">
        <v>1576</v>
      </c>
      <c r="H1058" s="1">
        <v>277000</v>
      </c>
      <c r="I1058" t="s">
        <v>1994</v>
      </c>
      <c r="N1058" s="4">
        <f t="shared" si="32"/>
        <v>70107600</v>
      </c>
      <c r="O1058" t="str">
        <f t="shared" si="33"/>
        <v>R124REF</v>
      </c>
    </row>
    <row r="1059" spans="2:15" x14ac:dyDescent="0.25">
      <c r="B1059" t="s">
        <v>1565</v>
      </c>
      <c r="C1059">
        <v>70108100</v>
      </c>
      <c r="D1059" t="s">
        <v>1951</v>
      </c>
      <c r="E1059" t="s">
        <v>1575</v>
      </c>
      <c r="F1059" t="s">
        <v>274</v>
      </c>
      <c r="G1059" t="s">
        <v>1577</v>
      </c>
      <c r="H1059" s="1">
        <v>21000</v>
      </c>
      <c r="I1059" t="s">
        <v>1994</v>
      </c>
      <c r="N1059" s="4">
        <f t="shared" si="32"/>
        <v>70108100</v>
      </c>
      <c r="O1059" t="str">
        <f t="shared" si="33"/>
        <v>R124REF</v>
      </c>
    </row>
    <row r="1060" spans="2:15" x14ac:dyDescent="0.25">
      <c r="B1060" t="s">
        <v>1565</v>
      </c>
      <c r="C1060">
        <v>70107300</v>
      </c>
      <c r="D1060" t="s">
        <v>1921</v>
      </c>
      <c r="E1060" t="s">
        <v>1578</v>
      </c>
      <c r="F1060" t="s">
        <v>41</v>
      </c>
      <c r="G1060" t="s">
        <v>1579</v>
      </c>
      <c r="H1060" s="1">
        <v>400000</v>
      </c>
      <c r="I1060" t="s">
        <v>1920</v>
      </c>
      <c r="N1060" s="4">
        <f t="shared" si="32"/>
        <v>70107300</v>
      </c>
      <c r="O1060" t="str">
        <f t="shared" si="33"/>
        <v>R124D1HRDV</v>
      </c>
    </row>
    <row r="1061" spans="2:15" x14ac:dyDescent="0.25">
      <c r="B1061" t="s">
        <v>1565</v>
      </c>
      <c r="C1061">
        <v>70101202</v>
      </c>
      <c r="D1061" t="s">
        <v>1951</v>
      </c>
      <c r="E1061" t="s">
        <v>1580</v>
      </c>
      <c r="F1061" t="s">
        <v>57</v>
      </c>
      <c r="G1061" t="s">
        <v>1581</v>
      </c>
      <c r="H1061" s="1">
        <v>850000</v>
      </c>
      <c r="I1061" t="s">
        <v>1950</v>
      </c>
      <c r="N1061" s="4">
        <f t="shared" si="32"/>
        <v>70101202</v>
      </c>
      <c r="O1061" t="str">
        <f t="shared" si="33"/>
        <v>R124REF</v>
      </c>
    </row>
    <row r="1062" spans="2:15" x14ac:dyDescent="0.25">
      <c r="B1062" t="s">
        <v>1565</v>
      </c>
      <c r="C1062">
        <v>70108100</v>
      </c>
      <c r="D1062" t="s">
        <v>1959</v>
      </c>
      <c r="E1062" t="s">
        <v>1582</v>
      </c>
      <c r="F1062" t="s">
        <v>274</v>
      </c>
      <c r="G1062" t="s">
        <v>1583</v>
      </c>
      <c r="H1062" s="1">
        <v>98016</v>
      </c>
      <c r="I1062" t="s">
        <v>1958</v>
      </c>
      <c r="N1062" s="4">
        <f t="shared" si="32"/>
        <v>70108100</v>
      </c>
      <c r="O1062" t="str">
        <f t="shared" si="33"/>
        <v>R124QCA</v>
      </c>
    </row>
    <row r="1063" spans="2:15" x14ac:dyDescent="0.25">
      <c r="B1063" t="s">
        <v>1565</v>
      </c>
      <c r="C1063">
        <v>70115100</v>
      </c>
      <c r="D1063" t="s">
        <v>1959</v>
      </c>
      <c r="E1063" t="s">
        <v>1582</v>
      </c>
      <c r="F1063" t="s">
        <v>146</v>
      </c>
      <c r="G1063" t="s">
        <v>1584</v>
      </c>
      <c r="H1063" s="1">
        <v>669765</v>
      </c>
      <c r="I1063" t="s">
        <v>1958</v>
      </c>
      <c r="N1063" s="4">
        <f t="shared" si="32"/>
        <v>70115100</v>
      </c>
      <c r="O1063" t="str">
        <f t="shared" si="33"/>
        <v>R124QCA</v>
      </c>
    </row>
    <row r="1064" spans="2:15" x14ac:dyDescent="0.25">
      <c r="B1064" t="s">
        <v>1565</v>
      </c>
      <c r="C1064">
        <v>70115100</v>
      </c>
      <c r="D1064" t="s">
        <v>1959</v>
      </c>
      <c r="E1064" t="s">
        <v>1582</v>
      </c>
      <c r="F1064" t="s">
        <v>146</v>
      </c>
      <c r="G1064" t="s">
        <v>1585</v>
      </c>
      <c r="H1064" s="1">
        <v>183500</v>
      </c>
      <c r="I1064" t="s">
        <v>1958</v>
      </c>
      <c r="N1064" s="4">
        <f t="shared" si="32"/>
        <v>70115100</v>
      </c>
      <c r="O1064" t="str">
        <f t="shared" si="33"/>
        <v>R124QCA</v>
      </c>
    </row>
    <row r="1065" spans="2:15" x14ac:dyDescent="0.25">
      <c r="B1065" t="s">
        <v>1565</v>
      </c>
      <c r="C1065">
        <v>70101114</v>
      </c>
      <c r="D1065" t="s">
        <v>1959</v>
      </c>
      <c r="E1065" t="s">
        <v>1586</v>
      </c>
      <c r="F1065" t="s">
        <v>59</v>
      </c>
      <c r="G1065" t="s">
        <v>1587</v>
      </c>
      <c r="H1065" s="1">
        <v>190000</v>
      </c>
      <c r="I1065" t="s">
        <v>1958</v>
      </c>
      <c r="N1065" s="4">
        <f t="shared" si="32"/>
        <v>70101114</v>
      </c>
      <c r="O1065" t="str">
        <f t="shared" si="33"/>
        <v>R124QCA</v>
      </c>
    </row>
    <row r="1066" spans="2:15" x14ac:dyDescent="0.25">
      <c r="B1066" t="s">
        <v>1565</v>
      </c>
      <c r="C1066">
        <v>70108100</v>
      </c>
      <c r="D1066" t="s">
        <v>1959</v>
      </c>
      <c r="E1066" t="s">
        <v>1586</v>
      </c>
      <c r="F1066" t="s">
        <v>274</v>
      </c>
      <c r="G1066" t="s">
        <v>1588</v>
      </c>
      <c r="H1066" s="1">
        <v>235000</v>
      </c>
      <c r="I1066" t="s">
        <v>1958</v>
      </c>
      <c r="N1066" s="4">
        <f t="shared" si="32"/>
        <v>70108100</v>
      </c>
      <c r="O1066" t="str">
        <f t="shared" si="33"/>
        <v>R124QCA</v>
      </c>
    </row>
    <row r="1067" spans="2:15" x14ac:dyDescent="0.25">
      <c r="B1067" t="s">
        <v>1565</v>
      </c>
      <c r="C1067">
        <v>70119300</v>
      </c>
      <c r="D1067" t="s">
        <v>1959</v>
      </c>
      <c r="E1067" t="s">
        <v>1586</v>
      </c>
      <c r="F1067" t="s">
        <v>518</v>
      </c>
      <c r="G1067" t="s">
        <v>1589</v>
      </c>
      <c r="H1067" s="1">
        <v>61000</v>
      </c>
      <c r="I1067" t="s">
        <v>1958</v>
      </c>
      <c r="N1067" s="4">
        <f t="shared" si="32"/>
        <v>70119300</v>
      </c>
      <c r="O1067" t="str">
        <f t="shared" si="33"/>
        <v>R124QCA</v>
      </c>
    </row>
    <row r="1068" spans="2:15" x14ac:dyDescent="0.25">
      <c r="B1068" t="s">
        <v>1565</v>
      </c>
      <c r="C1068">
        <v>70115100</v>
      </c>
      <c r="D1068" t="s">
        <v>1959</v>
      </c>
      <c r="E1068" t="s">
        <v>1586</v>
      </c>
      <c r="F1068" t="s">
        <v>146</v>
      </c>
      <c r="G1068" t="s">
        <v>1590</v>
      </c>
      <c r="H1068" s="1">
        <v>471630</v>
      </c>
      <c r="I1068" t="s">
        <v>1958</v>
      </c>
      <c r="N1068" s="4">
        <f t="shared" si="32"/>
        <v>70115100</v>
      </c>
      <c r="O1068" t="str">
        <f t="shared" si="33"/>
        <v>R124QCA</v>
      </c>
    </row>
    <row r="1069" spans="2:15" x14ac:dyDescent="0.25">
      <c r="B1069" t="s">
        <v>1565</v>
      </c>
      <c r="C1069">
        <v>70101114</v>
      </c>
      <c r="D1069" t="s">
        <v>1959</v>
      </c>
      <c r="E1069" t="s">
        <v>1591</v>
      </c>
      <c r="F1069" t="s">
        <v>59</v>
      </c>
      <c r="G1069" t="s">
        <v>1592</v>
      </c>
      <c r="H1069" s="1">
        <v>851670</v>
      </c>
      <c r="I1069" t="s">
        <v>1958</v>
      </c>
      <c r="N1069" s="4">
        <f t="shared" si="32"/>
        <v>70101114</v>
      </c>
      <c r="O1069" t="str">
        <f t="shared" si="33"/>
        <v>R124QCA</v>
      </c>
    </row>
    <row r="1070" spans="2:15" x14ac:dyDescent="0.25">
      <c r="B1070" t="s">
        <v>1565</v>
      </c>
      <c r="C1070">
        <v>70106400</v>
      </c>
      <c r="D1070" t="s">
        <v>1943</v>
      </c>
      <c r="E1070" t="s">
        <v>1593</v>
      </c>
      <c r="F1070" t="s">
        <v>96</v>
      </c>
      <c r="G1070" t="s">
        <v>1594</v>
      </c>
      <c r="H1070" s="1">
        <v>900000</v>
      </c>
      <c r="I1070" t="s">
        <v>1942</v>
      </c>
      <c r="N1070" s="4">
        <f t="shared" si="32"/>
        <v>70106400</v>
      </c>
      <c r="O1070" t="str">
        <f t="shared" si="33"/>
        <v>R124D1HRGA</v>
      </c>
    </row>
    <row r="1071" spans="2:15" x14ac:dyDescent="0.25">
      <c r="B1071" t="s">
        <v>1565</v>
      </c>
      <c r="C1071">
        <v>70106100</v>
      </c>
      <c r="D1071" t="s">
        <v>1943</v>
      </c>
      <c r="E1071" t="s">
        <v>1593</v>
      </c>
      <c r="F1071" t="s">
        <v>67</v>
      </c>
      <c r="G1071" t="s">
        <v>98</v>
      </c>
      <c r="H1071" s="1">
        <v>100000</v>
      </c>
      <c r="I1071" t="s">
        <v>1942</v>
      </c>
      <c r="N1071" s="4">
        <f t="shared" si="32"/>
        <v>70106100</v>
      </c>
      <c r="O1071" t="str">
        <f t="shared" si="33"/>
        <v>R124D1HRGA</v>
      </c>
    </row>
    <row r="1072" spans="2:15" x14ac:dyDescent="0.25">
      <c r="B1072" t="s">
        <v>1565</v>
      </c>
      <c r="C1072">
        <v>70106400</v>
      </c>
      <c r="D1072" t="s">
        <v>1943</v>
      </c>
      <c r="E1072" t="s">
        <v>1595</v>
      </c>
      <c r="F1072" t="s">
        <v>96</v>
      </c>
      <c r="G1072" t="s">
        <v>1596</v>
      </c>
      <c r="H1072" s="1">
        <v>900000</v>
      </c>
      <c r="I1072" t="s">
        <v>1942</v>
      </c>
      <c r="N1072" s="4">
        <f t="shared" si="32"/>
        <v>70106400</v>
      </c>
      <c r="O1072" t="str">
        <f t="shared" si="33"/>
        <v>R124D1HRGA</v>
      </c>
    </row>
    <row r="1073" spans="2:15" x14ac:dyDescent="0.25">
      <c r="B1073" t="s">
        <v>1565</v>
      </c>
      <c r="C1073">
        <v>70106100</v>
      </c>
      <c r="D1073" t="s">
        <v>1943</v>
      </c>
      <c r="E1073" t="s">
        <v>1595</v>
      </c>
      <c r="F1073" t="s">
        <v>67</v>
      </c>
      <c r="G1073" t="s">
        <v>98</v>
      </c>
      <c r="H1073" s="1">
        <v>100000</v>
      </c>
      <c r="I1073" t="s">
        <v>1942</v>
      </c>
      <c r="N1073" s="4">
        <f t="shared" si="32"/>
        <v>70106100</v>
      </c>
      <c r="O1073" t="str">
        <f t="shared" si="33"/>
        <v>R124D1HRGA</v>
      </c>
    </row>
    <row r="1074" spans="2:15" x14ac:dyDescent="0.25">
      <c r="B1074" t="s">
        <v>1565</v>
      </c>
      <c r="C1074">
        <v>70107600</v>
      </c>
      <c r="D1074" t="s">
        <v>1953</v>
      </c>
      <c r="E1074" t="s">
        <v>1597</v>
      </c>
      <c r="F1074" t="s">
        <v>126</v>
      </c>
      <c r="G1074" t="s">
        <v>1598</v>
      </c>
      <c r="H1074" s="1">
        <v>50000</v>
      </c>
      <c r="I1074" t="s">
        <v>1957</v>
      </c>
      <c r="N1074" s="4">
        <f t="shared" si="32"/>
        <v>70107600</v>
      </c>
      <c r="O1074" t="str">
        <f t="shared" si="33"/>
        <v>R124MNT</v>
      </c>
    </row>
    <row r="1075" spans="2:15" x14ac:dyDescent="0.25">
      <c r="B1075" t="s">
        <v>1565</v>
      </c>
      <c r="C1075">
        <v>70101202</v>
      </c>
      <c r="D1075" t="s">
        <v>1995</v>
      </c>
      <c r="E1075" t="s">
        <v>1599</v>
      </c>
      <c r="F1075" t="s">
        <v>57</v>
      </c>
      <c r="G1075" t="s">
        <v>1581</v>
      </c>
      <c r="H1075" s="1">
        <v>650000</v>
      </c>
      <c r="I1075" t="s">
        <v>1950</v>
      </c>
      <c r="N1075" s="4">
        <f t="shared" si="32"/>
        <v>70101202</v>
      </c>
      <c r="O1075" t="str">
        <f t="shared" si="33"/>
        <v>R124REF2</v>
      </c>
    </row>
    <row r="1076" spans="2:15" x14ac:dyDescent="0.25">
      <c r="B1076" t="s">
        <v>1600</v>
      </c>
      <c r="C1076">
        <v>70001110</v>
      </c>
      <c r="D1076" t="s">
        <v>1923</v>
      </c>
      <c r="E1076" t="s">
        <v>1601</v>
      </c>
      <c r="F1076" t="s">
        <v>334</v>
      </c>
      <c r="G1076" t="s">
        <v>1602</v>
      </c>
      <c r="H1076" s="1">
        <v>50000</v>
      </c>
      <c r="I1076" t="s">
        <v>1947</v>
      </c>
      <c r="N1076" s="4">
        <f t="shared" si="32"/>
        <v>70001110</v>
      </c>
      <c r="O1076" t="str">
        <f t="shared" si="33"/>
        <v>P206D1SLSS</v>
      </c>
    </row>
    <row r="1077" spans="2:15" x14ac:dyDescent="0.25">
      <c r="B1077" t="s">
        <v>1600</v>
      </c>
      <c r="C1077">
        <v>70001110</v>
      </c>
      <c r="D1077" t="s">
        <v>1923</v>
      </c>
      <c r="E1077" t="s">
        <v>1601</v>
      </c>
      <c r="F1077" t="s">
        <v>334</v>
      </c>
      <c r="G1077" t="s">
        <v>1603</v>
      </c>
      <c r="H1077" s="1">
        <v>50000</v>
      </c>
      <c r="I1077" t="s">
        <v>1947</v>
      </c>
      <c r="N1077" s="4">
        <f t="shared" si="32"/>
        <v>70001110</v>
      </c>
      <c r="O1077" t="str">
        <f t="shared" si="33"/>
        <v>P206D1SLSS</v>
      </c>
    </row>
    <row r="1078" spans="2:15" x14ac:dyDescent="0.25">
      <c r="B1078" t="s">
        <v>1600</v>
      </c>
      <c r="C1078">
        <v>70106400</v>
      </c>
      <c r="D1078" t="s">
        <v>1943</v>
      </c>
      <c r="E1078" t="s">
        <v>1604</v>
      </c>
      <c r="F1078" t="s">
        <v>96</v>
      </c>
      <c r="G1078" t="s">
        <v>1605</v>
      </c>
      <c r="H1078" s="1">
        <v>580000</v>
      </c>
      <c r="I1078" t="s">
        <v>1942</v>
      </c>
      <c r="N1078" s="4">
        <f t="shared" si="32"/>
        <v>70106400</v>
      </c>
      <c r="O1078" t="str">
        <f t="shared" si="33"/>
        <v>R124D1HRGA</v>
      </c>
    </row>
    <row r="1079" spans="2:15" x14ac:dyDescent="0.25">
      <c r="B1079" t="s">
        <v>1600</v>
      </c>
      <c r="C1079">
        <v>70106100</v>
      </c>
      <c r="D1079" t="s">
        <v>1943</v>
      </c>
      <c r="E1079" t="s">
        <v>1604</v>
      </c>
      <c r="F1079" t="s">
        <v>67</v>
      </c>
      <c r="G1079" t="s">
        <v>98</v>
      </c>
      <c r="H1079" s="1">
        <v>420000</v>
      </c>
      <c r="I1079" t="s">
        <v>1942</v>
      </c>
      <c r="N1079" s="4">
        <f t="shared" si="32"/>
        <v>70106100</v>
      </c>
      <c r="O1079" t="str">
        <f t="shared" si="33"/>
        <v>R124D1HRGA</v>
      </c>
    </row>
    <row r="1080" spans="2:15" x14ac:dyDescent="0.25">
      <c r="B1080" t="s">
        <v>1600</v>
      </c>
      <c r="C1080">
        <v>70107600</v>
      </c>
      <c r="D1080" t="s">
        <v>1948</v>
      </c>
      <c r="E1080" t="s">
        <v>1606</v>
      </c>
      <c r="F1080" t="s">
        <v>126</v>
      </c>
      <c r="G1080" t="s">
        <v>1607</v>
      </c>
      <c r="H1080" s="1">
        <v>175000</v>
      </c>
      <c r="I1080" t="s">
        <v>2026</v>
      </c>
      <c r="N1080" s="4">
        <f t="shared" si="32"/>
        <v>70107600</v>
      </c>
      <c r="O1080" t="str">
        <f t="shared" si="33"/>
        <v>R124WHFSB</v>
      </c>
    </row>
    <row r="1081" spans="2:15" x14ac:dyDescent="0.25">
      <c r="B1081" t="s">
        <v>1600</v>
      </c>
      <c r="C1081">
        <v>70101114</v>
      </c>
      <c r="D1081" t="s">
        <v>1992</v>
      </c>
      <c r="E1081" t="s">
        <v>1608</v>
      </c>
      <c r="F1081" t="s">
        <v>59</v>
      </c>
      <c r="G1081" t="s">
        <v>1609</v>
      </c>
      <c r="H1081" s="1">
        <v>201100</v>
      </c>
      <c r="I1081" t="s">
        <v>1991</v>
      </c>
      <c r="N1081" s="4">
        <f t="shared" si="32"/>
        <v>70101114</v>
      </c>
      <c r="O1081" t="str">
        <f t="shared" si="33"/>
        <v>R124FPO</v>
      </c>
    </row>
    <row r="1082" spans="2:15" x14ac:dyDescent="0.25">
      <c r="B1082" t="s">
        <v>1600</v>
      </c>
      <c r="C1082">
        <v>70101202</v>
      </c>
      <c r="D1082" t="s">
        <v>1992</v>
      </c>
      <c r="E1082" t="s">
        <v>1608</v>
      </c>
      <c r="F1082" t="s">
        <v>57</v>
      </c>
      <c r="G1082" t="s">
        <v>1610</v>
      </c>
      <c r="H1082" s="1">
        <v>215000</v>
      </c>
      <c r="I1082" t="s">
        <v>1991</v>
      </c>
      <c r="N1082" s="4">
        <f t="shared" si="32"/>
        <v>70101202</v>
      </c>
      <c r="O1082" t="str">
        <f t="shared" si="33"/>
        <v>R124FPO</v>
      </c>
    </row>
    <row r="1083" spans="2:15" x14ac:dyDescent="0.25">
      <c r="B1083" t="s">
        <v>1600</v>
      </c>
      <c r="C1083">
        <v>70107300</v>
      </c>
      <c r="D1083" t="s">
        <v>1921</v>
      </c>
      <c r="E1083" t="s">
        <v>1611</v>
      </c>
      <c r="F1083" t="s">
        <v>41</v>
      </c>
      <c r="G1083" t="s">
        <v>1612</v>
      </c>
      <c r="H1083" s="1">
        <v>239480</v>
      </c>
      <c r="I1083" t="s">
        <v>1920</v>
      </c>
      <c r="N1083" s="4">
        <f t="shared" si="32"/>
        <v>70107300</v>
      </c>
      <c r="O1083" t="str">
        <f t="shared" si="33"/>
        <v>R124D1HRDV</v>
      </c>
    </row>
    <row r="1084" spans="2:15" x14ac:dyDescent="0.25">
      <c r="B1084" t="s">
        <v>1600</v>
      </c>
      <c r="C1084">
        <v>70106400</v>
      </c>
      <c r="D1084" t="s">
        <v>1943</v>
      </c>
      <c r="E1084" t="s">
        <v>1613</v>
      </c>
      <c r="F1084" t="s">
        <v>96</v>
      </c>
      <c r="G1084" t="s">
        <v>1614</v>
      </c>
      <c r="H1084" s="1">
        <v>700000</v>
      </c>
      <c r="I1084" t="s">
        <v>1942</v>
      </c>
      <c r="N1084" s="4">
        <f t="shared" si="32"/>
        <v>70106400</v>
      </c>
      <c r="O1084" t="str">
        <f t="shared" si="33"/>
        <v>R124D1HRGA</v>
      </c>
    </row>
    <row r="1085" spans="2:15" x14ac:dyDescent="0.25">
      <c r="B1085" t="s">
        <v>1600</v>
      </c>
      <c r="C1085">
        <v>70106100</v>
      </c>
      <c r="D1085" t="s">
        <v>1943</v>
      </c>
      <c r="E1085" t="s">
        <v>1613</v>
      </c>
      <c r="F1085" t="s">
        <v>67</v>
      </c>
      <c r="G1085" t="s">
        <v>98</v>
      </c>
      <c r="H1085" s="1">
        <v>300000</v>
      </c>
      <c r="I1085" t="s">
        <v>1942</v>
      </c>
      <c r="N1085" s="4">
        <f t="shared" si="32"/>
        <v>70106100</v>
      </c>
      <c r="O1085" t="str">
        <f t="shared" si="33"/>
        <v>R124D1HRGA</v>
      </c>
    </row>
    <row r="1086" spans="2:15" x14ac:dyDescent="0.25">
      <c r="B1086" t="s">
        <v>1600</v>
      </c>
      <c r="C1086">
        <v>70106400</v>
      </c>
      <c r="D1086" t="s">
        <v>1943</v>
      </c>
      <c r="E1086" t="s">
        <v>1615</v>
      </c>
      <c r="F1086" t="s">
        <v>96</v>
      </c>
      <c r="G1086" t="s">
        <v>1616</v>
      </c>
      <c r="H1086" s="1">
        <v>150000</v>
      </c>
      <c r="I1086" t="s">
        <v>1942</v>
      </c>
      <c r="N1086" s="4">
        <f t="shared" si="32"/>
        <v>70106400</v>
      </c>
      <c r="O1086" t="str">
        <f t="shared" si="33"/>
        <v>R124D1HRGA</v>
      </c>
    </row>
    <row r="1087" spans="2:15" x14ac:dyDescent="0.25">
      <c r="B1087" t="s">
        <v>1600</v>
      </c>
      <c r="C1087">
        <v>70106100</v>
      </c>
      <c r="D1087" t="s">
        <v>1943</v>
      </c>
      <c r="E1087" t="s">
        <v>1615</v>
      </c>
      <c r="F1087" t="s">
        <v>67</v>
      </c>
      <c r="G1087" t="s">
        <v>98</v>
      </c>
      <c r="H1087" s="1">
        <v>850000</v>
      </c>
      <c r="I1087" t="s">
        <v>1942</v>
      </c>
      <c r="N1087" s="4">
        <f t="shared" si="32"/>
        <v>70106100</v>
      </c>
      <c r="O1087" t="str">
        <f t="shared" si="33"/>
        <v>R124D1HRGA</v>
      </c>
    </row>
    <row r="1088" spans="2:15" x14ac:dyDescent="0.25">
      <c r="B1088" t="s">
        <v>1600</v>
      </c>
      <c r="C1088">
        <v>70101114</v>
      </c>
      <c r="D1088" t="s">
        <v>2008</v>
      </c>
      <c r="E1088" t="s">
        <v>1617</v>
      </c>
      <c r="F1088" t="s">
        <v>59</v>
      </c>
      <c r="G1088" t="s">
        <v>1618</v>
      </c>
      <c r="H1088" s="1">
        <v>775080</v>
      </c>
      <c r="I1088" t="s">
        <v>2027</v>
      </c>
      <c r="N1088" s="4">
        <f t="shared" si="32"/>
        <v>70101114</v>
      </c>
      <c r="O1088" t="str">
        <f t="shared" si="33"/>
        <v>R124STTRK</v>
      </c>
    </row>
    <row r="1089" spans="2:15" x14ac:dyDescent="0.25">
      <c r="B1089" t="s">
        <v>1600</v>
      </c>
      <c r="C1089">
        <v>70101114</v>
      </c>
      <c r="D1089" t="s">
        <v>1933</v>
      </c>
      <c r="E1089" t="s">
        <v>1619</v>
      </c>
      <c r="F1089" t="s">
        <v>59</v>
      </c>
      <c r="G1089" t="s">
        <v>1620</v>
      </c>
      <c r="H1089" s="1">
        <v>809460</v>
      </c>
      <c r="I1089" t="s">
        <v>1956</v>
      </c>
      <c r="N1089" s="4">
        <f t="shared" si="32"/>
        <v>70101114</v>
      </c>
      <c r="O1089" t="str">
        <f t="shared" si="33"/>
        <v>R124TCP</v>
      </c>
    </row>
    <row r="1090" spans="2:15" x14ac:dyDescent="0.25">
      <c r="B1090" t="s">
        <v>1600</v>
      </c>
      <c r="C1090">
        <v>70001110</v>
      </c>
      <c r="D1090" t="s">
        <v>1967</v>
      </c>
      <c r="E1090" t="s">
        <v>1621</v>
      </c>
      <c r="F1090" t="s">
        <v>334</v>
      </c>
      <c r="G1090" t="s">
        <v>1622</v>
      </c>
      <c r="H1090" s="1">
        <v>50000</v>
      </c>
      <c r="I1090" t="s">
        <v>1936</v>
      </c>
      <c r="N1090" s="4">
        <f t="shared" si="32"/>
        <v>70001110</v>
      </c>
      <c r="O1090" t="str">
        <f t="shared" si="33"/>
        <v>P206D1SLSC</v>
      </c>
    </row>
    <row r="1091" spans="2:15" x14ac:dyDescent="0.25">
      <c r="B1091" t="s">
        <v>1600</v>
      </c>
      <c r="C1091">
        <v>70001110</v>
      </c>
      <c r="D1091" t="s">
        <v>1924</v>
      </c>
      <c r="E1091" t="s">
        <v>1621</v>
      </c>
      <c r="F1091" t="s">
        <v>334</v>
      </c>
      <c r="G1091" t="s">
        <v>1623</v>
      </c>
      <c r="H1091" s="1">
        <v>50000</v>
      </c>
      <c r="I1091" t="s">
        <v>1936</v>
      </c>
      <c r="N1091" s="4">
        <f t="shared" si="32"/>
        <v>70001110</v>
      </c>
      <c r="O1091" t="str">
        <f t="shared" si="33"/>
        <v>C206D1SLSS</v>
      </c>
    </row>
    <row r="1092" spans="2:15" x14ac:dyDescent="0.25">
      <c r="B1092" t="s">
        <v>1600</v>
      </c>
      <c r="C1092">
        <v>70001110</v>
      </c>
      <c r="D1092" t="s">
        <v>1924</v>
      </c>
      <c r="E1092" t="s">
        <v>1621</v>
      </c>
      <c r="F1092" t="s">
        <v>334</v>
      </c>
      <c r="G1092" t="s">
        <v>1624</v>
      </c>
      <c r="H1092" s="1">
        <v>50000</v>
      </c>
      <c r="I1092" t="s">
        <v>1936</v>
      </c>
      <c r="N1092" s="4">
        <f t="shared" si="32"/>
        <v>70001110</v>
      </c>
      <c r="O1092" t="str">
        <f t="shared" si="33"/>
        <v>C206D1SLSS</v>
      </c>
    </row>
    <row r="1093" spans="2:15" x14ac:dyDescent="0.25">
      <c r="B1093" t="s">
        <v>1600</v>
      </c>
      <c r="C1093">
        <v>70001110</v>
      </c>
      <c r="D1093" t="s">
        <v>1967</v>
      </c>
      <c r="E1093" t="s">
        <v>1621</v>
      </c>
      <c r="F1093" t="s">
        <v>334</v>
      </c>
      <c r="G1093" t="s">
        <v>1625</v>
      </c>
      <c r="H1093" s="1">
        <v>50000</v>
      </c>
      <c r="I1093" t="s">
        <v>1936</v>
      </c>
      <c r="N1093" s="4">
        <f t="shared" si="32"/>
        <v>70001110</v>
      </c>
      <c r="O1093" t="str">
        <f t="shared" si="33"/>
        <v>P206D1SLSC</v>
      </c>
    </row>
    <row r="1094" spans="2:15" x14ac:dyDescent="0.25">
      <c r="B1094" t="s">
        <v>1600</v>
      </c>
      <c r="C1094">
        <v>70001110</v>
      </c>
      <c r="D1094" t="s">
        <v>1938</v>
      </c>
      <c r="E1094" t="s">
        <v>1621</v>
      </c>
      <c r="F1094" t="s">
        <v>334</v>
      </c>
      <c r="G1094" t="s">
        <v>1626</v>
      </c>
      <c r="H1094" s="1">
        <v>50000</v>
      </c>
      <c r="I1094" t="s">
        <v>1936</v>
      </c>
      <c r="N1094" s="4">
        <f t="shared" si="32"/>
        <v>70001110</v>
      </c>
      <c r="O1094" t="str">
        <f t="shared" si="33"/>
        <v>M204D1COMM</v>
      </c>
    </row>
    <row r="1095" spans="2:15" x14ac:dyDescent="0.25">
      <c r="B1095" t="s">
        <v>1600</v>
      </c>
      <c r="C1095">
        <v>70001110</v>
      </c>
      <c r="D1095" t="s">
        <v>1938</v>
      </c>
      <c r="E1095" t="s">
        <v>1621</v>
      </c>
      <c r="F1095" t="s">
        <v>334</v>
      </c>
      <c r="G1095" t="s">
        <v>1627</v>
      </c>
      <c r="H1095" s="1">
        <v>50000</v>
      </c>
      <c r="I1095" t="s">
        <v>1936</v>
      </c>
      <c r="N1095" s="4">
        <f t="shared" si="32"/>
        <v>70001110</v>
      </c>
      <c r="O1095" t="str">
        <f t="shared" si="33"/>
        <v>M204D1COMM</v>
      </c>
    </row>
    <row r="1096" spans="2:15" x14ac:dyDescent="0.25">
      <c r="B1096" t="s">
        <v>1600</v>
      </c>
      <c r="C1096">
        <v>70001110</v>
      </c>
      <c r="D1096" t="s">
        <v>1938</v>
      </c>
      <c r="E1096" t="s">
        <v>1621</v>
      </c>
      <c r="F1096" t="s">
        <v>334</v>
      </c>
      <c r="G1096" t="s">
        <v>1628</v>
      </c>
      <c r="H1096" s="1">
        <v>100000</v>
      </c>
      <c r="I1096" t="s">
        <v>1936</v>
      </c>
      <c r="N1096" s="4">
        <f t="shared" si="32"/>
        <v>70001110</v>
      </c>
      <c r="O1096" t="str">
        <f t="shared" si="33"/>
        <v>M204D1COMM</v>
      </c>
    </row>
    <row r="1097" spans="2:15" x14ac:dyDescent="0.25">
      <c r="B1097" t="s">
        <v>1600</v>
      </c>
      <c r="C1097">
        <v>70001110</v>
      </c>
      <c r="D1097" t="s">
        <v>1938</v>
      </c>
      <c r="E1097" t="s">
        <v>1621</v>
      </c>
      <c r="F1097" t="s">
        <v>334</v>
      </c>
      <c r="G1097" t="s">
        <v>1629</v>
      </c>
      <c r="H1097" s="1">
        <v>100000</v>
      </c>
      <c r="I1097" t="s">
        <v>1936</v>
      </c>
      <c r="N1097" s="4">
        <f t="shared" si="32"/>
        <v>70001110</v>
      </c>
      <c r="O1097" t="str">
        <f t="shared" si="33"/>
        <v>M204D1COMM</v>
      </c>
    </row>
    <row r="1098" spans="2:15" x14ac:dyDescent="0.25">
      <c r="B1098" t="s">
        <v>1600</v>
      </c>
      <c r="C1098">
        <v>70101102</v>
      </c>
      <c r="D1098" t="s">
        <v>1943</v>
      </c>
      <c r="E1098" t="s">
        <v>1630</v>
      </c>
      <c r="F1098" t="s">
        <v>129</v>
      </c>
      <c r="G1098" t="s">
        <v>1631</v>
      </c>
      <c r="H1098" s="1">
        <v>961250</v>
      </c>
      <c r="I1098" t="s">
        <v>1949</v>
      </c>
      <c r="N1098" s="4">
        <f t="shared" si="32"/>
        <v>70101102</v>
      </c>
      <c r="O1098" t="str">
        <f t="shared" si="33"/>
        <v>R124D1HRGA</v>
      </c>
    </row>
    <row r="1099" spans="2:15" x14ac:dyDescent="0.25">
      <c r="B1099" t="s">
        <v>1600</v>
      </c>
      <c r="C1099">
        <v>70106100</v>
      </c>
      <c r="D1099" t="s">
        <v>1923</v>
      </c>
      <c r="E1099" t="s">
        <v>1632</v>
      </c>
      <c r="F1099" t="s">
        <v>67</v>
      </c>
      <c r="G1099" t="s">
        <v>1633</v>
      </c>
      <c r="H1099" s="1">
        <v>154000</v>
      </c>
      <c r="I1099" t="s">
        <v>2009</v>
      </c>
      <c r="N1099" s="4">
        <f t="shared" ref="N1099:N1162" si="34">+C1099</f>
        <v>70106100</v>
      </c>
      <c r="O1099" t="str">
        <f t="shared" ref="O1099:O1162" si="35">+D1099</f>
        <v>P206D1SLSS</v>
      </c>
    </row>
    <row r="1100" spans="2:15" x14ac:dyDescent="0.25">
      <c r="B1100" t="s">
        <v>1600</v>
      </c>
      <c r="C1100">
        <v>70001110</v>
      </c>
      <c r="D1100" t="s">
        <v>1923</v>
      </c>
      <c r="E1100" t="s">
        <v>1634</v>
      </c>
      <c r="F1100" t="s">
        <v>334</v>
      </c>
      <c r="G1100" t="s">
        <v>1635</v>
      </c>
      <c r="H1100" s="1">
        <v>50000</v>
      </c>
      <c r="I1100" t="s">
        <v>1990</v>
      </c>
      <c r="N1100" s="4">
        <f t="shared" si="34"/>
        <v>70001110</v>
      </c>
      <c r="O1100" t="str">
        <f t="shared" si="35"/>
        <v>P206D1SLSS</v>
      </c>
    </row>
    <row r="1101" spans="2:15" x14ac:dyDescent="0.25">
      <c r="B1101" t="s">
        <v>1600</v>
      </c>
      <c r="C1101">
        <v>70001110</v>
      </c>
      <c r="D1101" t="s">
        <v>1923</v>
      </c>
      <c r="E1101" t="s">
        <v>1636</v>
      </c>
      <c r="F1101" t="s">
        <v>334</v>
      </c>
      <c r="G1101" t="s">
        <v>1637</v>
      </c>
      <c r="H1101" s="1">
        <v>50000</v>
      </c>
      <c r="I1101" t="s">
        <v>1941</v>
      </c>
      <c r="N1101" s="4">
        <f t="shared" si="34"/>
        <v>70001110</v>
      </c>
      <c r="O1101" t="str">
        <f t="shared" si="35"/>
        <v>P206D1SLSS</v>
      </c>
    </row>
    <row r="1102" spans="2:15" x14ac:dyDescent="0.25">
      <c r="B1102" t="s">
        <v>1600</v>
      </c>
      <c r="C1102">
        <v>70001110</v>
      </c>
      <c r="D1102" t="s">
        <v>1938</v>
      </c>
      <c r="E1102" t="s">
        <v>1636</v>
      </c>
      <c r="F1102" t="s">
        <v>334</v>
      </c>
      <c r="G1102" t="s">
        <v>1638</v>
      </c>
      <c r="H1102" s="1">
        <v>50000</v>
      </c>
      <c r="I1102" t="s">
        <v>1941</v>
      </c>
      <c r="N1102" s="4">
        <f t="shared" si="34"/>
        <v>70001110</v>
      </c>
      <c r="O1102" t="str">
        <f t="shared" si="35"/>
        <v>M204D1COMM</v>
      </c>
    </row>
    <row r="1103" spans="2:15" x14ac:dyDescent="0.25">
      <c r="B1103" t="s">
        <v>1600</v>
      </c>
      <c r="C1103">
        <v>70001110</v>
      </c>
      <c r="D1103" t="s">
        <v>1938</v>
      </c>
      <c r="E1103" t="s">
        <v>1636</v>
      </c>
      <c r="F1103" t="s">
        <v>334</v>
      </c>
      <c r="G1103" t="s">
        <v>1639</v>
      </c>
      <c r="H1103" s="1">
        <v>50000</v>
      </c>
      <c r="I1103" t="s">
        <v>1941</v>
      </c>
      <c r="N1103" s="4">
        <f t="shared" si="34"/>
        <v>70001110</v>
      </c>
      <c r="O1103" t="str">
        <f t="shared" si="35"/>
        <v>M204D1COMM</v>
      </c>
    </row>
    <row r="1104" spans="2:15" x14ac:dyDescent="0.25">
      <c r="B1104" t="s">
        <v>1600</v>
      </c>
      <c r="C1104">
        <v>70001110</v>
      </c>
      <c r="D1104" t="s">
        <v>1938</v>
      </c>
      <c r="E1104" t="s">
        <v>1636</v>
      </c>
      <c r="F1104" t="s">
        <v>334</v>
      </c>
      <c r="G1104" t="s">
        <v>1640</v>
      </c>
      <c r="H1104" s="1">
        <v>50000</v>
      </c>
      <c r="I1104" t="s">
        <v>1941</v>
      </c>
      <c r="N1104" s="4">
        <f t="shared" si="34"/>
        <v>70001110</v>
      </c>
      <c r="O1104" t="str">
        <f t="shared" si="35"/>
        <v>M204D1COMM</v>
      </c>
    </row>
    <row r="1105" spans="2:15" x14ac:dyDescent="0.25">
      <c r="B1105" t="s">
        <v>1600</v>
      </c>
      <c r="C1105">
        <v>70001110</v>
      </c>
      <c r="D1105" t="s">
        <v>1938</v>
      </c>
      <c r="E1105" t="s">
        <v>1636</v>
      </c>
      <c r="F1105" t="s">
        <v>334</v>
      </c>
      <c r="G1105" t="s">
        <v>1641</v>
      </c>
      <c r="H1105" s="1">
        <v>50000</v>
      </c>
      <c r="I1105" t="s">
        <v>1941</v>
      </c>
      <c r="N1105" s="4">
        <f t="shared" si="34"/>
        <v>70001110</v>
      </c>
      <c r="O1105" t="str">
        <f t="shared" si="35"/>
        <v>M204D1COMM</v>
      </c>
    </row>
    <row r="1106" spans="2:15" x14ac:dyDescent="0.25">
      <c r="B1106" t="s">
        <v>1600</v>
      </c>
      <c r="C1106">
        <v>70001110</v>
      </c>
      <c r="D1106" t="s">
        <v>1938</v>
      </c>
      <c r="E1106" t="s">
        <v>1636</v>
      </c>
      <c r="F1106" t="s">
        <v>334</v>
      </c>
      <c r="G1106" t="s">
        <v>1642</v>
      </c>
      <c r="H1106" s="1">
        <v>50000</v>
      </c>
      <c r="I1106" t="s">
        <v>1941</v>
      </c>
      <c r="N1106" s="4">
        <f t="shared" si="34"/>
        <v>70001110</v>
      </c>
      <c r="O1106" t="str">
        <f t="shared" si="35"/>
        <v>M204D1COMM</v>
      </c>
    </row>
    <row r="1107" spans="2:15" x14ac:dyDescent="0.25">
      <c r="B1107" t="s">
        <v>1600</v>
      </c>
      <c r="C1107">
        <v>70001110</v>
      </c>
      <c r="D1107" t="s">
        <v>1938</v>
      </c>
      <c r="E1107" t="s">
        <v>1636</v>
      </c>
      <c r="F1107" t="s">
        <v>334</v>
      </c>
      <c r="G1107" t="s">
        <v>1643</v>
      </c>
      <c r="H1107" s="1">
        <v>50000</v>
      </c>
      <c r="I1107" t="s">
        <v>1941</v>
      </c>
      <c r="N1107" s="4">
        <f t="shared" si="34"/>
        <v>70001110</v>
      </c>
      <c r="O1107" t="str">
        <f t="shared" si="35"/>
        <v>M204D1COMM</v>
      </c>
    </row>
    <row r="1108" spans="2:15" x14ac:dyDescent="0.25">
      <c r="B1108" t="s">
        <v>1600</v>
      </c>
      <c r="C1108">
        <v>70001110</v>
      </c>
      <c r="D1108" t="s">
        <v>1924</v>
      </c>
      <c r="E1108" t="s">
        <v>1636</v>
      </c>
      <c r="F1108" t="s">
        <v>334</v>
      </c>
      <c r="G1108" t="s">
        <v>1644</v>
      </c>
      <c r="H1108" s="1">
        <v>50000</v>
      </c>
      <c r="I1108" t="s">
        <v>1941</v>
      </c>
      <c r="N1108" s="4">
        <f t="shared" si="34"/>
        <v>70001110</v>
      </c>
      <c r="O1108" t="str">
        <f t="shared" si="35"/>
        <v>C206D1SLSS</v>
      </c>
    </row>
    <row r="1109" spans="2:15" x14ac:dyDescent="0.25">
      <c r="B1109" t="s">
        <v>1600</v>
      </c>
      <c r="C1109">
        <v>70001110</v>
      </c>
      <c r="D1109" t="s">
        <v>1924</v>
      </c>
      <c r="E1109" t="s">
        <v>1636</v>
      </c>
      <c r="F1109" t="s">
        <v>334</v>
      </c>
      <c r="G1109" t="s">
        <v>1645</v>
      </c>
      <c r="H1109" s="1">
        <v>50000</v>
      </c>
      <c r="I1109" t="s">
        <v>1941</v>
      </c>
      <c r="N1109" s="4">
        <f t="shared" si="34"/>
        <v>70001110</v>
      </c>
      <c r="O1109" t="str">
        <f t="shared" si="35"/>
        <v>C206D1SLSS</v>
      </c>
    </row>
    <row r="1110" spans="2:15" x14ac:dyDescent="0.25">
      <c r="B1110" t="s">
        <v>1600</v>
      </c>
      <c r="C1110">
        <v>70001110</v>
      </c>
      <c r="D1110" t="s">
        <v>1924</v>
      </c>
      <c r="E1110" t="s">
        <v>1636</v>
      </c>
      <c r="F1110" t="s">
        <v>334</v>
      </c>
      <c r="G1110" t="s">
        <v>1646</v>
      </c>
      <c r="H1110" s="1">
        <v>50000</v>
      </c>
      <c r="I1110" t="s">
        <v>1941</v>
      </c>
      <c r="N1110" s="4">
        <f t="shared" si="34"/>
        <v>70001110</v>
      </c>
      <c r="O1110" t="str">
        <f t="shared" si="35"/>
        <v>C206D1SLSS</v>
      </c>
    </row>
    <row r="1111" spans="2:15" x14ac:dyDescent="0.25">
      <c r="B1111" t="s">
        <v>1600</v>
      </c>
      <c r="C1111">
        <v>70001110</v>
      </c>
      <c r="D1111" t="s">
        <v>1938</v>
      </c>
      <c r="E1111" t="s">
        <v>1636</v>
      </c>
      <c r="F1111" t="s">
        <v>334</v>
      </c>
      <c r="G1111" t="s">
        <v>1647</v>
      </c>
      <c r="H1111" s="1">
        <v>18000</v>
      </c>
      <c r="I1111" t="s">
        <v>1941</v>
      </c>
      <c r="N1111" s="4">
        <f t="shared" si="34"/>
        <v>70001110</v>
      </c>
      <c r="O1111" t="str">
        <f t="shared" si="35"/>
        <v>M204D1COMM</v>
      </c>
    </row>
    <row r="1112" spans="2:15" x14ac:dyDescent="0.25">
      <c r="B1112" t="s">
        <v>1600</v>
      </c>
      <c r="C1112">
        <v>70001110</v>
      </c>
      <c r="D1112" t="s">
        <v>1923</v>
      </c>
      <c r="E1112" t="s">
        <v>1648</v>
      </c>
      <c r="F1112" t="s">
        <v>334</v>
      </c>
      <c r="G1112" t="s">
        <v>1649</v>
      </c>
      <c r="H1112" s="1">
        <v>50000</v>
      </c>
      <c r="I1112" t="s">
        <v>1940</v>
      </c>
      <c r="N1112" s="4">
        <f t="shared" si="34"/>
        <v>70001110</v>
      </c>
      <c r="O1112" t="str">
        <f t="shared" si="35"/>
        <v>P206D1SLSS</v>
      </c>
    </row>
    <row r="1113" spans="2:15" x14ac:dyDescent="0.25">
      <c r="B1113" t="s">
        <v>1600</v>
      </c>
      <c r="C1113">
        <v>70001110</v>
      </c>
      <c r="D1113" t="s">
        <v>1923</v>
      </c>
      <c r="E1113" t="s">
        <v>1648</v>
      </c>
      <c r="F1113" t="s">
        <v>334</v>
      </c>
      <c r="G1113" t="s">
        <v>1650</v>
      </c>
      <c r="H1113" s="1">
        <v>50000</v>
      </c>
      <c r="I1113" t="s">
        <v>1940</v>
      </c>
      <c r="N1113" s="4">
        <f t="shared" si="34"/>
        <v>70001110</v>
      </c>
      <c r="O1113" t="str">
        <f t="shared" si="35"/>
        <v>P206D1SLSS</v>
      </c>
    </row>
    <row r="1114" spans="2:15" x14ac:dyDescent="0.25">
      <c r="B1114" t="s">
        <v>1600</v>
      </c>
      <c r="C1114">
        <v>70001110</v>
      </c>
      <c r="D1114" t="s">
        <v>1923</v>
      </c>
      <c r="E1114" t="s">
        <v>1648</v>
      </c>
      <c r="F1114" t="s">
        <v>334</v>
      </c>
      <c r="G1114" t="s">
        <v>1651</v>
      </c>
      <c r="H1114" s="1">
        <v>50000</v>
      </c>
      <c r="I1114" t="s">
        <v>1940</v>
      </c>
      <c r="N1114" s="4">
        <f t="shared" si="34"/>
        <v>70001110</v>
      </c>
      <c r="O1114" t="str">
        <f t="shared" si="35"/>
        <v>P206D1SLSS</v>
      </c>
    </row>
    <row r="1115" spans="2:15" x14ac:dyDescent="0.25">
      <c r="B1115" t="s">
        <v>1600</v>
      </c>
      <c r="C1115">
        <v>70001110</v>
      </c>
      <c r="D1115" t="s">
        <v>1923</v>
      </c>
      <c r="E1115" t="s">
        <v>1648</v>
      </c>
      <c r="F1115" t="s">
        <v>334</v>
      </c>
      <c r="G1115" t="s">
        <v>1652</v>
      </c>
      <c r="H1115" s="1">
        <v>50000</v>
      </c>
      <c r="I1115" t="s">
        <v>1940</v>
      </c>
      <c r="N1115" s="4">
        <f t="shared" si="34"/>
        <v>70001110</v>
      </c>
      <c r="O1115" t="str">
        <f t="shared" si="35"/>
        <v>P206D1SLSS</v>
      </c>
    </row>
    <row r="1116" spans="2:15" x14ac:dyDescent="0.25">
      <c r="B1116" t="s">
        <v>1600</v>
      </c>
      <c r="C1116">
        <v>70001110</v>
      </c>
      <c r="D1116" t="s">
        <v>1923</v>
      </c>
      <c r="E1116" t="s">
        <v>1648</v>
      </c>
      <c r="F1116" t="s">
        <v>334</v>
      </c>
      <c r="G1116" t="s">
        <v>1653</v>
      </c>
      <c r="H1116" s="1">
        <v>50000</v>
      </c>
      <c r="I1116" t="s">
        <v>1940</v>
      </c>
      <c r="N1116" s="4">
        <f t="shared" si="34"/>
        <v>70001110</v>
      </c>
      <c r="O1116" t="str">
        <f t="shared" si="35"/>
        <v>P206D1SLSS</v>
      </c>
    </row>
    <row r="1117" spans="2:15" x14ac:dyDescent="0.25">
      <c r="B1117" t="s">
        <v>1600</v>
      </c>
      <c r="C1117">
        <v>70001110</v>
      </c>
      <c r="D1117" t="s">
        <v>1923</v>
      </c>
      <c r="E1117" t="s">
        <v>1648</v>
      </c>
      <c r="F1117" t="s">
        <v>334</v>
      </c>
      <c r="G1117" t="s">
        <v>1654</v>
      </c>
      <c r="H1117" s="1">
        <v>50000</v>
      </c>
      <c r="I1117" t="s">
        <v>1940</v>
      </c>
      <c r="N1117" s="4">
        <f t="shared" si="34"/>
        <v>70001110</v>
      </c>
      <c r="O1117" t="str">
        <f t="shared" si="35"/>
        <v>P206D1SLSS</v>
      </c>
    </row>
    <row r="1118" spans="2:15" x14ac:dyDescent="0.25">
      <c r="B1118" t="s">
        <v>1600</v>
      </c>
      <c r="C1118">
        <v>70001110</v>
      </c>
      <c r="D1118" t="s">
        <v>1923</v>
      </c>
      <c r="E1118" t="s">
        <v>1648</v>
      </c>
      <c r="F1118" t="s">
        <v>334</v>
      </c>
      <c r="G1118" t="s">
        <v>1655</v>
      </c>
      <c r="H1118" s="1">
        <v>50000</v>
      </c>
      <c r="I1118" t="s">
        <v>1940</v>
      </c>
      <c r="N1118" s="4">
        <f t="shared" si="34"/>
        <v>70001110</v>
      </c>
      <c r="O1118" t="str">
        <f t="shared" si="35"/>
        <v>P206D1SLSS</v>
      </c>
    </row>
    <row r="1119" spans="2:15" x14ac:dyDescent="0.25">
      <c r="B1119" t="s">
        <v>1600</v>
      </c>
      <c r="C1119">
        <v>70001110</v>
      </c>
      <c r="D1119" t="s">
        <v>1923</v>
      </c>
      <c r="E1119" t="s">
        <v>1648</v>
      </c>
      <c r="F1119" t="s">
        <v>334</v>
      </c>
      <c r="G1119" t="s">
        <v>1656</v>
      </c>
      <c r="H1119" s="1">
        <v>50000</v>
      </c>
      <c r="I1119" t="s">
        <v>1940</v>
      </c>
      <c r="N1119" s="4">
        <f t="shared" si="34"/>
        <v>70001110</v>
      </c>
      <c r="O1119" t="str">
        <f t="shared" si="35"/>
        <v>P206D1SLSS</v>
      </c>
    </row>
    <row r="1120" spans="2:15" x14ac:dyDescent="0.25">
      <c r="B1120" t="s">
        <v>1600</v>
      </c>
      <c r="C1120">
        <v>70001110</v>
      </c>
      <c r="D1120" t="s">
        <v>1923</v>
      </c>
      <c r="E1120" t="s">
        <v>1648</v>
      </c>
      <c r="F1120" t="s">
        <v>334</v>
      </c>
      <c r="G1120" t="s">
        <v>1657</v>
      </c>
      <c r="H1120" s="1">
        <v>50000</v>
      </c>
      <c r="I1120" t="s">
        <v>1940</v>
      </c>
      <c r="N1120" s="4">
        <f t="shared" si="34"/>
        <v>70001110</v>
      </c>
      <c r="O1120" t="str">
        <f t="shared" si="35"/>
        <v>P206D1SLSS</v>
      </c>
    </row>
    <row r="1121" spans="2:15" x14ac:dyDescent="0.25">
      <c r="B1121" t="s">
        <v>1600</v>
      </c>
      <c r="C1121">
        <v>70001110</v>
      </c>
      <c r="D1121" t="s">
        <v>1923</v>
      </c>
      <c r="E1121" t="s">
        <v>1648</v>
      </c>
      <c r="F1121" t="s">
        <v>334</v>
      </c>
      <c r="G1121" t="s">
        <v>1658</v>
      </c>
      <c r="H1121" s="1">
        <v>50000</v>
      </c>
      <c r="I1121" t="s">
        <v>1940</v>
      </c>
      <c r="N1121" s="4">
        <f t="shared" si="34"/>
        <v>70001110</v>
      </c>
      <c r="O1121" t="str">
        <f t="shared" si="35"/>
        <v>P206D1SLSS</v>
      </c>
    </row>
    <row r="1122" spans="2:15" x14ac:dyDescent="0.25">
      <c r="B1122" t="s">
        <v>1600</v>
      </c>
      <c r="C1122">
        <v>70001110</v>
      </c>
      <c r="D1122" t="s">
        <v>1923</v>
      </c>
      <c r="E1122" t="s">
        <v>1648</v>
      </c>
      <c r="F1122" t="s">
        <v>334</v>
      </c>
      <c r="G1122" t="s">
        <v>1659</v>
      </c>
      <c r="H1122" s="1">
        <v>50000</v>
      </c>
      <c r="I1122" t="s">
        <v>1940</v>
      </c>
      <c r="N1122" s="4">
        <f t="shared" si="34"/>
        <v>70001110</v>
      </c>
      <c r="O1122" t="str">
        <f t="shared" si="35"/>
        <v>P206D1SLSS</v>
      </c>
    </row>
    <row r="1123" spans="2:15" x14ac:dyDescent="0.25">
      <c r="B1123" t="s">
        <v>1600</v>
      </c>
      <c r="C1123">
        <v>70001110</v>
      </c>
      <c r="D1123" t="s">
        <v>1923</v>
      </c>
      <c r="E1123" t="s">
        <v>1648</v>
      </c>
      <c r="F1123" t="s">
        <v>334</v>
      </c>
      <c r="G1123" t="s">
        <v>1660</v>
      </c>
      <c r="H1123" s="1">
        <v>50000</v>
      </c>
      <c r="I1123" t="s">
        <v>1940</v>
      </c>
      <c r="N1123" s="4">
        <f t="shared" si="34"/>
        <v>70001110</v>
      </c>
      <c r="O1123" t="str">
        <f t="shared" si="35"/>
        <v>P206D1SLSS</v>
      </c>
    </row>
    <row r="1124" spans="2:15" x14ac:dyDescent="0.25">
      <c r="B1124" t="s">
        <v>1600</v>
      </c>
      <c r="C1124">
        <v>70119300</v>
      </c>
      <c r="D1124" t="s">
        <v>1973</v>
      </c>
      <c r="E1124" t="s">
        <v>1661</v>
      </c>
      <c r="F1124" t="s">
        <v>259</v>
      </c>
      <c r="G1124" t="s">
        <v>1662</v>
      </c>
      <c r="H1124" s="1">
        <v>1000000</v>
      </c>
      <c r="I1124" t="s">
        <v>1972</v>
      </c>
      <c r="N1124" s="4">
        <f t="shared" si="34"/>
        <v>70119300</v>
      </c>
      <c r="O1124" t="str">
        <f t="shared" si="35"/>
        <v>R124D1PRCN</v>
      </c>
    </row>
    <row r="1125" spans="2:15" x14ac:dyDescent="0.25">
      <c r="B1125" t="s">
        <v>1600</v>
      </c>
      <c r="C1125">
        <v>70101114</v>
      </c>
      <c r="D1125" t="s">
        <v>1959</v>
      </c>
      <c r="E1125" t="s">
        <v>1663</v>
      </c>
      <c r="F1125" t="s">
        <v>59</v>
      </c>
      <c r="G1125" t="s">
        <v>1664</v>
      </c>
      <c r="H1125" s="1">
        <v>949248</v>
      </c>
      <c r="I1125" t="s">
        <v>1958</v>
      </c>
      <c r="N1125" s="4">
        <f t="shared" si="34"/>
        <v>70101114</v>
      </c>
      <c r="O1125" t="str">
        <f t="shared" si="35"/>
        <v>R124QCA</v>
      </c>
    </row>
    <row r="1126" spans="2:15" x14ac:dyDescent="0.25">
      <c r="B1126" t="s">
        <v>1600</v>
      </c>
      <c r="C1126">
        <v>70107600</v>
      </c>
      <c r="D1126" t="s">
        <v>1921</v>
      </c>
      <c r="E1126" t="s">
        <v>1665</v>
      </c>
      <c r="F1126" t="s">
        <v>126</v>
      </c>
      <c r="G1126" t="s">
        <v>1666</v>
      </c>
      <c r="H1126" s="1">
        <v>682500</v>
      </c>
      <c r="I1126" t="s">
        <v>1966</v>
      </c>
      <c r="N1126" s="4">
        <f t="shared" si="34"/>
        <v>70107600</v>
      </c>
      <c r="O1126" t="str">
        <f t="shared" si="35"/>
        <v>R124D1HRDV</v>
      </c>
    </row>
    <row r="1127" spans="2:15" x14ac:dyDescent="0.25">
      <c r="B1127" t="s">
        <v>1600</v>
      </c>
      <c r="C1127">
        <v>70107600</v>
      </c>
      <c r="D1127" t="s">
        <v>1921</v>
      </c>
      <c r="E1127" t="s">
        <v>1667</v>
      </c>
      <c r="F1127" t="s">
        <v>126</v>
      </c>
      <c r="G1127" t="s">
        <v>1668</v>
      </c>
      <c r="H1127" s="1">
        <v>647500</v>
      </c>
      <c r="I1127" t="s">
        <v>1966</v>
      </c>
      <c r="N1127" s="4">
        <f t="shared" si="34"/>
        <v>70107600</v>
      </c>
      <c r="O1127" t="str">
        <f t="shared" si="35"/>
        <v>R124D1HRDV</v>
      </c>
    </row>
    <row r="1128" spans="2:15" x14ac:dyDescent="0.25">
      <c r="B1128" t="s">
        <v>1600</v>
      </c>
      <c r="C1128">
        <v>70107600</v>
      </c>
      <c r="D1128" t="s">
        <v>1921</v>
      </c>
      <c r="E1128" t="s">
        <v>1669</v>
      </c>
      <c r="F1128" t="s">
        <v>126</v>
      </c>
      <c r="G1128" t="s">
        <v>1670</v>
      </c>
      <c r="H1128" s="1">
        <v>612500</v>
      </c>
      <c r="I1128" t="s">
        <v>1966</v>
      </c>
      <c r="N1128" s="4">
        <f t="shared" si="34"/>
        <v>70107600</v>
      </c>
      <c r="O1128" t="str">
        <f t="shared" si="35"/>
        <v>R124D1HRDV</v>
      </c>
    </row>
    <row r="1129" spans="2:15" x14ac:dyDescent="0.25">
      <c r="B1129" t="s">
        <v>1600</v>
      </c>
      <c r="C1129">
        <v>70106400</v>
      </c>
      <c r="D1129" t="s">
        <v>1943</v>
      </c>
      <c r="E1129" t="s">
        <v>1671</v>
      </c>
      <c r="F1129" t="s">
        <v>96</v>
      </c>
      <c r="G1129" t="s">
        <v>1672</v>
      </c>
      <c r="H1129" s="1">
        <v>760000</v>
      </c>
      <c r="I1129" t="s">
        <v>1942</v>
      </c>
      <c r="N1129" s="4">
        <f t="shared" si="34"/>
        <v>70106400</v>
      </c>
      <c r="O1129" t="str">
        <f t="shared" si="35"/>
        <v>R124D1HRGA</v>
      </c>
    </row>
    <row r="1130" spans="2:15" x14ac:dyDescent="0.25">
      <c r="B1130" t="s">
        <v>1600</v>
      </c>
      <c r="C1130">
        <v>70106100</v>
      </c>
      <c r="D1130" t="s">
        <v>1943</v>
      </c>
      <c r="E1130" t="s">
        <v>1671</v>
      </c>
      <c r="F1130" t="s">
        <v>67</v>
      </c>
      <c r="G1130" t="s">
        <v>98</v>
      </c>
      <c r="H1130" s="1">
        <v>240000</v>
      </c>
      <c r="I1130" t="s">
        <v>1942</v>
      </c>
      <c r="N1130" s="4">
        <f t="shared" si="34"/>
        <v>70106100</v>
      </c>
      <c r="O1130" t="str">
        <f t="shared" si="35"/>
        <v>R124D1HRGA</v>
      </c>
    </row>
    <row r="1131" spans="2:15" x14ac:dyDescent="0.25">
      <c r="B1131" t="s">
        <v>1600</v>
      </c>
      <c r="C1131">
        <v>70107600</v>
      </c>
      <c r="D1131" t="s">
        <v>1921</v>
      </c>
      <c r="E1131" t="s">
        <v>1673</v>
      </c>
      <c r="F1131" t="s">
        <v>126</v>
      </c>
      <c r="G1131" t="s">
        <v>1674</v>
      </c>
      <c r="H1131" s="1">
        <v>961950</v>
      </c>
      <c r="I1131" t="s">
        <v>1920</v>
      </c>
      <c r="N1131" s="4">
        <f t="shared" si="34"/>
        <v>70107600</v>
      </c>
      <c r="O1131" t="str">
        <f t="shared" si="35"/>
        <v>R124D1HRDV</v>
      </c>
    </row>
    <row r="1132" spans="2:15" x14ac:dyDescent="0.25">
      <c r="B1132" t="s">
        <v>1600</v>
      </c>
      <c r="C1132">
        <v>70001110</v>
      </c>
      <c r="D1132" t="s">
        <v>1923</v>
      </c>
      <c r="E1132" t="s">
        <v>1675</v>
      </c>
      <c r="F1132" t="s">
        <v>334</v>
      </c>
      <c r="G1132" t="s">
        <v>1676</v>
      </c>
      <c r="H1132" s="1">
        <v>50000</v>
      </c>
      <c r="I1132" t="s">
        <v>1968</v>
      </c>
      <c r="N1132" s="4">
        <f t="shared" si="34"/>
        <v>70001110</v>
      </c>
      <c r="O1132" t="str">
        <f t="shared" si="35"/>
        <v>P206D1SLSS</v>
      </c>
    </row>
    <row r="1133" spans="2:15" x14ac:dyDescent="0.25">
      <c r="B1133" t="s">
        <v>1600</v>
      </c>
      <c r="C1133">
        <v>70001110</v>
      </c>
      <c r="D1133" t="s">
        <v>1924</v>
      </c>
      <c r="E1133" t="s">
        <v>1675</v>
      </c>
      <c r="F1133" t="s">
        <v>334</v>
      </c>
      <c r="G1133" t="s">
        <v>1677</v>
      </c>
      <c r="H1133" s="1">
        <v>50000</v>
      </c>
      <c r="I1133" t="s">
        <v>1968</v>
      </c>
      <c r="N1133" s="4">
        <f t="shared" si="34"/>
        <v>70001110</v>
      </c>
      <c r="O1133" t="str">
        <f t="shared" si="35"/>
        <v>C206D1SLSS</v>
      </c>
    </row>
    <row r="1134" spans="2:15" x14ac:dyDescent="0.25">
      <c r="B1134" t="s">
        <v>1600</v>
      </c>
      <c r="C1134">
        <v>70001110</v>
      </c>
      <c r="D1134" t="s">
        <v>1924</v>
      </c>
      <c r="E1134" t="s">
        <v>1675</v>
      </c>
      <c r="F1134" t="s">
        <v>334</v>
      </c>
      <c r="G1134" t="s">
        <v>1678</v>
      </c>
      <c r="H1134" s="1">
        <v>50000</v>
      </c>
      <c r="I1134" t="s">
        <v>1968</v>
      </c>
      <c r="N1134" s="4">
        <f t="shared" si="34"/>
        <v>70001110</v>
      </c>
      <c r="O1134" t="str">
        <f t="shared" si="35"/>
        <v>C206D1SLSS</v>
      </c>
    </row>
    <row r="1135" spans="2:15" x14ac:dyDescent="0.25">
      <c r="B1135" t="s">
        <v>1600</v>
      </c>
      <c r="C1135">
        <v>70001110</v>
      </c>
      <c r="D1135" t="s">
        <v>1924</v>
      </c>
      <c r="E1135" t="s">
        <v>1675</v>
      </c>
      <c r="F1135" t="s">
        <v>334</v>
      </c>
      <c r="G1135" t="s">
        <v>1679</v>
      </c>
      <c r="H1135" s="1">
        <v>50000</v>
      </c>
      <c r="I1135" t="s">
        <v>1968</v>
      </c>
      <c r="N1135" s="4">
        <f t="shared" si="34"/>
        <v>70001110</v>
      </c>
      <c r="O1135" t="str">
        <f t="shared" si="35"/>
        <v>C206D1SLSS</v>
      </c>
    </row>
    <row r="1136" spans="2:15" x14ac:dyDescent="0.25">
      <c r="B1136" t="s">
        <v>1600</v>
      </c>
      <c r="C1136">
        <v>70001110</v>
      </c>
      <c r="D1136" t="s">
        <v>1923</v>
      </c>
      <c r="E1136" t="s">
        <v>1675</v>
      </c>
      <c r="F1136" t="s">
        <v>334</v>
      </c>
      <c r="G1136" t="s">
        <v>1680</v>
      </c>
      <c r="H1136" s="1">
        <v>50000</v>
      </c>
      <c r="I1136" t="s">
        <v>1968</v>
      </c>
      <c r="N1136" s="4">
        <f t="shared" si="34"/>
        <v>70001110</v>
      </c>
      <c r="O1136" t="str">
        <f t="shared" si="35"/>
        <v>P206D1SLSS</v>
      </c>
    </row>
    <row r="1137" spans="2:15" x14ac:dyDescent="0.25">
      <c r="B1137" t="s">
        <v>1600</v>
      </c>
      <c r="C1137">
        <v>70001110</v>
      </c>
      <c r="D1137" t="s">
        <v>1923</v>
      </c>
      <c r="E1137" t="s">
        <v>1675</v>
      </c>
      <c r="F1137" t="s">
        <v>334</v>
      </c>
      <c r="G1137" t="s">
        <v>1681</v>
      </c>
      <c r="H1137" s="1">
        <v>50000</v>
      </c>
      <c r="I1137" t="s">
        <v>1968</v>
      </c>
      <c r="N1137" s="4">
        <f t="shared" si="34"/>
        <v>70001110</v>
      </c>
      <c r="O1137" t="str">
        <f t="shared" si="35"/>
        <v>P206D1SLSS</v>
      </c>
    </row>
    <row r="1138" spans="2:15" x14ac:dyDescent="0.25">
      <c r="B1138" t="s">
        <v>1600</v>
      </c>
      <c r="C1138">
        <v>70001110</v>
      </c>
      <c r="D1138" t="s">
        <v>1923</v>
      </c>
      <c r="E1138" t="s">
        <v>1675</v>
      </c>
      <c r="F1138" t="s">
        <v>334</v>
      </c>
      <c r="G1138" t="s">
        <v>1682</v>
      </c>
      <c r="H1138" s="1">
        <v>50000</v>
      </c>
      <c r="I1138" t="s">
        <v>1968</v>
      </c>
      <c r="N1138" s="4">
        <f t="shared" si="34"/>
        <v>70001110</v>
      </c>
      <c r="O1138" t="str">
        <f t="shared" si="35"/>
        <v>P206D1SLSS</v>
      </c>
    </row>
    <row r="1139" spans="2:15" x14ac:dyDescent="0.25">
      <c r="B1139" t="s">
        <v>1600</v>
      </c>
      <c r="C1139">
        <v>70001110</v>
      </c>
      <c r="D1139" t="s">
        <v>1938</v>
      </c>
      <c r="E1139" t="s">
        <v>1675</v>
      </c>
      <c r="F1139" t="s">
        <v>334</v>
      </c>
      <c r="G1139" t="s">
        <v>1683</v>
      </c>
      <c r="H1139" s="1">
        <v>50000</v>
      </c>
      <c r="I1139" t="s">
        <v>1968</v>
      </c>
      <c r="N1139" s="4">
        <f t="shared" si="34"/>
        <v>70001110</v>
      </c>
      <c r="O1139" t="str">
        <f t="shared" si="35"/>
        <v>M204D1COMM</v>
      </c>
    </row>
    <row r="1140" spans="2:15" x14ac:dyDescent="0.25">
      <c r="B1140" t="s">
        <v>1600</v>
      </c>
      <c r="C1140">
        <v>70001110</v>
      </c>
      <c r="D1140" t="s">
        <v>1923</v>
      </c>
      <c r="E1140" t="s">
        <v>1675</v>
      </c>
      <c r="F1140" t="s">
        <v>334</v>
      </c>
      <c r="G1140" t="s">
        <v>1684</v>
      </c>
      <c r="H1140" s="1">
        <v>50000</v>
      </c>
      <c r="I1140" t="s">
        <v>1968</v>
      </c>
      <c r="N1140" s="4">
        <f t="shared" si="34"/>
        <v>70001110</v>
      </c>
      <c r="O1140" t="str">
        <f t="shared" si="35"/>
        <v>P206D1SLSS</v>
      </c>
    </row>
    <row r="1141" spans="2:15" x14ac:dyDescent="0.25">
      <c r="B1141" t="s">
        <v>1600</v>
      </c>
      <c r="C1141">
        <v>70001110</v>
      </c>
      <c r="D1141" t="s">
        <v>1923</v>
      </c>
      <c r="E1141" t="s">
        <v>1675</v>
      </c>
      <c r="F1141" t="s">
        <v>334</v>
      </c>
      <c r="G1141" t="s">
        <v>1685</v>
      </c>
      <c r="H1141" s="1">
        <v>50000</v>
      </c>
      <c r="I1141" t="s">
        <v>1968</v>
      </c>
      <c r="N1141" s="4">
        <f t="shared" si="34"/>
        <v>70001110</v>
      </c>
      <c r="O1141" t="str">
        <f t="shared" si="35"/>
        <v>P206D1SLSS</v>
      </c>
    </row>
    <row r="1142" spans="2:15" x14ac:dyDescent="0.25">
      <c r="B1142" t="s">
        <v>1600</v>
      </c>
      <c r="C1142">
        <v>70001110</v>
      </c>
      <c r="D1142" t="s">
        <v>1923</v>
      </c>
      <c r="E1142" t="s">
        <v>1675</v>
      </c>
      <c r="F1142" t="s">
        <v>334</v>
      </c>
      <c r="G1142" t="s">
        <v>1686</v>
      </c>
      <c r="H1142" s="1">
        <v>50000</v>
      </c>
      <c r="I1142" t="s">
        <v>1968</v>
      </c>
      <c r="N1142" s="4">
        <f t="shared" si="34"/>
        <v>70001110</v>
      </c>
      <c r="O1142" t="str">
        <f t="shared" si="35"/>
        <v>P206D1SLSS</v>
      </c>
    </row>
    <row r="1143" spans="2:15" x14ac:dyDescent="0.25">
      <c r="B1143" t="s">
        <v>1600</v>
      </c>
      <c r="C1143">
        <v>70001110</v>
      </c>
      <c r="D1143" t="s">
        <v>1923</v>
      </c>
      <c r="E1143" t="s">
        <v>1675</v>
      </c>
      <c r="F1143" t="s">
        <v>334</v>
      </c>
      <c r="G1143" t="s">
        <v>1687</v>
      </c>
      <c r="H1143" s="1">
        <v>50000</v>
      </c>
      <c r="I1143" t="s">
        <v>1968</v>
      </c>
      <c r="N1143" s="4">
        <f t="shared" si="34"/>
        <v>70001110</v>
      </c>
      <c r="O1143" t="str">
        <f t="shared" si="35"/>
        <v>P206D1SLSS</v>
      </c>
    </row>
    <row r="1144" spans="2:15" x14ac:dyDescent="0.25">
      <c r="B1144" t="s">
        <v>1600</v>
      </c>
      <c r="C1144">
        <v>70001110</v>
      </c>
      <c r="D1144" t="s">
        <v>1923</v>
      </c>
      <c r="E1144" t="s">
        <v>1675</v>
      </c>
      <c r="F1144" t="s">
        <v>334</v>
      </c>
      <c r="G1144" t="s">
        <v>1688</v>
      </c>
      <c r="H1144" s="1">
        <v>50000</v>
      </c>
      <c r="I1144" t="s">
        <v>1968</v>
      </c>
      <c r="N1144" s="4">
        <f t="shared" si="34"/>
        <v>70001110</v>
      </c>
      <c r="O1144" t="str">
        <f t="shared" si="35"/>
        <v>P206D1SLSS</v>
      </c>
    </row>
    <row r="1145" spans="2:15" x14ac:dyDescent="0.25">
      <c r="B1145" t="s">
        <v>1600</v>
      </c>
      <c r="C1145">
        <v>70001110</v>
      </c>
      <c r="D1145" t="s">
        <v>1923</v>
      </c>
      <c r="E1145" t="s">
        <v>1675</v>
      </c>
      <c r="F1145" t="s">
        <v>334</v>
      </c>
      <c r="G1145" t="s">
        <v>1689</v>
      </c>
      <c r="H1145" s="1">
        <v>50000</v>
      </c>
      <c r="I1145" t="s">
        <v>1968</v>
      </c>
      <c r="N1145" s="4">
        <f t="shared" si="34"/>
        <v>70001110</v>
      </c>
      <c r="O1145" t="str">
        <f t="shared" si="35"/>
        <v>P206D1SLSS</v>
      </c>
    </row>
    <row r="1146" spans="2:15" x14ac:dyDescent="0.25">
      <c r="B1146" t="s">
        <v>1600</v>
      </c>
      <c r="C1146">
        <v>70001110</v>
      </c>
      <c r="D1146" t="s">
        <v>1938</v>
      </c>
      <c r="E1146" t="s">
        <v>1675</v>
      </c>
      <c r="F1146" t="s">
        <v>334</v>
      </c>
      <c r="G1146" t="s">
        <v>1690</v>
      </c>
      <c r="H1146" s="1">
        <v>50000</v>
      </c>
      <c r="I1146" t="s">
        <v>1968</v>
      </c>
      <c r="N1146" s="4">
        <f t="shared" si="34"/>
        <v>70001110</v>
      </c>
      <c r="O1146" t="str">
        <f t="shared" si="35"/>
        <v>M204D1COMM</v>
      </c>
    </row>
    <row r="1147" spans="2:15" x14ac:dyDescent="0.25">
      <c r="B1147" t="s">
        <v>1600</v>
      </c>
      <c r="C1147">
        <v>70001110</v>
      </c>
      <c r="D1147" t="s">
        <v>1923</v>
      </c>
      <c r="E1147" t="s">
        <v>1675</v>
      </c>
      <c r="F1147" t="s">
        <v>334</v>
      </c>
      <c r="G1147" t="s">
        <v>1691</v>
      </c>
      <c r="H1147" s="1">
        <v>50000</v>
      </c>
      <c r="I1147" t="s">
        <v>1968</v>
      </c>
      <c r="N1147" s="4">
        <f t="shared" si="34"/>
        <v>70001110</v>
      </c>
      <c r="O1147" t="str">
        <f t="shared" si="35"/>
        <v>P206D1SLSS</v>
      </c>
    </row>
    <row r="1148" spans="2:15" x14ac:dyDescent="0.25">
      <c r="B1148" t="s">
        <v>1600</v>
      </c>
      <c r="C1148">
        <v>70001110</v>
      </c>
      <c r="D1148" t="s">
        <v>1938</v>
      </c>
      <c r="E1148" t="s">
        <v>1675</v>
      </c>
      <c r="F1148" t="s">
        <v>334</v>
      </c>
      <c r="G1148" t="s">
        <v>1692</v>
      </c>
      <c r="H1148" s="1">
        <v>50000</v>
      </c>
      <c r="I1148" t="s">
        <v>1968</v>
      </c>
      <c r="N1148" s="4">
        <f t="shared" si="34"/>
        <v>70001110</v>
      </c>
      <c r="O1148" t="str">
        <f t="shared" si="35"/>
        <v>M204D1COMM</v>
      </c>
    </row>
    <row r="1149" spans="2:15" x14ac:dyDescent="0.25">
      <c r="B1149" t="s">
        <v>1600</v>
      </c>
      <c r="C1149">
        <v>70001110</v>
      </c>
      <c r="D1149" t="s">
        <v>1923</v>
      </c>
      <c r="E1149" t="s">
        <v>1675</v>
      </c>
      <c r="F1149" t="s">
        <v>334</v>
      </c>
      <c r="G1149" t="s">
        <v>1693</v>
      </c>
      <c r="H1149" s="1">
        <v>50000</v>
      </c>
      <c r="I1149" t="s">
        <v>1968</v>
      </c>
      <c r="N1149" s="4">
        <f t="shared" si="34"/>
        <v>70001110</v>
      </c>
      <c r="O1149" t="str">
        <f t="shared" si="35"/>
        <v>P206D1SLSS</v>
      </c>
    </row>
    <row r="1150" spans="2:15" x14ac:dyDescent="0.25">
      <c r="B1150" t="s">
        <v>1600</v>
      </c>
      <c r="C1150">
        <v>70119300</v>
      </c>
      <c r="D1150" t="s">
        <v>1923</v>
      </c>
      <c r="E1150" t="s">
        <v>1675</v>
      </c>
      <c r="F1150" t="s">
        <v>259</v>
      </c>
      <c r="G1150" t="s">
        <v>1694</v>
      </c>
      <c r="H1150" s="1">
        <v>26000</v>
      </c>
      <c r="I1150" t="s">
        <v>1968</v>
      </c>
      <c r="N1150" s="4">
        <f t="shared" si="34"/>
        <v>70119300</v>
      </c>
      <c r="O1150" t="str">
        <f t="shared" si="35"/>
        <v>P206D1SLSS</v>
      </c>
    </row>
    <row r="1151" spans="2:15" x14ac:dyDescent="0.25">
      <c r="B1151" t="s">
        <v>1600</v>
      </c>
      <c r="C1151">
        <v>70106400</v>
      </c>
      <c r="D1151" t="s">
        <v>1943</v>
      </c>
      <c r="E1151" t="s">
        <v>1695</v>
      </c>
      <c r="F1151" t="s">
        <v>96</v>
      </c>
      <c r="G1151" t="s">
        <v>1696</v>
      </c>
      <c r="H1151" s="1">
        <v>620000</v>
      </c>
      <c r="I1151" t="s">
        <v>1942</v>
      </c>
      <c r="N1151" s="4">
        <f t="shared" si="34"/>
        <v>70106400</v>
      </c>
      <c r="O1151" t="str">
        <f t="shared" si="35"/>
        <v>R124D1HRGA</v>
      </c>
    </row>
    <row r="1152" spans="2:15" x14ac:dyDescent="0.25">
      <c r="B1152" t="s">
        <v>1600</v>
      </c>
      <c r="C1152">
        <v>70106100</v>
      </c>
      <c r="D1152" t="s">
        <v>1943</v>
      </c>
      <c r="E1152" t="s">
        <v>1695</v>
      </c>
      <c r="F1152" t="s">
        <v>67</v>
      </c>
      <c r="G1152" t="s">
        <v>98</v>
      </c>
      <c r="H1152" s="1">
        <v>378000</v>
      </c>
      <c r="I1152" t="s">
        <v>1942</v>
      </c>
      <c r="N1152" s="4">
        <f t="shared" si="34"/>
        <v>70106100</v>
      </c>
      <c r="O1152" t="str">
        <f t="shared" si="35"/>
        <v>R124D1HRGA</v>
      </c>
    </row>
    <row r="1153" spans="2:15" x14ac:dyDescent="0.25">
      <c r="B1153" t="s">
        <v>1600</v>
      </c>
      <c r="C1153">
        <v>70101202</v>
      </c>
      <c r="D1153" t="s">
        <v>1923</v>
      </c>
      <c r="E1153" t="s">
        <v>1697</v>
      </c>
      <c r="F1153" t="s">
        <v>57</v>
      </c>
      <c r="G1153" t="s">
        <v>181</v>
      </c>
      <c r="H1153" s="1">
        <v>310000</v>
      </c>
      <c r="I1153" t="s">
        <v>2009</v>
      </c>
      <c r="N1153" s="4">
        <f t="shared" si="34"/>
        <v>70101202</v>
      </c>
      <c r="O1153" t="str">
        <f t="shared" si="35"/>
        <v>P206D1SLSS</v>
      </c>
    </row>
    <row r="1154" spans="2:15" x14ac:dyDescent="0.25">
      <c r="B1154" t="s">
        <v>1600</v>
      </c>
      <c r="C1154">
        <v>70101202</v>
      </c>
      <c r="D1154" t="s">
        <v>1924</v>
      </c>
      <c r="E1154" t="s">
        <v>1698</v>
      </c>
      <c r="F1154" t="s">
        <v>57</v>
      </c>
      <c r="G1154" t="s">
        <v>179</v>
      </c>
      <c r="H1154" s="1">
        <v>330000</v>
      </c>
      <c r="I1154" t="s">
        <v>1964</v>
      </c>
      <c r="N1154" s="4">
        <f t="shared" si="34"/>
        <v>70101202</v>
      </c>
      <c r="O1154" t="str">
        <f t="shared" si="35"/>
        <v>C206D1SLSS</v>
      </c>
    </row>
    <row r="1155" spans="2:15" x14ac:dyDescent="0.25">
      <c r="B1155" t="s">
        <v>1600</v>
      </c>
      <c r="C1155">
        <v>70001110</v>
      </c>
      <c r="D1155" t="s">
        <v>1938</v>
      </c>
      <c r="E1155" t="s">
        <v>1699</v>
      </c>
      <c r="F1155" t="s">
        <v>334</v>
      </c>
      <c r="G1155" t="s">
        <v>1700</v>
      </c>
      <c r="H1155" s="1">
        <v>50000</v>
      </c>
      <c r="I1155" t="s">
        <v>1936</v>
      </c>
      <c r="N1155" s="4">
        <f t="shared" si="34"/>
        <v>70001110</v>
      </c>
      <c r="O1155" t="str">
        <f t="shared" si="35"/>
        <v>M204D1COMM</v>
      </c>
    </row>
    <row r="1156" spans="2:15" x14ac:dyDescent="0.25">
      <c r="B1156" t="s">
        <v>1600</v>
      </c>
      <c r="C1156">
        <v>70001110</v>
      </c>
      <c r="D1156" t="s">
        <v>1967</v>
      </c>
      <c r="E1156" t="s">
        <v>1699</v>
      </c>
      <c r="F1156" t="s">
        <v>334</v>
      </c>
      <c r="G1156" t="s">
        <v>1701</v>
      </c>
      <c r="H1156" s="1">
        <v>50000</v>
      </c>
      <c r="I1156" t="s">
        <v>1936</v>
      </c>
      <c r="N1156" s="4">
        <f t="shared" si="34"/>
        <v>70001110</v>
      </c>
      <c r="O1156" t="str">
        <f t="shared" si="35"/>
        <v>P206D1SLSC</v>
      </c>
    </row>
    <row r="1157" spans="2:15" x14ac:dyDescent="0.25">
      <c r="B1157" t="s">
        <v>1600</v>
      </c>
      <c r="C1157">
        <v>70001110</v>
      </c>
      <c r="D1157" t="s">
        <v>1923</v>
      </c>
      <c r="E1157" t="s">
        <v>1699</v>
      </c>
      <c r="F1157" t="s">
        <v>334</v>
      </c>
      <c r="G1157" t="s">
        <v>1702</v>
      </c>
      <c r="H1157" s="1">
        <v>50000</v>
      </c>
      <c r="I1157" t="s">
        <v>1936</v>
      </c>
      <c r="N1157" s="4">
        <f t="shared" si="34"/>
        <v>70001110</v>
      </c>
      <c r="O1157" t="str">
        <f t="shared" si="35"/>
        <v>P206D1SLSS</v>
      </c>
    </row>
    <row r="1158" spans="2:15" x14ac:dyDescent="0.25">
      <c r="B1158" t="s">
        <v>1600</v>
      </c>
      <c r="C1158">
        <v>70001110</v>
      </c>
      <c r="D1158" t="s">
        <v>1923</v>
      </c>
      <c r="E1158" t="s">
        <v>1699</v>
      </c>
      <c r="F1158" t="s">
        <v>334</v>
      </c>
      <c r="G1158" t="s">
        <v>1703</v>
      </c>
      <c r="H1158" s="1">
        <v>50000</v>
      </c>
      <c r="I1158" t="s">
        <v>1936</v>
      </c>
      <c r="N1158" s="4">
        <f t="shared" si="34"/>
        <v>70001110</v>
      </c>
      <c r="O1158" t="str">
        <f t="shared" si="35"/>
        <v>P206D1SLSS</v>
      </c>
    </row>
    <row r="1159" spans="2:15" x14ac:dyDescent="0.25">
      <c r="B1159" t="s">
        <v>1600</v>
      </c>
      <c r="C1159">
        <v>70001110</v>
      </c>
      <c r="D1159" t="s">
        <v>1923</v>
      </c>
      <c r="E1159" t="s">
        <v>1699</v>
      </c>
      <c r="F1159" t="s">
        <v>334</v>
      </c>
      <c r="G1159" t="s">
        <v>1704</v>
      </c>
      <c r="H1159" s="1">
        <v>50000</v>
      </c>
      <c r="I1159" t="s">
        <v>1936</v>
      </c>
      <c r="N1159" s="4">
        <f t="shared" si="34"/>
        <v>70001110</v>
      </c>
      <c r="O1159" t="str">
        <f t="shared" si="35"/>
        <v>P206D1SLSS</v>
      </c>
    </row>
    <row r="1160" spans="2:15" x14ac:dyDescent="0.25">
      <c r="B1160" t="s">
        <v>1600</v>
      </c>
      <c r="C1160">
        <v>70105300</v>
      </c>
      <c r="D1160" t="s">
        <v>1943</v>
      </c>
      <c r="E1160" t="s">
        <v>1705</v>
      </c>
      <c r="F1160" t="s">
        <v>193</v>
      </c>
      <c r="G1160" t="s">
        <v>1706</v>
      </c>
      <c r="H1160" s="1">
        <v>57800</v>
      </c>
      <c r="I1160" t="s">
        <v>1949</v>
      </c>
      <c r="N1160" s="4">
        <f t="shared" si="34"/>
        <v>70105300</v>
      </c>
      <c r="O1160" t="str">
        <f t="shared" si="35"/>
        <v>R124D1HRGA</v>
      </c>
    </row>
    <row r="1161" spans="2:15" x14ac:dyDescent="0.25">
      <c r="B1161" t="s">
        <v>1600</v>
      </c>
      <c r="C1161">
        <v>70101202</v>
      </c>
      <c r="D1161" t="s">
        <v>2028</v>
      </c>
      <c r="E1161" t="s">
        <v>1707</v>
      </c>
      <c r="F1161" t="s">
        <v>57</v>
      </c>
      <c r="G1161" t="s">
        <v>1708</v>
      </c>
      <c r="H1161" s="1">
        <v>875000</v>
      </c>
      <c r="I1161" t="s">
        <v>2001</v>
      </c>
      <c r="N1161" s="4">
        <f t="shared" si="34"/>
        <v>70101202</v>
      </c>
      <c r="O1161" t="str">
        <f t="shared" si="35"/>
        <v>R124M09</v>
      </c>
    </row>
    <row r="1162" spans="2:15" x14ac:dyDescent="0.25">
      <c r="B1162" t="s">
        <v>1600</v>
      </c>
      <c r="C1162">
        <v>70001110</v>
      </c>
      <c r="D1162" t="s">
        <v>1924</v>
      </c>
      <c r="E1162" t="s">
        <v>1709</v>
      </c>
      <c r="F1162" t="s">
        <v>334</v>
      </c>
      <c r="G1162" t="s">
        <v>1710</v>
      </c>
      <c r="H1162" s="1">
        <v>200000</v>
      </c>
      <c r="I1162" t="s">
        <v>1922</v>
      </c>
      <c r="N1162" s="4">
        <f t="shared" si="34"/>
        <v>70001110</v>
      </c>
      <c r="O1162" t="str">
        <f t="shared" si="35"/>
        <v>C206D1SLSS</v>
      </c>
    </row>
    <row r="1163" spans="2:15" x14ac:dyDescent="0.25">
      <c r="B1163" t="s">
        <v>1600</v>
      </c>
      <c r="C1163">
        <v>70001110</v>
      </c>
      <c r="D1163" t="s">
        <v>1923</v>
      </c>
      <c r="E1163" t="s">
        <v>1709</v>
      </c>
      <c r="F1163" t="s">
        <v>334</v>
      </c>
      <c r="G1163" t="s">
        <v>1711</v>
      </c>
      <c r="H1163" s="1">
        <v>150000</v>
      </c>
      <c r="I1163" t="s">
        <v>1922</v>
      </c>
      <c r="N1163" s="4">
        <f t="shared" ref="N1163:N1226" si="36">+C1163</f>
        <v>70001110</v>
      </c>
      <c r="O1163" t="str">
        <f t="shared" ref="O1163:O1226" si="37">+D1163</f>
        <v>P206D1SLSS</v>
      </c>
    </row>
    <row r="1164" spans="2:15" x14ac:dyDescent="0.25">
      <c r="B1164" t="s">
        <v>1600</v>
      </c>
      <c r="C1164">
        <v>70001110</v>
      </c>
      <c r="D1164" t="s">
        <v>1923</v>
      </c>
      <c r="E1164" t="s">
        <v>1709</v>
      </c>
      <c r="F1164" t="s">
        <v>334</v>
      </c>
      <c r="G1164" t="s">
        <v>1712</v>
      </c>
      <c r="H1164" s="1">
        <v>150000</v>
      </c>
      <c r="I1164" t="s">
        <v>1922</v>
      </c>
      <c r="N1164" s="4">
        <f t="shared" si="36"/>
        <v>70001110</v>
      </c>
      <c r="O1164" t="str">
        <f t="shared" si="37"/>
        <v>P206D1SLSS</v>
      </c>
    </row>
    <row r="1165" spans="2:15" x14ac:dyDescent="0.25">
      <c r="B1165" t="s">
        <v>1600</v>
      </c>
      <c r="C1165">
        <v>70106100</v>
      </c>
      <c r="D1165" t="s">
        <v>1923</v>
      </c>
      <c r="E1165" t="s">
        <v>1713</v>
      </c>
      <c r="F1165" t="s">
        <v>67</v>
      </c>
      <c r="G1165" t="s">
        <v>1714</v>
      </c>
      <c r="H1165" s="1">
        <v>283000</v>
      </c>
      <c r="I1165" t="s">
        <v>1964</v>
      </c>
      <c r="N1165" s="4">
        <f t="shared" si="36"/>
        <v>70106100</v>
      </c>
      <c r="O1165" t="str">
        <f t="shared" si="37"/>
        <v>P206D1SLSS</v>
      </c>
    </row>
    <row r="1166" spans="2:15" x14ac:dyDescent="0.25">
      <c r="B1166" t="s">
        <v>1600</v>
      </c>
      <c r="C1166">
        <v>70108110</v>
      </c>
      <c r="D1166" t="s">
        <v>1923</v>
      </c>
      <c r="E1166" t="s">
        <v>1713</v>
      </c>
      <c r="F1166" t="s">
        <v>64</v>
      </c>
      <c r="G1166" t="s">
        <v>1715</v>
      </c>
      <c r="H1166" s="1">
        <v>28000</v>
      </c>
      <c r="I1166" t="s">
        <v>1964</v>
      </c>
      <c r="N1166" s="4">
        <f t="shared" si="36"/>
        <v>70108110</v>
      </c>
      <c r="O1166" t="str">
        <f t="shared" si="37"/>
        <v>P206D1SLSS</v>
      </c>
    </row>
    <row r="1167" spans="2:15" x14ac:dyDescent="0.25">
      <c r="B1167" t="s">
        <v>1600</v>
      </c>
      <c r="C1167">
        <v>70001110</v>
      </c>
      <c r="D1167" t="s">
        <v>1923</v>
      </c>
      <c r="E1167" t="s">
        <v>1716</v>
      </c>
      <c r="F1167" t="s">
        <v>334</v>
      </c>
      <c r="G1167" t="s">
        <v>1717</v>
      </c>
      <c r="H1167" s="1">
        <v>50000</v>
      </c>
      <c r="I1167" t="s">
        <v>1947</v>
      </c>
      <c r="N1167" s="4">
        <f t="shared" si="36"/>
        <v>70001110</v>
      </c>
      <c r="O1167" t="str">
        <f t="shared" si="37"/>
        <v>P206D1SLSS</v>
      </c>
    </row>
    <row r="1168" spans="2:15" x14ac:dyDescent="0.25">
      <c r="B1168" t="s">
        <v>1600</v>
      </c>
      <c r="C1168">
        <v>70001110</v>
      </c>
      <c r="D1168" t="s">
        <v>1923</v>
      </c>
      <c r="E1168" t="s">
        <v>1716</v>
      </c>
      <c r="F1168" t="s">
        <v>334</v>
      </c>
      <c r="G1168" t="s">
        <v>1718</v>
      </c>
      <c r="H1168" s="1">
        <v>50000</v>
      </c>
      <c r="I1168" t="s">
        <v>1947</v>
      </c>
      <c r="N1168" s="4">
        <f t="shared" si="36"/>
        <v>70001110</v>
      </c>
      <c r="O1168" t="str">
        <f t="shared" si="37"/>
        <v>P206D1SLSS</v>
      </c>
    </row>
    <row r="1169" spans="2:15" x14ac:dyDescent="0.25">
      <c r="B1169" t="s">
        <v>1600</v>
      </c>
      <c r="C1169">
        <v>70001110</v>
      </c>
      <c r="D1169" t="s">
        <v>1923</v>
      </c>
      <c r="E1169" t="s">
        <v>1716</v>
      </c>
      <c r="F1169" t="s">
        <v>334</v>
      </c>
      <c r="G1169" t="s">
        <v>1719</v>
      </c>
      <c r="H1169" s="1">
        <v>50000</v>
      </c>
      <c r="I1169" t="s">
        <v>1947</v>
      </c>
      <c r="N1169" s="4">
        <f t="shared" si="36"/>
        <v>70001110</v>
      </c>
      <c r="O1169" t="str">
        <f t="shared" si="37"/>
        <v>P206D1SLSS</v>
      </c>
    </row>
    <row r="1170" spans="2:15" x14ac:dyDescent="0.25">
      <c r="B1170" t="s">
        <v>1600</v>
      </c>
      <c r="C1170">
        <v>70001110</v>
      </c>
      <c r="D1170" t="s">
        <v>1923</v>
      </c>
      <c r="E1170" t="s">
        <v>1720</v>
      </c>
      <c r="F1170" t="s">
        <v>334</v>
      </c>
      <c r="G1170" t="s">
        <v>1721</v>
      </c>
      <c r="H1170" s="1">
        <v>50000</v>
      </c>
      <c r="I1170" t="s">
        <v>1947</v>
      </c>
      <c r="N1170" s="4">
        <f t="shared" si="36"/>
        <v>70001110</v>
      </c>
      <c r="O1170" t="str">
        <f t="shared" si="37"/>
        <v>P206D1SLSS</v>
      </c>
    </row>
    <row r="1171" spans="2:15" x14ac:dyDescent="0.25">
      <c r="B1171" t="s">
        <v>1600</v>
      </c>
      <c r="C1171">
        <v>70001110</v>
      </c>
      <c r="D1171" t="s">
        <v>1967</v>
      </c>
      <c r="E1171" t="s">
        <v>1720</v>
      </c>
      <c r="F1171" t="s">
        <v>334</v>
      </c>
      <c r="G1171" t="s">
        <v>1722</v>
      </c>
      <c r="H1171" s="1">
        <v>50000</v>
      </c>
      <c r="I1171" t="s">
        <v>1947</v>
      </c>
      <c r="N1171" s="4">
        <f t="shared" si="36"/>
        <v>70001110</v>
      </c>
      <c r="O1171" t="str">
        <f t="shared" si="37"/>
        <v>P206D1SLSC</v>
      </c>
    </row>
    <row r="1172" spans="2:15" x14ac:dyDescent="0.25">
      <c r="B1172" t="s">
        <v>1600</v>
      </c>
      <c r="C1172">
        <v>70001110</v>
      </c>
      <c r="D1172" t="s">
        <v>1923</v>
      </c>
      <c r="E1172" t="s">
        <v>1720</v>
      </c>
      <c r="F1172" t="s">
        <v>334</v>
      </c>
      <c r="G1172" t="s">
        <v>1723</v>
      </c>
      <c r="H1172" s="1">
        <v>50000</v>
      </c>
      <c r="I1172" t="s">
        <v>1947</v>
      </c>
      <c r="N1172" s="4">
        <f t="shared" si="36"/>
        <v>70001110</v>
      </c>
      <c r="O1172" t="str">
        <f t="shared" si="37"/>
        <v>P206D1SLSS</v>
      </c>
    </row>
    <row r="1173" spans="2:15" x14ac:dyDescent="0.25">
      <c r="B1173" t="s">
        <v>1600</v>
      </c>
      <c r="C1173">
        <v>70001110</v>
      </c>
      <c r="D1173" t="s">
        <v>1923</v>
      </c>
      <c r="E1173" t="s">
        <v>1724</v>
      </c>
      <c r="F1173" t="s">
        <v>334</v>
      </c>
      <c r="G1173" t="s">
        <v>1725</v>
      </c>
      <c r="H1173" s="1">
        <v>50000</v>
      </c>
      <c r="I1173" t="s">
        <v>1990</v>
      </c>
      <c r="N1173" s="4">
        <f t="shared" si="36"/>
        <v>70001110</v>
      </c>
      <c r="O1173" t="str">
        <f t="shared" si="37"/>
        <v>P206D1SLSS</v>
      </c>
    </row>
    <row r="1174" spans="2:15" x14ac:dyDescent="0.25">
      <c r="B1174" t="s">
        <v>1600</v>
      </c>
      <c r="C1174">
        <v>70001110</v>
      </c>
      <c r="D1174" t="s">
        <v>1924</v>
      </c>
      <c r="E1174" t="s">
        <v>1675</v>
      </c>
      <c r="F1174" t="s">
        <v>334</v>
      </c>
      <c r="G1174" t="s">
        <v>1726</v>
      </c>
      <c r="H1174" s="1">
        <v>50000</v>
      </c>
      <c r="I1174" t="s">
        <v>1968</v>
      </c>
      <c r="N1174" s="4">
        <f t="shared" si="36"/>
        <v>70001110</v>
      </c>
      <c r="O1174" t="str">
        <f t="shared" si="37"/>
        <v>C206D1SLSS</v>
      </c>
    </row>
    <row r="1175" spans="2:15" x14ac:dyDescent="0.25">
      <c r="B1175" t="s">
        <v>1727</v>
      </c>
      <c r="C1175">
        <v>70001110</v>
      </c>
      <c r="D1175" t="s">
        <v>1924</v>
      </c>
      <c r="E1175" t="s">
        <v>1728</v>
      </c>
      <c r="F1175" t="s">
        <v>334</v>
      </c>
      <c r="G1175" t="s">
        <v>1729</v>
      </c>
      <c r="H1175" s="1">
        <v>50000</v>
      </c>
      <c r="I1175" t="s">
        <v>1968</v>
      </c>
      <c r="N1175" s="4">
        <f t="shared" si="36"/>
        <v>70001110</v>
      </c>
      <c r="O1175" t="str">
        <f t="shared" si="37"/>
        <v>C206D1SLSS</v>
      </c>
    </row>
    <row r="1176" spans="2:15" x14ac:dyDescent="0.25">
      <c r="B1176" t="s">
        <v>1727</v>
      </c>
      <c r="C1176">
        <v>70001110</v>
      </c>
      <c r="D1176" t="s">
        <v>1924</v>
      </c>
      <c r="E1176" t="s">
        <v>1728</v>
      </c>
      <c r="F1176" t="s">
        <v>334</v>
      </c>
      <c r="G1176" t="s">
        <v>1730</v>
      </c>
      <c r="H1176" s="1">
        <v>50000</v>
      </c>
      <c r="I1176" t="s">
        <v>1968</v>
      </c>
      <c r="N1176" s="4">
        <f t="shared" si="36"/>
        <v>70001110</v>
      </c>
      <c r="O1176" t="str">
        <f t="shared" si="37"/>
        <v>C206D1SLSS</v>
      </c>
    </row>
    <row r="1177" spans="2:15" x14ac:dyDescent="0.25">
      <c r="B1177" t="s">
        <v>1727</v>
      </c>
      <c r="C1177">
        <v>70001110</v>
      </c>
      <c r="D1177" t="s">
        <v>1924</v>
      </c>
      <c r="E1177" t="s">
        <v>1728</v>
      </c>
      <c r="F1177" t="s">
        <v>334</v>
      </c>
      <c r="G1177" t="s">
        <v>1731</v>
      </c>
      <c r="H1177" s="1">
        <v>50000</v>
      </c>
      <c r="I1177" t="s">
        <v>1968</v>
      </c>
      <c r="N1177" s="4">
        <f t="shared" si="36"/>
        <v>70001110</v>
      </c>
      <c r="O1177" t="str">
        <f t="shared" si="37"/>
        <v>C206D1SLSS</v>
      </c>
    </row>
    <row r="1178" spans="2:15" x14ac:dyDescent="0.25">
      <c r="B1178" t="s">
        <v>1727</v>
      </c>
      <c r="C1178">
        <v>70001110</v>
      </c>
      <c r="D1178" t="s">
        <v>1924</v>
      </c>
      <c r="E1178" t="s">
        <v>1728</v>
      </c>
      <c r="F1178" t="s">
        <v>334</v>
      </c>
      <c r="G1178" t="s">
        <v>1732</v>
      </c>
      <c r="H1178" s="1">
        <v>50000</v>
      </c>
      <c r="I1178" t="s">
        <v>1968</v>
      </c>
      <c r="N1178" s="4">
        <f t="shared" si="36"/>
        <v>70001110</v>
      </c>
      <c r="O1178" t="str">
        <f t="shared" si="37"/>
        <v>C206D1SLSS</v>
      </c>
    </row>
    <row r="1179" spans="2:15" x14ac:dyDescent="0.25">
      <c r="B1179" t="s">
        <v>1727</v>
      </c>
      <c r="C1179">
        <v>70001110</v>
      </c>
      <c r="D1179" t="s">
        <v>1924</v>
      </c>
      <c r="E1179" t="s">
        <v>1728</v>
      </c>
      <c r="F1179" t="s">
        <v>334</v>
      </c>
      <c r="G1179" t="s">
        <v>1733</v>
      </c>
      <c r="H1179" s="1">
        <v>50000</v>
      </c>
      <c r="I1179" t="s">
        <v>1968</v>
      </c>
      <c r="N1179" s="4">
        <f t="shared" si="36"/>
        <v>70001110</v>
      </c>
      <c r="O1179" t="str">
        <f t="shared" si="37"/>
        <v>C206D1SLSS</v>
      </c>
    </row>
    <row r="1180" spans="2:15" x14ac:dyDescent="0.25">
      <c r="B1180" t="s">
        <v>1727</v>
      </c>
      <c r="C1180">
        <v>70001110</v>
      </c>
      <c r="D1180" t="s">
        <v>1923</v>
      </c>
      <c r="E1180" t="s">
        <v>1728</v>
      </c>
      <c r="F1180" t="s">
        <v>334</v>
      </c>
      <c r="G1180" t="s">
        <v>1734</v>
      </c>
      <c r="H1180" s="1">
        <v>50000</v>
      </c>
      <c r="I1180" t="s">
        <v>1968</v>
      </c>
      <c r="N1180" s="4">
        <f t="shared" si="36"/>
        <v>70001110</v>
      </c>
      <c r="O1180" t="str">
        <f t="shared" si="37"/>
        <v>P206D1SLSS</v>
      </c>
    </row>
    <row r="1181" spans="2:15" x14ac:dyDescent="0.25">
      <c r="B1181" t="s">
        <v>1727</v>
      </c>
      <c r="C1181">
        <v>70001110</v>
      </c>
      <c r="D1181" t="s">
        <v>1924</v>
      </c>
      <c r="E1181" t="s">
        <v>1728</v>
      </c>
      <c r="F1181" t="s">
        <v>334</v>
      </c>
      <c r="G1181" t="s">
        <v>1735</v>
      </c>
      <c r="H1181" s="1">
        <v>50000</v>
      </c>
      <c r="I1181" t="s">
        <v>1968</v>
      </c>
      <c r="N1181" s="4">
        <f t="shared" si="36"/>
        <v>70001110</v>
      </c>
      <c r="O1181" t="str">
        <f t="shared" si="37"/>
        <v>C206D1SLSS</v>
      </c>
    </row>
    <row r="1182" spans="2:15" x14ac:dyDescent="0.25">
      <c r="B1182" t="s">
        <v>1727</v>
      </c>
      <c r="C1182">
        <v>70001110</v>
      </c>
      <c r="D1182" t="s">
        <v>1924</v>
      </c>
      <c r="E1182" t="s">
        <v>1728</v>
      </c>
      <c r="F1182" t="s">
        <v>334</v>
      </c>
      <c r="G1182" t="s">
        <v>1736</v>
      </c>
      <c r="H1182" s="1">
        <v>50000</v>
      </c>
      <c r="I1182" t="s">
        <v>1968</v>
      </c>
      <c r="N1182" s="4">
        <f t="shared" si="36"/>
        <v>70001110</v>
      </c>
      <c r="O1182" t="str">
        <f t="shared" si="37"/>
        <v>C206D1SLSS</v>
      </c>
    </row>
    <row r="1183" spans="2:15" x14ac:dyDescent="0.25">
      <c r="B1183" t="s">
        <v>1727</v>
      </c>
      <c r="C1183">
        <v>70001110</v>
      </c>
      <c r="D1183" t="s">
        <v>1923</v>
      </c>
      <c r="E1183" t="s">
        <v>1728</v>
      </c>
      <c r="F1183" t="s">
        <v>334</v>
      </c>
      <c r="G1183" t="s">
        <v>1736</v>
      </c>
      <c r="H1183" s="1">
        <v>50000</v>
      </c>
      <c r="I1183" t="s">
        <v>1968</v>
      </c>
      <c r="N1183" s="4">
        <f t="shared" si="36"/>
        <v>70001110</v>
      </c>
      <c r="O1183" t="str">
        <f t="shared" si="37"/>
        <v>P206D1SLSS</v>
      </c>
    </row>
    <row r="1184" spans="2:15" x14ac:dyDescent="0.25">
      <c r="B1184" t="s">
        <v>1727</v>
      </c>
      <c r="C1184">
        <v>70001110</v>
      </c>
      <c r="D1184" t="s">
        <v>1924</v>
      </c>
      <c r="E1184" t="s">
        <v>1728</v>
      </c>
      <c r="F1184" t="s">
        <v>334</v>
      </c>
      <c r="G1184" t="s">
        <v>1736</v>
      </c>
      <c r="H1184" s="1">
        <v>50000</v>
      </c>
      <c r="I1184" t="s">
        <v>1968</v>
      </c>
      <c r="N1184" s="4">
        <f t="shared" si="36"/>
        <v>70001110</v>
      </c>
      <c r="O1184" t="str">
        <f t="shared" si="37"/>
        <v>C206D1SLSS</v>
      </c>
    </row>
    <row r="1185" spans="2:15" x14ac:dyDescent="0.25">
      <c r="B1185" t="s">
        <v>1727</v>
      </c>
      <c r="C1185">
        <v>70001110</v>
      </c>
      <c r="D1185" t="s">
        <v>1924</v>
      </c>
      <c r="E1185" t="s">
        <v>1728</v>
      </c>
      <c r="F1185" t="s">
        <v>334</v>
      </c>
      <c r="G1185" t="s">
        <v>1737</v>
      </c>
      <c r="H1185" s="1">
        <v>50000</v>
      </c>
      <c r="I1185" t="s">
        <v>1968</v>
      </c>
      <c r="N1185" s="4">
        <f t="shared" si="36"/>
        <v>70001110</v>
      </c>
      <c r="O1185" t="str">
        <f t="shared" si="37"/>
        <v>C206D1SLSS</v>
      </c>
    </row>
    <row r="1186" spans="2:15" x14ac:dyDescent="0.25">
      <c r="B1186" t="s">
        <v>1727</v>
      </c>
      <c r="C1186">
        <v>70001110</v>
      </c>
      <c r="D1186" t="s">
        <v>1924</v>
      </c>
      <c r="E1186" t="s">
        <v>1728</v>
      </c>
      <c r="F1186" t="s">
        <v>334</v>
      </c>
      <c r="G1186" t="s">
        <v>1737</v>
      </c>
      <c r="H1186" s="1">
        <v>50000</v>
      </c>
      <c r="I1186" t="s">
        <v>1968</v>
      </c>
      <c r="N1186" s="4">
        <f t="shared" si="36"/>
        <v>70001110</v>
      </c>
      <c r="O1186" t="str">
        <f t="shared" si="37"/>
        <v>C206D1SLSS</v>
      </c>
    </row>
    <row r="1187" spans="2:15" x14ac:dyDescent="0.25">
      <c r="B1187" t="s">
        <v>1727</v>
      </c>
      <c r="C1187">
        <v>70101202</v>
      </c>
      <c r="D1187" t="s">
        <v>1979</v>
      </c>
      <c r="E1187" t="s">
        <v>1738</v>
      </c>
      <c r="F1187" t="s">
        <v>57</v>
      </c>
      <c r="G1187" t="s">
        <v>1739</v>
      </c>
      <c r="H1187" s="1">
        <v>637500</v>
      </c>
      <c r="I1187" t="s">
        <v>1949</v>
      </c>
      <c r="N1187" s="4">
        <f t="shared" si="36"/>
        <v>70101202</v>
      </c>
      <c r="O1187" t="str">
        <f t="shared" si="37"/>
        <v>R124D1FRCO</v>
      </c>
    </row>
    <row r="1188" spans="2:15" x14ac:dyDescent="0.25">
      <c r="B1188" t="s">
        <v>1727</v>
      </c>
      <c r="C1188">
        <v>70105210</v>
      </c>
      <c r="D1188" t="s">
        <v>1943</v>
      </c>
      <c r="E1188" t="s">
        <v>1740</v>
      </c>
      <c r="F1188" t="s">
        <v>1474</v>
      </c>
      <c r="G1188" t="s">
        <v>1741</v>
      </c>
      <c r="H1188" s="1">
        <v>515500</v>
      </c>
      <c r="I1188" t="s">
        <v>1949</v>
      </c>
      <c r="N1188" s="4">
        <f t="shared" si="36"/>
        <v>70105210</v>
      </c>
      <c r="O1188" t="str">
        <f t="shared" si="37"/>
        <v>R124D1HRGA</v>
      </c>
    </row>
    <row r="1189" spans="2:15" x14ac:dyDescent="0.25">
      <c r="B1189" t="s">
        <v>1727</v>
      </c>
      <c r="C1189">
        <v>70101202</v>
      </c>
      <c r="D1189" t="s">
        <v>1933</v>
      </c>
      <c r="E1189" t="s">
        <v>1742</v>
      </c>
      <c r="F1189" t="s">
        <v>57</v>
      </c>
      <c r="G1189" t="s">
        <v>1743</v>
      </c>
      <c r="H1189" s="1">
        <v>323000</v>
      </c>
      <c r="I1189" t="s">
        <v>1956</v>
      </c>
      <c r="N1189" s="4">
        <f t="shared" si="36"/>
        <v>70101202</v>
      </c>
      <c r="O1189" t="str">
        <f t="shared" si="37"/>
        <v>R124TCP</v>
      </c>
    </row>
    <row r="1190" spans="2:15" x14ac:dyDescent="0.25">
      <c r="B1190" t="s">
        <v>1727</v>
      </c>
      <c r="C1190" t="s">
        <v>1727</v>
      </c>
      <c r="D1190" t="s">
        <v>2012</v>
      </c>
      <c r="E1190" t="s">
        <v>1742</v>
      </c>
      <c r="F1190" t="s">
        <v>375</v>
      </c>
      <c r="G1190" t="s">
        <v>1748</v>
      </c>
      <c r="H1190" s="1">
        <v>619800</v>
      </c>
      <c r="I1190" t="s">
        <v>1956</v>
      </c>
      <c r="N1190" s="4" t="str">
        <f t="shared" si="36"/>
        <v>08.12.2025</v>
      </c>
      <c r="O1190" t="str">
        <f t="shared" si="37"/>
        <v>R124REF4</v>
      </c>
    </row>
    <row r="1191" spans="2:15" x14ac:dyDescent="0.25">
      <c r="B1191" t="s">
        <v>1727</v>
      </c>
      <c r="C1191" t="s">
        <v>1727</v>
      </c>
      <c r="D1191" t="s">
        <v>2012</v>
      </c>
      <c r="E1191" t="s">
        <v>1745</v>
      </c>
      <c r="F1191" t="s">
        <v>375</v>
      </c>
      <c r="G1191" t="s">
        <v>1748</v>
      </c>
      <c r="H1191" s="1">
        <v>300544</v>
      </c>
      <c r="I1191" t="s">
        <v>1934</v>
      </c>
      <c r="N1191" s="4" t="str">
        <f t="shared" si="36"/>
        <v>08.12.2025</v>
      </c>
      <c r="O1191" t="str">
        <f t="shared" si="37"/>
        <v>R124REF4</v>
      </c>
    </row>
    <row r="1192" spans="2:15" x14ac:dyDescent="0.25">
      <c r="B1192" t="s">
        <v>1727</v>
      </c>
      <c r="C1192">
        <v>70101202</v>
      </c>
      <c r="D1192" t="s">
        <v>2012</v>
      </c>
      <c r="E1192" t="s">
        <v>1747</v>
      </c>
      <c r="F1192" t="s">
        <v>57</v>
      </c>
      <c r="G1192" t="s">
        <v>1748</v>
      </c>
      <c r="H1192" s="1">
        <v>600000</v>
      </c>
      <c r="I1192" t="s">
        <v>1925</v>
      </c>
      <c r="N1192" s="4">
        <f t="shared" si="36"/>
        <v>70101202</v>
      </c>
      <c r="O1192" t="str">
        <f t="shared" si="37"/>
        <v>R124REF4</v>
      </c>
    </row>
    <row r="1193" spans="2:15" x14ac:dyDescent="0.25">
      <c r="B1193" t="s">
        <v>1727</v>
      </c>
      <c r="C1193" t="s">
        <v>1727</v>
      </c>
      <c r="D1193" t="s">
        <v>1921</v>
      </c>
      <c r="E1193" t="s">
        <v>1747</v>
      </c>
      <c r="F1193" t="s">
        <v>375</v>
      </c>
      <c r="G1193">
        <v>0</v>
      </c>
      <c r="H1193" s="1">
        <v>333000</v>
      </c>
      <c r="I1193" t="s">
        <v>1925</v>
      </c>
      <c r="N1193" s="4" t="str">
        <f t="shared" si="36"/>
        <v>08.12.2025</v>
      </c>
      <c r="O1193" t="str">
        <f t="shared" si="37"/>
        <v>R124D1HRDV</v>
      </c>
    </row>
    <row r="1194" spans="2:15" x14ac:dyDescent="0.25">
      <c r="B1194" t="s">
        <v>1727</v>
      </c>
      <c r="C1194" t="s">
        <v>1727</v>
      </c>
      <c r="D1194" t="s">
        <v>1921</v>
      </c>
      <c r="E1194" t="s">
        <v>1750</v>
      </c>
      <c r="F1194" t="s">
        <v>375</v>
      </c>
      <c r="G1194">
        <v>0</v>
      </c>
      <c r="H1194" s="1">
        <v>654000</v>
      </c>
      <c r="I1194" t="s">
        <v>1968</v>
      </c>
      <c r="N1194" s="4" t="str">
        <f t="shared" si="36"/>
        <v>08.12.2025</v>
      </c>
      <c r="O1194" t="str">
        <f t="shared" si="37"/>
        <v>R124D1HRDV</v>
      </c>
    </row>
    <row r="1195" spans="2:15" x14ac:dyDescent="0.25">
      <c r="B1195" t="s">
        <v>1727</v>
      </c>
      <c r="C1195" t="s">
        <v>1753</v>
      </c>
      <c r="D1195" t="s">
        <v>1921</v>
      </c>
      <c r="F1195" t="s">
        <v>249</v>
      </c>
      <c r="H1195">
        <v>0</v>
      </c>
      <c r="I1195" t="s">
        <v>1969</v>
      </c>
      <c r="N1195" s="4" t="str">
        <f t="shared" si="36"/>
        <v>16.12.2025</v>
      </c>
      <c r="O1195" t="str">
        <f t="shared" si="37"/>
        <v>R124D1HRDV</v>
      </c>
    </row>
    <row r="1196" spans="2:15" x14ac:dyDescent="0.25">
      <c r="B1196" t="s">
        <v>1753</v>
      </c>
      <c r="C1196">
        <v>70107300</v>
      </c>
      <c r="D1196" t="s">
        <v>1921</v>
      </c>
      <c r="E1196" t="s">
        <v>1754</v>
      </c>
      <c r="F1196" t="s">
        <v>41</v>
      </c>
      <c r="G1196" t="s">
        <v>1755</v>
      </c>
      <c r="H1196" s="1">
        <v>600000</v>
      </c>
      <c r="I1196" t="s">
        <v>1920</v>
      </c>
      <c r="N1196" s="4">
        <f t="shared" si="36"/>
        <v>70107300</v>
      </c>
      <c r="O1196" t="str">
        <f t="shared" si="37"/>
        <v>R124D1HRDV</v>
      </c>
    </row>
    <row r="1197" spans="2:15" x14ac:dyDescent="0.25">
      <c r="B1197" t="s">
        <v>1753</v>
      </c>
      <c r="C1197">
        <v>70101114</v>
      </c>
      <c r="D1197" t="s">
        <v>1943</v>
      </c>
      <c r="E1197" t="s">
        <v>1756</v>
      </c>
      <c r="F1197" t="s">
        <v>59</v>
      </c>
      <c r="G1197" t="s">
        <v>1757</v>
      </c>
      <c r="H1197" s="1">
        <v>162360</v>
      </c>
      <c r="I1197" t="s">
        <v>1920</v>
      </c>
      <c r="N1197" s="4">
        <f t="shared" si="36"/>
        <v>70101114</v>
      </c>
      <c r="O1197" t="str">
        <f t="shared" si="37"/>
        <v>R124D1HRGA</v>
      </c>
    </row>
    <row r="1198" spans="2:15" x14ac:dyDescent="0.25">
      <c r="B1198" t="s">
        <v>1753</v>
      </c>
      <c r="C1198">
        <v>70106400</v>
      </c>
      <c r="D1198" t="s">
        <v>1943</v>
      </c>
      <c r="E1198" t="s">
        <v>1758</v>
      </c>
      <c r="F1198" t="s">
        <v>96</v>
      </c>
      <c r="G1198" t="s">
        <v>1759</v>
      </c>
      <c r="H1198" s="1">
        <v>200000</v>
      </c>
      <c r="I1198" t="s">
        <v>1942</v>
      </c>
      <c r="N1198" s="4">
        <f t="shared" si="36"/>
        <v>70106400</v>
      </c>
      <c r="O1198" t="str">
        <f t="shared" si="37"/>
        <v>R124D1HRGA</v>
      </c>
    </row>
    <row r="1199" spans="2:15" x14ac:dyDescent="0.25">
      <c r="B1199" t="s">
        <v>1753</v>
      </c>
      <c r="C1199">
        <v>70106100</v>
      </c>
      <c r="D1199" t="s">
        <v>1943</v>
      </c>
      <c r="E1199" t="s">
        <v>1758</v>
      </c>
      <c r="F1199" t="s">
        <v>67</v>
      </c>
      <c r="G1199" t="s">
        <v>98</v>
      </c>
      <c r="H1199" s="1">
        <v>800000</v>
      </c>
      <c r="I1199" t="s">
        <v>1942</v>
      </c>
      <c r="N1199" s="4">
        <f t="shared" si="36"/>
        <v>70106100</v>
      </c>
      <c r="O1199" t="str">
        <f t="shared" si="37"/>
        <v>R124D1HRGA</v>
      </c>
    </row>
    <row r="1200" spans="2:15" x14ac:dyDescent="0.25">
      <c r="B1200" t="s">
        <v>1753</v>
      </c>
      <c r="C1200">
        <v>70106400</v>
      </c>
      <c r="D1200" t="s">
        <v>1943</v>
      </c>
      <c r="E1200" t="s">
        <v>1760</v>
      </c>
      <c r="F1200" t="s">
        <v>96</v>
      </c>
      <c r="G1200" t="s">
        <v>1761</v>
      </c>
      <c r="H1200" s="1">
        <v>840000</v>
      </c>
      <c r="I1200" t="s">
        <v>1942</v>
      </c>
      <c r="N1200" s="4">
        <f t="shared" si="36"/>
        <v>70106400</v>
      </c>
      <c r="O1200" t="str">
        <f t="shared" si="37"/>
        <v>R124D1HRGA</v>
      </c>
    </row>
    <row r="1201" spans="2:15" x14ac:dyDescent="0.25">
      <c r="B1201" t="s">
        <v>1753</v>
      </c>
      <c r="C1201">
        <v>70106100</v>
      </c>
      <c r="D1201" t="s">
        <v>1943</v>
      </c>
      <c r="E1201" t="s">
        <v>1760</v>
      </c>
      <c r="F1201" t="s">
        <v>67</v>
      </c>
      <c r="G1201" t="s">
        <v>98</v>
      </c>
      <c r="H1201" s="1">
        <v>159500</v>
      </c>
      <c r="I1201" t="s">
        <v>1942</v>
      </c>
      <c r="N1201" s="4">
        <f t="shared" si="36"/>
        <v>70106100</v>
      </c>
      <c r="O1201" t="str">
        <f t="shared" si="37"/>
        <v>R124D1HRGA</v>
      </c>
    </row>
    <row r="1202" spans="2:15" x14ac:dyDescent="0.25">
      <c r="B1202" t="s">
        <v>1753</v>
      </c>
      <c r="C1202">
        <v>70107600</v>
      </c>
      <c r="D1202" t="s">
        <v>1979</v>
      </c>
      <c r="E1202" t="s">
        <v>1762</v>
      </c>
      <c r="F1202" t="s">
        <v>126</v>
      </c>
      <c r="G1202" t="s">
        <v>1763</v>
      </c>
      <c r="H1202" s="1">
        <v>76000</v>
      </c>
      <c r="I1202" t="s">
        <v>1966</v>
      </c>
      <c r="N1202" s="4">
        <f t="shared" si="36"/>
        <v>70107600</v>
      </c>
      <c r="O1202" t="str">
        <f t="shared" si="37"/>
        <v>R124D1FRCO</v>
      </c>
    </row>
    <row r="1203" spans="2:15" x14ac:dyDescent="0.25">
      <c r="B1203" t="s">
        <v>1753</v>
      </c>
      <c r="C1203">
        <v>70110210</v>
      </c>
      <c r="D1203" t="s">
        <v>2019</v>
      </c>
      <c r="E1203" t="s">
        <v>1764</v>
      </c>
      <c r="F1203" t="s">
        <v>1187</v>
      </c>
      <c r="G1203" t="s">
        <v>1765</v>
      </c>
      <c r="H1203" s="1">
        <v>665000</v>
      </c>
      <c r="I1203" t="s">
        <v>1949</v>
      </c>
      <c r="N1203" s="4">
        <f t="shared" si="36"/>
        <v>70110210</v>
      </c>
      <c r="O1203" t="str">
        <f t="shared" si="37"/>
        <v>H200D1MMDP</v>
      </c>
    </row>
    <row r="1204" spans="2:15" x14ac:dyDescent="0.25">
      <c r="B1204" t="s">
        <v>1753</v>
      </c>
      <c r="C1204">
        <v>70001110</v>
      </c>
      <c r="D1204" t="s">
        <v>1923</v>
      </c>
      <c r="E1204" t="s">
        <v>1766</v>
      </c>
      <c r="F1204" t="s">
        <v>334</v>
      </c>
      <c r="G1204" t="s">
        <v>1767</v>
      </c>
      <c r="H1204" s="1">
        <v>50000</v>
      </c>
      <c r="I1204" t="s">
        <v>1936</v>
      </c>
      <c r="N1204" s="4">
        <f t="shared" si="36"/>
        <v>70001110</v>
      </c>
      <c r="O1204" t="str">
        <f t="shared" si="37"/>
        <v>P206D1SLSS</v>
      </c>
    </row>
    <row r="1205" spans="2:15" x14ac:dyDescent="0.25">
      <c r="B1205" t="s">
        <v>1753</v>
      </c>
      <c r="C1205">
        <v>70001110</v>
      </c>
      <c r="D1205" t="s">
        <v>1923</v>
      </c>
      <c r="E1205" t="s">
        <v>1766</v>
      </c>
      <c r="F1205" t="s">
        <v>334</v>
      </c>
      <c r="G1205" t="s">
        <v>1768</v>
      </c>
      <c r="H1205" s="1">
        <v>50000</v>
      </c>
      <c r="I1205" t="s">
        <v>1936</v>
      </c>
      <c r="N1205" s="4">
        <f t="shared" si="36"/>
        <v>70001110</v>
      </c>
      <c r="O1205" t="str">
        <f t="shared" si="37"/>
        <v>P206D1SLSS</v>
      </c>
    </row>
    <row r="1206" spans="2:15" x14ac:dyDescent="0.25">
      <c r="B1206" t="s">
        <v>1753</v>
      </c>
      <c r="C1206">
        <v>70001110</v>
      </c>
      <c r="D1206" t="s">
        <v>1923</v>
      </c>
      <c r="E1206" t="s">
        <v>1766</v>
      </c>
      <c r="F1206" t="s">
        <v>334</v>
      </c>
      <c r="G1206" t="s">
        <v>1769</v>
      </c>
      <c r="H1206" s="1">
        <v>50000</v>
      </c>
      <c r="I1206" t="s">
        <v>1936</v>
      </c>
      <c r="N1206" s="4">
        <f t="shared" si="36"/>
        <v>70001110</v>
      </c>
      <c r="O1206" t="str">
        <f t="shared" si="37"/>
        <v>P206D1SLSS</v>
      </c>
    </row>
    <row r="1207" spans="2:15" x14ac:dyDescent="0.25">
      <c r="B1207" t="s">
        <v>1753</v>
      </c>
      <c r="C1207">
        <v>70001110</v>
      </c>
      <c r="D1207" t="s">
        <v>1923</v>
      </c>
      <c r="E1207" t="s">
        <v>1766</v>
      </c>
      <c r="F1207" t="s">
        <v>334</v>
      </c>
      <c r="G1207" t="s">
        <v>1770</v>
      </c>
      <c r="H1207" s="1">
        <v>200000</v>
      </c>
      <c r="I1207" t="s">
        <v>1936</v>
      </c>
      <c r="N1207" s="4">
        <f t="shared" si="36"/>
        <v>70001110</v>
      </c>
      <c r="O1207" t="str">
        <f t="shared" si="37"/>
        <v>P206D1SLSS</v>
      </c>
    </row>
    <row r="1208" spans="2:15" x14ac:dyDescent="0.25">
      <c r="B1208" t="s">
        <v>1753</v>
      </c>
      <c r="C1208">
        <v>70119300</v>
      </c>
      <c r="D1208" t="s">
        <v>1923</v>
      </c>
      <c r="E1208" t="s">
        <v>1771</v>
      </c>
      <c r="F1208" t="s">
        <v>259</v>
      </c>
      <c r="G1208" t="s">
        <v>1772</v>
      </c>
      <c r="H1208" s="1">
        <v>1000000</v>
      </c>
      <c r="I1208" t="s">
        <v>1941</v>
      </c>
      <c r="N1208" s="4">
        <f t="shared" si="36"/>
        <v>70119300</v>
      </c>
      <c r="O1208" t="str">
        <f t="shared" si="37"/>
        <v>P206D1SLSS</v>
      </c>
    </row>
    <row r="1209" spans="2:15" x14ac:dyDescent="0.25">
      <c r="B1209" t="s">
        <v>1753</v>
      </c>
      <c r="C1209">
        <v>70101114</v>
      </c>
      <c r="D1209" t="s">
        <v>1943</v>
      </c>
      <c r="E1209" t="s">
        <v>1773</v>
      </c>
      <c r="F1209" t="s">
        <v>59</v>
      </c>
      <c r="G1209" t="s">
        <v>1774</v>
      </c>
      <c r="H1209" s="1">
        <v>951106</v>
      </c>
      <c r="I1209" t="s">
        <v>1949</v>
      </c>
      <c r="N1209" s="4">
        <f t="shared" si="36"/>
        <v>70101114</v>
      </c>
      <c r="O1209" t="str">
        <f t="shared" si="37"/>
        <v>R124D1HRGA</v>
      </c>
    </row>
    <row r="1210" spans="2:15" x14ac:dyDescent="0.25">
      <c r="B1210" t="s">
        <v>1753</v>
      </c>
      <c r="C1210">
        <v>70106400</v>
      </c>
      <c r="D1210" t="s">
        <v>1943</v>
      </c>
      <c r="E1210" t="s">
        <v>1775</v>
      </c>
      <c r="F1210" t="s">
        <v>96</v>
      </c>
      <c r="G1210" t="s">
        <v>1776</v>
      </c>
      <c r="H1210" s="1">
        <v>560000</v>
      </c>
      <c r="I1210" t="s">
        <v>1942</v>
      </c>
      <c r="N1210" s="4">
        <f t="shared" si="36"/>
        <v>70106400</v>
      </c>
      <c r="O1210" t="str">
        <f t="shared" si="37"/>
        <v>R124D1HRGA</v>
      </c>
    </row>
    <row r="1211" spans="2:15" x14ac:dyDescent="0.25">
      <c r="B1211" t="s">
        <v>1753</v>
      </c>
      <c r="C1211">
        <v>70106100</v>
      </c>
      <c r="D1211" t="s">
        <v>1943</v>
      </c>
      <c r="E1211" t="s">
        <v>1775</v>
      </c>
      <c r="F1211" t="s">
        <v>67</v>
      </c>
      <c r="G1211" t="s">
        <v>98</v>
      </c>
      <c r="H1211" s="1">
        <v>438000</v>
      </c>
      <c r="I1211" t="s">
        <v>1942</v>
      </c>
      <c r="N1211" s="4">
        <f t="shared" si="36"/>
        <v>70106100</v>
      </c>
      <c r="O1211" t="str">
        <f t="shared" si="37"/>
        <v>R124D1HRGA</v>
      </c>
    </row>
    <row r="1212" spans="2:15" x14ac:dyDescent="0.25">
      <c r="B1212" t="s">
        <v>1753</v>
      </c>
      <c r="C1212">
        <v>70101114</v>
      </c>
      <c r="D1212" t="s">
        <v>1959</v>
      </c>
      <c r="E1212" t="s">
        <v>1777</v>
      </c>
      <c r="F1212" t="s">
        <v>59</v>
      </c>
      <c r="G1212" t="s">
        <v>1778</v>
      </c>
      <c r="H1212" s="1">
        <v>507000</v>
      </c>
      <c r="I1212" t="s">
        <v>1958</v>
      </c>
      <c r="N1212" s="4">
        <f t="shared" si="36"/>
        <v>70101114</v>
      </c>
      <c r="O1212" t="str">
        <f t="shared" si="37"/>
        <v>R124QCA</v>
      </c>
    </row>
    <row r="1213" spans="2:15" x14ac:dyDescent="0.25">
      <c r="B1213" t="s">
        <v>1753</v>
      </c>
      <c r="C1213">
        <v>70115100</v>
      </c>
      <c r="D1213" t="s">
        <v>1959</v>
      </c>
      <c r="E1213" t="s">
        <v>1779</v>
      </c>
      <c r="F1213" t="s">
        <v>146</v>
      </c>
      <c r="G1213" t="s">
        <v>303</v>
      </c>
      <c r="H1213" s="1">
        <v>227500</v>
      </c>
      <c r="I1213" t="s">
        <v>1958</v>
      </c>
      <c r="N1213" s="4">
        <f t="shared" si="36"/>
        <v>70115100</v>
      </c>
      <c r="O1213" t="str">
        <f t="shared" si="37"/>
        <v>R124QCA</v>
      </c>
    </row>
    <row r="1214" spans="2:15" x14ac:dyDescent="0.25">
      <c r="B1214" t="s">
        <v>1753</v>
      </c>
      <c r="C1214">
        <v>70101114</v>
      </c>
      <c r="D1214" t="s">
        <v>1959</v>
      </c>
      <c r="E1214" t="s">
        <v>1779</v>
      </c>
      <c r="F1214" t="s">
        <v>59</v>
      </c>
      <c r="G1214" t="s">
        <v>1780</v>
      </c>
      <c r="H1214" s="1">
        <v>65502</v>
      </c>
      <c r="I1214" t="s">
        <v>1958</v>
      </c>
      <c r="N1214" s="4">
        <f t="shared" si="36"/>
        <v>70101114</v>
      </c>
      <c r="O1214" t="str">
        <f t="shared" si="37"/>
        <v>R124QCA</v>
      </c>
    </row>
    <row r="1215" spans="2:15" x14ac:dyDescent="0.25">
      <c r="B1215" t="s">
        <v>1753</v>
      </c>
      <c r="C1215">
        <v>70107100</v>
      </c>
      <c r="D1215" t="s">
        <v>1943</v>
      </c>
      <c r="E1215" t="s">
        <v>1781</v>
      </c>
      <c r="F1215" t="s">
        <v>254</v>
      </c>
      <c r="G1215" t="s">
        <v>1782</v>
      </c>
      <c r="H1215" s="1">
        <v>800000</v>
      </c>
      <c r="I1215" t="s">
        <v>1949</v>
      </c>
      <c r="N1215" s="4">
        <f t="shared" si="36"/>
        <v>70107100</v>
      </c>
      <c r="O1215" t="str">
        <f t="shared" si="37"/>
        <v>R124D1HRGA</v>
      </c>
    </row>
    <row r="1216" spans="2:15" x14ac:dyDescent="0.25">
      <c r="B1216" t="s">
        <v>1753</v>
      </c>
      <c r="C1216">
        <v>70115100</v>
      </c>
      <c r="D1216" t="s">
        <v>1959</v>
      </c>
      <c r="E1216" t="s">
        <v>1783</v>
      </c>
      <c r="F1216" t="s">
        <v>146</v>
      </c>
      <c r="G1216" t="s">
        <v>1784</v>
      </c>
      <c r="H1216" s="1">
        <v>851896</v>
      </c>
      <c r="I1216" t="s">
        <v>1958</v>
      </c>
      <c r="N1216" s="4">
        <f t="shared" si="36"/>
        <v>70115100</v>
      </c>
      <c r="O1216" t="str">
        <f t="shared" si="37"/>
        <v>R124QCA</v>
      </c>
    </row>
    <row r="1217" spans="2:15" x14ac:dyDescent="0.25">
      <c r="B1217" t="s">
        <v>1753</v>
      </c>
      <c r="C1217">
        <v>70101114</v>
      </c>
      <c r="D1217" t="s">
        <v>1959</v>
      </c>
      <c r="E1217" t="s">
        <v>1783</v>
      </c>
      <c r="F1217" t="s">
        <v>59</v>
      </c>
      <c r="G1217" t="s">
        <v>1785</v>
      </c>
      <c r="H1217" s="1">
        <v>109450</v>
      </c>
      <c r="I1217" t="s">
        <v>1958</v>
      </c>
      <c r="N1217" s="4">
        <f t="shared" si="36"/>
        <v>70101114</v>
      </c>
      <c r="O1217" t="str">
        <f t="shared" si="37"/>
        <v>R124QCA</v>
      </c>
    </row>
    <row r="1218" spans="2:15" x14ac:dyDescent="0.25">
      <c r="B1218" t="s">
        <v>1753</v>
      </c>
      <c r="C1218">
        <v>70101114</v>
      </c>
      <c r="D1218" t="s">
        <v>1959</v>
      </c>
      <c r="E1218" t="s">
        <v>1786</v>
      </c>
      <c r="F1218" t="s">
        <v>59</v>
      </c>
      <c r="G1218" t="s">
        <v>1787</v>
      </c>
      <c r="H1218" s="1">
        <v>730769</v>
      </c>
      <c r="I1218" t="s">
        <v>1958</v>
      </c>
      <c r="N1218" s="4">
        <f t="shared" si="36"/>
        <v>70101114</v>
      </c>
      <c r="O1218" t="str">
        <f t="shared" si="37"/>
        <v>R124QCA</v>
      </c>
    </row>
    <row r="1219" spans="2:15" x14ac:dyDescent="0.25">
      <c r="B1219" t="s">
        <v>1753</v>
      </c>
      <c r="C1219">
        <v>70119300</v>
      </c>
      <c r="D1219" t="s">
        <v>1959</v>
      </c>
      <c r="E1219" t="s">
        <v>1786</v>
      </c>
      <c r="F1219" t="s">
        <v>518</v>
      </c>
      <c r="G1219" t="s">
        <v>1788</v>
      </c>
      <c r="H1219" s="1">
        <v>43000</v>
      </c>
      <c r="I1219" t="s">
        <v>1958</v>
      </c>
      <c r="N1219" s="4">
        <f t="shared" si="36"/>
        <v>70119300</v>
      </c>
      <c r="O1219" t="str">
        <f t="shared" si="37"/>
        <v>R124QCA</v>
      </c>
    </row>
    <row r="1220" spans="2:15" x14ac:dyDescent="0.25">
      <c r="B1220" t="s">
        <v>1753</v>
      </c>
      <c r="C1220">
        <v>70115100</v>
      </c>
      <c r="D1220" t="s">
        <v>1959</v>
      </c>
      <c r="E1220" t="s">
        <v>1786</v>
      </c>
      <c r="F1220" t="s">
        <v>146</v>
      </c>
      <c r="G1220" t="s">
        <v>1789</v>
      </c>
      <c r="H1220" s="1">
        <v>155500</v>
      </c>
      <c r="I1220" t="s">
        <v>1958</v>
      </c>
      <c r="N1220" s="4">
        <f t="shared" si="36"/>
        <v>70115100</v>
      </c>
      <c r="O1220" t="str">
        <f t="shared" si="37"/>
        <v>R124QCA</v>
      </c>
    </row>
    <row r="1221" spans="2:15" x14ac:dyDescent="0.25">
      <c r="B1221" t="s">
        <v>1753</v>
      </c>
      <c r="C1221">
        <v>70108100</v>
      </c>
      <c r="D1221" t="s">
        <v>1959</v>
      </c>
      <c r="E1221" t="s">
        <v>1786</v>
      </c>
      <c r="F1221" t="s">
        <v>274</v>
      </c>
      <c r="G1221" t="s">
        <v>1790</v>
      </c>
      <c r="H1221" s="1">
        <v>64000</v>
      </c>
      <c r="I1221" t="s">
        <v>1958</v>
      </c>
      <c r="N1221" s="4">
        <f t="shared" si="36"/>
        <v>70108100</v>
      </c>
      <c r="O1221" t="str">
        <f t="shared" si="37"/>
        <v>R124QCA</v>
      </c>
    </row>
    <row r="1222" spans="2:15" x14ac:dyDescent="0.25">
      <c r="B1222" t="s">
        <v>1753</v>
      </c>
      <c r="C1222">
        <v>70107500</v>
      </c>
      <c r="D1222" t="s">
        <v>1948</v>
      </c>
      <c r="E1222" t="s">
        <v>1791</v>
      </c>
      <c r="F1222" t="s">
        <v>439</v>
      </c>
      <c r="G1222" t="s">
        <v>1792</v>
      </c>
      <c r="H1222" s="1">
        <v>600000</v>
      </c>
      <c r="I1222" t="s">
        <v>1974</v>
      </c>
      <c r="N1222" s="4">
        <f t="shared" si="36"/>
        <v>70107500</v>
      </c>
      <c r="O1222" t="str">
        <f t="shared" si="37"/>
        <v>R124WHFSB</v>
      </c>
    </row>
    <row r="1223" spans="2:15" x14ac:dyDescent="0.25">
      <c r="B1223" t="s">
        <v>1753</v>
      </c>
      <c r="C1223">
        <v>70107500</v>
      </c>
      <c r="D1223" t="s">
        <v>1959</v>
      </c>
      <c r="E1223" t="s">
        <v>1793</v>
      </c>
      <c r="F1223" t="s">
        <v>439</v>
      </c>
      <c r="G1223" t="s">
        <v>1794</v>
      </c>
      <c r="H1223" s="1">
        <v>600000</v>
      </c>
      <c r="I1223" t="s">
        <v>1974</v>
      </c>
      <c r="N1223" s="4">
        <f t="shared" si="36"/>
        <v>70107500</v>
      </c>
      <c r="O1223" t="str">
        <f t="shared" si="37"/>
        <v>R124QCA</v>
      </c>
    </row>
    <row r="1224" spans="2:15" x14ac:dyDescent="0.25">
      <c r="B1224" t="s">
        <v>1753</v>
      </c>
      <c r="C1224">
        <v>70107500</v>
      </c>
      <c r="D1224" t="s">
        <v>1962</v>
      </c>
      <c r="E1224" t="s">
        <v>1795</v>
      </c>
      <c r="F1224" t="s">
        <v>439</v>
      </c>
      <c r="G1224" t="s">
        <v>1796</v>
      </c>
      <c r="H1224" s="1">
        <v>600000</v>
      </c>
      <c r="I1224" t="s">
        <v>1974</v>
      </c>
      <c r="N1224" s="4">
        <f t="shared" si="36"/>
        <v>70107500</v>
      </c>
      <c r="O1224" t="str">
        <f t="shared" si="37"/>
        <v>R124LOG</v>
      </c>
    </row>
    <row r="1225" spans="2:15" x14ac:dyDescent="0.25">
      <c r="B1225" t="s">
        <v>1753</v>
      </c>
      <c r="C1225">
        <v>70001110</v>
      </c>
      <c r="D1225" t="s">
        <v>1938</v>
      </c>
      <c r="E1225" t="s">
        <v>1797</v>
      </c>
      <c r="F1225" t="s">
        <v>334</v>
      </c>
      <c r="G1225" t="s">
        <v>1798</v>
      </c>
      <c r="H1225" s="1">
        <v>50000</v>
      </c>
      <c r="I1225" t="s">
        <v>1947</v>
      </c>
      <c r="N1225" s="4">
        <f t="shared" si="36"/>
        <v>70001110</v>
      </c>
      <c r="O1225" t="str">
        <f t="shared" si="37"/>
        <v>M204D1COMM</v>
      </c>
    </row>
    <row r="1226" spans="2:15" x14ac:dyDescent="0.25">
      <c r="B1226" t="s">
        <v>1753</v>
      </c>
      <c r="C1226">
        <v>70001110</v>
      </c>
      <c r="D1226" t="s">
        <v>1923</v>
      </c>
      <c r="E1226" t="s">
        <v>1797</v>
      </c>
      <c r="F1226" t="s">
        <v>334</v>
      </c>
      <c r="G1226" t="s">
        <v>1799</v>
      </c>
      <c r="H1226" s="1">
        <v>50000</v>
      </c>
      <c r="I1226" t="s">
        <v>1947</v>
      </c>
      <c r="N1226" s="4">
        <f t="shared" si="36"/>
        <v>70001110</v>
      </c>
      <c r="O1226" t="str">
        <f t="shared" si="37"/>
        <v>P206D1SLSS</v>
      </c>
    </row>
    <row r="1227" spans="2:15" x14ac:dyDescent="0.25">
      <c r="B1227" t="s">
        <v>1753</v>
      </c>
      <c r="C1227">
        <v>70001110</v>
      </c>
      <c r="D1227" t="s">
        <v>1923</v>
      </c>
      <c r="E1227" t="s">
        <v>1797</v>
      </c>
      <c r="F1227" t="s">
        <v>334</v>
      </c>
      <c r="G1227" t="s">
        <v>1800</v>
      </c>
      <c r="H1227" s="1">
        <v>50000</v>
      </c>
      <c r="I1227" t="s">
        <v>1947</v>
      </c>
      <c r="N1227" s="4">
        <f t="shared" ref="N1227:N1290" si="38">+C1227</f>
        <v>70001110</v>
      </c>
      <c r="O1227" t="str">
        <f t="shared" ref="O1227:O1290" si="39">+D1227</f>
        <v>P206D1SLSS</v>
      </c>
    </row>
    <row r="1228" spans="2:15" x14ac:dyDescent="0.25">
      <c r="B1228" t="s">
        <v>1753</v>
      </c>
      <c r="C1228">
        <v>70101102</v>
      </c>
      <c r="D1228" t="s">
        <v>1955</v>
      </c>
      <c r="E1228" t="s">
        <v>1801</v>
      </c>
      <c r="F1228" t="s">
        <v>129</v>
      </c>
      <c r="G1228" t="s">
        <v>1802</v>
      </c>
      <c r="H1228" s="1">
        <v>509000</v>
      </c>
      <c r="I1228" t="s">
        <v>1954</v>
      </c>
      <c r="N1228" s="4">
        <f t="shared" si="38"/>
        <v>70101102</v>
      </c>
      <c r="O1228" t="str">
        <f t="shared" si="39"/>
        <v>R124WHP</v>
      </c>
    </row>
    <row r="1229" spans="2:15" x14ac:dyDescent="0.25">
      <c r="B1229" t="s">
        <v>1753</v>
      </c>
      <c r="C1229">
        <v>70107100</v>
      </c>
      <c r="D1229" t="s">
        <v>1943</v>
      </c>
      <c r="E1229" t="s">
        <v>1803</v>
      </c>
      <c r="F1229" t="s">
        <v>254</v>
      </c>
      <c r="G1229" t="s">
        <v>1804</v>
      </c>
      <c r="H1229" s="1">
        <v>290500</v>
      </c>
      <c r="I1229" t="s">
        <v>1949</v>
      </c>
      <c r="N1229" s="4">
        <f t="shared" si="38"/>
        <v>70107100</v>
      </c>
      <c r="O1229" t="str">
        <f t="shared" si="39"/>
        <v>R124D1HRGA</v>
      </c>
    </row>
    <row r="1230" spans="2:15" x14ac:dyDescent="0.25">
      <c r="B1230" t="s">
        <v>1753</v>
      </c>
      <c r="C1230">
        <v>70107600</v>
      </c>
      <c r="D1230" t="s">
        <v>1961</v>
      </c>
      <c r="E1230" t="s">
        <v>1805</v>
      </c>
      <c r="F1230" t="s">
        <v>126</v>
      </c>
      <c r="G1230" t="s">
        <v>1806</v>
      </c>
      <c r="H1230" s="1">
        <v>386262</v>
      </c>
      <c r="I1230" t="s">
        <v>1960</v>
      </c>
      <c r="N1230" s="4">
        <f t="shared" si="38"/>
        <v>70107600</v>
      </c>
      <c r="O1230" t="str">
        <f t="shared" si="39"/>
        <v>R124D1EHFS</v>
      </c>
    </row>
    <row r="1231" spans="2:15" x14ac:dyDescent="0.25">
      <c r="B1231" t="s">
        <v>1753</v>
      </c>
      <c r="C1231">
        <v>70106400</v>
      </c>
      <c r="D1231" t="s">
        <v>1943</v>
      </c>
      <c r="E1231" t="s">
        <v>1807</v>
      </c>
      <c r="F1231" t="s">
        <v>96</v>
      </c>
      <c r="G1231" t="s">
        <v>1808</v>
      </c>
      <c r="H1231" s="1">
        <v>1000000</v>
      </c>
      <c r="I1231" t="s">
        <v>1942</v>
      </c>
      <c r="N1231" s="4">
        <f t="shared" si="38"/>
        <v>70106400</v>
      </c>
      <c r="O1231" t="str">
        <f t="shared" si="39"/>
        <v>R124D1HRGA</v>
      </c>
    </row>
    <row r="1232" spans="2:15" x14ac:dyDescent="0.25">
      <c r="B1232" t="s">
        <v>1753</v>
      </c>
      <c r="C1232">
        <v>70001110</v>
      </c>
      <c r="D1232" t="s">
        <v>1924</v>
      </c>
      <c r="E1232" t="s">
        <v>1809</v>
      </c>
      <c r="F1232" t="s">
        <v>334</v>
      </c>
      <c r="G1232" t="s">
        <v>1810</v>
      </c>
      <c r="H1232" s="1">
        <v>50000</v>
      </c>
      <c r="I1232" t="s">
        <v>1941</v>
      </c>
      <c r="N1232" s="4">
        <f t="shared" si="38"/>
        <v>70001110</v>
      </c>
      <c r="O1232" t="str">
        <f t="shared" si="39"/>
        <v>C206D1SLSS</v>
      </c>
    </row>
    <row r="1233" spans="2:15" x14ac:dyDescent="0.25">
      <c r="B1233" t="s">
        <v>1753</v>
      </c>
      <c r="C1233">
        <v>70001110</v>
      </c>
      <c r="D1233" t="s">
        <v>1938</v>
      </c>
      <c r="E1233" t="s">
        <v>1809</v>
      </c>
      <c r="F1233" t="s">
        <v>334</v>
      </c>
      <c r="G1233" t="s">
        <v>1811</v>
      </c>
      <c r="H1233" s="1">
        <v>50000</v>
      </c>
      <c r="I1233" t="s">
        <v>1941</v>
      </c>
      <c r="N1233" s="4">
        <f t="shared" si="38"/>
        <v>70001110</v>
      </c>
      <c r="O1233" t="str">
        <f t="shared" si="39"/>
        <v>M204D1COMM</v>
      </c>
    </row>
    <row r="1234" spans="2:15" x14ac:dyDescent="0.25">
      <c r="B1234" t="s">
        <v>1753</v>
      </c>
      <c r="C1234">
        <v>70001110</v>
      </c>
      <c r="D1234" t="s">
        <v>1938</v>
      </c>
      <c r="E1234" t="s">
        <v>1809</v>
      </c>
      <c r="F1234" t="s">
        <v>334</v>
      </c>
      <c r="G1234" t="s">
        <v>1812</v>
      </c>
      <c r="H1234" s="1">
        <v>50000</v>
      </c>
      <c r="I1234" t="s">
        <v>1941</v>
      </c>
      <c r="N1234" s="4">
        <f t="shared" si="38"/>
        <v>70001110</v>
      </c>
      <c r="O1234" t="str">
        <f t="shared" si="39"/>
        <v>M204D1COMM</v>
      </c>
    </row>
    <row r="1235" spans="2:15" x14ac:dyDescent="0.25">
      <c r="B1235" t="s">
        <v>1753</v>
      </c>
      <c r="C1235">
        <v>70001110</v>
      </c>
      <c r="D1235" t="s">
        <v>1938</v>
      </c>
      <c r="E1235" t="s">
        <v>1809</v>
      </c>
      <c r="F1235" t="s">
        <v>334</v>
      </c>
      <c r="G1235" t="s">
        <v>1813</v>
      </c>
      <c r="H1235" s="1">
        <v>50000</v>
      </c>
      <c r="I1235" t="s">
        <v>1941</v>
      </c>
      <c r="N1235" s="4">
        <f t="shared" si="38"/>
        <v>70001110</v>
      </c>
      <c r="O1235" t="str">
        <f t="shared" si="39"/>
        <v>M204D1COMM</v>
      </c>
    </row>
    <row r="1236" spans="2:15" x14ac:dyDescent="0.25">
      <c r="B1236" t="s">
        <v>1753</v>
      </c>
      <c r="C1236">
        <v>70001110</v>
      </c>
      <c r="D1236" t="s">
        <v>1938</v>
      </c>
      <c r="E1236" t="s">
        <v>1809</v>
      </c>
      <c r="F1236" t="s">
        <v>334</v>
      </c>
      <c r="G1236" t="s">
        <v>1814</v>
      </c>
      <c r="H1236" s="1">
        <v>50000</v>
      </c>
      <c r="I1236" t="s">
        <v>1941</v>
      </c>
      <c r="N1236" s="4">
        <f t="shared" si="38"/>
        <v>70001110</v>
      </c>
      <c r="O1236" t="str">
        <f t="shared" si="39"/>
        <v>M204D1COMM</v>
      </c>
    </row>
    <row r="1237" spans="2:15" x14ac:dyDescent="0.25">
      <c r="B1237" t="s">
        <v>1753</v>
      </c>
      <c r="C1237">
        <v>70001110</v>
      </c>
      <c r="D1237" t="s">
        <v>1938</v>
      </c>
      <c r="E1237" t="s">
        <v>1809</v>
      </c>
      <c r="F1237" t="s">
        <v>334</v>
      </c>
      <c r="G1237" t="s">
        <v>1815</v>
      </c>
      <c r="H1237" s="1">
        <v>50000</v>
      </c>
      <c r="I1237" t="s">
        <v>1941</v>
      </c>
      <c r="N1237" s="4">
        <f t="shared" si="38"/>
        <v>70001110</v>
      </c>
      <c r="O1237" t="str">
        <f t="shared" si="39"/>
        <v>M204D1COMM</v>
      </c>
    </row>
    <row r="1238" spans="2:15" x14ac:dyDescent="0.25">
      <c r="B1238" t="s">
        <v>1753</v>
      </c>
      <c r="C1238">
        <v>70107300</v>
      </c>
      <c r="D1238" t="s">
        <v>1921</v>
      </c>
      <c r="E1238" t="s">
        <v>1816</v>
      </c>
      <c r="F1238" t="s">
        <v>41</v>
      </c>
      <c r="G1238" t="s">
        <v>1817</v>
      </c>
      <c r="H1238" s="1">
        <v>400000</v>
      </c>
      <c r="I1238" t="s">
        <v>1920</v>
      </c>
      <c r="N1238" s="4">
        <f t="shared" si="38"/>
        <v>70107300</v>
      </c>
      <c r="O1238" t="str">
        <f t="shared" si="39"/>
        <v>R124D1HRDV</v>
      </c>
    </row>
    <row r="1239" spans="2:15" x14ac:dyDescent="0.25">
      <c r="B1239" t="s">
        <v>1753</v>
      </c>
      <c r="C1239">
        <v>70106400</v>
      </c>
      <c r="D1239" t="s">
        <v>1943</v>
      </c>
      <c r="E1239" t="s">
        <v>1818</v>
      </c>
      <c r="F1239" t="s">
        <v>96</v>
      </c>
      <c r="G1239" t="s">
        <v>1819</v>
      </c>
      <c r="H1239" s="1">
        <v>620000</v>
      </c>
      <c r="I1239" t="s">
        <v>1942</v>
      </c>
      <c r="N1239" s="4">
        <f t="shared" si="38"/>
        <v>70106400</v>
      </c>
      <c r="O1239" t="str">
        <f t="shared" si="39"/>
        <v>R124D1HRGA</v>
      </c>
    </row>
    <row r="1240" spans="2:15" x14ac:dyDescent="0.25">
      <c r="B1240" t="s">
        <v>1753</v>
      </c>
      <c r="C1240">
        <v>70106100</v>
      </c>
      <c r="D1240" t="s">
        <v>1943</v>
      </c>
      <c r="E1240" t="s">
        <v>1818</v>
      </c>
      <c r="F1240" t="s">
        <v>67</v>
      </c>
      <c r="G1240" t="s">
        <v>98</v>
      </c>
      <c r="H1240" s="1">
        <v>380000</v>
      </c>
      <c r="I1240" t="s">
        <v>1942</v>
      </c>
      <c r="N1240" s="4">
        <f t="shared" si="38"/>
        <v>70106100</v>
      </c>
      <c r="O1240" t="str">
        <f t="shared" si="39"/>
        <v>R124D1HRGA</v>
      </c>
    </row>
    <row r="1241" spans="2:15" x14ac:dyDescent="0.25">
      <c r="B1241" t="s">
        <v>1753</v>
      </c>
      <c r="C1241">
        <v>70115100</v>
      </c>
      <c r="D1241" t="s">
        <v>1938</v>
      </c>
      <c r="E1241" t="s">
        <v>1820</v>
      </c>
      <c r="F1241" t="s">
        <v>146</v>
      </c>
      <c r="G1241" t="s">
        <v>1821</v>
      </c>
      <c r="H1241" s="1">
        <v>512300</v>
      </c>
      <c r="I1241" t="s">
        <v>1947</v>
      </c>
      <c r="N1241" s="4">
        <f t="shared" si="38"/>
        <v>70115100</v>
      </c>
      <c r="O1241" t="str">
        <f t="shared" si="39"/>
        <v>M204D1COMM</v>
      </c>
    </row>
    <row r="1242" spans="2:15" x14ac:dyDescent="0.25">
      <c r="B1242" t="s">
        <v>1753</v>
      </c>
      <c r="C1242">
        <v>70108100</v>
      </c>
      <c r="D1242" t="s">
        <v>1979</v>
      </c>
      <c r="E1242" t="s">
        <v>1822</v>
      </c>
      <c r="F1242" t="s">
        <v>274</v>
      </c>
      <c r="G1242" t="s">
        <v>1823</v>
      </c>
      <c r="H1242" s="1">
        <v>151500</v>
      </c>
      <c r="I1242" t="s">
        <v>2029</v>
      </c>
      <c r="N1242" s="4">
        <f t="shared" si="38"/>
        <v>70108100</v>
      </c>
      <c r="O1242" t="str">
        <f t="shared" si="39"/>
        <v>R124D1FRCO</v>
      </c>
    </row>
    <row r="1243" spans="2:15" x14ac:dyDescent="0.25">
      <c r="B1243" t="s">
        <v>1753</v>
      </c>
      <c r="C1243">
        <v>70001110</v>
      </c>
      <c r="D1243" t="s">
        <v>1938</v>
      </c>
      <c r="E1243" t="s">
        <v>1824</v>
      </c>
      <c r="F1243" t="s">
        <v>334</v>
      </c>
      <c r="G1243" t="s">
        <v>1825</v>
      </c>
      <c r="H1243" s="1">
        <v>50000</v>
      </c>
      <c r="I1243" t="s">
        <v>1941</v>
      </c>
      <c r="N1243" s="4">
        <f t="shared" si="38"/>
        <v>70001110</v>
      </c>
      <c r="O1243" t="str">
        <f t="shared" si="39"/>
        <v>M204D1COMM</v>
      </c>
    </row>
    <row r="1244" spans="2:15" x14ac:dyDescent="0.25">
      <c r="B1244" t="s">
        <v>1753</v>
      </c>
      <c r="C1244">
        <v>70001110</v>
      </c>
      <c r="D1244" t="s">
        <v>1923</v>
      </c>
      <c r="E1244" t="s">
        <v>1824</v>
      </c>
      <c r="F1244" t="s">
        <v>334</v>
      </c>
      <c r="G1244" t="s">
        <v>1826</v>
      </c>
      <c r="H1244" s="1">
        <v>50000</v>
      </c>
      <c r="I1244" t="s">
        <v>1941</v>
      </c>
      <c r="N1244" s="4">
        <f t="shared" si="38"/>
        <v>70001110</v>
      </c>
      <c r="O1244" t="str">
        <f t="shared" si="39"/>
        <v>P206D1SLSS</v>
      </c>
    </row>
    <row r="1245" spans="2:15" x14ac:dyDescent="0.25">
      <c r="B1245" t="s">
        <v>1753</v>
      </c>
      <c r="C1245">
        <v>70001110</v>
      </c>
      <c r="D1245" t="s">
        <v>1924</v>
      </c>
      <c r="E1245" t="s">
        <v>1824</v>
      </c>
      <c r="F1245" t="s">
        <v>334</v>
      </c>
      <c r="G1245" t="s">
        <v>1827</v>
      </c>
      <c r="H1245" s="1">
        <v>50000</v>
      </c>
      <c r="I1245" t="s">
        <v>1941</v>
      </c>
      <c r="N1245" s="4">
        <f t="shared" si="38"/>
        <v>70001110</v>
      </c>
      <c r="O1245" t="str">
        <f t="shared" si="39"/>
        <v>C206D1SLSS</v>
      </c>
    </row>
    <row r="1246" spans="2:15" x14ac:dyDescent="0.25">
      <c r="B1246" t="s">
        <v>1828</v>
      </c>
      <c r="C1246">
        <v>70001110</v>
      </c>
      <c r="D1246" t="s">
        <v>1923</v>
      </c>
      <c r="E1246" t="s">
        <v>1829</v>
      </c>
      <c r="F1246" t="s">
        <v>334</v>
      </c>
      <c r="G1246" t="s">
        <v>1830</v>
      </c>
      <c r="H1246" s="1">
        <v>50000</v>
      </c>
      <c r="I1246" t="s">
        <v>1947</v>
      </c>
      <c r="N1246" s="4">
        <f t="shared" si="38"/>
        <v>70001110</v>
      </c>
      <c r="O1246" t="str">
        <f t="shared" si="39"/>
        <v>P206D1SLSS</v>
      </c>
    </row>
    <row r="1247" spans="2:15" x14ac:dyDescent="0.25">
      <c r="B1247" t="s">
        <v>1828</v>
      </c>
      <c r="C1247">
        <v>70001110</v>
      </c>
      <c r="D1247" t="s">
        <v>1938</v>
      </c>
      <c r="E1247" t="s">
        <v>1829</v>
      </c>
      <c r="F1247" t="s">
        <v>334</v>
      </c>
      <c r="G1247" t="s">
        <v>1831</v>
      </c>
      <c r="H1247" s="1">
        <v>50000</v>
      </c>
      <c r="I1247" t="s">
        <v>1947</v>
      </c>
      <c r="N1247" s="4">
        <f t="shared" si="38"/>
        <v>70001110</v>
      </c>
      <c r="O1247" t="str">
        <f t="shared" si="39"/>
        <v>M204D1COMM</v>
      </c>
    </row>
    <row r="1248" spans="2:15" x14ac:dyDescent="0.25">
      <c r="B1248" t="s">
        <v>1828</v>
      </c>
      <c r="C1248">
        <v>70001110</v>
      </c>
      <c r="D1248" t="s">
        <v>1967</v>
      </c>
      <c r="E1248" t="s">
        <v>1829</v>
      </c>
      <c r="F1248" t="s">
        <v>334</v>
      </c>
      <c r="G1248" t="s">
        <v>1832</v>
      </c>
      <c r="H1248" s="1">
        <v>50000</v>
      </c>
      <c r="I1248" t="s">
        <v>1947</v>
      </c>
      <c r="N1248" s="4">
        <f t="shared" si="38"/>
        <v>70001110</v>
      </c>
      <c r="O1248" t="str">
        <f t="shared" si="39"/>
        <v>P206D1SLSC</v>
      </c>
    </row>
    <row r="1249" spans="2:15" x14ac:dyDescent="0.25">
      <c r="B1249" t="s">
        <v>1828</v>
      </c>
      <c r="C1249">
        <v>70001110</v>
      </c>
      <c r="D1249" t="s">
        <v>1923</v>
      </c>
      <c r="E1249" t="s">
        <v>1829</v>
      </c>
      <c r="F1249" t="s">
        <v>334</v>
      </c>
      <c r="G1249" t="s">
        <v>1833</v>
      </c>
      <c r="H1249" s="1">
        <v>50000</v>
      </c>
      <c r="I1249" t="s">
        <v>1947</v>
      </c>
      <c r="N1249" s="4">
        <f t="shared" si="38"/>
        <v>70001110</v>
      </c>
      <c r="O1249" t="str">
        <f t="shared" si="39"/>
        <v>P206D1SLSS</v>
      </c>
    </row>
    <row r="1250" spans="2:15" x14ac:dyDescent="0.25">
      <c r="B1250" t="s">
        <v>1828</v>
      </c>
      <c r="C1250">
        <v>70001110</v>
      </c>
      <c r="D1250" t="s">
        <v>1967</v>
      </c>
      <c r="E1250" t="s">
        <v>1829</v>
      </c>
      <c r="F1250" t="s">
        <v>334</v>
      </c>
      <c r="G1250" t="s">
        <v>1834</v>
      </c>
      <c r="H1250" s="1">
        <v>50000</v>
      </c>
      <c r="I1250" t="s">
        <v>1947</v>
      </c>
      <c r="N1250" s="4">
        <f t="shared" si="38"/>
        <v>70001110</v>
      </c>
      <c r="O1250" t="str">
        <f t="shared" si="39"/>
        <v>P206D1SLSC</v>
      </c>
    </row>
    <row r="1251" spans="2:15" x14ac:dyDescent="0.25">
      <c r="B1251" t="s">
        <v>1828</v>
      </c>
      <c r="C1251">
        <v>70101114</v>
      </c>
      <c r="D1251" t="s">
        <v>2008</v>
      </c>
      <c r="E1251" t="s">
        <v>1835</v>
      </c>
      <c r="F1251" t="s">
        <v>59</v>
      </c>
      <c r="G1251" t="s">
        <v>1836</v>
      </c>
      <c r="H1251" s="1">
        <v>269820</v>
      </c>
      <c r="I1251" t="s">
        <v>2025</v>
      </c>
      <c r="N1251" s="4">
        <f t="shared" si="38"/>
        <v>70101114</v>
      </c>
      <c r="O1251" t="str">
        <f t="shared" si="39"/>
        <v>R124STTRK</v>
      </c>
    </row>
    <row r="1252" spans="2:15" x14ac:dyDescent="0.25">
      <c r="B1252" t="s">
        <v>1828</v>
      </c>
      <c r="C1252">
        <v>70101114</v>
      </c>
      <c r="D1252" t="s">
        <v>1933</v>
      </c>
      <c r="E1252" t="s">
        <v>1837</v>
      </c>
      <c r="F1252" t="s">
        <v>59</v>
      </c>
      <c r="G1252" t="s">
        <v>1838</v>
      </c>
      <c r="H1252" s="1">
        <v>775080</v>
      </c>
      <c r="I1252" t="s">
        <v>1932</v>
      </c>
      <c r="N1252" s="4">
        <f t="shared" si="38"/>
        <v>70101114</v>
      </c>
      <c r="O1252" t="str">
        <f t="shared" si="39"/>
        <v>R124TCP</v>
      </c>
    </row>
    <row r="1253" spans="2:15" x14ac:dyDescent="0.25">
      <c r="B1253" t="s">
        <v>1828</v>
      </c>
      <c r="C1253">
        <v>70101202</v>
      </c>
      <c r="D1253" t="s">
        <v>1948</v>
      </c>
      <c r="E1253" t="s">
        <v>1839</v>
      </c>
      <c r="F1253" t="s">
        <v>57</v>
      </c>
      <c r="G1253" t="s">
        <v>1840</v>
      </c>
      <c r="H1253" s="1">
        <v>171000</v>
      </c>
      <c r="I1253" t="s">
        <v>1934</v>
      </c>
      <c r="N1253" s="4">
        <f t="shared" si="38"/>
        <v>70101202</v>
      </c>
      <c r="O1253" t="str">
        <f t="shared" si="39"/>
        <v>R124WHFSB</v>
      </c>
    </row>
    <row r="1254" spans="2:15" x14ac:dyDescent="0.25">
      <c r="B1254" t="s">
        <v>1828</v>
      </c>
      <c r="C1254">
        <v>70101114</v>
      </c>
      <c r="D1254" t="s">
        <v>1943</v>
      </c>
      <c r="E1254" t="s">
        <v>1841</v>
      </c>
      <c r="F1254" t="s">
        <v>59</v>
      </c>
      <c r="G1254" t="s">
        <v>1842</v>
      </c>
      <c r="H1254" s="1">
        <v>951025</v>
      </c>
      <c r="I1254" t="s">
        <v>1949</v>
      </c>
      <c r="N1254" s="4">
        <f t="shared" si="38"/>
        <v>70101114</v>
      </c>
      <c r="O1254" t="str">
        <f t="shared" si="39"/>
        <v>R124D1HRGA</v>
      </c>
    </row>
    <row r="1255" spans="2:15" x14ac:dyDescent="0.25">
      <c r="B1255" t="s">
        <v>1828</v>
      </c>
      <c r="C1255">
        <v>70001110</v>
      </c>
      <c r="D1255" t="s">
        <v>1923</v>
      </c>
      <c r="E1255" t="s">
        <v>1843</v>
      </c>
      <c r="F1255" t="s">
        <v>334</v>
      </c>
      <c r="G1255" t="s">
        <v>1844</v>
      </c>
      <c r="H1255" s="1">
        <v>50000</v>
      </c>
      <c r="I1255" t="s">
        <v>1936</v>
      </c>
      <c r="N1255" s="4">
        <f t="shared" si="38"/>
        <v>70001110</v>
      </c>
      <c r="O1255" t="str">
        <f t="shared" si="39"/>
        <v>P206D1SLSS</v>
      </c>
    </row>
    <row r="1256" spans="2:15" x14ac:dyDescent="0.25">
      <c r="B1256" t="s">
        <v>1828</v>
      </c>
      <c r="C1256">
        <v>70001110</v>
      </c>
      <c r="D1256" t="s">
        <v>1967</v>
      </c>
      <c r="E1256" t="s">
        <v>1843</v>
      </c>
      <c r="F1256" t="s">
        <v>334</v>
      </c>
      <c r="G1256" t="s">
        <v>1845</v>
      </c>
      <c r="H1256" s="1">
        <v>50000</v>
      </c>
      <c r="I1256" t="s">
        <v>1936</v>
      </c>
      <c r="N1256" s="4">
        <f t="shared" si="38"/>
        <v>70001110</v>
      </c>
      <c r="O1256" t="str">
        <f t="shared" si="39"/>
        <v>P206D1SLSC</v>
      </c>
    </row>
    <row r="1257" spans="2:15" x14ac:dyDescent="0.25">
      <c r="B1257" t="s">
        <v>1828</v>
      </c>
      <c r="C1257">
        <v>70001110</v>
      </c>
      <c r="D1257" t="s">
        <v>1923</v>
      </c>
      <c r="E1257" t="s">
        <v>1843</v>
      </c>
      <c r="F1257" t="s">
        <v>334</v>
      </c>
      <c r="G1257" t="s">
        <v>1846</v>
      </c>
      <c r="H1257" s="1">
        <v>50000</v>
      </c>
      <c r="I1257" t="s">
        <v>1936</v>
      </c>
      <c r="N1257" s="4">
        <f t="shared" si="38"/>
        <v>70001110</v>
      </c>
      <c r="O1257" t="str">
        <f t="shared" si="39"/>
        <v>P206D1SLSS</v>
      </c>
    </row>
    <row r="1258" spans="2:15" x14ac:dyDescent="0.25">
      <c r="B1258" t="s">
        <v>1828</v>
      </c>
      <c r="C1258">
        <v>70001110</v>
      </c>
      <c r="D1258" t="s">
        <v>1923</v>
      </c>
      <c r="E1258" t="s">
        <v>1843</v>
      </c>
      <c r="F1258" t="s">
        <v>334</v>
      </c>
      <c r="G1258" t="s">
        <v>1847</v>
      </c>
      <c r="H1258" s="1">
        <v>50000</v>
      </c>
      <c r="I1258" t="s">
        <v>1936</v>
      </c>
      <c r="N1258" s="4">
        <f t="shared" si="38"/>
        <v>70001110</v>
      </c>
      <c r="O1258" t="str">
        <f t="shared" si="39"/>
        <v>P206D1SLSS</v>
      </c>
    </row>
    <row r="1259" spans="2:15" x14ac:dyDescent="0.25">
      <c r="B1259" t="s">
        <v>1828</v>
      </c>
      <c r="C1259">
        <v>70001110</v>
      </c>
      <c r="D1259" t="s">
        <v>1967</v>
      </c>
      <c r="E1259" t="s">
        <v>1843</v>
      </c>
      <c r="F1259" t="s">
        <v>334</v>
      </c>
      <c r="G1259" t="s">
        <v>1848</v>
      </c>
      <c r="H1259" s="1">
        <v>50000</v>
      </c>
      <c r="I1259" t="s">
        <v>1936</v>
      </c>
      <c r="N1259" s="4">
        <f t="shared" si="38"/>
        <v>70001110</v>
      </c>
      <c r="O1259" t="str">
        <f t="shared" si="39"/>
        <v>P206D1SLSC</v>
      </c>
    </row>
    <row r="1260" spans="2:15" x14ac:dyDescent="0.25">
      <c r="B1260" t="s">
        <v>1828</v>
      </c>
      <c r="C1260">
        <v>70001110</v>
      </c>
      <c r="D1260" t="s">
        <v>1923</v>
      </c>
      <c r="E1260" t="s">
        <v>1843</v>
      </c>
      <c r="F1260" t="s">
        <v>334</v>
      </c>
      <c r="G1260" t="s">
        <v>1849</v>
      </c>
      <c r="H1260" s="1">
        <v>200000</v>
      </c>
      <c r="I1260" t="s">
        <v>1936</v>
      </c>
      <c r="N1260" s="4">
        <f t="shared" si="38"/>
        <v>70001110</v>
      </c>
      <c r="O1260" t="str">
        <f t="shared" si="39"/>
        <v>P206D1SLSS</v>
      </c>
    </row>
    <row r="1261" spans="2:15" x14ac:dyDescent="0.25">
      <c r="B1261" t="s">
        <v>1828</v>
      </c>
      <c r="C1261">
        <v>70001110</v>
      </c>
      <c r="D1261" t="s">
        <v>1923</v>
      </c>
      <c r="E1261" t="s">
        <v>1843</v>
      </c>
      <c r="F1261" t="s">
        <v>334</v>
      </c>
      <c r="G1261" t="s">
        <v>1850</v>
      </c>
      <c r="H1261" s="1">
        <v>200000</v>
      </c>
      <c r="I1261" t="s">
        <v>1936</v>
      </c>
      <c r="N1261" s="4">
        <f t="shared" si="38"/>
        <v>70001110</v>
      </c>
      <c r="O1261" t="str">
        <f t="shared" si="39"/>
        <v>P206D1SLSS</v>
      </c>
    </row>
    <row r="1262" spans="2:15" x14ac:dyDescent="0.25">
      <c r="B1262" t="s">
        <v>1828</v>
      </c>
      <c r="C1262">
        <v>70107600</v>
      </c>
      <c r="D1262" t="s">
        <v>1961</v>
      </c>
      <c r="E1262" t="s">
        <v>1851</v>
      </c>
      <c r="F1262" t="s">
        <v>126</v>
      </c>
      <c r="G1262" t="s">
        <v>1852</v>
      </c>
      <c r="H1262" s="1">
        <v>610000</v>
      </c>
      <c r="I1262" t="s">
        <v>1960</v>
      </c>
      <c r="N1262" s="4">
        <f t="shared" si="38"/>
        <v>70107600</v>
      </c>
      <c r="O1262" t="str">
        <f t="shared" si="39"/>
        <v>R124D1EHFS</v>
      </c>
    </row>
    <row r="1263" spans="2:15" x14ac:dyDescent="0.25">
      <c r="B1263" t="s">
        <v>1828</v>
      </c>
      <c r="C1263">
        <v>70001110</v>
      </c>
      <c r="D1263" t="s">
        <v>1923</v>
      </c>
      <c r="E1263" t="s">
        <v>1853</v>
      </c>
      <c r="F1263" t="s">
        <v>334</v>
      </c>
      <c r="G1263" t="s">
        <v>1854</v>
      </c>
      <c r="H1263" s="1">
        <v>50000</v>
      </c>
      <c r="I1263" t="s">
        <v>1940</v>
      </c>
      <c r="N1263" s="4">
        <f t="shared" si="38"/>
        <v>70001110</v>
      </c>
      <c r="O1263" t="str">
        <f t="shared" si="39"/>
        <v>P206D1SLSS</v>
      </c>
    </row>
    <row r="1264" spans="2:15" x14ac:dyDescent="0.25">
      <c r="B1264" t="s">
        <v>1828</v>
      </c>
      <c r="C1264">
        <v>70001110</v>
      </c>
      <c r="D1264" t="s">
        <v>1923</v>
      </c>
      <c r="E1264" t="s">
        <v>1853</v>
      </c>
      <c r="F1264" t="s">
        <v>334</v>
      </c>
      <c r="G1264" t="s">
        <v>1855</v>
      </c>
      <c r="H1264" s="1">
        <v>50000</v>
      </c>
      <c r="I1264" t="s">
        <v>1940</v>
      </c>
      <c r="N1264" s="4">
        <f t="shared" si="38"/>
        <v>70001110</v>
      </c>
      <c r="O1264" t="str">
        <f t="shared" si="39"/>
        <v>P206D1SLSS</v>
      </c>
    </row>
    <row r="1265" spans="2:15" x14ac:dyDescent="0.25">
      <c r="B1265" t="s">
        <v>1828</v>
      </c>
      <c r="C1265">
        <v>70001110</v>
      </c>
      <c r="D1265" t="s">
        <v>1923</v>
      </c>
      <c r="E1265" t="s">
        <v>1853</v>
      </c>
      <c r="F1265" t="s">
        <v>334</v>
      </c>
      <c r="G1265" t="s">
        <v>1856</v>
      </c>
      <c r="H1265" s="1">
        <v>50000</v>
      </c>
      <c r="I1265" t="s">
        <v>1940</v>
      </c>
      <c r="N1265" s="4">
        <f t="shared" si="38"/>
        <v>70001110</v>
      </c>
      <c r="O1265" t="str">
        <f t="shared" si="39"/>
        <v>P206D1SLSS</v>
      </c>
    </row>
    <row r="1266" spans="2:15" x14ac:dyDescent="0.25">
      <c r="B1266" t="s">
        <v>1828</v>
      </c>
      <c r="C1266">
        <v>70001110</v>
      </c>
      <c r="D1266" t="s">
        <v>1967</v>
      </c>
      <c r="E1266" t="s">
        <v>1853</v>
      </c>
      <c r="F1266" t="s">
        <v>334</v>
      </c>
      <c r="G1266" t="s">
        <v>1857</v>
      </c>
      <c r="H1266" s="1">
        <v>50000</v>
      </c>
      <c r="I1266" t="s">
        <v>1940</v>
      </c>
      <c r="N1266" s="4">
        <f t="shared" si="38"/>
        <v>70001110</v>
      </c>
      <c r="O1266" t="str">
        <f t="shared" si="39"/>
        <v>P206D1SLSC</v>
      </c>
    </row>
    <row r="1267" spans="2:15" x14ac:dyDescent="0.25">
      <c r="B1267" t="s">
        <v>1828</v>
      </c>
      <c r="C1267">
        <v>70001110</v>
      </c>
      <c r="D1267" t="s">
        <v>1923</v>
      </c>
      <c r="E1267" t="s">
        <v>1853</v>
      </c>
      <c r="F1267" t="s">
        <v>334</v>
      </c>
      <c r="G1267" t="s">
        <v>1858</v>
      </c>
      <c r="H1267" s="1">
        <v>50000</v>
      </c>
      <c r="I1267" t="s">
        <v>1940</v>
      </c>
      <c r="N1267" s="4">
        <f t="shared" si="38"/>
        <v>70001110</v>
      </c>
      <c r="O1267" t="str">
        <f t="shared" si="39"/>
        <v>P206D1SLSS</v>
      </c>
    </row>
    <row r="1268" spans="2:15" x14ac:dyDescent="0.25">
      <c r="B1268" t="s">
        <v>1828</v>
      </c>
      <c r="C1268">
        <v>70001110</v>
      </c>
      <c r="D1268" t="s">
        <v>1923</v>
      </c>
      <c r="E1268" t="s">
        <v>1853</v>
      </c>
      <c r="F1268" t="s">
        <v>334</v>
      </c>
      <c r="G1268" t="s">
        <v>1859</v>
      </c>
      <c r="H1268" s="1">
        <v>50000</v>
      </c>
      <c r="I1268" t="s">
        <v>1940</v>
      </c>
      <c r="N1268" s="4">
        <f t="shared" si="38"/>
        <v>70001110</v>
      </c>
      <c r="O1268" t="str">
        <f t="shared" si="39"/>
        <v>P206D1SLSS</v>
      </c>
    </row>
    <row r="1269" spans="2:15" x14ac:dyDescent="0.25">
      <c r="B1269" t="s">
        <v>1828</v>
      </c>
      <c r="C1269">
        <v>70001110</v>
      </c>
      <c r="D1269" t="s">
        <v>1923</v>
      </c>
      <c r="E1269" t="s">
        <v>1853</v>
      </c>
      <c r="F1269" t="s">
        <v>334</v>
      </c>
      <c r="G1269" t="s">
        <v>1860</v>
      </c>
      <c r="H1269" s="1">
        <v>50000</v>
      </c>
      <c r="I1269" t="s">
        <v>1940</v>
      </c>
      <c r="N1269" s="4">
        <f t="shared" si="38"/>
        <v>70001110</v>
      </c>
      <c r="O1269" t="str">
        <f t="shared" si="39"/>
        <v>P206D1SLSS</v>
      </c>
    </row>
    <row r="1270" spans="2:15" x14ac:dyDescent="0.25">
      <c r="B1270" t="s">
        <v>1828</v>
      </c>
      <c r="C1270">
        <v>70001110</v>
      </c>
      <c r="D1270" t="s">
        <v>1967</v>
      </c>
      <c r="E1270" t="s">
        <v>1853</v>
      </c>
      <c r="F1270" t="s">
        <v>334</v>
      </c>
      <c r="G1270" t="s">
        <v>1861</v>
      </c>
      <c r="H1270" s="1">
        <v>50000</v>
      </c>
      <c r="I1270" t="s">
        <v>1940</v>
      </c>
      <c r="N1270" s="4">
        <f t="shared" si="38"/>
        <v>70001110</v>
      </c>
      <c r="O1270" t="str">
        <f t="shared" si="39"/>
        <v>P206D1SLSC</v>
      </c>
    </row>
    <row r="1271" spans="2:15" x14ac:dyDescent="0.25">
      <c r="B1271" t="s">
        <v>1828</v>
      </c>
      <c r="C1271">
        <v>70001110</v>
      </c>
      <c r="D1271" t="s">
        <v>1923</v>
      </c>
      <c r="E1271" t="s">
        <v>1853</v>
      </c>
      <c r="F1271" t="s">
        <v>334</v>
      </c>
      <c r="G1271" t="s">
        <v>1862</v>
      </c>
      <c r="H1271" s="1">
        <v>50000</v>
      </c>
      <c r="I1271" t="s">
        <v>1940</v>
      </c>
      <c r="N1271" s="4">
        <f t="shared" si="38"/>
        <v>70001110</v>
      </c>
      <c r="O1271" t="str">
        <f t="shared" si="39"/>
        <v>P206D1SLSS</v>
      </c>
    </row>
    <row r="1272" spans="2:15" x14ac:dyDescent="0.25">
      <c r="B1272" t="s">
        <v>1828</v>
      </c>
      <c r="C1272">
        <v>70001110</v>
      </c>
      <c r="D1272" t="s">
        <v>1923</v>
      </c>
      <c r="E1272" t="s">
        <v>1853</v>
      </c>
      <c r="F1272" t="s">
        <v>334</v>
      </c>
      <c r="G1272" t="s">
        <v>1863</v>
      </c>
      <c r="H1272" s="1">
        <v>50000</v>
      </c>
      <c r="I1272" t="s">
        <v>1940</v>
      </c>
      <c r="N1272" s="4">
        <f t="shared" si="38"/>
        <v>70001110</v>
      </c>
      <c r="O1272" t="str">
        <f t="shared" si="39"/>
        <v>P206D1SLSS</v>
      </c>
    </row>
    <row r="1273" spans="2:15" x14ac:dyDescent="0.25">
      <c r="B1273" t="s">
        <v>1828</v>
      </c>
      <c r="C1273">
        <v>70001110</v>
      </c>
      <c r="D1273" t="s">
        <v>1923</v>
      </c>
      <c r="E1273" t="s">
        <v>1853</v>
      </c>
      <c r="F1273" t="s">
        <v>334</v>
      </c>
      <c r="G1273" t="s">
        <v>1864</v>
      </c>
      <c r="H1273" s="1">
        <v>50000</v>
      </c>
      <c r="I1273" t="s">
        <v>1940</v>
      </c>
      <c r="N1273" s="4">
        <f t="shared" si="38"/>
        <v>70001110</v>
      </c>
      <c r="O1273" t="str">
        <f t="shared" si="39"/>
        <v>P206D1SLSS</v>
      </c>
    </row>
    <row r="1274" spans="2:15" x14ac:dyDescent="0.25">
      <c r="B1274" t="s">
        <v>1828</v>
      </c>
      <c r="C1274">
        <v>70001110</v>
      </c>
      <c r="D1274" t="s">
        <v>1923</v>
      </c>
      <c r="E1274" t="s">
        <v>1853</v>
      </c>
      <c r="F1274" t="s">
        <v>334</v>
      </c>
      <c r="G1274" t="s">
        <v>1865</v>
      </c>
      <c r="H1274" s="1">
        <v>50000</v>
      </c>
      <c r="I1274" t="s">
        <v>1940</v>
      </c>
      <c r="N1274" s="4">
        <f t="shared" si="38"/>
        <v>70001110</v>
      </c>
      <c r="O1274" t="str">
        <f t="shared" si="39"/>
        <v>P206D1SLSS</v>
      </c>
    </row>
    <row r="1275" spans="2:15" x14ac:dyDescent="0.25">
      <c r="B1275" t="s">
        <v>1828</v>
      </c>
      <c r="C1275">
        <v>70001110</v>
      </c>
      <c r="D1275" t="s">
        <v>1923</v>
      </c>
      <c r="E1275" t="s">
        <v>1853</v>
      </c>
      <c r="F1275" t="s">
        <v>334</v>
      </c>
      <c r="G1275" t="s">
        <v>1866</v>
      </c>
      <c r="H1275" s="1">
        <v>50000</v>
      </c>
      <c r="I1275" t="s">
        <v>1940</v>
      </c>
      <c r="N1275" s="4">
        <f t="shared" si="38"/>
        <v>70001110</v>
      </c>
      <c r="O1275" t="str">
        <f t="shared" si="39"/>
        <v>P206D1SLSS</v>
      </c>
    </row>
    <row r="1276" spans="2:15" x14ac:dyDescent="0.25">
      <c r="B1276" t="s">
        <v>1828</v>
      </c>
      <c r="C1276">
        <v>70107600</v>
      </c>
      <c r="D1276" t="s">
        <v>1975</v>
      </c>
      <c r="E1276" t="s">
        <v>1867</v>
      </c>
      <c r="F1276" t="s">
        <v>126</v>
      </c>
      <c r="G1276" t="s">
        <v>1868</v>
      </c>
      <c r="H1276" s="1">
        <v>400000</v>
      </c>
      <c r="I1276" t="s">
        <v>1920</v>
      </c>
      <c r="N1276" s="4">
        <f t="shared" si="38"/>
        <v>70107600</v>
      </c>
      <c r="O1276" t="str">
        <f t="shared" si="39"/>
        <v>R124D1MGMT</v>
      </c>
    </row>
    <row r="1277" spans="2:15" x14ac:dyDescent="0.25">
      <c r="B1277" t="s">
        <v>1828</v>
      </c>
      <c r="C1277">
        <v>70106400</v>
      </c>
      <c r="D1277" t="s">
        <v>1943</v>
      </c>
      <c r="E1277" t="s">
        <v>1869</v>
      </c>
      <c r="F1277" t="s">
        <v>96</v>
      </c>
      <c r="G1277" t="s">
        <v>1870</v>
      </c>
      <c r="H1277" s="1">
        <v>420000</v>
      </c>
      <c r="I1277" t="s">
        <v>1942</v>
      </c>
      <c r="N1277" s="4">
        <f t="shared" si="38"/>
        <v>70106400</v>
      </c>
      <c r="O1277" t="str">
        <f t="shared" si="39"/>
        <v>R124D1HRGA</v>
      </c>
    </row>
    <row r="1278" spans="2:15" x14ac:dyDescent="0.25">
      <c r="B1278" t="s">
        <v>1828</v>
      </c>
      <c r="C1278">
        <v>70106100</v>
      </c>
      <c r="D1278" t="s">
        <v>1943</v>
      </c>
      <c r="E1278" t="s">
        <v>1869</v>
      </c>
      <c r="F1278" t="s">
        <v>67</v>
      </c>
      <c r="G1278" t="s">
        <v>98</v>
      </c>
      <c r="H1278" s="1">
        <v>580000</v>
      </c>
      <c r="I1278" t="s">
        <v>1942</v>
      </c>
      <c r="N1278" s="4">
        <f t="shared" si="38"/>
        <v>70106100</v>
      </c>
      <c r="O1278" t="str">
        <f t="shared" si="39"/>
        <v>R124D1HRGA</v>
      </c>
    </row>
    <row r="1279" spans="2:15" x14ac:dyDescent="0.25">
      <c r="B1279" t="s">
        <v>1871</v>
      </c>
      <c r="C1279">
        <v>70101114</v>
      </c>
      <c r="D1279" t="s">
        <v>2031</v>
      </c>
      <c r="E1279" t="s">
        <v>1872</v>
      </c>
      <c r="F1279" t="s">
        <v>59</v>
      </c>
      <c r="G1279" t="s">
        <v>1873</v>
      </c>
      <c r="H1279" s="1">
        <v>794848</v>
      </c>
      <c r="I1279" t="s">
        <v>2030</v>
      </c>
      <c r="N1279" s="4">
        <f t="shared" si="38"/>
        <v>70101114</v>
      </c>
      <c r="O1279" t="str">
        <f t="shared" si="39"/>
        <v>R124FAM</v>
      </c>
    </row>
    <row r="1280" spans="2:15" x14ac:dyDescent="0.25">
      <c r="B1280" t="s">
        <v>1871</v>
      </c>
      <c r="C1280">
        <v>70101102</v>
      </c>
      <c r="D1280" t="s">
        <v>2028</v>
      </c>
      <c r="E1280" t="s">
        <v>1874</v>
      </c>
      <c r="F1280" t="s">
        <v>129</v>
      </c>
      <c r="G1280" t="s">
        <v>1875</v>
      </c>
      <c r="H1280" s="1">
        <v>420000</v>
      </c>
      <c r="I1280" t="s">
        <v>2001</v>
      </c>
      <c r="N1280" s="4">
        <f t="shared" si="38"/>
        <v>70101102</v>
      </c>
      <c r="O1280" t="str">
        <f t="shared" si="39"/>
        <v>R124M09</v>
      </c>
    </row>
    <row r="1281" spans="2:15" x14ac:dyDescent="0.25">
      <c r="B1281" t="s">
        <v>1871</v>
      </c>
      <c r="C1281">
        <v>70101114</v>
      </c>
      <c r="D1281" t="s">
        <v>2031</v>
      </c>
      <c r="E1281" t="s">
        <v>1876</v>
      </c>
      <c r="F1281" t="s">
        <v>59</v>
      </c>
      <c r="G1281" t="s">
        <v>1877</v>
      </c>
      <c r="H1281" s="1">
        <v>372700</v>
      </c>
      <c r="I1281" t="s">
        <v>2030</v>
      </c>
      <c r="N1281" s="4">
        <f t="shared" si="38"/>
        <v>70101114</v>
      </c>
      <c r="O1281" t="str">
        <f t="shared" si="39"/>
        <v>R124FAM</v>
      </c>
    </row>
    <row r="1282" spans="2:15" x14ac:dyDescent="0.25">
      <c r="B1282" t="s">
        <v>1871</v>
      </c>
      <c r="C1282">
        <v>70101114</v>
      </c>
      <c r="D1282" t="s">
        <v>1959</v>
      </c>
      <c r="E1282" t="s">
        <v>1878</v>
      </c>
      <c r="F1282" t="s">
        <v>59</v>
      </c>
      <c r="G1282" t="s">
        <v>1879</v>
      </c>
      <c r="H1282" s="1">
        <v>662900</v>
      </c>
      <c r="I1282" t="s">
        <v>1958</v>
      </c>
      <c r="N1282" s="4">
        <f t="shared" si="38"/>
        <v>70101114</v>
      </c>
      <c r="O1282" t="str">
        <f t="shared" si="39"/>
        <v>R124QCA</v>
      </c>
    </row>
    <row r="1283" spans="2:15" x14ac:dyDescent="0.25">
      <c r="B1283" t="s">
        <v>1871</v>
      </c>
      <c r="C1283">
        <v>70101114</v>
      </c>
      <c r="D1283" t="s">
        <v>1959</v>
      </c>
      <c r="E1283" t="s">
        <v>1880</v>
      </c>
      <c r="F1283" t="s">
        <v>59</v>
      </c>
      <c r="G1283" t="s">
        <v>1881</v>
      </c>
      <c r="H1283" s="1">
        <v>895660</v>
      </c>
      <c r="I1283" t="s">
        <v>1958</v>
      </c>
      <c r="N1283" s="4">
        <f t="shared" si="38"/>
        <v>70101114</v>
      </c>
      <c r="O1283" t="str">
        <f t="shared" si="39"/>
        <v>R124QCA</v>
      </c>
    </row>
    <row r="1284" spans="2:15" x14ac:dyDescent="0.25">
      <c r="B1284" t="s">
        <v>1871</v>
      </c>
      <c r="C1284">
        <v>70101114</v>
      </c>
      <c r="D1284" t="s">
        <v>2031</v>
      </c>
      <c r="E1284" t="s">
        <v>1882</v>
      </c>
      <c r="F1284" t="s">
        <v>59</v>
      </c>
      <c r="G1284" t="s">
        <v>1873</v>
      </c>
      <c r="H1284" s="1">
        <v>880200</v>
      </c>
      <c r="I1284" t="s">
        <v>2030</v>
      </c>
      <c r="N1284" s="4">
        <f t="shared" si="38"/>
        <v>70101114</v>
      </c>
      <c r="O1284" t="str">
        <f t="shared" si="39"/>
        <v>R124FAM</v>
      </c>
    </row>
    <row r="1285" spans="2:15" x14ac:dyDescent="0.25">
      <c r="B1285" t="s">
        <v>1871</v>
      </c>
      <c r="C1285">
        <v>70101114</v>
      </c>
      <c r="D1285" t="s">
        <v>1959</v>
      </c>
      <c r="E1285" t="s">
        <v>1883</v>
      </c>
      <c r="F1285" t="s">
        <v>59</v>
      </c>
      <c r="G1285" t="s">
        <v>1884</v>
      </c>
      <c r="H1285" s="1">
        <v>610000</v>
      </c>
      <c r="I1285" t="s">
        <v>1958</v>
      </c>
      <c r="N1285" s="4">
        <f t="shared" si="38"/>
        <v>70101114</v>
      </c>
      <c r="O1285" t="str">
        <f t="shared" si="39"/>
        <v>R124QCA</v>
      </c>
    </row>
    <row r="1286" spans="2:15" x14ac:dyDescent="0.25">
      <c r="B1286" t="s">
        <v>1871</v>
      </c>
      <c r="C1286">
        <v>70106100</v>
      </c>
      <c r="D1286" t="s">
        <v>1959</v>
      </c>
      <c r="E1286" t="s">
        <v>1883</v>
      </c>
      <c r="F1286" t="s">
        <v>67</v>
      </c>
      <c r="G1286" t="s">
        <v>1885</v>
      </c>
      <c r="H1286" s="1">
        <v>137000</v>
      </c>
      <c r="I1286" t="s">
        <v>1958</v>
      </c>
      <c r="N1286" s="4">
        <f t="shared" si="38"/>
        <v>70106100</v>
      </c>
      <c r="O1286" t="str">
        <f t="shared" si="39"/>
        <v>R124QCA</v>
      </c>
    </row>
    <row r="1287" spans="2:15" x14ac:dyDescent="0.25">
      <c r="B1287" t="s">
        <v>1871</v>
      </c>
      <c r="C1287">
        <v>70101114</v>
      </c>
      <c r="D1287" t="s">
        <v>1959</v>
      </c>
      <c r="E1287" t="s">
        <v>1883</v>
      </c>
      <c r="F1287" t="s">
        <v>59</v>
      </c>
      <c r="G1287" t="s">
        <v>1886</v>
      </c>
      <c r="H1287" s="1">
        <v>113000</v>
      </c>
      <c r="I1287" t="s">
        <v>1958</v>
      </c>
      <c r="N1287" s="4">
        <f t="shared" si="38"/>
        <v>70101114</v>
      </c>
      <c r="O1287" t="str">
        <f t="shared" si="39"/>
        <v>R124QCA</v>
      </c>
    </row>
    <row r="1288" spans="2:15" x14ac:dyDescent="0.25">
      <c r="B1288" t="s">
        <v>1871</v>
      </c>
      <c r="C1288">
        <v>70119300</v>
      </c>
      <c r="D1288" t="s">
        <v>1959</v>
      </c>
      <c r="E1288" t="s">
        <v>1883</v>
      </c>
      <c r="F1288" t="s">
        <v>518</v>
      </c>
      <c r="G1288" t="s">
        <v>1887</v>
      </c>
      <c r="H1288" s="1">
        <v>79460</v>
      </c>
      <c r="I1288" t="s">
        <v>1958</v>
      </c>
      <c r="N1288" s="4">
        <f t="shared" si="38"/>
        <v>70119300</v>
      </c>
      <c r="O1288" t="str">
        <f t="shared" si="39"/>
        <v>R124QCA</v>
      </c>
    </row>
    <row r="1289" spans="2:15" x14ac:dyDescent="0.25">
      <c r="B1289" t="s">
        <v>1871</v>
      </c>
      <c r="C1289">
        <v>70106400</v>
      </c>
      <c r="D1289" t="s">
        <v>1943</v>
      </c>
      <c r="E1289" t="s">
        <v>1888</v>
      </c>
      <c r="F1289" t="s">
        <v>96</v>
      </c>
      <c r="G1289" t="s">
        <v>1889</v>
      </c>
      <c r="H1289" s="1">
        <v>600000</v>
      </c>
      <c r="I1289" t="s">
        <v>1942</v>
      </c>
      <c r="N1289" s="4">
        <f t="shared" si="38"/>
        <v>70106400</v>
      </c>
      <c r="O1289" t="str">
        <f t="shared" si="39"/>
        <v>R124D1HRGA</v>
      </c>
    </row>
    <row r="1290" spans="2:15" x14ac:dyDescent="0.25">
      <c r="B1290" t="s">
        <v>1871</v>
      </c>
      <c r="C1290">
        <v>70106100</v>
      </c>
      <c r="D1290" t="s">
        <v>1943</v>
      </c>
      <c r="E1290" t="s">
        <v>1888</v>
      </c>
      <c r="F1290" t="s">
        <v>67</v>
      </c>
      <c r="G1290" t="s">
        <v>98</v>
      </c>
      <c r="H1290" s="1">
        <v>399000</v>
      </c>
      <c r="I1290" t="s">
        <v>1942</v>
      </c>
      <c r="N1290" s="4">
        <f t="shared" si="38"/>
        <v>70106100</v>
      </c>
      <c r="O1290" t="str">
        <f t="shared" si="39"/>
        <v>R124D1HRGA</v>
      </c>
    </row>
    <row r="1291" spans="2:15" x14ac:dyDescent="0.25">
      <c r="B1291" t="s">
        <v>1871</v>
      </c>
      <c r="C1291">
        <v>70107600</v>
      </c>
      <c r="D1291" t="s">
        <v>1951</v>
      </c>
      <c r="E1291" t="s">
        <v>1890</v>
      </c>
      <c r="F1291" t="s">
        <v>126</v>
      </c>
      <c r="G1291" t="s">
        <v>1891</v>
      </c>
      <c r="H1291" s="1">
        <v>960000</v>
      </c>
      <c r="I1291" t="s">
        <v>1994</v>
      </c>
      <c r="N1291" s="4">
        <f t="shared" ref="N1291:N1300" si="40">+C1291</f>
        <v>70107600</v>
      </c>
      <c r="O1291" t="str">
        <f t="shared" ref="O1291:O1300" si="41">+D1291</f>
        <v>R124REF</v>
      </c>
    </row>
    <row r="1292" spans="2:15" x14ac:dyDescent="0.25">
      <c r="B1292" t="s">
        <v>1871</v>
      </c>
      <c r="C1292">
        <v>70101202</v>
      </c>
      <c r="D1292" t="s">
        <v>2007</v>
      </c>
      <c r="E1292" t="s">
        <v>1892</v>
      </c>
      <c r="F1292" t="s">
        <v>57</v>
      </c>
      <c r="G1292" t="s">
        <v>1893</v>
      </c>
      <c r="H1292" s="1">
        <v>256380</v>
      </c>
      <c r="I1292" t="s">
        <v>1976</v>
      </c>
      <c r="N1292" s="4">
        <f t="shared" si="40"/>
        <v>70101202</v>
      </c>
      <c r="O1292" t="str">
        <f t="shared" si="41"/>
        <v>R124FRA</v>
      </c>
    </row>
    <row r="1293" spans="2:15" x14ac:dyDescent="0.25">
      <c r="B1293" t="s">
        <v>1871</v>
      </c>
      <c r="C1293">
        <v>70107300</v>
      </c>
      <c r="D1293" t="s">
        <v>1921</v>
      </c>
      <c r="E1293" t="s">
        <v>1894</v>
      </c>
      <c r="F1293" t="s">
        <v>41</v>
      </c>
      <c r="G1293" t="s">
        <v>1895</v>
      </c>
      <c r="H1293" s="1">
        <v>600000</v>
      </c>
      <c r="I1293" t="s">
        <v>1920</v>
      </c>
      <c r="N1293" s="4">
        <f t="shared" si="40"/>
        <v>70107300</v>
      </c>
      <c r="O1293" t="str">
        <f t="shared" si="41"/>
        <v>R124D1HRDV</v>
      </c>
    </row>
    <row r="1294" spans="2:15" x14ac:dyDescent="0.25">
      <c r="B1294" t="s">
        <v>1871</v>
      </c>
      <c r="C1294">
        <v>70107600</v>
      </c>
      <c r="D1294" t="s">
        <v>1921</v>
      </c>
      <c r="E1294" t="s">
        <v>1896</v>
      </c>
      <c r="F1294" t="s">
        <v>126</v>
      </c>
      <c r="G1294" t="s">
        <v>1897</v>
      </c>
      <c r="H1294" s="1">
        <v>971000</v>
      </c>
      <c r="I1294" t="s">
        <v>1920</v>
      </c>
      <c r="N1294" s="4">
        <f t="shared" si="40"/>
        <v>70107600</v>
      </c>
      <c r="O1294" t="str">
        <f t="shared" si="41"/>
        <v>R124D1HRDV</v>
      </c>
    </row>
    <row r="1295" spans="2:15" x14ac:dyDescent="0.25">
      <c r="B1295" t="s">
        <v>1871</v>
      </c>
      <c r="C1295">
        <v>70101202</v>
      </c>
      <c r="D1295" t="s">
        <v>1971</v>
      </c>
      <c r="E1295" t="s">
        <v>1898</v>
      </c>
      <c r="F1295" t="s">
        <v>57</v>
      </c>
      <c r="G1295" t="s">
        <v>1899</v>
      </c>
      <c r="H1295" s="1">
        <v>610800</v>
      </c>
      <c r="I1295" t="s">
        <v>1980</v>
      </c>
      <c r="N1295" s="4">
        <f t="shared" si="40"/>
        <v>70101202</v>
      </c>
      <c r="O1295" t="str">
        <f t="shared" si="41"/>
        <v>R124REF3</v>
      </c>
    </row>
    <row r="1296" spans="2:15" x14ac:dyDescent="0.25">
      <c r="B1296" t="s">
        <v>1871</v>
      </c>
      <c r="C1296" t="s">
        <v>1871</v>
      </c>
      <c r="D1296">
        <v>0</v>
      </c>
      <c r="E1296" t="s">
        <v>1898</v>
      </c>
      <c r="F1296" t="s">
        <v>375</v>
      </c>
      <c r="G1296">
        <v>0</v>
      </c>
      <c r="H1296" s="1">
        <v>333000</v>
      </c>
      <c r="I1296" t="s">
        <v>1980</v>
      </c>
      <c r="N1296" s="4" t="str">
        <f t="shared" si="40"/>
        <v>23.12.2025</v>
      </c>
      <c r="O1296">
        <f t="shared" si="41"/>
        <v>0</v>
      </c>
    </row>
    <row r="1297" spans="2:15" x14ac:dyDescent="0.25">
      <c r="B1297" t="s">
        <v>1871</v>
      </c>
      <c r="C1297" t="s">
        <v>1871</v>
      </c>
      <c r="D1297">
        <v>0</v>
      </c>
      <c r="E1297" t="s">
        <v>1901</v>
      </c>
      <c r="F1297" t="s">
        <v>375</v>
      </c>
      <c r="G1297">
        <v>0</v>
      </c>
      <c r="H1297" s="1">
        <v>974025</v>
      </c>
      <c r="I1297" t="s">
        <v>1950</v>
      </c>
      <c r="N1297" s="4" t="str">
        <f t="shared" si="40"/>
        <v>23.12.2025</v>
      </c>
      <c r="O1297">
        <f t="shared" si="41"/>
        <v>0</v>
      </c>
    </row>
    <row r="1298" spans="2:15" x14ac:dyDescent="0.25">
      <c r="B1298" t="s">
        <v>1871</v>
      </c>
      <c r="C1298" t="s">
        <v>1871</v>
      </c>
      <c r="D1298">
        <v>0</v>
      </c>
      <c r="F1298" t="s">
        <v>249</v>
      </c>
      <c r="H1298">
        <v>0</v>
      </c>
      <c r="I1298" t="s">
        <v>1969</v>
      </c>
      <c r="K1298">
        <v>109844</v>
      </c>
      <c r="N1298" s="4" t="str">
        <f t="shared" si="40"/>
        <v>23.12.2025</v>
      </c>
      <c r="O1298">
        <f t="shared" si="41"/>
        <v>0</v>
      </c>
    </row>
    <row r="1299" spans="2:15" x14ac:dyDescent="0.25">
      <c r="B1299" t="s">
        <v>1871</v>
      </c>
      <c r="C1299" t="s">
        <v>1871</v>
      </c>
      <c r="D1299">
        <v>0</v>
      </c>
      <c r="F1299" t="s">
        <v>249</v>
      </c>
      <c r="H1299">
        <v>0</v>
      </c>
      <c r="I1299" t="s">
        <v>1969</v>
      </c>
      <c r="K1299">
        <v>109599</v>
      </c>
      <c r="N1299" s="4" t="str">
        <f t="shared" si="40"/>
        <v>23.12.2025</v>
      </c>
      <c r="O1299">
        <f t="shared" si="41"/>
        <v>0</v>
      </c>
    </row>
    <row r="1300" spans="2:15" x14ac:dyDescent="0.25">
      <c r="B1300" t="s">
        <v>1871</v>
      </c>
      <c r="C1300">
        <v>0</v>
      </c>
      <c r="D1300">
        <v>0</v>
      </c>
      <c r="F1300" t="s">
        <v>249</v>
      </c>
      <c r="H1300">
        <v>0</v>
      </c>
      <c r="I1300" t="s">
        <v>1969</v>
      </c>
      <c r="N1300" s="4">
        <f t="shared" si="40"/>
        <v>0</v>
      </c>
      <c r="O1300">
        <f t="shared" si="41"/>
        <v>0</v>
      </c>
    </row>
  </sheetData>
  <autoFilter ref="A7:M1300" xr:uid="{00000000-0009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9" tint="0.39997558519241921"/>
  </sheetPr>
  <dimension ref="A2:Z2536"/>
  <sheetViews>
    <sheetView topLeftCell="A1212" workbookViewId="0">
      <selection activeCell="A1230" sqref="A1230"/>
    </sheetView>
  </sheetViews>
  <sheetFormatPr defaultRowHeight="15" x14ac:dyDescent="0.25"/>
  <cols>
    <col min="1" max="1" width="14.85546875" bestFit="1" customWidth="1"/>
    <col min="2" max="2" width="4" bestFit="1" customWidth="1"/>
    <col min="3" max="3" width="9" bestFit="1" customWidth="1"/>
    <col min="4" max="4" width="10.140625" bestFit="1" customWidth="1"/>
    <col min="5" max="5" width="9" bestFit="1" customWidth="1"/>
    <col min="6" max="6" width="12.7109375" bestFit="1" customWidth="1"/>
    <col min="7" max="7" width="15.42578125" bestFit="1" customWidth="1"/>
    <col min="8" max="8" width="10.42578125" bestFit="1" customWidth="1"/>
    <col min="9" max="9" width="3.28515625" bestFit="1" customWidth="1"/>
    <col min="10" max="10" width="19.140625" bestFit="1" customWidth="1"/>
    <col min="11" max="11" width="5.28515625" bestFit="1" customWidth="1"/>
    <col min="12" max="12" width="18.85546875" bestFit="1" customWidth="1"/>
    <col min="13" max="13" width="5.5703125" bestFit="1" customWidth="1"/>
    <col min="14" max="14" width="12.5703125" bestFit="1" customWidth="1"/>
    <col min="15" max="15" width="4.5703125" bestFit="1" customWidth="1"/>
    <col min="16" max="16" width="7.85546875" bestFit="1" customWidth="1"/>
    <col min="17" max="17" width="9" bestFit="1" customWidth="1"/>
    <col min="18" max="18" width="16.85546875" bestFit="1" customWidth="1"/>
    <col min="19" max="19" width="31" bestFit="1" customWidth="1"/>
    <col min="20" max="20" width="60.42578125" bestFit="1" customWidth="1"/>
    <col min="21" max="21" width="5.85546875" bestFit="1" customWidth="1"/>
    <col min="22" max="23" width="17.5703125" bestFit="1" customWidth="1"/>
    <col min="24" max="24" width="5.28515625" bestFit="1" customWidth="1"/>
    <col min="25" max="25" width="9.7109375" bestFit="1" customWidth="1"/>
    <col min="26" max="26" width="11.42578125" bestFit="1" customWidth="1"/>
  </cols>
  <sheetData>
    <row r="2" spans="1:26" x14ac:dyDescent="0.25">
      <c r="A2" t="s">
        <v>0</v>
      </c>
      <c r="E2">
        <v>10000001</v>
      </c>
      <c r="G2" t="s">
        <v>1</v>
      </c>
    </row>
    <row r="3" spans="1:26" x14ac:dyDescent="0.25">
      <c r="A3" t="s">
        <v>2</v>
      </c>
      <c r="E3">
        <v>3300</v>
      </c>
    </row>
    <row r="6" spans="1:26" x14ac:dyDescent="0.25">
      <c r="C6" t="s">
        <v>3</v>
      </c>
      <c r="D6" t="s">
        <v>4</v>
      </c>
      <c r="F6" t="s">
        <v>5</v>
      </c>
      <c r="H6" t="s">
        <v>6</v>
      </c>
      <c r="I6" t="s">
        <v>7</v>
      </c>
      <c r="J6" t="s">
        <v>8</v>
      </c>
      <c r="K6" t="s">
        <v>9</v>
      </c>
      <c r="L6" t="s">
        <v>10</v>
      </c>
      <c r="M6" t="s">
        <v>11</v>
      </c>
      <c r="N6" t="s">
        <v>12</v>
      </c>
      <c r="O6" t="s">
        <v>13</v>
      </c>
      <c r="P6" t="s">
        <v>14</v>
      </c>
      <c r="Q6" t="s">
        <v>15</v>
      </c>
      <c r="R6" t="s">
        <v>16</v>
      </c>
      <c r="S6" t="s">
        <v>17</v>
      </c>
      <c r="T6" t="s">
        <v>18</v>
      </c>
      <c r="U6" t="s">
        <v>19</v>
      </c>
      <c r="V6" t="s">
        <v>20</v>
      </c>
      <c r="W6" t="s">
        <v>21</v>
      </c>
      <c r="X6" t="s">
        <v>22</v>
      </c>
      <c r="Y6" t="s">
        <v>23</v>
      </c>
      <c r="Z6" t="s">
        <v>24</v>
      </c>
    </row>
    <row r="8" spans="1:26" x14ac:dyDescent="0.25">
      <c r="C8">
        <v>10000001</v>
      </c>
      <c r="D8" t="s">
        <v>25</v>
      </c>
      <c r="F8">
        <v>1888429</v>
      </c>
      <c r="H8" t="s">
        <v>25</v>
      </c>
      <c r="I8">
        <v>50</v>
      </c>
      <c r="J8">
        <v>0</v>
      </c>
      <c r="K8" t="s">
        <v>26</v>
      </c>
      <c r="L8">
        <v>0</v>
      </c>
      <c r="M8" t="s">
        <v>26</v>
      </c>
      <c r="Q8" t="s">
        <v>27</v>
      </c>
      <c r="S8" t="s">
        <v>28</v>
      </c>
      <c r="T8" t="s">
        <v>29</v>
      </c>
      <c r="X8" t="s">
        <v>30</v>
      </c>
      <c r="Y8">
        <v>1003022</v>
      </c>
      <c r="Z8">
        <v>20251231</v>
      </c>
    </row>
    <row r="9" spans="1:26" x14ac:dyDescent="0.25">
      <c r="C9">
        <v>10000001</v>
      </c>
      <c r="D9" t="s">
        <v>31</v>
      </c>
      <c r="F9">
        <v>1413583</v>
      </c>
      <c r="H9" t="s">
        <v>32</v>
      </c>
      <c r="I9">
        <v>40</v>
      </c>
      <c r="J9">
        <v>0</v>
      </c>
      <c r="K9" t="s">
        <v>26</v>
      </c>
      <c r="L9">
        <v>0</v>
      </c>
      <c r="M9" t="s">
        <v>26</v>
      </c>
      <c r="Q9" t="s">
        <v>27</v>
      </c>
      <c r="S9" t="s">
        <v>33</v>
      </c>
      <c r="T9" t="s">
        <v>34</v>
      </c>
      <c r="X9" t="s">
        <v>30</v>
      </c>
      <c r="Y9">
        <v>1415341</v>
      </c>
      <c r="Z9">
        <v>20250701</v>
      </c>
    </row>
    <row r="10" spans="1:26" x14ac:dyDescent="0.25">
      <c r="C10">
        <v>10000001</v>
      </c>
      <c r="D10" t="s">
        <v>35</v>
      </c>
      <c r="F10">
        <v>1415341</v>
      </c>
      <c r="H10" t="s">
        <v>35</v>
      </c>
      <c r="I10">
        <v>40</v>
      </c>
      <c r="J10">
        <v>0</v>
      </c>
      <c r="K10" t="s">
        <v>26</v>
      </c>
      <c r="L10">
        <v>0</v>
      </c>
      <c r="M10" t="s">
        <v>26</v>
      </c>
      <c r="Q10" t="s">
        <v>27</v>
      </c>
      <c r="S10" t="s">
        <v>36</v>
      </c>
      <c r="T10" t="s">
        <v>37</v>
      </c>
      <c r="X10" t="s">
        <v>38</v>
      </c>
      <c r="Y10">
        <v>1415341</v>
      </c>
      <c r="Z10">
        <v>20250703</v>
      </c>
    </row>
    <row r="11" spans="1:26" x14ac:dyDescent="0.25">
      <c r="C11">
        <v>10000001</v>
      </c>
      <c r="D11" t="s">
        <v>35</v>
      </c>
      <c r="F11">
        <v>1415341</v>
      </c>
      <c r="H11" t="s">
        <v>35</v>
      </c>
      <c r="I11">
        <v>50</v>
      </c>
      <c r="J11">
        <v>0</v>
      </c>
      <c r="K11" t="s">
        <v>26</v>
      </c>
      <c r="L11">
        <v>0</v>
      </c>
      <c r="M11" t="s">
        <v>26</v>
      </c>
      <c r="Q11" t="s">
        <v>27</v>
      </c>
      <c r="S11" t="s">
        <v>36</v>
      </c>
      <c r="T11" t="s">
        <v>34</v>
      </c>
      <c r="X11" t="s">
        <v>38</v>
      </c>
      <c r="Y11">
        <v>1415341</v>
      </c>
      <c r="Z11">
        <v>20250703</v>
      </c>
    </row>
    <row r="12" spans="1:26" x14ac:dyDescent="0.25">
      <c r="C12">
        <v>10000001</v>
      </c>
      <c r="D12" t="s">
        <v>39</v>
      </c>
      <c r="F12">
        <v>12005321</v>
      </c>
      <c r="H12" t="s">
        <v>39</v>
      </c>
      <c r="I12">
        <v>50</v>
      </c>
      <c r="J12" s="1">
        <v>-400000</v>
      </c>
      <c r="K12" t="s">
        <v>26</v>
      </c>
      <c r="L12" s="1">
        <v>-400000</v>
      </c>
      <c r="M12" t="s">
        <v>26</v>
      </c>
      <c r="Q12" t="s">
        <v>27</v>
      </c>
      <c r="R12" t="s">
        <v>40</v>
      </c>
      <c r="S12" t="s">
        <v>41</v>
      </c>
      <c r="T12" t="s">
        <v>42</v>
      </c>
      <c r="X12" t="s">
        <v>43</v>
      </c>
      <c r="Y12">
        <v>1495275</v>
      </c>
      <c r="Z12">
        <v>20250707</v>
      </c>
    </row>
    <row r="13" spans="1:26" x14ac:dyDescent="0.25">
      <c r="C13">
        <v>10000001</v>
      </c>
      <c r="D13" t="s">
        <v>39</v>
      </c>
      <c r="F13">
        <v>12005322</v>
      </c>
      <c r="H13" t="s">
        <v>39</v>
      </c>
      <c r="I13">
        <v>50</v>
      </c>
      <c r="J13" s="1">
        <v>-100000</v>
      </c>
      <c r="K13" t="s">
        <v>26</v>
      </c>
      <c r="L13" s="1">
        <v>-100000</v>
      </c>
      <c r="M13" t="s">
        <v>26</v>
      </c>
      <c r="Q13" t="s">
        <v>27</v>
      </c>
      <c r="R13" t="s">
        <v>44</v>
      </c>
      <c r="S13" t="s">
        <v>45</v>
      </c>
      <c r="T13" t="s">
        <v>46</v>
      </c>
      <c r="X13" t="s">
        <v>43</v>
      </c>
      <c r="Y13">
        <v>1495275</v>
      </c>
      <c r="Z13">
        <v>20250707</v>
      </c>
    </row>
    <row r="14" spans="1:26" x14ac:dyDescent="0.25">
      <c r="C14">
        <v>10000001</v>
      </c>
      <c r="D14" t="s">
        <v>39</v>
      </c>
      <c r="F14">
        <v>12005323</v>
      </c>
      <c r="H14" t="s">
        <v>39</v>
      </c>
      <c r="I14">
        <v>50</v>
      </c>
      <c r="J14" s="1">
        <v>-100000</v>
      </c>
      <c r="K14" t="s">
        <v>26</v>
      </c>
      <c r="L14" s="1">
        <v>-100000</v>
      </c>
      <c r="M14" t="s">
        <v>26</v>
      </c>
      <c r="Q14" t="s">
        <v>27</v>
      </c>
      <c r="R14" t="s">
        <v>44</v>
      </c>
      <c r="S14" t="s">
        <v>45</v>
      </c>
      <c r="T14" t="s">
        <v>47</v>
      </c>
      <c r="X14" t="s">
        <v>43</v>
      </c>
      <c r="Y14">
        <v>1495275</v>
      </c>
      <c r="Z14">
        <v>20250707</v>
      </c>
    </row>
    <row r="15" spans="1:26" x14ac:dyDescent="0.25">
      <c r="C15">
        <v>10000001</v>
      </c>
      <c r="D15" t="s">
        <v>39</v>
      </c>
      <c r="F15">
        <v>12005324</v>
      </c>
      <c r="H15" t="s">
        <v>39</v>
      </c>
      <c r="I15">
        <v>50</v>
      </c>
      <c r="J15" s="1">
        <v>-150000</v>
      </c>
      <c r="K15" t="s">
        <v>26</v>
      </c>
      <c r="L15" s="1">
        <v>-150000</v>
      </c>
      <c r="M15" t="s">
        <v>26</v>
      </c>
      <c r="Q15" t="s">
        <v>27</v>
      </c>
      <c r="R15" t="s">
        <v>44</v>
      </c>
      <c r="S15" t="s">
        <v>45</v>
      </c>
      <c r="T15" t="s">
        <v>48</v>
      </c>
      <c r="X15" t="s">
        <v>43</v>
      </c>
      <c r="Y15">
        <v>1495275</v>
      </c>
      <c r="Z15">
        <v>20250707</v>
      </c>
    </row>
    <row r="16" spans="1:26" x14ac:dyDescent="0.25">
      <c r="C16">
        <v>10000001</v>
      </c>
      <c r="D16" t="s">
        <v>39</v>
      </c>
      <c r="F16">
        <v>12005325</v>
      </c>
      <c r="H16" t="s">
        <v>39</v>
      </c>
      <c r="I16">
        <v>50</v>
      </c>
      <c r="J16" s="1">
        <v>-100000</v>
      </c>
      <c r="K16" t="s">
        <v>26</v>
      </c>
      <c r="L16" s="1">
        <v>-100000</v>
      </c>
      <c r="M16" t="s">
        <v>26</v>
      </c>
      <c r="Q16" t="s">
        <v>27</v>
      </c>
      <c r="R16" t="s">
        <v>44</v>
      </c>
      <c r="S16" t="s">
        <v>45</v>
      </c>
      <c r="T16" t="s">
        <v>49</v>
      </c>
      <c r="X16" t="s">
        <v>43</v>
      </c>
      <c r="Y16">
        <v>1495275</v>
      </c>
      <c r="Z16">
        <v>20250707</v>
      </c>
    </row>
    <row r="17" spans="3:26" x14ac:dyDescent="0.25">
      <c r="C17">
        <v>10000001</v>
      </c>
      <c r="D17" t="s">
        <v>39</v>
      </c>
      <c r="F17">
        <v>12005326</v>
      </c>
      <c r="H17" t="s">
        <v>39</v>
      </c>
      <c r="I17">
        <v>50</v>
      </c>
      <c r="J17" s="1">
        <v>-100000</v>
      </c>
      <c r="K17" t="s">
        <v>26</v>
      </c>
      <c r="L17" s="1">
        <v>-100000</v>
      </c>
      <c r="M17" t="s">
        <v>26</v>
      </c>
      <c r="Q17" t="s">
        <v>27</v>
      </c>
      <c r="R17" t="s">
        <v>44</v>
      </c>
      <c r="S17" t="s">
        <v>45</v>
      </c>
      <c r="T17" t="s">
        <v>50</v>
      </c>
      <c r="X17" t="s">
        <v>43</v>
      </c>
      <c r="Y17">
        <v>1495275</v>
      </c>
      <c r="Z17">
        <v>20250707</v>
      </c>
    </row>
    <row r="18" spans="3:26" x14ac:dyDescent="0.25">
      <c r="C18">
        <v>10000001</v>
      </c>
      <c r="D18" t="s">
        <v>39</v>
      </c>
      <c r="F18">
        <v>12005327</v>
      </c>
      <c r="H18" t="s">
        <v>39</v>
      </c>
      <c r="I18">
        <v>50</v>
      </c>
      <c r="J18" s="1">
        <v>-100000</v>
      </c>
      <c r="K18" t="s">
        <v>26</v>
      </c>
      <c r="L18" s="1">
        <v>-100000</v>
      </c>
      <c r="M18" t="s">
        <v>26</v>
      </c>
      <c r="Q18" t="s">
        <v>27</v>
      </c>
      <c r="R18" t="s">
        <v>44</v>
      </c>
      <c r="S18" t="s">
        <v>45</v>
      </c>
      <c r="T18" t="s">
        <v>51</v>
      </c>
      <c r="X18" t="s">
        <v>43</v>
      </c>
      <c r="Y18">
        <v>1495275</v>
      </c>
      <c r="Z18">
        <v>20250707</v>
      </c>
    </row>
    <row r="19" spans="3:26" x14ac:dyDescent="0.25">
      <c r="C19">
        <v>10000001</v>
      </c>
      <c r="D19" t="s">
        <v>39</v>
      </c>
      <c r="F19">
        <v>12005328</v>
      </c>
      <c r="H19" t="s">
        <v>39</v>
      </c>
      <c r="I19">
        <v>50</v>
      </c>
      <c r="J19" s="1">
        <v>-100000</v>
      </c>
      <c r="K19" t="s">
        <v>26</v>
      </c>
      <c r="L19" s="1">
        <v>-100000</v>
      </c>
      <c r="M19" t="s">
        <v>26</v>
      </c>
      <c r="Q19" t="s">
        <v>27</v>
      </c>
      <c r="R19" t="s">
        <v>44</v>
      </c>
      <c r="S19" t="s">
        <v>45</v>
      </c>
      <c r="T19" t="s">
        <v>52</v>
      </c>
      <c r="X19" t="s">
        <v>43</v>
      </c>
      <c r="Y19">
        <v>1495275</v>
      </c>
      <c r="Z19">
        <v>20250707</v>
      </c>
    </row>
    <row r="20" spans="3:26" x14ac:dyDescent="0.25">
      <c r="C20">
        <v>10000001</v>
      </c>
      <c r="D20" t="s">
        <v>39</v>
      </c>
      <c r="F20">
        <v>12005329</v>
      </c>
      <c r="H20" t="s">
        <v>39</v>
      </c>
      <c r="I20">
        <v>50</v>
      </c>
      <c r="J20" s="1">
        <v>-100000</v>
      </c>
      <c r="K20" t="s">
        <v>26</v>
      </c>
      <c r="L20" s="1">
        <v>-100000</v>
      </c>
      <c r="M20" t="s">
        <v>26</v>
      </c>
      <c r="Q20" t="s">
        <v>27</v>
      </c>
      <c r="R20" t="s">
        <v>44</v>
      </c>
      <c r="S20" t="s">
        <v>45</v>
      </c>
      <c r="T20" t="s">
        <v>53</v>
      </c>
      <c r="X20" t="s">
        <v>43</v>
      </c>
      <c r="Y20">
        <v>1495275</v>
      </c>
      <c r="Z20">
        <v>20250707</v>
      </c>
    </row>
    <row r="21" spans="3:26" x14ac:dyDescent="0.25">
      <c r="C21">
        <v>10000001</v>
      </c>
      <c r="D21" t="s">
        <v>39</v>
      </c>
      <c r="F21">
        <v>12005330</v>
      </c>
      <c r="H21" t="s">
        <v>39</v>
      </c>
      <c r="I21">
        <v>50</v>
      </c>
      <c r="J21" s="1">
        <v>-100000</v>
      </c>
      <c r="K21" t="s">
        <v>26</v>
      </c>
      <c r="L21" s="1">
        <v>-100000</v>
      </c>
      <c r="M21" t="s">
        <v>26</v>
      </c>
      <c r="Q21" t="s">
        <v>27</v>
      </c>
      <c r="R21" t="s">
        <v>44</v>
      </c>
      <c r="S21" t="s">
        <v>45</v>
      </c>
      <c r="T21" t="s">
        <v>54</v>
      </c>
      <c r="X21" t="s">
        <v>43</v>
      </c>
      <c r="Y21">
        <v>1495275</v>
      </c>
      <c r="Z21">
        <v>20250707</v>
      </c>
    </row>
    <row r="22" spans="3:26" x14ac:dyDescent="0.25">
      <c r="C22">
        <v>10000001</v>
      </c>
      <c r="D22" t="s">
        <v>39</v>
      </c>
      <c r="F22">
        <v>12005331</v>
      </c>
      <c r="H22" t="s">
        <v>39</v>
      </c>
      <c r="I22">
        <v>50</v>
      </c>
      <c r="J22" s="1">
        <v>-50000</v>
      </c>
      <c r="K22" t="s">
        <v>26</v>
      </c>
      <c r="L22" s="1">
        <v>-50000</v>
      </c>
      <c r="M22" t="s">
        <v>26</v>
      </c>
      <c r="Q22" t="s">
        <v>27</v>
      </c>
      <c r="R22" t="s">
        <v>44</v>
      </c>
      <c r="S22" t="s">
        <v>45</v>
      </c>
      <c r="T22" t="s">
        <v>55</v>
      </c>
      <c r="X22" t="s">
        <v>43</v>
      </c>
      <c r="Y22">
        <v>1495275</v>
      </c>
      <c r="Z22">
        <v>20250707</v>
      </c>
    </row>
    <row r="23" spans="3:26" x14ac:dyDescent="0.25">
      <c r="C23">
        <v>10000001</v>
      </c>
      <c r="D23" t="s">
        <v>39</v>
      </c>
      <c r="F23">
        <v>12005332</v>
      </c>
      <c r="H23" t="s">
        <v>39</v>
      </c>
      <c r="I23">
        <v>50</v>
      </c>
      <c r="J23" s="1">
        <v>-940000</v>
      </c>
      <c r="K23" t="s">
        <v>26</v>
      </c>
      <c r="L23" s="1">
        <v>-940000</v>
      </c>
      <c r="M23" t="s">
        <v>26</v>
      </c>
      <c r="Q23" t="s">
        <v>27</v>
      </c>
      <c r="R23" t="s">
        <v>56</v>
      </c>
      <c r="S23" t="s">
        <v>57</v>
      </c>
      <c r="T23" t="s">
        <v>58</v>
      </c>
      <c r="X23" t="s">
        <v>43</v>
      </c>
      <c r="Y23">
        <v>1495275</v>
      </c>
      <c r="Z23">
        <v>20250707</v>
      </c>
    </row>
    <row r="24" spans="3:26" x14ac:dyDescent="0.25">
      <c r="C24">
        <v>10000001</v>
      </c>
      <c r="D24" t="s">
        <v>39</v>
      </c>
      <c r="F24">
        <v>12005333</v>
      </c>
      <c r="H24" t="s">
        <v>39</v>
      </c>
      <c r="I24">
        <v>50</v>
      </c>
      <c r="J24" s="1">
        <v>-50000</v>
      </c>
      <c r="K24" t="s">
        <v>26</v>
      </c>
      <c r="L24" s="1">
        <v>-50000</v>
      </c>
      <c r="M24" t="s">
        <v>26</v>
      </c>
      <c r="Q24" t="s">
        <v>27</v>
      </c>
      <c r="R24" t="s">
        <v>56</v>
      </c>
      <c r="S24" t="s">
        <v>59</v>
      </c>
      <c r="T24" t="s">
        <v>60</v>
      </c>
      <c r="X24" t="s">
        <v>43</v>
      </c>
      <c r="Y24">
        <v>1495275</v>
      </c>
      <c r="Z24">
        <v>20250707</v>
      </c>
    </row>
    <row r="25" spans="3:26" x14ac:dyDescent="0.25">
      <c r="C25">
        <v>10000001</v>
      </c>
      <c r="D25" t="s">
        <v>39</v>
      </c>
      <c r="F25">
        <v>12005334</v>
      </c>
      <c r="H25" t="s">
        <v>39</v>
      </c>
      <c r="I25">
        <v>50</v>
      </c>
      <c r="J25" s="1">
        <v>-110008</v>
      </c>
      <c r="K25" t="s">
        <v>26</v>
      </c>
      <c r="L25" s="1">
        <v>-110008</v>
      </c>
      <c r="M25" t="s">
        <v>26</v>
      </c>
      <c r="Q25" t="s">
        <v>27</v>
      </c>
      <c r="R25" t="s">
        <v>61</v>
      </c>
      <c r="S25" t="s">
        <v>57</v>
      </c>
      <c r="T25" t="s">
        <v>62</v>
      </c>
      <c r="X25" t="s">
        <v>43</v>
      </c>
      <c r="Y25">
        <v>1495275</v>
      </c>
      <c r="Z25">
        <v>20250707</v>
      </c>
    </row>
    <row r="26" spans="3:26" x14ac:dyDescent="0.25">
      <c r="C26">
        <v>10000001</v>
      </c>
      <c r="D26" t="s">
        <v>39</v>
      </c>
      <c r="F26">
        <v>12005335</v>
      </c>
      <c r="H26" t="s">
        <v>39</v>
      </c>
      <c r="I26">
        <v>50</v>
      </c>
      <c r="J26" s="1">
        <v>-72000</v>
      </c>
      <c r="K26" t="s">
        <v>26</v>
      </c>
      <c r="L26" s="1">
        <v>-72000</v>
      </c>
      <c r="M26" t="s">
        <v>26</v>
      </c>
      <c r="Q26" t="s">
        <v>27</v>
      </c>
      <c r="R26" t="s">
        <v>63</v>
      </c>
      <c r="S26" t="s">
        <v>64</v>
      </c>
      <c r="T26" t="s">
        <v>65</v>
      </c>
      <c r="X26" t="s">
        <v>43</v>
      </c>
      <c r="Y26">
        <v>1495275</v>
      </c>
      <c r="Z26">
        <v>20250707</v>
      </c>
    </row>
    <row r="27" spans="3:26" x14ac:dyDescent="0.25">
      <c r="C27">
        <v>10000001</v>
      </c>
      <c r="D27" t="s">
        <v>39</v>
      </c>
      <c r="F27">
        <v>12005336</v>
      </c>
      <c r="H27" t="s">
        <v>39</v>
      </c>
      <c r="I27">
        <v>50</v>
      </c>
      <c r="J27" s="1">
        <v>-210000</v>
      </c>
      <c r="K27" t="s">
        <v>26</v>
      </c>
      <c r="L27" s="1">
        <v>-210000</v>
      </c>
      <c r="M27" t="s">
        <v>26</v>
      </c>
      <c r="Q27" t="s">
        <v>27</v>
      </c>
      <c r="R27" t="s">
        <v>66</v>
      </c>
      <c r="S27" t="s">
        <v>67</v>
      </c>
      <c r="T27" t="s">
        <v>68</v>
      </c>
      <c r="X27" t="s">
        <v>43</v>
      </c>
      <c r="Y27">
        <v>1495275</v>
      </c>
      <c r="Z27">
        <v>20250707</v>
      </c>
    </row>
    <row r="28" spans="3:26" x14ac:dyDescent="0.25">
      <c r="C28">
        <v>10000001</v>
      </c>
      <c r="D28" t="s">
        <v>39</v>
      </c>
      <c r="F28">
        <v>12005337</v>
      </c>
      <c r="H28" t="s">
        <v>39</v>
      </c>
      <c r="I28">
        <v>50</v>
      </c>
      <c r="J28" s="1">
        <v>-22000</v>
      </c>
      <c r="K28" t="s">
        <v>26</v>
      </c>
      <c r="L28" s="1">
        <v>-22000</v>
      </c>
      <c r="M28" t="s">
        <v>26</v>
      </c>
      <c r="Q28" t="s">
        <v>27</v>
      </c>
      <c r="R28" t="s">
        <v>66</v>
      </c>
      <c r="S28" t="s">
        <v>64</v>
      </c>
      <c r="T28" t="s">
        <v>69</v>
      </c>
      <c r="X28" t="s">
        <v>43</v>
      </c>
      <c r="Y28">
        <v>1495275</v>
      </c>
      <c r="Z28">
        <v>20250707</v>
      </c>
    </row>
    <row r="29" spans="3:26" x14ac:dyDescent="0.25">
      <c r="C29">
        <v>10000001</v>
      </c>
      <c r="D29" t="s">
        <v>39</v>
      </c>
      <c r="F29">
        <v>12005338</v>
      </c>
      <c r="H29" t="s">
        <v>39</v>
      </c>
      <c r="I29">
        <v>50</v>
      </c>
      <c r="J29" s="1">
        <v>-980000</v>
      </c>
      <c r="K29" t="s">
        <v>26</v>
      </c>
      <c r="L29" s="1">
        <v>-980000</v>
      </c>
      <c r="M29" t="s">
        <v>26</v>
      </c>
      <c r="Q29" t="s">
        <v>27</v>
      </c>
      <c r="R29" t="s">
        <v>70</v>
      </c>
      <c r="S29" t="s">
        <v>59</v>
      </c>
      <c r="T29" t="s">
        <v>71</v>
      </c>
      <c r="X29" t="s">
        <v>43</v>
      </c>
      <c r="Y29">
        <v>1495275</v>
      </c>
      <c r="Z29">
        <v>20250707</v>
      </c>
    </row>
    <row r="30" spans="3:26" x14ac:dyDescent="0.25">
      <c r="C30">
        <v>10000001</v>
      </c>
      <c r="D30" t="s">
        <v>39</v>
      </c>
      <c r="F30">
        <v>12005339</v>
      </c>
      <c r="H30" t="s">
        <v>39</v>
      </c>
      <c r="I30">
        <v>50</v>
      </c>
      <c r="J30" s="1">
        <v>-243910</v>
      </c>
      <c r="K30" t="s">
        <v>26</v>
      </c>
      <c r="L30" s="1">
        <v>-243910</v>
      </c>
      <c r="M30" t="s">
        <v>26</v>
      </c>
      <c r="Q30" t="s">
        <v>27</v>
      </c>
      <c r="R30" t="s">
        <v>72</v>
      </c>
      <c r="S30" t="s">
        <v>59</v>
      </c>
      <c r="T30" t="s">
        <v>73</v>
      </c>
      <c r="X30" t="s">
        <v>43</v>
      </c>
      <c r="Y30">
        <v>1495275</v>
      </c>
      <c r="Z30">
        <v>20250707</v>
      </c>
    </row>
    <row r="31" spans="3:26" x14ac:dyDescent="0.25">
      <c r="C31">
        <v>10000001</v>
      </c>
      <c r="D31" t="s">
        <v>39</v>
      </c>
      <c r="F31">
        <v>12005340</v>
      </c>
      <c r="H31" t="s">
        <v>39</v>
      </c>
      <c r="I31">
        <v>50</v>
      </c>
      <c r="J31" s="1">
        <v>-50000</v>
      </c>
      <c r="K31" t="s">
        <v>26</v>
      </c>
      <c r="L31" s="1">
        <v>-50000</v>
      </c>
      <c r="M31" t="s">
        <v>26</v>
      </c>
      <c r="Q31" t="s">
        <v>27</v>
      </c>
      <c r="R31" t="s">
        <v>74</v>
      </c>
      <c r="S31" t="s">
        <v>45</v>
      </c>
      <c r="T31" t="s">
        <v>75</v>
      </c>
      <c r="X31" t="s">
        <v>43</v>
      </c>
      <c r="Y31">
        <v>1495275</v>
      </c>
      <c r="Z31">
        <v>20250707</v>
      </c>
    </row>
    <row r="32" spans="3:26" x14ac:dyDescent="0.25">
      <c r="C32">
        <v>10000001</v>
      </c>
      <c r="D32" t="s">
        <v>39</v>
      </c>
      <c r="F32">
        <v>12005341</v>
      </c>
      <c r="H32" t="s">
        <v>39</v>
      </c>
      <c r="I32">
        <v>50</v>
      </c>
      <c r="J32" s="1">
        <v>-50000</v>
      </c>
      <c r="K32" t="s">
        <v>26</v>
      </c>
      <c r="L32" s="1">
        <v>-50000</v>
      </c>
      <c r="M32" t="s">
        <v>26</v>
      </c>
      <c r="Q32" t="s">
        <v>27</v>
      </c>
      <c r="R32" t="s">
        <v>74</v>
      </c>
      <c r="S32" t="s">
        <v>45</v>
      </c>
      <c r="T32" t="s">
        <v>76</v>
      </c>
      <c r="X32" t="s">
        <v>43</v>
      </c>
      <c r="Y32">
        <v>1495275</v>
      </c>
      <c r="Z32">
        <v>20250707</v>
      </c>
    </row>
    <row r="33" spans="3:26" x14ac:dyDescent="0.25">
      <c r="C33">
        <v>10000001</v>
      </c>
      <c r="D33" t="s">
        <v>39</v>
      </c>
      <c r="F33">
        <v>12005342</v>
      </c>
      <c r="H33" t="s">
        <v>39</v>
      </c>
      <c r="I33">
        <v>50</v>
      </c>
      <c r="J33" s="1">
        <v>-50000</v>
      </c>
      <c r="K33" t="s">
        <v>26</v>
      </c>
      <c r="L33" s="1">
        <v>-50000</v>
      </c>
      <c r="M33" t="s">
        <v>26</v>
      </c>
      <c r="Q33" t="s">
        <v>27</v>
      </c>
      <c r="R33" t="s">
        <v>74</v>
      </c>
      <c r="S33" t="s">
        <v>45</v>
      </c>
      <c r="T33" t="s">
        <v>77</v>
      </c>
      <c r="X33" t="s">
        <v>43</v>
      </c>
      <c r="Y33">
        <v>1495275</v>
      </c>
      <c r="Z33">
        <v>20250707</v>
      </c>
    </row>
    <row r="34" spans="3:26" x14ac:dyDescent="0.25">
      <c r="C34">
        <v>10000001</v>
      </c>
      <c r="D34" t="s">
        <v>39</v>
      </c>
      <c r="F34">
        <v>12005343</v>
      </c>
      <c r="H34" t="s">
        <v>39</v>
      </c>
      <c r="I34">
        <v>50</v>
      </c>
      <c r="J34" s="1">
        <v>-50000</v>
      </c>
      <c r="K34" t="s">
        <v>26</v>
      </c>
      <c r="L34" s="1">
        <v>-50000</v>
      </c>
      <c r="M34" t="s">
        <v>26</v>
      </c>
      <c r="Q34" t="s">
        <v>27</v>
      </c>
      <c r="R34" t="s">
        <v>74</v>
      </c>
      <c r="S34" t="s">
        <v>45</v>
      </c>
      <c r="T34" t="s">
        <v>78</v>
      </c>
      <c r="X34" t="s">
        <v>43</v>
      </c>
      <c r="Y34">
        <v>1495275</v>
      </c>
      <c r="Z34">
        <v>20250707</v>
      </c>
    </row>
    <row r="35" spans="3:26" x14ac:dyDescent="0.25">
      <c r="C35">
        <v>10000001</v>
      </c>
      <c r="D35" t="s">
        <v>39</v>
      </c>
      <c r="F35">
        <v>12005344</v>
      </c>
      <c r="H35" t="s">
        <v>39</v>
      </c>
      <c r="I35">
        <v>50</v>
      </c>
      <c r="J35" s="1">
        <v>-50000</v>
      </c>
      <c r="K35" t="s">
        <v>26</v>
      </c>
      <c r="L35" s="1">
        <v>-50000</v>
      </c>
      <c r="M35" t="s">
        <v>26</v>
      </c>
      <c r="Q35" t="s">
        <v>27</v>
      </c>
      <c r="R35" t="s">
        <v>79</v>
      </c>
      <c r="S35" t="s">
        <v>45</v>
      </c>
      <c r="T35" t="s">
        <v>80</v>
      </c>
      <c r="X35" t="s">
        <v>43</v>
      </c>
      <c r="Y35">
        <v>1495275</v>
      </c>
      <c r="Z35">
        <v>20250707</v>
      </c>
    </row>
    <row r="36" spans="3:26" x14ac:dyDescent="0.25">
      <c r="C36">
        <v>10000001</v>
      </c>
      <c r="D36" t="s">
        <v>39</v>
      </c>
      <c r="F36">
        <v>12005345</v>
      </c>
      <c r="H36" t="s">
        <v>39</v>
      </c>
      <c r="I36">
        <v>50</v>
      </c>
      <c r="J36" s="1">
        <v>-50000</v>
      </c>
      <c r="K36" t="s">
        <v>26</v>
      </c>
      <c r="L36" s="1">
        <v>-50000</v>
      </c>
      <c r="M36" t="s">
        <v>26</v>
      </c>
      <c r="Q36" t="s">
        <v>27</v>
      </c>
      <c r="R36" t="s">
        <v>79</v>
      </c>
      <c r="S36" t="s">
        <v>45</v>
      </c>
      <c r="T36" t="s">
        <v>81</v>
      </c>
      <c r="X36" t="s">
        <v>43</v>
      </c>
      <c r="Y36">
        <v>1495275</v>
      </c>
      <c r="Z36">
        <v>20250707</v>
      </c>
    </row>
    <row r="37" spans="3:26" x14ac:dyDescent="0.25">
      <c r="C37">
        <v>10000001</v>
      </c>
      <c r="D37" t="s">
        <v>39</v>
      </c>
      <c r="F37">
        <v>12005346</v>
      </c>
      <c r="H37" t="s">
        <v>39</v>
      </c>
      <c r="I37">
        <v>50</v>
      </c>
      <c r="J37" s="1">
        <v>-50000</v>
      </c>
      <c r="K37" t="s">
        <v>26</v>
      </c>
      <c r="L37" s="1">
        <v>-50000</v>
      </c>
      <c r="M37" t="s">
        <v>26</v>
      </c>
      <c r="Q37" t="s">
        <v>27</v>
      </c>
      <c r="R37" t="s">
        <v>82</v>
      </c>
      <c r="S37" t="s">
        <v>45</v>
      </c>
      <c r="T37" t="s">
        <v>83</v>
      </c>
      <c r="X37" t="s">
        <v>43</v>
      </c>
      <c r="Y37">
        <v>1495275</v>
      </c>
      <c r="Z37">
        <v>20250707</v>
      </c>
    </row>
    <row r="38" spans="3:26" x14ac:dyDescent="0.25">
      <c r="C38">
        <v>10000001</v>
      </c>
      <c r="D38" t="s">
        <v>39</v>
      </c>
      <c r="F38">
        <v>12005347</v>
      </c>
      <c r="H38" t="s">
        <v>39</v>
      </c>
      <c r="I38">
        <v>50</v>
      </c>
      <c r="J38" s="1">
        <v>-50000</v>
      </c>
      <c r="K38" t="s">
        <v>26</v>
      </c>
      <c r="L38" s="1">
        <v>-50000</v>
      </c>
      <c r="M38" t="s">
        <v>26</v>
      </c>
      <c r="Q38" t="s">
        <v>27</v>
      </c>
      <c r="R38" t="s">
        <v>82</v>
      </c>
      <c r="S38" t="s">
        <v>45</v>
      </c>
      <c r="T38" t="s">
        <v>84</v>
      </c>
      <c r="X38" t="s">
        <v>43</v>
      </c>
      <c r="Y38">
        <v>1495275</v>
      </c>
      <c r="Z38">
        <v>20250707</v>
      </c>
    </row>
    <row r="39" spans="3:26" x14ac:dyDescent="0.25">
      <c r="C39">
        <v>10000001</v>
      </c>
      <c r="D39" t="s">
        <v>85</v>
      </c>
      <c r="F39">
        <v>12005348</v>
      </c>
      <c r="H39" t="s">
        <v>85</v>
      </c>
      <c r="I39">
        <v>50</v>
      </c>
      <c r="J39" s="1">
        <v>-50000</v>
      </c>
      <c r="K39" t="s">
        <v>26</v>
      </c>
      <c r="L39" s="1">
        <v>-50000</v>
      </c>
      <c r="M39" t="s">
        <v>26</v>
      </c>
      <c r="Q39" t="s">
        <v>27</v>
      </c>
      <c r="R39" t="s">
        <v>82</v>
      </c>
      <c r="S39" t="s">
        <v>45</v>
      </c>
      <c r="T39" t="s">
        <v>86</v>
      </c>
      <c r="X39" t="s">
        <v>43</v>
      </c>
      <c r="Y39">
        <v>1495275</v>
      </c>
      <c r="Z39">
        <v>20250708</v>
      </c>
    </row>
    <row r="40" spans="3:26" x14ac:dyDescent="0.25">
      <c r="C40">
        <v>10000001</v>
      </c>
      <c r="D40" t="s">
        <v>85</v>
      </c>
      <c r="F40">
        <v>12005349</v>
      </c>
      <c r="H40" t="s">
        <v>85</v>
      </c>
      <c r="I40">
        <v>50</v>
      </c>
      <c r="J40" s="1">
        <v>-50000</v>
      </c>
      <c r="K40" t="s">
        <v>26</v>
      </c>
      <c r="L40" s="1">
        <v>-50000</v>
      </c>
      <c r="M40" t="s">
        <v>26</v>
      </c>
      <c r="Q40" t="s">
        <v>27</v>
      </c>
      <c r="R40" t="s">
        <v>82</v>
      </c>
      <c r="S40" t="s">
        <v>45</v>
      </c>
      <c r="T40" t="s">
        <v>87</v>
      </c>
      <c r="X40" t="s">
        <v>43</v>
      </c>
      <c r="Y40">
        <v>1495275</v>
      </c>
      <c r="Z40">
        <v>20250708</v>
      </c>
    </row>
    <row r="41" spans="3:26" x14ac:dyDescent="0.25">
      <c r="C41">
        <v>10000001</v>
      </c>
      <c r="D41" t="s">
        <v>85</v>
      </c>
      <c r="F41">
        <v>12005350</v>
      </c>
      <c r="H41" t="s">
        <v>85</v>
      </c>
      <c r="I41">
        <v>50</v>
      </c>
      <c r="J41" s="1">
        <v>-50000</v>
      </c>
      <c r="K41" t="s">
        <v>26</v>
      </c>
      <c r="L41" s="1">
        <v>-50000</v>
      </c>
      <c r="M41" t="s">
        <v>26</v>
      </c>
      <c r="Q41" t="s">
        <v>27</v>
      </c>
      <c r="R41" t="s">
        <v>82</v>
      </c>
      <c r="S41" t="s">
        <v>45</v>
      </c>
      <c r="T41" t="s">
        <v>88</v>
      </c>
      <c r="X41" t="s">
        <v>43</v>
      </c>
      <c r="Y41">
        <v>1495275</v>
      </c>
      <c r="Z41">
        <v>20250708</v>
      </c>
    </row>
    <row r="42" spans="3:26" x14ac:dyDescent="0.25">
      <c r="C42">
        <v>10000001</v>
      </c>
      <c r="D42" t="s">
        <v>85</v>
      </c>
      <c r="F42">
        <v>12005351</v>
      </c>
      <c r="H42" t="s">
        <v>85</v>
      </c>
      <c r="I42">
        <v>50</v>
      </c>
      <c r="J42" s="1">
        <v>-50000</v>
      </c>
      <c r="K42" t="s">
        <v>26</v>
      </c>
      <c r="L42" s="1">
        <v>-50000</v>
      </c>
      <c r="M42" t="s">
        <v>26</v>
      </c>
      <c r="Q42" t="s">
        <v>27</v>
      </c>
      <c r="R42" t="s">
        <v>82</v>
      </c>
      <c r="S42" t="s">
        <v>45</v>
      </c>
      <c r="T42" t="s">
        <v>89</v>
      </c>
      <c r="X42" t="s">
        <v>43</v>
      </c>
      <c r="Y42">
        <v>1495275</v>
      </c>
      <c r="Z42">
        <v>20250708</v>
      </c>
    </row>
    <row r="43" spans="3:26" x14ac:dyDescent="0.25">
      <c r="C43">
        <v>10000001</v>
      </c>
      <c r="D43" t="s">
        <v>85</v>
      </c>
      <c r="F43">
        <v>12005352</v>
      </c>
      <c r="H43" t="s">
        <v>85</v>
      </c>
      <c r="I43">
        <v>50</v>
      </c>
      <c r="J43" s="1">
        <v>-50000</v>
      </c>
      <c r="K43" t="s">
        <v>26</v>
      </c>
      <c r="L43" s="1">
        <v>-50000</v>
      </c>
      <c r="M43" t="s">
        <v>26</v>
      </c>
      <c r="Q43" t="s">
        <v>27</v>
      </c>
      <c r="R43" t="s">
        <v>82</v>
      </c>
      <c r="S43" t="s">
        <v>45</v>
      </c>
      <c r="T43" t="s">
        <v>90</v>
      </c>
      <c r="X43" t="s">
        <v>43</v>
      </c>
      <c r="Y43">
        <v>1495275</v>
      </c>
      <c r="Z43">
        <v>20250708</v>
      </c>
    </row>
    <row r="44" spans="3:26" x14ac:dyDescent="0.25">
      <c r="C44">
        <v>10000001</v>
      </c>
      <c r="D44" t="s">
        <v>85</v>
      </c>
      <c r="F44">
        <v>12005353</v>
      </c>
      <c r="H44" t="s">
        <v>85</v>
      </c>
      <c r="I44">
        <v>50</v>
      </c>
      <c r="J44" s="1">
        <v>-50000</v>
      </c>
      <c r="K44" t="s">
        <v>26</v>
      </c>
      <c r="L44" s="1">
        <v>-50000</v>
      </c>
      <c r="M44" t="s">
        <v>26</v>
      </c>
      <c r="Q44" t="s">
        <v>27</v>
      </c>
      <c r="R44" t="s">
        <v>82</v>
      </c>
      <c r="S44" t="s">
        <v>45</v>
      </c>
      <c r="T44" t="s">
        <v>91</v>
      </c>
      <c r="X44" t="s">
        <v>43</v>
      </c>
      <c r="Y44">
        <v>1495275</v>
      </c>
      <c r="Z44">
        <v>20250708</v>
      </c>
    </row>
    <row r="45" spans="3:26" x14ac:dyDescent="0.25">
      <c r="C45">
        <v>10000001</v>
      </c>
      <c r="D45" t="s">
        <v>85</v>
      </c>
      <c r="F45">
        <v>12005354</v>
      </c>
      <c r="H45" t="s">
        <v>85</v>
      </c>
      <c r="I45">
        <v>50</v>
      </c>
      <c r="J45" s="1">
        <v>-50000</v>
      </c>
      <c r="K45" t="s">
        <v>26</v>
      </c>
      <c r="L45" s="1">
        <v>-50000</v>
      </c>
      <c r="M45" t="s">
        <v>26</v>
      </c>
      <c r="Q45" t="s">
        <v>27</v>
      </c>
      <c r="R45" t="s">
        <v>92</v>
      </c>
      <c r="S45" t="s">
        <v>45</v>
      </c>
      <c r="T45" t="s">
        <v>93</v>
      </c>
      <c r="X45" t="s">
        <v>43</v>
      </c>
      <c r="Y45">
        <v>1495275</v>
      </c>
      <c r="Z45">
        <v>20250708</v>
      </c>
    </row>
    <row r="46" spans="3:26" x14ac:dyDescent="0.25">
      <c r="C46">
        <v>10000001</v>
      </c>
      <c r="D46" t="s">
        <v>85</v>
      </c>
      <c r="F46">
        <v>12005355</v>
      </c>
      <c r="H46" t="s">
        <v>85</v>
      </c>
      <c r="I46">
        <v>50</v>
      </c>
      <c r="J46" s="1">
        <v>-50000</v>
      </c>
      <c r="K46" t="s">
        <v>26</v>
      </c>
      <c r="L46" s="1">
        <v>-50000</v>
      </c>
      <c r="M46" t="s">
        <v>26</v>
      </c>
      <c r="Q46" t="s">
        <v>27</v>
      </c>
      <c r="R46" t="s">
        <v>92</v>
      </c>
      <c r="S46" t="s">
        <v>45</v>
      </c>
      <c r="T46" t="s">
        <v>94</v>
      </c>
      <c r="X46" t="s">
        <v>43</v>
      </c>
      <c r="Y46">
        <v>1495275</v>
      </c>
      <c r="Z46">
        <v>20250708</v>
      </c>
    </row>
    <row r="47" spans="3:26" x14ac:dyDescent="0.25">
      <c r="C47">
        <v>10000001</v>
      </c>
      <c r="D47" t="s">
        <v>85</v>
      </c>
      <c r="F47">
        <v>12005356</v>
      </c>
      <c r="H47" t="s">
        <v>85</v>
      </c>
      <c r="I47">
        <v>50</v>
      </c>
      <c r="J47" s="1">
        <v>-630000</v>
      </c>
      <c r="K47" t="s">
        <v>26</v>
      </c>
      <c r="L47" s="1">
        <v>-630000</v>
      </c>
      <c r="M47" t="s">
        <v>26</v>
      </c>
      <c r="Q47" t="s">
        <v>27</v>
      </c>
      <c r="R47" t="s">
        <v>95</v>
      </c>
      <c r="S47" t="s">
        <v>96</v>
      </c>
      <c r="T47" t="s">
        <v>97</v>
      </c>
      <c r="X47" t="s">
        <v>43</v>
      </c>
      <c r="Y47">
        <v>1495275</v>
      </c>
      <c r="Z47">
        <v>20250708</v>
      </c>
    </row>
    <row r="48" spans="3:26" x14ac:dyDescent="0.25">
      <c r="C48">
        <v>10000001</v>
      </c>
      <c r="D48" t="s">
        <v>85</v>
      </c>
      <c r="F48">
        <v>12005357</v>
      </c>
      <c r="H48" t="s">
        <v>85</v>
      </c>
      <c r="I48">
        <v>50</v>
      </c>
      <c r="J48" s="1">
        <v>-369000</v>
      </c>
      <c r="K48" t="s">
        <v>26</v>
      </c>
      <c r="L48" s="1">
        <v>-369000</v>
      </c>
      <c r="M48" t="s">
        <v>26</v>
      </c>
      <c r="Q48" t="s">
        <v>27</v>
      </c>
      <c r="R48" t="s">
        <v>95</v>
      </c>
      <c r="S48" t="s">
        <v>67</v>
      </c>
      <c r="T48" t="s">
        <v>98</v>
      </c>
      <c r="X48" t="s">
        <v>43</v>
      </c>
      <c r="Y48">
        <v>1495275</v>
      </c>
      <c r="Z48">
        <v>20250708</v>
      </c>
    </row>
    <row r="49" spans="3:26" x14ac:dyDescent="0.25">
      <c r="C49">
        <v>10000001</v>
      </c>
      <c r="D49" t="s">
        <v>85</v>
      </c>
      <c r="F49">
        <v>12005358</v>
      </c>
      <c r="H49" t="s">
        <v>85</v>
      </c>
      <c r="I49">
        <v>50</v>
      </c>
      <c r="J49" s="1">
        <v>-502640</v>
      </c>
      <c r="K49" t="s">
        <v>26</v>
      </c>
      <c r="L49" s="1">
        <v>-502640</v>
      </c>
      <c r="M49" t="s">
        <v>26</v>
      </c>
      <c r="Q49" t="s">
        <v>27</v>
      </c>
      <c r="R49" t="s">
        <v>99</v>
      </c>
      <c r="S49" t="s">
        <v>57</v>
      </c>
      <c r="T49" t="s">
        <v>100</v>
      </c>
      <c r="X49" t="s">
        <v>43</v>
      </c>
      <c r="Y49">
        <v>1495275</v>
      </c>
      <c r="Z49">
        <v>20250708</v>
      </c>
    </row>
    <row r="50" spans="3:26" x14ac:dyDescent="0.25">
      <c r="C50">
        <v>10000001</v>
      </c>
      <c r="D50" t="s">
        <v>85</v>
      </c>
      <c r="F50">
        <v>12005359</v>
      </c>
      <c r="H50" t="s">
        <v>85</v>
      </c>
      <c r="I50">
        <v>50</v>
      </c>
      <c r="J50" s="1">
        <v>-184000</v>
      </c>
      <c r="K50" t="s">
        <v>26</v>
      </c>
      <c r="L50" s="1">
        <v>-184000</v>
      </c>
      <c r="M50" t="s">
        <v>26</v>
      </c>
      <c r="Q50" t="s">
        <v>27</v>
      </c>
      <c r="R50" t="s">
        <v>101</v>
      </c>
      <c r="S50" t="s">
        <v>67</v>
      </c>
      <c r="T50" t="s">
        <v>102</v>
      </c>
      <c r="X50" t="s">
        <v>43</v>
      </c>
      <c r="Y50">
        <v>1495275</v>
      </c>
      <c r="Z50">
        <v>20250708</v>
      </c>
    </row>
    <row r="51" spans="3:26" x14ac:dyDescent="0.25">
      <c r="C51">
        <v>10000001</v>
      </c>
      <c r="D51" t="s">
        <v>85</v>
      </c>
      <c r="F51">
        <v>12005360</v>
      </c>
      <c r="H51" t="s">
        <v>85</v>
      </c>
      <c r="I51">
        <v>50</v>
      </c>
      <c r="J51" s="1">
        <v>-50000</v>
      </c>
      <c r="K51" t="s">
        <v>26</v>
      </c>
      <c r="L51" s="1">
        <v>-50000</v>
      </c>
      <c r="M51" t="s">
        <v>26</v>
      </c>
      <c r="Q51" t="s">
        <v>27</v>
      </c>
      <c r="R51" t="s">
        <v>103</v>
      </c>
      <c r="S51" t="s">
        <v>45</v>
      </c>
      <c r="T51" t="s">
        <v>104</v>
      </c>
      <c r="X51" t="s">
        <v>43</v>
      </c>
      <c r="Y51">
        <v>1495275</v>
      </c>
      <c r="Z51">
        <v>20250708</v>
      </c>
    </row>
    <row r="52" spans="3:26" x14ac:dyDescent="0.25">
      <c r="C52">
        <v>10000001</v>
      </c>
      <c r="D52" t="s">
        <v>85</v>
      </c>
      <c r="F52">
        <v>12005361</v>
      </c>
      <c r="H52" t="s">
        <v>85</v>
      </c>
      <c r="I52">
        <v>50</v>
      </c>
      <c r="J52" s="1">
        <v>-50000</v>
      </c>
      <c r="K52" t="s">
        <v>26</v>
      </c>
      <c r="L52" s="1">
        <v>-50000</v>
      </c>
      <c r="M52" t="s">
        <v>26</v>
      </c>
      <c r="Q52" t="s">
        <v>27</v>
      </c>
      <c r="R52" t="s">
        <v>103</v>
      </c>
      <c r="S52" t="s">
        <v>45</v>
      </c>
      <c r="T52" t="s">
        <v>105</v>
      </c>
      <c r="X52" t="s">
        <v>43</v>
      </c>
      <c r="Y52">
        <v>1495275</v>
      </c>
      <c r="Z52">
        <v>20250708</v>
      </c>
    </row>
    <row r="53" spans="3:26" x14ac:dyDescent="0.25">
      <c r="C53">
        <v>10000001</v>
      </c>
      <c r="D53" t="s">
        <v>85</v>
      </c>
      <c r="F53">
        <v>12005362</v>
      </c>
      <c r="H53" t="s">
        <v>85</v>
      </c>
      <c r="I53">
        <v>50</v>
      </c>
      <c r="J53" s="1">
        <v>-50000</v>
      </c>
      <c r="K53" t="s">
        <v>26</v>
      </c>
      <c r="L53" s="1">
        <v>-50000</v>
      </c>
      <c r="M53" t="s">
        <v>26</v>
      </c>
      <c r="Q53" t="s">
        <v>27</v>
      </c>
      <c r="R53" t="s">
        <v>103</v>
      </c>
      <c r="S53" t="s">
        <v>45</v>
      </c>
      <c r="T53" t="s">
        <v>106</v>
      </c>
      <c r="X53" t="s">
        <v>43</v>
      </c>
      <c r="Y53">
        <v>1495275</v>
      </c>
      <c r="Z53">
        <v>20250708</v>
      </c>
    </row>
    <row r="54" spans="3:26" x14ac:dyDescent="0.25">
      <c r="C54">
        <v>10000001</v>
      </c>
      <c r="D54" t="s">
        <v>85</v>
      </c>
      <c r="F54">
        <v>12005363</v>
      </c>
      <c r="H54" t="s">
        <v>85</v>
      </c>
      <c r="I54">
        <v>50</v>
      </c>
      <c r="J54" s="1">
        <v>-50000</v>
      </c>
      <c r="K54" t="s">
        <v>26</v>
      </c>
      <c r="L54" s="1">
        <v>-50000</v>
      </c>
      <c r="M54" t="s">
        <v>26</v>
      </c>
      <c r="Q54" t="s">
        <v>27</v>
      </c>
      <c r="R54" t="s">
        <v>107</v>
      </c>
      <c r="S54" t="s">
        <v>45</v>
      </c>
      <c r="T54" t="s">
        <v>108</v>
      </c>
      <c r="X54" t="s">
        <v>43</v>
      </c>
      <c r="Y54">
        <v>1495275</v>
      </c>
      <c r="Z54">
        <v>20250708</v>
      </c>
    </row>
    <row r="55" spans="3:26" x14ac:dyDescent="0.25">
      <c r="C55">
        <v>10000001</v>
      </c>
      <c r="D55" t="s">
        <v>85</v>
      </c>
      <c r="F55">
        <v>12005364</v>
      </c>
      <c r="H55" t="s">
        <v>85</v>
      </c>
      <c r="I55">
        <v>50</v>
      </c>
      <c r="J55" s="1">
        <v>-50000</v>
      </c>
      <c r="K55" t="s">
        <v>26</v>
      </c>
      <c r="L55" s="1">
        <v>-50000</v>
      </c>
      <c r="M55" t="s">
        <v>26</v>
      </c>
      <c r="Q55" t="s">
        <v>27</v>
      </c>
      <c r="R55" t="s">
        <v>107</v>
      </c>
      <c r="S55" t="s">
        <v>45</v>
      </c>
      <c r="T55" t="s">
        <v>109</v>
      </c>
      <c r="X55" t="s">
        <v>43</v>
      </c>
      <c r="Y55">
        <v>1495275</v>
      </c>
      <c r="Z55">
        <v>20250708</v>
      </c>
    </row>
    <row r="56" spans="3:26" x14ac:dyDescent="0.25">
      <c r="C56">
        <v>10000001</v>
      </c>
      <c r="D56" t="s">
        <v>85</v>
      </c>
      <c r="F56">
        <v>12005365</v>
      </c>
      <c r="H56" t="s">
        <v>85</v>
      </c>
      <c r="I56">
        <v>50</v>
      </c>
      <c r="J56" s="1">
        <v>-50000</v>
      </c>
      <c r="K56" t="s">
        <v>26</v>
      </c>
      <c r="L56" s="1">
        <v>-50000</v>
      </c>
      <c r="M56" t="s">
        <v>26</v>
      </c>
      <c r="Q56" t="s">
        <v>27</v>
      </c>
      <c r="R56" t="s">
        <v>107</v>
      </c>
      <c r="S56" t="s">
        <v>45</v>
      </c>
      <c r="T56" t="s">
        <v>110</v>
      </c>
      <c r="X56" t="s">
        <v>43</v>
      </c>
      <c r="Y56">
        <v>1495275</v>
      </c>
      <c r="Z56">
        <v>20250708</v>
      </c>
    </row>
    <row r="57" spans="3:26" x14ac:dyDescent="0.25">
      <c r="C57">
        <v>10000001</v>
      </c>
      <c r="D57" t="s">
        <v>85</v>
      </c>
      <c r="F57">
        <v>12005366</v>
      </c>
      <c r="H57" t="s">
        <v>85</v>
      </c>
      <c r="I57">
        <v>50</v>
      </c>
      <c r="J57" s="1">
        <v>-200000</v>
      </c>
      <c r="K57" t="s">
        <v>26</v>
      </c>
      <c r="L57" s="1">
        <v>-200000</v>
      </c>
      <c r="M57" t="s">
        <v>26</v>
      </c>
      <c r="Q57" t="s">
        <v>27</v>
      </c>
      <c r="R57" t="s">
        <v>111</v>
      </c>
      <c r="S57" t="s">
        <v>45</v>
      </c>
      <c r="T57" t="s">
        <v>112</v>
      </c>
      <c r="X57" t="s">
        <v>43</v>
      </c>
      <c r="Y57">
        <v>1495275</v>
      </c>
      <c r="Z57">
        <v>20250708</v>
      </c>
    </row>
    <row r="58" spans="3:26" x14ac:dyDescent="0.25">
      <c r="C58">
        <v>10000001</v>
      </c>
      <c r="D58" t="s">
        <v>85</v>
      </c>
      <c r="F58">
        <v>12005367</v>
      </c>
      <c r="H58" t="s">
        <v>85</v>
      </c>
      <c r="I58">
        <v>50</v>
      </c>
      <c r="J58" s="1">
        <v>-100000</v>
      </c>
      <c r="K58" t="s">
        <v>26</v>
      </c>
      <c r="L58" s="1">
        <v>-100000</v>
      </c>
      <c r="M58" t="s">
        <v>26</v>
      </c>
      <c r="Q58" t="s">
        <v>27</v>
      </c>
      <c r="R58" t="s">
        <v>111</v>
      </c>
      <c r="S58" t="s">
        <v>45</v>
      </c>
      <c r="T58" t="s">
        <v>113</v>
      </c>
      <c r="X58" t="s">
        <v>43</v>
      </c>
      <c r="Y58">
        <v>1495275</v>
      </c>
      <c r="Z58">
        <v>20250708</v>
      </c>
    </row>
    <row r="59" spans="3:26" x14ac:dyDescent="0.25">
      <c r="C59">
        <v>10000001</v>
      </c>
      <c r="D59" t="s">
        <v>85</v>
      </c>
      <c r="F59">
        <v>12005368</v>
      </c>
      <c r="H59" t="s">
        <v>85</v>
      </c>
      <c r="I59">
        <v>50</v>
      </c>
      <c r="J59" s="1">
        <v>-50000</v>
      </c>
      <c r="K59" t="s">
        <v>26</v>
      </c>
      <c r="L59" s="1">
        <v>-50000</v>
      </c>
      <c r="M59" t="s">
        <v>26</v>
      </c>
      <c r="Q59" t="s">
        <v>27</v>
      </c>
      <c r="R59" t="s">
        <v>111</v>
      </c>
      <c r="S59" t="s">
        <v>45</v>
      </c>
      <c r="T59" t="s">
        <v>114</v>
      </c>
      <c r="X59" t="s">
        <v>43</v>
      </c>
      <c r="Y59">
        <v>1495275</v>
      </c>
      <c r="Z59">
        <v>20250708</v>
      </c>
    </row>
    <row r="60" spans="3:26" x14ac:dyDescent="0.25">
      <c r="C60">
        <v>10000001</v>
      </c>
      <c r="D60" t="s">
        <v>85</v>
      </c>
      <c r="F60">
        <v>12005369</v>
      </c>
      <c r="H60" t="s">
        <v>85</v>
      </c>
      <c r="I60">
        <v>50</v>
      </c>
      <c r="J60" s="1">
        <v>-50000</v>
      </c>
      <c r="K60" t="s">
        <v>26</v>
      </c>
      <c r="L60" s="1">
        <v>-50000</v>
      </c>
      <c r="M60" t="s">
        <v>26</v>
      </c>
      <c r="Q60" t="s">
        <v>27</v>
      </c>
      <c r="R60" t="s">
        <v>111</v>
      </c>
      <c r="S60" t="s">
        <v>45</v>
      </c>
      <c r="T60" t="s">
        <v>115</v>
      </c>
      <c r="X60" t="s">
        <v>43</v>
      </c>
      <c r="Y60">
        <v>1495275</v>
      </c>
      <c r="Z60">
        <v>20250708</v>
      </c>
    </row>
    <row r="61" spans="3:26" x14ac:dyDescent="0.25">
      <c r="C61">
        <v>10000001</v>
      </c>
      <c r="D61" t="s">
        <v>85</v>
      </c>
      <c r="F61">
        <v>12005370</v>
      </c>
      <c r="H61" t="s">
        <v>85</v>
      </c>
      <c r="I61">
        <v>50</v>
      </c>
      <c r="J61" s="1">
        <v>-50000</v>
      </c>
      <c r="K61" t="s">
        <v>26</v>
      </c>
      <c r="L61" s="1">
        <v>-50000</v>
      </c>
      <c r="M61" t="s">
        <v>26</v>
      </c>
      <c r="Q61" t="s">
        <v>27</v>
      </c>
      <c r="R61" t="s">
        <v>111</v>
      </c>
      <c r="S61" t="s">
        <v>45</v>
      </c>
      <c r="T61" t="s">
        <v>116</v>
      </c>
      <c r="X61" t="s">
        <v>43</v>
      </c>
      <c r="Y61">
        <v>1495275</v>
      </c>
      <c r="Z61">
        <v>20250708</v>
      </c>
    </row>
    <row r="62" spans="3:26" x14ac:dyDescent="0.25">
      <c r="C62">
        <v>10000001</v>
      </c>
      <c r="D62" t="s">
        <v>85</v>
      </c>
      <c r="F62">
        <v>12005371</v>
      </c>
      <c r="H62" t="s">
        <v>85</v>
      </c>
      <c r="I62">
        <v>50</v>
      </c>
      <c r="J62" s="1">
        <v>-50000</v>
      </c>
      <c r="K62" t="s">
        <v>26</v>
      </c>
      <c r="L62" s="1">
        <v>-50000</v>
      </c>
      <c r="M62" t="s">
        <v>26</v>
      </c>
      <c r="Q62" t="s">
        <v>27</v>
      </c>
      <c r="R62" t="s">
        <v>111</v>
      </c>
      <c r="S62" t="s">
        <v>45</v>
      </c>
      <c r="T62" t="s">
        <v>117</v>
      </c>
      <c r="X62" t="s">
        <v>43</v>
      </c>
      <c r="Y62">
        <v>1495275</v>
      </c>
      <c r="Z62">
        <v>20250708</v>
      </c>
    </row>
    <row r="63" spans="3:26" x14ac:dyDescent="0.25">
      <c r="C63">
        <v>10000001</v>
      </c>
      <c r="D63" t="s">
        <v>85</v>
      </c>
      <c r="F63">
        <v>12005372</v>
      </c>
      <c r="H63" t="s">
        <v>85</v>
      </c>
      <c r="I63">
        <v>50</v>
      </c>
      <c r="J63" s="1">
        <v>-50000</v>
      </c>
      <c r="K63" t="s">
        <v>26</v>
      </c>
      <c r="L63" s="1">
        <v>-50000</v>
      </c>
      <c r="M63" t="s">
        <v>26</v>
      </c>
      <c r="Q63" t="s">
        <v>27</v>
      </c>
      <c r="R63" t="s">
        <v>111</v>
      </c>
      <c r="S63" t="s">
        <v>45</v>
      </c>
      <c r="T63" t="s">
        <v>118</v>
      </c>
      <c r="X63" t="s">
        <v>43</v>
      </c>
      <c r="Y63">
        <v>1495275</v>
      </c>
      <c r="Z63">
        <v>20250708</v>
      </c>
    </row>
    <row r="64" spans="3:26" x14ac:dyDescent="0.25">
      <c r="C64">
        <v>10000001</v>
      </c>
      <c r="D64" t="s">
        <v>85</v>
      </c>
      <c r="F64">
        <v>12005373</v>
      </c>
      <c r="H64" t="s">
        <v>85</v>
      </c>
      <c r="I64">
        <v>50</v>
      </c>
      <c r="J64" s="1">
        <v>-50000</v>
      </c>
      <c r="K64" t="s">
        <v>26</v>
      </c>
      <c r="L64" s="1">
        <v>-50000</v>
      </c>
      <c r="M64" t="s">
        <v>26</v>
      </c>
      <c r="Q64" t="s">
        <v>27</v>
      </c>
      <c r="R64" t="s">
        <v>111</v>
      </c>
      <c r="S64" t="s">
        <v>45</v>
      </c>
      <c r="T64" t="s">
        <v>119</v>
      </c>
      <c r="X64" t="s">
        <v>43</v>
      </c>
      <c r="Y64">
        <v>1495275</v>
      </c>
      <c r="Z64">
        <v>20250708</v>
      </c>
    </row>
    <row r="65" spans="3:26" x14ac:dyDescent="0.25">
      <c r="C65">
        <v>10000001</v>
      </c>
      <c r="D65" t="s">
        <v>85</v>
      </c>
      <c r="F65">
        <v>12005374</v>
      </c>
      <c r="H65" t="s">
        <v>85</v>
      </c>
      <c r="I65">
        <v>50</v>
      </c>
      <c r="J65" s="1">
        <v>-50000</v>
      </c>
      <c r="K65" t="s">
        <v>26</v>
      </c>
      <c r="L65" s="1">
        <v>-50000</v>
      </c>
      <c r="M65" t="s">
        <v>26</v>
      </c>
      <c r="Q65" t="s">
        <v>27</v>
      </c>
      <c r="R65" t="s">
        <v>111</v>
      </c>
      <c r="S65" t="s">
        <v>45</v>
      </c>
      <c r="T65" t="s">
        <v>120</v>
      </c>
      <c r="X65" t="s">
        <v>43</v>
      </c>
      <c r="Y65">
        <v>1495275</v>
      </c>
      <c r="Z65">
        <v>20250708</v>
      </c>
    </row>
    <row r="66" spans="3:26" x14ac:dyDescent="0.25">
      <c r="C66">
        <v>10000001</v>
      </c>
      <c r="D66" t="s">
        <v>85</v>
      </c>
      <c r="F66">
        <v>12005375</v>
      </c>
      <c r="H66" t="s">
        <v>85</v>
      </c>
      <c r="I66">
        <v>50</v>
      </c>
      <c r="J66" s="1">
        <v>-50000</v>
      </c>
      <c r="K66" t="s">
        <v>26</v>
      </c>
      <c r="L66" s="1">
        <v>-50000</v>
      </c>
      <c r="M66" t="s">
        <v>26</v>
      </c>
      <c r="Q66" t="s">
        <v>27</v>
      </c>
      <c r="R66" t="s">
        <v>111</v>
      </c>
      <c r="S66" t="s">
        <v>45</v>
      </c>
      <c r="T66" t="s">
        <v>121</v>
      </c>
      <c r="X66" t="s">
        <v>43</v>
      </c>
      <c r="Y66">
        <v>1495275</v>
      </c>
      <c r="Z66">
        <v>20250708</v>
      </c>
    </row>
    <row r="67" spans="3:26" x14ac:dyDescent="0.25">
      <c r="C67">
        <v>10000001</v>
      </c>
      <c r="D67" t="s">
        <v>85</v>
      </c>
      <c r="F67">
        <v>12005376</v>
      </c>
      <c r="H67" t="s">
        <v>85</v>
      </c>
      <c r="I67">
        <v>50</v>
      </c>
      <c r="J67" s="1">
        <v>-50000</v>
      </c>
      <c r="K67" t="s">
        <v>26</v>
      </c>
      <c r="L67" s="1">
        <v>-50000</v>
      </c>
      <c r="M67" t="s">
        <v>26</v>
      </c>
      <c r="Q67" t="s">
        <v>27</v>
      </c>
      <c r="R67" t="s">
        <v>111</v>
      </c>
      <c r="S67" t="s">
        <v>45</v>
      </c>
      <c r="T67" t="s">
        <v>122</v>
      </c>
      <c r="X67" t="s">
        <v>43</v>
      </c>
      <c r="Y67">
        <v>1495275</v>
      </c>
      <c r="Z67">
        <v>20250708</v>
      </c>
    </row>
    <row r="68" spans="3:26" x14ac:dyDescent="0.25">
      <c r="C68">
        <v>10000001</v>
      </c>
      <c r="D68" t="s">
        <v>85</v>
      </c>
      <c r="F68">
        <v>12005377</v>
      </c>
      <c r="H68" t="s">
        <v>85</v>
      </c>
      <c r="I68">
        <v>50</v>
      </c>
      <c r="J68" s="1">
        <v>-93000</v>
      </c>
      <c r="K68" t="s">
        <v>26</v>
      </c>
      <c r="L68" s="1">
        <v>-93000</v>
      </c>
      <c r="M68" t="s">
        <v>26</v>
      </c>
      <c r="Q68" t="s">
        <v>27</v>
      </c>
      <c r="R68" t="s">
        <v>123</v>
      </c>
      <c r="S68" t="s">
        <v>57</v>
      </c>
      <c r="T68" t="s">
        <v>124</v>
      </c>
      <c r="X68" t="s">
        <v>43</v>
      </c>
      <c r="Y68">
        <v>1495275</v>
      </c>
      <c r="Z68">
        <v>20250708</v>
      </c>
    </row>
    <row r="69" spans="3:26" x14ac:dyDescent="0.25">
      <c r="C69">
        <v>10000001</v>
      </c>
      <c r="D69" t="s">
        <v>85</v>
      </c>
      <c r="F69">
        <v>12005378</v>
      </c>
      <c r="H69" t="s">
        <v>85</v>
      </c>
      <c r="I69">
        <v>50</v>
      </c>
      <c r="J69" s="1">
        <v>-973200</v>
      </c>
      <c r="K69" t="s">
        <v>26</v>
      </c>
      <c r="L69" s="1">
        <v>-973200</v>
      </c>
      <c r="M69" t="s">
        <v>26</v>
      </c>
      <c r="Q69" t="s">
        <v>27</v>
      </c>
      <c r="R69" t="s">
        <v>125</v>
      </c>
      <c r="S69" t="s">
        <v>126</v>
      </c>
      <c r="T69" t="s">
        <v>127</v>
      </c>
      <c r="X69" t="s">
        <v>43</v>
      </c>
      <c r="Y69">
        <v>1495275</v>
      </c>
      <c r="Z69">
        <v>20250708</v>
      </c>
    </row>
    <row r="70" spans="3:26" x14ac:dyDescent="0.25">
      <c r="C70">
        <v>10000001</v>
      </c>
      <c r="D70" t="s">
        <v>85</v>
      </c>
      <c r="F70">
        <v>12005379</v>
      </c>
      <c r="H70" t="s">
        <v>85</v>
      </c>
      <c r="I70">
        <v>50</v>
      </c>
      <c r="J70" s="1">
        <v>-990000</v>
      </c>
      <c r="K70" t="s">
        <v>26</v>
      </c>
      <c r="L70" s="1">
        <v>-990000</v>
      </c>
      <c r="M70" t="s">
        <v>26</v>
      </c>
      <c r="Q70" t="s">
        <v>27</v>
      </c>
      <c r="R70" t="s">
        <v>128</v>
      </c>
      <c r="S70" t="s">
        <v>129</v>
      </c>
      <c r="T70" t="s">
        <v>130</v>
      </c>
      <c r="X70" t="s">
        <v>43</v>
      </c>
      <c r="Y70">
        <v>1495275</v>
      </c>
      <c r="Z70">
        <v>20250708</v>
      </c>
    </row>
    <row r="71" spans="3:26" x14ac:dyDescent="0.25">
      <c r="C71">
        <v>10000001</v>
      </c>
      <c r="D71" t="s">
        <v>85</v>
      </c>
      <c r="F71">
        <v>12005380</v>
      </c>
      <c r="H71" t="s">
        <v>85</v>
      </c>
      <c r="I71">
        <v>50</v>
      </c>
      <c r="J71" s="1">
        <v>-825000</v>
      </c>
      <c r="K71" t="s">
        <v>26</v>
      </c>
      <c r="L71" s="1">
        <v>-825000</v>
      </c>
      <c r="M71" t="s">
        <v>26</v>
      </c>
      <c r="Q71" t="s">
        <v>27</v>
      </c>
      <c r="R71" t="s">
        <v>131</v>
      </c>
      <c r="S71" t="s">
        <v>59</v>
      </c>
      <c r="T71" t="s">
        <v>132</v>
      </c>
      <c r="X71" t="s">
        <v>43</v>
      </c>
      <c r="Y71">
        <v>1495275</v>
      </c>
      <c r="Z71">
        <v>20250708</v>
      </c>
    </row>
    <row r="72" spans="3:26" x14ac:dyDescent="0.25">
      <c r="C72">
        <v>10000001</v>
      </c>
      <c r="D72" t="s">
        <v>85</v>
      </c>
      <c r="F72">
        <v>12005381</v>
      </c>
      <c r="H72" t="s">
        <v>85</v>
      </c>
      <c r="I72">
        <v>50</v>
      </c>
      <c r="J72" s="1">
        <v>-685420</v>
      </c>
      <c r="K72" t="s">
        <v>26</v>
      </c>
      <c r="L72" s="1">
        <v>-685420</v>
      </c>
      <c r="M72" t="s">
        <v>26</v>
      </c>
      <c r="Q72" t="s">
        <v>27</v>
      </c>
      <c r="R72" t="s">
        <v>133</v>
      </c>
      <c r="S72" t="s">
        <v>129</v>
      </c>
      <c r="T72" t="s">
        <v>134</v>
      </c>
      <c r="X72" t="s">
        <v>43</v>
      </c>
      <c r="Y72">
        <v>1495275</v>
      </c>
      <c r="Z72">
        <v>20250708</v>
      </c>
    </row>
    <row r="73" spans="3:26" x14ac:dyDescent="0.25">
      <c r="C73">
        <v>10000001</v>
      </c>
      <c r="D73" t="s">
        <v>85</v>
      </c>
      <c r="F73">
        <v>12005382</v>
      </c>
      <c r="H73" t="s">
        <v>85</v>
      </c>
      <c r="I73">
        <v>50</v>
      </c>
      <c r="J73" s="1">
        <v>-460060</v>
      </c>
      <c r="K73" t="s">
        <v>26</v>
      </c>
      <c r="L73" s="1">
        <v>-460060</v>
      </c>
      <c r="M73" t="s">
        <v>26</v>
      </c>
      <c r="Q73" t="s">
        <v>27</v>
      </c>
      <c r="R73" t="s">
        <v>135</v>
      </c>
      <c r="S73" t="s">
        <v>57</v>
      </c>
      <c r="T73" t="s">
        <v>136</v>
      </c>
      <c r="X73" t="s">
        <v>43</v>
      </c>
      <c r="Y73">
        <v>1495275</v>
      </c>
      <c r="Z73">
        <v>20250708</v>
      </c>
    </row>
    <row r="74" spans="3:26" x14ac:dyDescent="0.25">
      <c r="C74">
        <v>10000001</v>
      </c>
      <c r="D74" t="s">
        <v>85</v>
      </c>
      <c r="F74">
        <v>12005383</v>
      </c>
      <c r="H74" t="s">
        <v>85</v>
      </c>
      <c r="I74">
        <v>50</v>
      </c>
      <c r="J74" s="1">
        <v>-186599</v>
      </c>
      <c r="K74" t="s">
        <v>26</v>
      </c>
      <c r="L74" s="1">
        <v>-186599</v>
      </c>
      <c r="M74" t="s">
        <v>26</v>
      </c>
      <c r="Q74" t="s">
        <v>27</v>
      </c>
      <c r="R74" t="s">
        <v>137</v>
      </c>
      <c r="S74" t="s">
        <v>41</v>
      </c>
      <c r="T74" t="s">
        <v>138</v>
      </c>
      <c r="X74" t="s">
        <v>43</v>
      </c>
      <c r="Y74">
        <v>1495275</v>
      </c>
      <c r="Z74">
        <v>20250708</v>
      </c>
    </row>
    <row r="75" spans="3:26" x14ac:dyDescent="0.25">
      <c r="C75">
        <v>10000001</v>
      </c>
      <c r="D75" t="s">
        <v>85</v>
      </c>
      <c r="F75">
        <v>12005384</v>
      </c>
      <c r="H75" t="s">
        <v>85</v>
      </c>
      <c r="I75">
        <v>50</v>
      </c>
      <c r="J75" s="1">
        <v>-143900</v>
      </c>
      <c r="K75" t="s">
        <v>26</v>
      </c>
      <c r="L75" s="1">
        <v>-143900</v>
      </c>
      <c r="M75" t="s">
        <v>26</v>
      </c>
      <c r="Q75" t="s">
        <v>27</v>
      </c>
      <c r="R75" t="s">
        <v>139</v>
      </c>
      <c r="S75" t="s">
        <v>59</v>
      </c>
      <c r="T75" t="s">
        <v>140</v>
      </c>
      <c r="X75" t="s">
        <v>43</v>
      </c>
      <c r="Y75">
        <v>1495275</v>
      </c>
      <c r="Z75">
        <v>20250708</v>
      </c>
    </row>
    <row r="76" spans="3:26" x14ac:dyDescent="0.25">
      <c r="C76">
        <v>10000001</v>
      </c>
      <c r="D76" t="s">
        <v>85</v>
      </c>
      <c r="F76">
        <v>12005385</v>
      </c>
      <c r="H76" t="s">
        <v>85</v>
      </c>
      <c r="I76">
        <v>50</v>
      </c>
      <c r="J76" s="1">
        <v>-504050</v>
      </c>
      <c r="K76" t="s">
        <v>26</v>
      </c>
      <c r="L76" s="1">
        <v>-504050</v>
      </c>
      <c r="M76" t="s">
        <v>26</v>
      </c>
      <c r="Q76" t="s">
        <v>27</v>
      </c>
      <c r="R76" t="s">
        <v>141</v>
      </c>
      <c r="S76" t="s">
        <v>59</v>
      </c>
      <c r="T76" t="s">
        <v>142</v>
      </c>
      <c r="X76" t="s">
        <v>43</v>
      </c>
      <c r="Y76">
        <v>1495275</v>
      </c>
      <c r="Z76">
        <v>20250708</v>
      </c>
    </row>
    <row r="77" spans="3:26" x14ac:dyDescent="0.25">
      <c r="C77">
        <v>10000001</v>
      </c>
      <c r="D77" t="s">
        <v>85</v>
      </c>
      <c r="F77">
        <v>12005386</v>
      </c>
      <c r="H77" t="s">
        <v>85</v>
      </c>
      <c r="I77">
        <v>50</v>
      </c>
      <c r="J77" s="1">
        <v>-210000</v>
      </c>
      <c r="K77" t="s">
        <v>26</v>
      </c>
      <c r="L77" s="1">
        <v>-210000</v>
      </c>
      <c r="M77" t="s">
        <v>26</v>
      </c>
      <c r="Q77" t="s">
        <v>27</v>
      </c>
      <c r="R77" t="s">
        <v>143</v>
      </c>
      <c r="S77" t="s">
        <v>57</v>
      </c>
      <c r="T77" t="s">
        <v>144</v>
      </c>
      <c r="X77" t="s">
        <v>43</v>
      </c>
      <c r="Y77">
        <v>1495275</v>
      </c>
      <c r="Z77">
        <v>20250708</v>
      </c>
    </row>
    <row r="78" spans="3:26" x14ac:dyDescent="0.25">
      <c r="C78">
        <v>10000001</v>
      </c>
      <c r="D78" t="s">
        <v>85</v>
      </c>
      <c r="F78">
        <v>12005387</v>
      </c>
      <c r="H78" t="s">
        <v>85</v>
      </c>
      <c r="I78">
        <v>50</v>
      </c>
      <c r="J78" s="1">
        <v>-863500</v>
      </c>
      <c r="K78" t="s">
        <v>26</v>
      </c>
      <c r="L78" s="1">
        <v>-863500</v>
      </c>
      <c r="M78" t="s">
        <v>26</v>
      </c>
      <c r="Q78" t="s">
        <v>27</v>
      </c>
      <c r="R78" t="s">
        <v>145</v>
      </c>
      <c r="S78" t="s">
        <v>146</v>
      </c>
      <c r="T78" t="s">
        <v>147</v>
      </c>
      <c r="X78" t="s">
        <v>43</v>
      </c>
      <c r="Y78">
        <v>1495275</v>
      </c>
      <c r="Z78">
        <v>20250708</v>
      </c>
    </row>
    <row r="79" spans="3:26" x14ac:dyDescent="0.25">
      <c r="C79">
        <v>10000001</v>
      </c>
      <c r="D79" t="s">
        <v>85</v>
      </c>
      <c r="F79">
        <v>12005388</v>
      </c>
      <c r="H79" t="s">
        <v>85</v>
      </c>
      <c r="I79">
        <v>50</v>
      </c>
      <c r="J79" s="1">
        <v>-50000</v>
      </c>
      <c r="K79" t="s">
        <v>26</v>
      </c>
      <c r="L79" s="1">
        <v>-50000</v>
      </c>
      <c r="M79" t="s">
        <v>26</v>
      </c>
      <c r="Q79" t="s">
        <v>27</v>
      </c>
      <c r="R79" t="s">
        <v>148</v>
      </c>
      <c r="S79" t="s">
        <v>126</v>
      </c>
      <c r="T79" t="s">
        <v>149</v>
      </c>
      <c r="X79" t="s">
        <v>43</v>
      </c>
      <c r="Y79">
        <v>1495275</v>
      </c>
      <c r="Z79">
        <v>20250708</v>
      </c>
    </row>
    <row r="80" spans="3:26" x14ac:dyDescent="0.25">
      <c r="C80">
        <v>10000001</v>
      </c>
      <c r="D80" t="s">
        <v>85</v>
      </c>
      <c r="F80">
        <v>12005389</v>
      </c>
      <c r="H80" t="s">
        <v>85</v>
      </c>
      <c r="I80">
        <v>50</v>
      </c>
      <c r="J80" s="1">
        <v>-680000</v>
      </c>
      <c r="K80" t="s">
        <v>26</v>
      </c>
      <c r="L80" s="1">
        <v>-680000</v>
      </c>
      <c r="M80" t="s">
        <v>26</v>
      </c>
      <c r="Q80" t="s">
        <v>27</v>
      </c>
      <c r="R80" t="s">
        <v>150</v>
      </c>
      <c r="S80" t="s">
        <v>146</v>
      </c>
      <c r="T80" t="s">
        <v>151</v>
      </c>
      <c r="X80" t="s">
        <v>43</v>
      </c>
      <c r="Y80">
        <v>1495275</v>
      </c>
      <c r="Z80">
        <v>20250708</v>
      </c>
    </row>
    <row r="81" spans="3:26" x14ac:dyDescent="0.25">
      <c r="C81">
        <v>10000001</v>
      </c>
      <c r="D81" t="s">
        <v>85</v>
      </c>
      <c r="F81">
        <v>12005390</v>
      </c>
      <c r="H81" t="s">
        <v>85</v>
      </c>
      <c r="I81">
        <v>50</v>
      </c>
      <c r="J81" s="1">
        <v>-144900</v>
      </c>
      <c r="K81" t="s">
        <v>26</v>
      </c>
      <c r="L81" s="1">
        <v>-144900</v>
      </c>
      <c r="M81" t="s">
        <v>26</v>
      </c>
      <c r="Q81" t="s">
        <v>27</v>
      </c>
      <c r="R81" t="s">
        <v>150</v>
      </c>
      <c r="S81" t="s">
        <v>59</v>
      </c>
      <c r="T81" t="s">
        <v>152</v>
      </c>
      <c r="X81" t="s">
        <v>43</v>
      </c>
      <c r="Y81">
        <v>1495275</v>
      </c>
      <c r="Z81">
        <v>20250708</v>
      </c>
    </row>
    <row r="82" spans="3:26" x14ac:dyDescent="0.25">
      <c r="C82">
        <v>10000001</v>
      </c>
      <c r="D82" t="s">
        <v>85</v>
      </c>
      <c r="F82">
        <v>12005391</v>
      </c>
      <c r="H82" t="s">
        <v>85</v>
      </c>
      <c r="I82">
        <v>50</v>
      </c>
      <c r="J82" s="1">
        <v>-680000</v>
      </c>
      <c r="K82" t="s">
        <v>26</v>
      </c>
      <c r="L82" s="1">
        <v>-680000</v>
      </c>
      <c r="M82" t="s">
        <v>26</v>
      </c>
      <c r="Q82" t="s">
        <v>27</v>
      </c>
      <c r="R82" t="s">
        <v>153</v>
      </c>
      <c r="S82" t="s">
        <v>146</v>
      </c>
      <c r="T82" t="s">
        <v>151</v>
      </c>
      <c r="X82" t="s">
        <v>43</v>
      </c>
      <c r="Y82">
        <v>1495275</v>
      </c>
      <c r="Z82">
        <v>20250708</v>
      </c>
    </row>
    <row r="83" spans="3:26" x14ac:dyDescent="0.25">
      <c r="C83">
        <v>10000001</v>
      </c>
      <c r="D83" t="s">
        <v>85</v>
      </c>
      <c r="F83">
        <v>12005392</v>
      </c>
      <c r="H83" t="s">
        <v>85</v>
      </c>
      <c r="I83">
        <v>50</v>
      </c>
      <c r="J83" s="1">
        <v>-217000</v>
      </c>
      <c r="K83" t="s">
        <v>26</v>
      </c>
      <c r="L83" s="1">
        <v>-217000</v>
      </c>
      <c r="M83" t="s">
        <v>26</v>
      </c>
      <c r="Q83" t="s">
        <v>27</v>
      </c>
      <c r="R83" t="s">
        <v>153</v>
      </c>
      <c r="S83" t="s">
        <v>67</v>
      </c>
      <c r="T83" t="s">
        <v>154</v>
      </c>
      <c r="X83" t="s">
        <v>43</v>
      </c>
      <c r="Y83">
        <v>1495275</v>
      </c>
      <c r="Z83">
        <v>20250708</v>
      </c>
    </row>
    <row r="84" spans="3:26" x14ac:dyDescent="0.25">
      <c r="C84">
        <v>10000001</v>
      </c>
      <c r="D84" t="s">
        <v>85</v>
      </c>
      <c r="F84">
        <v>12005393</v>
      </c>
      <c r="H84" t="s">
        <v>85</v>
      </c>
      <c r="I84">
        <v>50</v>
      </c>
      <c r="J84" s="1">
        <v>-48000</v>
      </c>
      <c r="K84" t="s">
        <v>26</v>
      </c>
      <c r="L84" s="1">
        <v>-48000</v>
      </c>
      <c r="M84" t="s">
        <v>26</v>
      </c>
      <c r="Q84" t="s">
        <v>27</v>
      </c>
      <c r="R84" t="s">
        <v>155</v>
      </c>
      <c r="S84" t="s">
        <v>59</v>
      </c>
      <c r="T84" t="s">
        <v>156</v>
      </c>
      <c r="X84" t="s">
        <v>43</v>
      </c>
      <c r="Y84">
        <v>1495275</v>
      </c>
      <c r="Z84">
        <v>20250708</v>
      </c>
    </row>
    <row r="85" spans="3:26" x14ac:dyDescent="0.25">
      <c r="C85">
        <v>10000001</v>
      </c>
      <c r="D85" t="s">
        <v>85</v>
      </c>
      <c r="F85">
        <v>12005394</v>
      </c>
      <c r="H85" t="s">
        <v>85</v>
      </c>
      <c r="I85">
        <v>50</v>
      </c>
      <c r="J85" s="1">
        <v>-50000</v>
      </c>
      <c r="K85" t="s">
        <v>26</v>
      </c>
      <c r="L85" s="1">
        <v>-50000</v>
      </c>
      <c r="M85" t="s">
        <v>26</v>
      </c>
      <c r="Q85" t="s">
        <v>27</v>
      </c>
      <c r="R85" t="s">
        <v>157</v>
      </c>
      <c r="S85" t="s">
        <v>45</v>
      </c>
      <c r="T85" t="s">
        <v>158</v>
      </c>
      <c r="X85" t="s">
        <v>43</v>
      </c>
      <c r="Y85">
        <v>1495275</v>
      </c>
      <c r="Z85">
        <v>20250708</v>
      </c>
    </row>
    <row r="86" spans="3:26" x14ac:dyDescent="0.25">
      <c r="C86">
        <v>10000001</v>
      </c>
      <c r="D86" t="s">
        <v>85</v>
      </c>
      <c r="F86">
        <v>12005395</v>
      </c>
      <c r="H86" t="s">
        <v>85</v>
      </c>
      <c r="I86">
        <v>50</v>
      </c>
      <c r="J86" s="1">
        <v>-50000</v>
      </c>
      <c r="K86" t="s">
        <v>26</v>
      </c>
      <c r="L86" s="1">
        <v>-50000</v>
      </c>
      <c r="M86" t="s">
        <v>26</v>
      </c>
      <c r="Q86" t="s">
        <v>27</v>
      </c>
      <c r="R86" t="s">
        <v>157</v>
      </c>
      <c r="S86" t="s">
        <v>45</v>
      </c>
      <c r="T86" t="s">
        <v>159</v>
      </c>
      <c r="X86" t="s">
        <v>43</v>
      </c>
      <c r="Y86">
        <v>1495275</v>
      </c>
      <c r="Z86">
        <v>20250708</v>
      </c>
    </row>
    <row r="87" spans="3:26" x14ac:dyDescent="0.25">
      <c r="C87">
        <v>10000001</v>
      </c>
      <c r="D87" t="s">
        <v>85</v>
      </c>
      <c r="F87">
        <v>12005396</v>
      </c>
      <c r="H87" t="s">
        <v>85</v>
      </c>
      <c r="I87">
        <v>50</v>
      </c>
      <c r="J87" s="1">
        <v>-50000</v>
      </c>
      <c r="K87" t="s">
        <v>26</v>
      </c>
      <c r="L87" s="1">
        <v>-50000</v>
      </c>
      <c r="M87" t="s">
        <v>26</v>
      </c>
      <c r="Q87" t="s">
        <v>27</v>
      </c>
      <c r="R87" t="s">
        <v>157</v>
      </c>
      <c r="S87" t="s">
        <v>45</v>
      </c>
      <c r="T87" t="s">
        <v>160</v>
      </c>
      <c r="X87" t="s">
        <v>43</v>
      </c>
      <c r="Y87">
        <v>1495275</v>
      </c>
      <c r="Z87">
        <v>20250708</v>
      </c>
    </row>
    <row r="88" spans="3:26" x14ac:dyDescent="0.25">
      <c r="C88">
        <v>10000001</v>
      </c>
      <c r="D88" t="s">
        <v>85</v>
      </c>
      <c r="F88">
        <v>12005397</v>
      </c>
      <c r="H88" t="s">
        <v>85</v>
      </c>
      <c r="I88">
        <v>50</v>
      </c>
      <c r="J88" s="1">
        <v>-286400</v>
      </c>
      <c r="K88" t="s">
        <v>26</v>
      </c>
      <c r="L88" s="1">
        <v>-286400</v>
      </c>
      <c r="M88" t="s">
        <v>26</v>
      </c>
      <c r="Q88" t="s">
        <v>27</v>
      </c>
      <c r="R88" t="s">
        <v>161</v>
      </c>
      <c r="S88" t="s">
        <v>162</v>
      </c>
      <c r="T88" t="s">
        <v>163</v>
      </c>
      <c r="X88" t="s">
        <v>43</v>
      </c>
      <c r="Y88">
        <v>1495275</v>
      </c>
      <c r="Z88">
        <v>20250708</v>
      </c>
    </row>
    <row r="89" spans="3:26" x14ac:dyDescent="0.25">
      <c r="C89">
        <v>10000001</v>
      </c>
      <c r="D89" t="s">
        <v>85</v>
      </c>
      <c r="F89">
        <v>12005398</v>
      </c>
      <c r="H89" t="s">
        <v>85</v>
      </c>
      <c r="I89">
        <v>50</v>
      </c>
      <c r="J89" s="1">
        <v>-156280</v>
      </c>
      <c r="K89" t="s">
        <v>26</v>
      </c>
      <c r="L89" s="1">
        <v>-156280</v>
      </c>
      <c r="M89" t="s">
        <v>26</v>
      </c>
      <c r="Q89" t="s">
        <v>27</v>
      </c>
      <c r="R89" t="s">
        <v>161</v>
      </c>
      <c r="S89" t="s">
        <v>126</v>
      </c>
      <c r="T89" t="s">
        <v>164</v>
      </c>
      <c r="X89" t="s">
        <v>43</v>
      </c>
      <c r="Y89">
        <v>1495275</v>
      </c>
      <c r="Z89">
        <v>20250708</v>
      </c>
    </row>
    <row r="90" spans="3:26" x14ac:dyDescent="0.25">
      <c r="C90">
        <v>10000001</v>
      </c>
      <c r="D90" t="s">
        <v>85</v>
      </c>
      <c r="F90">
        <v>12005399</v>
      </c>
      <c r="H90" t="s">
        <v>85</v>
      </c>
      <c r="I90">
        <v>50</v>
      </c>
      <c r="J90" s="1">
        <v>-172150</v>
      </c>
      <c r="K90" t="s">
        <v>26</v>
      </c>
      <c r="L90" s="1">
        <v>-172150</v>
      </c>
      <c r="M90" t="s">
        <v>26</v>
      </c>
      <c r="Q90" t="s">
        <v>27</v>
      </c>
      <c r="R90" t="s">
        <v>165</v>
      </c>
      <c r="S90" t="s">
        <v>59</v>
      </c>
      <c r="T90" t="s">
        <v>166</v>
      </c>
      <c r="X90" t="s">
        <v>43</v>
      </c>
      <c r="Y90">
        <v>1495275</v>
      </c>
      <c r="Z90">
        <v>20250708</v>
      </c>
    </row>
    <row r="91" spans="3:26" x14ac:dyDescent="0.25">
      <c r="C91">
        <v>10000001</v>
      </c>
      <c r="D91" t="s">
        <v>85</v>
      </c>
      <c r="F91">
        <v>12005400</v>
      </c>
      <c r="H91" t="s">
        <v>85</v>
      </c>
      <c r="I91">
        <v>50</v>
      </c>
      <c r="J91" s="1">
        <v>-830000</v>
      </c>
      <c r="K91" t="s">
        <v>26</v>
      </c>
      <c r="L91" s="1">
        <v>-830000</v>
      </c>
      <c r="M91" t="s">
        <v>26</v>
      </c>
      <c r="Q91" t="s">
        <v>27</v>
      </c>
      <c r="R91" t="s">
        <v>167</v>
      </c>
      <c r="S91" t="s">
        <v>96</v>
      </c>
      <c r="T91" t="s">
        <v>168</v>
      </c>
      <c r="X91" t="s">
        <v>43</v>
      </c>
      <c r="Y91">
        <v>1495275</v>
      </c>
      <c r="Z91">
        <v>20250708</v>
      </c>
    </row>
    <row r="92" spans="3:26" x14ac:dyDescent="0.25">
      <c r="C92">
        <v>10000001</v>
      </c>
      <c r="D92" t="s">
        <v>85</v>
      </c>
      <c r="F92">
        <v>12005401</v>
      </c>
      <c r="H92" t="s">
        <v>85</v>
      </c>
      <c r="I92">
        <v>50</v>
      </c>
      <c r="J92" s="1">
        <v>-168900</v>
      </c>
      <c r="K92" t="s">
        <v>26</v>
      </c>
      <c r="L92" s="1">
        <v>-168900</v>
      </c>
      <c r="M92" t="s">
        <v>26</v>
      </c>
      <c r="Q92" t="s">
        <v>27</v>
      </c>
      <c r="R92" t="s">
        <v>167</v>
      </c>
      <c r="S92" t="s">
        <v>67</v>
      </c>
      <c r="T92" t="s">
        <v>98</v>
      </c>
      <c r="X92" t="s">
        <v>43</v>
      </c>
      <c r="Y92">
        <v>1495275</v>
      </c>
      <c r="Z92">
        <v>20250708</v>
      </c>
    </row>
    <row r="93" spans="3:26" x14ac:dyDescent="0.25">
      <c r="C93">
        <v>10000001</v>
      </c>
      <c r="D93" t="s">
        <v>85</v>
      </c>
      <c r="F93">
        <v>12005402</v>
      </c>
      <c r="H93" t="s">
        <v>85</v>
      </c>
      <c r="I93">
        <v>50</v>
      </c>
      <c r="J93" s="1">
        <v>-325000</v>
      </c>
      <c r="K93" t="s">
        <v>26</v>
      </c>
      <c r="L93" s="1">
        <v>-325000</v>
      </c>
      <c r="M93" t="s">
        <v>26</v>
      </c>
      <c r="Q93" t="s">
        <v>27</v>
      </c>
      <c r="R93" t="s">
        <v>169</v>
      </c>
      <c r="S93" t="s">
        <v>126</v>
      </c>
      <c r="T93" t="s">
        <v>170</v>
      </c>
      <c r="X93" t="s">
        <v>43</v>
      </c>
      <c r="Y93">
        <v>1495275</v>
      </c>
      <c r="Z93">
        <v>20250708</v>
      </c>
    </row>
    <row r="94" spans="3:26" x14ac:dyDescent="0.25">
      <c r="C94">
        <v>10000001</v>
      </c>
      <c r="D94" t="s">
        <v>85</v>
      </c>
      <c r="F94">
        <v>12005403</v>
      </c>
      <c r="H94" t="s">
        <v>85</v>
      </c>
      <c r="I94">
        <v>50</v>
      </c>
      <c r="J94" s="1">
        <v>-900000</v>
      </c>
      <c r="K94" t="s">
        <v>26</v>
      </c>
      <c r="L94" s="1">
        <v>-900000</v>
      </c>
      <c r="M94" t="s">
        <v>26</v>
      </c>
      <c r="Q94" t="s">
        <v>27</v>
      </c>
      <c r="R94" t="s">
        <v>171</v>
      </c>
      <c r="S94" t="s">
        <v>172</v>
      </c>
      <c r="T94" t="s">
        <v>173</v>
      </c>
      <c r="X94" t="s">
        <v>43</v>
      </c>
      <c r="Y94">
        <v>1495275</v>
      </c>
      <c r="Z94">
        <v>20250708</v>
      </c>
    </row>
    <row r="95" spans="3:26" x14ac:dyDescent="0.25">
      <c r="C95">
        <v>10000001</v>
      </c>
      <c r="D95" t="s">
        <v>85</v>
      </c>
      <c r="F95">
        <v>12005404</v>
      </c>
      <c r="H95" t="s">
        <v>85</v>
      </c>
      <c r="I95">
        <v>50</v>
      </c>
      <c r="J95" s="1">
        <v>-900000</v>
      </c>
      <c r="K95" t="s">
        <v>26</v>
      </c>
      <c r="L95" s="1">
        <v>-900000</v>
      </c>
      <c r="M95" t="s">
        <v>26</v>
      </c>
      <c r="Q95" t="s">
        <v>27</v>
      </c>
      <c r="R95" t="s">
        <v>174</v>
      </c>
      <c r="S95" t="s">
        <v>172</v>
      </c>
      <c r="T95" t="s">
        <v>173</v>
      </c>
      <c r="X95" t="s">
        <v>43</v>
      </c>
      <c r="Y95">
        <v>1495275</v>
      </c>
      <c r="Z95">
        <v>20250708</v>
      </c>
    </row>
    <row r="96" spans="3:26" x14ac:dyDescent="0.25">
      <c r="C96">
        <v>10000001</v>
      </c>
      <c r="D96" t="s">
        <v>85</v>
      </c>
      <c r="F96">
        <v>12005405</v>
      </c>
      <c r="H96" t="s">
        <v>85</v>
      </c>
      <c r="I96">
        <v>50</v>
      </c>
      <c r="J96" s="1">
        <v>-76000</v>
      </c>
      <c r="K96" t="s">
        <v>26</v>
      </c>
      <c r="L96" s="1">
        <v>-76000</v>
      </c>
      <c r="M96" t="s">
        <v>26</v>
      </c>
      <c r="Q96" t="s">
        <v>27</v>
      </c>
      <c r="R96" t="s">
        <v>174</v>
      </c>
      <c r="S96" t="s">
        <v>59</v>
      </c>
      <c r="T96" t="s">
        <v>175</v>
      </c>
      <c r="X96" t="s">
        <v>43</v>
      </c>
      <c r="Y96">
        <v>1495275</v>
      </c>
      <c r="Z96">
        <v>20250708</v>
      </c>
    </row>
    <row r="97" spans="3:26" x14ac:dyDescent="0.25">
      <c r="C97">
        <v>10000001</v>
      </c>
      <c r="D97" t="s">
        <v>85</v>
      </c>
      <c r="F97">
        <v>12005406</v>
      </c>
      <c r="H97" t="s">
        <v>85</v>
      </c>
      <c r="I97">
        <v>50</v>
      </c>
      <c r="J97" s="1">
        <v>-915600</v>
      </c>
      <c r="K97" t="s">
        <v>26</v>
      </c>
      <c r="L97" s="1">
        <v>-915600</v>
      </c>
      <c r="M97" t="s">
        <v>26</v>
      </c>
      <c r="Q97" t="s">
        <v>27</v>
      </c>
      <c r="R97" t="s">
        <v>176</v>
      </c>
      <c r="S97" t="s">
        <v>126</v>
      </c>
      <c r="T97" t="s">
        <v>177</v>
      </c>
      <c r="X97" t="s">
        <v>43</v>
      </c>
      <c r="Y97">
        <v>1495275</v>
      </c>
      <c r="Z97">
        <v>20250708</v>
      </c>
    </row>
    <row r="98" spans="3:26" x14ac:dyDescent="0.25">
      <c r="C98">
        <v>10000001</v>
      </c>
      <c r="D98" t="s">
        <v>85</v>
      </c>
      <c r="F98">
        <v>12005407</v>
      </c>
      <c r="H98" t="s">
        <v>85</v>
      </c>
      <c r="I98">
        <v>50</v>
      </c>
      <c r="J98" s="1">
        <v>-420000</v>
      </c>
      <c r="K98" t="s">
        <v>26</v>
      </c>
      <c r="L98" s="1">
        <v>-420000</v>
      </c>
      <c r="M98" t="s">
        <v>26</v>
      </c>
      <c r="Q98" t="s">
        <v>27</v>
      </c>
      <c r="R98" t="s">
        <v>178</v>
      </c>
      <c r="S98" t="s">
        <v>57</v>
      </c>
      <c r="T98" t="s">
        <v>179</v>
      </c>
      <c r="X98" t="s">
        <v>43</v>
      </c>
      <c r="Y98">
        <v>1495275</v>
      </c>
      <c r="Z98">
        <v>20250708</v>
      </c>
    </row>
    <row r="99" spans="3:26" x14ac:dyDescent="0.25">
      <c r="C99">
        <v>10000001</v>
      </c>
      <c r="D99" t="s">
        <v>85</v>
      </c>
      <c r="F99">
        <v>12005408</v>
      </c>
      <c r="H99" t="s">
        <v>85</v>
      </c>
      <c r="I99">
        <v>50</v>
      </c>
      <c r="J99" s="1">
        <v>-328000</v>
      </c>
      <c r="K99" t="s">
        <v>26</v>
      </c>
      <c r="L99" s="1">
        <v>-328000</v>
      </c>
      <c r="M99" t="s">
        <v>26</v>
      </c>
      <c r="Q99" t="s">
        <v>27</v>
      </c>
      <c r="R99" t="s">
        <v>180</v>
      </c>
      <c r="S99" t="s">
        <v>57</v>
      </c>
      <c r="T99" t="s">
        <v>181</v>
      </c>
      <c r="X99" t="s">
        <v>43</v>
      </c>
      <c r="Y99">
        <v>1495275</v>
      </c>
      <c r="Z99">
        <v>20250708</v>
      </c>
    </row>
    <row r="100" spans="3:26" x14ac:dyDescent="0.25">
      <c r="C100">
        <v>10000001</v>
      </c>
      <c r="D100" t="s">
        <v>85</v>
      </c>
      <c r="F100">
        <v>12005409</v>
      </c>
      <c r="H100" t="s">
        <v>85</v>
      </c>
      <c r="I100">
        <v>50</v>
      </c>
      <c r="J100" s="1">
        <v>-50000</v>
      </c>
      <c r="K100" t="s">
        <v>26</v>
      </c>
      <c r="L100" s="1">
        <v>-50000</v>
      </c>
      <c r="M100" t="s">
        <v>26</v>
      </c>
      <c r="Q100" t="s">
        <v>27</v>
      </c>
      <c r="R100" t="s">
        <v>182</v>
      </c>
      <c r="S100" t="s">
        <v>45</v>
      </c>
      <c r="T100" t="s">
        <v>183</v>
      </c>
      <c r="X100" t="s">
        <v>43</v>
      </c>
      <c r="Y100">
        <v>1495275</v>
      </c>
      <c r="Z100">
        <v>20250708</v>
      </c>
    </row>
    <row r="101" spans="3:26" x14ac:dyDescent="0.25">
      <c r="C101">
        <v>10000001</v>
      </c>
      <c r="D101" t="s">
        <v>85</v>
      </c>
      <c r="F101">
        <v>12005410</v>
      </c>
      <c r="H101" t="s">
        <v>85</v>
      </c>
      <c r="I101">
        <v>50</v>
      </c>
      <c r="J101" s="1">
        <v>-50000</v>
      </c>
      <c r="K101" t="s">
        <v>26</v>
      </c>
      <c r="L101" s="1">
        <v>-50000</v>
      </c>
      <c r="M101" t="s">
        <v>26</v>
      </c>
      <c r="Q101" t="s">
        <v>27</v>
      </c>
      <c r="R101" t="s">
        <v>184</v>
      </c>
      <c r="S101" t="s">
        <v>45</v>
      </c>
      <c r="T101" t="s">
        <v>185</v>
      </c>
      <c r="X101" t="s">
        <v>43</v>
      </c>
      <c r="Y101">
        <v>1495275</v>
      </c>
      <c r="Z101">
        <v>20250708</v>
      </c>
    </row>
    <row r="102" spans="3:26" x14ac:dyDescent="0.25">
      <c r="C102">
        <v>10000001</v>
      </c>
      <c r="D102" t="s">
        <v>85</v>
      </c>
      <c r="F102">
        <v>12005411</v>
      </c>
      <c r="H102" t="s">
        <v>85</v>
      </c>
      <c r="I102">
        <v>50</v>
      </c>
      <c r="J102" s="1">
        <v>-50000</v>
      </c>
      <c r="K102" t="s">
        <v>26</v>
      </c>
      <c r="L102" s="1">
        <v>-50000</v>
      </c>
      <c r="M102" t="s">
        <v>26</v>
      </c>
      <c r="Q102" t="s">
        <v>27</v>
      </c>
      <c r="R102" t="s">
        <v>184</v>
      </c>
      <c r="S102" t="s">
        <v>45</v>
      </c>
      <c r="T102" t="s">
        <v>186</v>
      </c>
      <c r="X102" t="s">
        <v>43</v>
      </c>
      <c r="Y102">
        <v>1495275</v>
      </c>
      <c r="Z102">
        <v>20250708</v>
      </c>
    </row>
    <row r="103" spans="3:26" x14ac:dyDescent="0.25">
      <c r="C103">
        <v>10000001</v>
      </c>
      <c r="D103" t="s">
        <v>85</v>
      </c>
      <c r="F103">
        <v>12005412</v>
      </c>
      <c r="H103" t="s">
        <v>85</v>
      </c>
      <c r="I103">
        <v>50</v>
      </c>
      <c r="J103" s="1">
        <v>-50000</v>
      </c>
      <c r="K103" t="s">
        <v>26</v>
      </c>
      <c r="L103" s="1">
        <v>-50000</v>
      </c>
      <c r="M103" t="s">
        <v>26</v>
      </c>
      <c r="Q103" t="s">
        <v>27</v>
      </c>
      <c r="R103" t="s">
        <v>184</v>
      </c>
      <c r="S103" t="s">
        <v>45</v>
      </c>
      <c r="T103" t="s">
        <v>187</v>
      </c>
      <c r="X103" t="s">
        <v>43</v>
      </c>
      <c r="Y103">
        <v>1495275</v>
      </c>
      <c r="Z103">
        <v>20250708</v>
      </c>
    </row>
    <row r="104" spans="3:26" x14ac:dyDescent="0.25">
      <c r="C104">
        <v>10000001</v>
      </c>
      <c r="D104" t="s">
        <v>85</v>
      </c>
      <c r="F104">
        <v>12005413</v>
      </c>
      <c r="H104" t="s">
        <v>85</v>
      </c>
      <c r="I104">
        <v>50</v>
      </c>
      <c r="J104" s="1">
        <v>-809000</v>
      </c>
      <c r="K104" t="s">
        <v>26</v>
      </c>
      <c r="L104" s="1">
        <v>-809000</v>
      </c>
      <c r="M104" t="s">
        <v>26</v>
      </c>
      <c r="Q104" t="s">
        <v>27</v>
      </c>
      <c r="R104" t="s">
        <v>188</v>
      </c>
      <c r="S104" t="s">
        <v>59</v>
      </c>
      <c r="T104" t="s">
        <v>189</v>
      </c>
      <c r="X104" t="s">
        <v>43</v>
      </c>
      <c r="Y104">
        <v>1495275</v>
      </c>
      <c r="Z104">
        <v>20250708</v>
      </c>
    </row>
    <row r="105" spans="3:26" x14ac:dyDescent="0.25">
      <c r="C105">
        <v>10000001</v>
      </c>
      <c r="D105" t="s">
        <v>85</v>
      </c>
      <c r="F105">
        <v>12005414</v>
      </c>
      <c r="H105" t="s">
        <v>85</v>
      </c>
      <c r="I105">
        <v>50</v>
      </c>
      <c r="J105" s="1">
        <v>-500000</v>
      </c>
      <c r="K105" t="s">
        <v>26</v>
      </c>
      <c r="L105" s="1">
        <v>-500000</v>
      </c>
      <c r="M105" t="s">
        <v>26</v>
      </c>
      <c r="Q105" t="s">
        <v>27</v>
      </c>
      <c r="R105" t="s">
        <v>190</v>
      </c>
      <c r="S105" t="s">
        <v>96</v>
      </c>
      <c r="T105" t="s">
        <v>191</v>
      </c>
      <c r="X105" t="s">
        <v>43</v>
      </c>
      <c r="Y105">
        <v>1495275</v>
      </c>
      <c r="Z105">
        <v>20250708</v>
      </c>
    </row>
    <row r="106" spans="3:26" x14ac:dyDescent="0.25">
      <c r="C106">
        <v>10000001</v>
      </c>
      <c r="D106" t="s">
        <v>85</v>
      </c>
      <c r="F106">
        <v>12005415</v>
      </c>
      <c r="H106" t="s">
        <v>85</v>
      </c>
      <c r="I106">
        <v>50</v>
      </c>
      <c r="J106" s="1">
        <v>-499500</v>
      </c>
      <c r="K106" t="s">
        <v>26</v>
      </c>
      <c r="L106" s="1">
        <v>-499500</v>
      </c>
      <c r="M106" t="s">
        <v>26</v>
      </c>
      <c r="Q106" t="s">
        <v>27</v>
      </c>
      <c r="R106" t="s">
        <v>190</v>
      </c>
      <c r="S106" t="s">
        <v>67</v>
      </c>
      <c r="T106" t="s">
        <v>98</v>
      </c>
      <c r="X106" t="s">
        <v>43</v>
      </c>
      <c r="Y106">
        <v>1495275</v>
      </c>
      <c r="Z106">
        <v>20250708</v>
      </c>
    </row>
    <row r="107" spans="3:26" x14ac:dyDescent="0.25">
      <c r="C107">
        <v>10000001</v>
      </c>
      <c r="D107" t="s">
        <v>85</v>
      </c>
      <c r="F107">
        <v>12005416</v>
      </c>
      <c r="H107" t="s">
        <v>85</v>
      </c>
      <c r="I107">
        <v>50</v>
      </c>
      <c r="J107" s="1">
        <v>-57800</v>
      </c>
      <c r="K107" t="s">
        <v>26</v>
      </c>
      <c r="L107" s="1">
        <v>-57800</v>
      </c>
      <c r="M107" t="s">
        <v>26</v>
      </c>
      <c r="Q107" t="s">
        <v>27</v>
      </c>
      <c r="R107" t="s">
        <v>192</v>
      </c>
      <c r="S107" t="s">
        <v>193</v>
      </c>
      <c r="T107" t="s">
        <v>194</v>
      </c>
      <c r="X107" t="s">
        <v>43</v>
      </c>
      <c r="Y107">
        <v>1495275</v>
      </c>
      <c r="Z107">
        <v>20250708</v>
      </c>
    </row>
    <row r="108" spans="3:26" x14ac:dyDescent="0.25">
      <c r="C108">
        <v>10000001</v>
      </c>
      <c r="D108" t="s">
        <v>85</v>
      </c>
      <c r="F108">
        <v>12005417</v>
      </c>
      <c r="H108" t="s">
        <v>85</v>
      </c>
      <c r="I108">
        <v>50</v>
      </c>
      <c r="J108" s="1">
        <v>-600000</v>
      </c>
      <c r="K108" t="s">
        <v>26</v>
      </c>
      <c r="L108" s="1">
        <v>-600000</v>
      </c>
      <c r="M108" t="s">
        <v>26</v>
      </c>
      <c r="Q108" t="s">
        <v>27</v>
      </c>
      <c r="R108" t="s">
        <v>195</v>
      </c>
      <c r="S108" t="s">
        <v>41</v>
      </c>
      <c r="T108" t="s">
        <v>196</v>
      </c>
      <c r="X108" t="s">
        <v>43</v>
      </c>
      <c r="Y108">
        <v>1495275</v>
      </c>
      <c r="Z108">
        <v>20250708</v>
      </c>
    </row>
    <row r="109" spans="3:26" x14ac:dyDescent="0.25">
      <c r="C109">
        <v>10000001</v>
      </c>
      <c r="D109" t="s">
        <v>85</v>
      </c>
      <c r="F109">
        <v>12005418</v>
      </c>
      <c r="H109" t="s">
        <v>85</v>
      </c>
      <c r="I109">
        <v>50</v>
      </c>
      <c r="J109" s="1">
        <v>-770000</v>
      </c>
      <c r="K109" t="s">
        <v>26</v>
      </c>
      <c r="L109" s="1">
        <v>-770000</v>
      </c>
      <c r="M109" t="s">
        <v>26</v>
      </c>
      <c r="Q109" t="s">
        <v>27</v>
      </c>
      <c r="R109" t="s">
        <v>197</v>
      </c>
      <c r="S109" t="s">
        <v>96</v>
      </c>
      <c r="T109" t="s">
        <v>198</v>
      </c>
      <c r="X109" t="s">
        <v>43</v>
      </c>
      <c r="Y109">
        <v>1495275</v>
      </c>
      <c r="Z109">
        <v>20250708</v>
      </c>
    </row>
    <row r="110" spans="3:26" x14ac:dyDescent="0.25">
      <c r="C110">
        <v>10000001</v>
      </c>
      <c r="D110" t="s">
        <v>85</v>
      </c>
      <c r="F110">
        <v>12005419</v>
      </c>
      <c r="H110" t="s">
        <v>85</v>
      </c>
      <c r="I110">
        <v>50</v>
      </c>
      <c r="J110" s="1">
        <v>-229500</v>
      </c>
      <c r="K110" t="s">
        <v>26</v>
      </c>
      <c r="L110" s="1">
        <v>-229500</v>
      </c>
      <c r="M110" t="s">
        <v>26</v>
      </c>
      <c r="Q110" t="s">
        <v>27</v>
      </c>
      <c r="R110" t="s">
        <v>197</v>
      </c>
      <c r="S110" t="s">
        <v>67</v>
      </c>
      <c r="T110" t="s">
        <v>98</v>
      </c>
      <c r="X110" t="s">
        <v>43</v>
      </c>
      <c r="Y110">
        <v>1495275</v>
      </c>
      <c r="Z110">
        <v>20250708</v>
      </c>
    </row>
    <row r="111" spans="3:26" x14ac:dyDescent="0.25">
      <c r="C111">
        <v>10000001</v>
      </c>
      <c r="D111" t="s">
        <v>199</v>
      </c>
      <c r="F111">
        <v>12005420</v>
      </c>
      <c r="H111" t="s">
        <v>199</v>
      </c>
      <c r="I111">
        <v>50</v>
      </c>
      <c r="J111" s="1">
        <v>-856000</v>
      </c>
      <c r="K111" t="s">
        <v>26</v>
      </c>
      <c r="L111" s="1">
        <v>-856000</v>
      </c>
      <c r="M111" t="s">
        <v>26</v>
      </c>
      <c r="Q111" t="s">
        <v>27</v>
      </c>
      <c r="R111" t="s">
        <v>200</v>
      </c>
      <c r="S111" t="s">
        <v>129</v>
      </c>
      <c r="T111" t="s">
        <v>201</v>
      </c>
      <c r="X111" t="s">
        <v>43</v>
      </c>
      <c r="Y111">
        <v>1495275</v>
      </c>
      <c r="Z111">
        <v>20250710</v>
      </c>
    </row>
    <row r="112" spans="3:26" x14ac:dyDescent="0.25">
      <c r="C112">
        <v>10000001</v>
      </c>
      <c r="D112" t="s">
        <v>199</v>
      </c>
      <c r="F112">
        <v>12005421</v>
      </c>
      <c r="H112" t="s">
        <v>199</v>
      </c>
      <c r="I112">
        <v>50</v>
      </c>
      <c r="J112" s="1">
        <v>-945000</v>
      </c>
      <c r="K112" t="s">
        <v>26</v>
      </c>
      <c r="L112" s="1">
        <v>-945000</v>
      </c>
      <c r="M112" t="s">
        <v>26</v>
      </c>
      <c r="Q112" t="s">
        <v>27</v>
      </c>
      <c r="R112" t="s">
        <v>202</v>
      </c>
      <c r="S112" t="s">
        <v>126</v>
      </c>
      <c r="T112" t="s">
        <v>203</v>
      </c>
      <c r="X112" t="s">
        <v>43</v>
      </c>
      <c r="Y112">
        <v>1495275</v>
      </c>
      <c r="Z112">
        <v>20250710</v>
      </c>
    </row>
    <row r="113" spans="3:26" x14ac:dyDescent="0.25">
      <c r="C113">
        <v>10000001</v>
      </c>
      <c r="D113" t="s">
        <v>199</v>
      </c>
      <c r="F113">
        <v>12005422</v>
      </c>
      <c r="H113" t="s">
        <v>199</v>
      </c>
      <c r="I113">
        <v>50</v>
      </c>
      <c r="J113" s="1">
        <v>-300000</v>
      </c>
      <c r="K113" t="s">
        <v>26</v>
      </c>
      <c r="L113" s="1">
        <v>-300000</v>
      </c>
      <c r="M113" t="s">
        <v>26</v>
      </c>
      <c r="Q113" t="s">
        <v>27</v>
      </c>
      <c r="R113" t="s">
        <v>204</v>
      </c>
      <c r="S113" t="s">
        <v>96</v>
      </c>
      <c r="T113" t="s">
        <v>205</v>
      </c>
      <c r="X113" t="s">
        <v>43</v>
      </c>
      <c r="Y113">
        <v>1495275</v>
      </c>
      <c r="Z113">
        <v>20250710</v>
      </c>
    </row>
    <row r="114" spans="3:26" x14ac:dyDescent="0.25">
      <c r="C114">
        <v>10000001</v>
      </c>
      <c r="D114" t="s">
        <v>199</v>
      </c>
      <c r="F114">
        <v>12005423</v>
      </c>
      <c r="H114" t="s">
        <v>199</v>
      </c>
      <c r="I114">
        <v>50</v>
      </c>
      <c r="J114" s="1">
        <v>-700000</v>
      </c>
      <c r="K114" t="s">
        <v>26</v>
      </c>
      <c r="L114" s="1">
        <v>-700000</v>
      </c>
      <c r="M114" t="s">
        <v>26</v>
      </c>
      <c r="Q114" t="s">
        <v>27</v>
      </c>
      <c r="R114" t="s">
        <v>204</v>
      </c>
      <c r="S114" t="s">
        <v>67</v>
      </c>
      <c r="T114" t="s">
        <v>98</v>
      </c>
      <c r="X114" t="s">
        <v>43</v>
      </c>
      <c r="Y114">
        <v>1495275</v>
      </c>
      <c r="Z114">
        <v>20250710</v>
      </c>
    </row>
    <row r="115" spans="3:26" x14ac:dyDescent="0.25">
      <c r="C115">
        <v>10000001</v>
      </c>
      <c r="D115" t="s">
        <v>199</v>
      </c>
      <c r="F115">
        <v>12005424</v>
      </c>
      <c r="H115" t="s">
        <v>199</v>
      </c>
      <c r="I115">
        <v>50</v>
      </c>
      <c r="J115" s="1">
        <v>-50000</v>
      </c>
      <c r="K115" t="s">
        <v>26</v>
      </c>
      <c r="L115" s="1">
        <v>-50000</v>
      </c>
      <c r="M115" t="s">
        <v>26</v>
      </c>
      <c r="Q115" t="s">
        <v>27</v>
      </c>
      <c r="R115" t="s">
        <v>206</v>
      </c>
      <c r="S115" t="s">
        <v>45</v>
      </c>
      <c r="T115" t="s">
        <v>207</v>
      </c>
      <c r="X115" t="s">
        <v>43</v>
      </c>
      <c r="Y115">
        <v>1495275</v>
      </c>
      <c r="Z115">
        <v>20250710</v>
      </c>
    </row>
    <row r="116" spans="3:26" x14ac:dyDescent="0.25">
      <c r="C116">
        <v>10000001</v>
      </c>
      <c r="D116" t="s">
        <v>199</v>
      </c>
      <c r="F116">
        <v>12005425</v>
      </c>
      <c r="H116" t="s">
        <v>199</v>
      </c>
      <c r="I116">
        <v>50</v>
      </c>
      <c r="J116" s="1">
        <v>-50000</v>
      </c>
      <c r="K116" t="s">
        <v>26</v>
      </c>
      <c r="L116" s="1">
        <v>-50000</v>
      </c>
      <c r="M116" t="s">
        <v>26</v>
      </c>
      <c r="Q116" t="s">
        <v>27</v>
      </c>
      <c r="R116" t="s">
        <v>206</v>
      </c>
      <c r="S116" t="s">
        <v>45</v>
      </c>
      <c r="T116" t="s">
        <v>208</v>
      </c>
      <c r="X116" t="s">
        <v>43</v>
      </c>
      <c r="Y116">
        <v>1495275</v>
      </c>
      <c r="Z116">
        <v>20250710</v>
      </c>
    </row>
    <row r="117" spans="3:26" x14ac:dyDescent="0.25">
      <c r="C117">
        <v>10000001</v>
      </c>
      <c r="D117" t="s">
        <v>199</v>
      </c>
      <c r="F117">
        <v>12005426</v>
      </c>
      <c r="H117" t="s">
        <v>199</v>
      </c>
      <c r="I117">
        <v>50</v>
      </c>
      <c r="J117" s="1">
        <v>-991458</v>
      </c>
      <c r="K117" t="s">
        <v>26</v>
      </c>
      <c r="L117" s="1">
        <v>-991458</v>
      </c>
      <c r="M117" t="s">
        <v>26</v>
      </c>
      <c r="Q117" t="s">
        <v>27</v>
      </c>
      <c r="R117" t="s">
        <v>209</v>
      </c>
      <c r="S117" t="s">
        <v>59</v>
      </c>
      <c r="T117" t="s">
        <v>210</v>
      </c>
      <c r="X117" t="s">
        <v>43</v>
      </c>
      <c r="Y117">
        <v>1495275</v>
      </c>
      <c r="Z117">
        <v>20250710</v>
      </c>
    </row>
    <row r="118" spans="3:26" x14ac:dyDescent="0.25">
      <c r="C118">
        <v>10000001</v>
      </c>
      <c r="D118" t="s">
        <v>199</v>
      </c>
      <c r="F118">
        <v>12005427</v>
      </c>
      <c r="H118" t="s">
        <v>199</v>
      </c>
      <c r="I118">
        <v>50</v>
      </c>
      <c r="J118" s="1">
        <v>-50000</v>
      </c>
      <c r="K118" t="s">
        <v>26</v>
      </c>
      <c r="L118" s="1">
        <v>-50000</v>
      </c>
      <c r="M118" t="s">
        <v>26</v>
      </c>
      <c r="Q118" t="s">
        <v>27</v>
      </c>
      <c r="R118" t="s">
        <v>211</v>
      </c>
      <c r="S118" t="s">
        <v>45</v>
      </c>
      <c r="T118" t="s">
        <v>212</v>
      </c>
      <c r="X118" t="s">
        <v>43</v>
      </c>
      <c r="Y118">
        <v>1495275</v>
      </c>
      <c r="Z118">
        <v>20250710</v>
      </c>
    </row>
    <row r="119" spans="3:26" x14ac:dyDescent="0.25">
      <c r="C119">
        <v>10000001</v>
      </c>
      <c r="D119" t="s">
        <v>199</v>
      </c>
      <c r="F119">
        <v>12005428</v>
      </c>
      <c r="H119" t="s">
        <v>199</v>
      </c>
      <c r="I119">
        <v>50</v>
      </c>
      <c r="J119" s="1">
        <v>-50000</v>
      </c>
      <c r="K119" t="s">
        <v>26</v>
      </c>
      <c r="L119" s="1">
        <v>-50000</v>
      </c>
      <c r="M119" t="s">
        <v>26</v>
      </c>
      <c r="Q119" t="s">
        <v>27</v>
      </c>
      <c r="R119" t="s">
        <v>211</v>
      </c>
      <c r="S119" t="s">
        <v>45</v>
      </c>
      <c r="T119" t="s">
        <v>213</v>
      </c>
      <c r="X119" t="s">
        <v>43</v>
      </c>
      <c r="Y119">
        <v>1495275</v>
      </c>
      <c r="Z119">
        <v>20250710</v>
      </c>
    </row>
    <row r="120" spans="3:26" x14ac:dyDescent="0.25">
      <c r="C120">
        <v>10000001</v>
      </c>
      <c r="D120" t="s">
        <v>199</v>
      </c>
      <c r="F120">
        <v>12005429</v>
      </c>
      <c r="H120" t="s">
        <v>199</v>
      </c>
      <c r="I120">
        <v>50</v>
      </c>
      <c r="J120" s="1">
        <v>-50000</v>
      </c>
      <c r="K120" t="s">
        <v>26</v>
      </c>
      <c r="L120" s="1">
        <v>-50000</v>
      </c>
      <c r="M120" t="s">
        <v>26</v>
      </c>
      <c r="Q120" t="s">
        <v>27</v>
      </c>
      <c r="R120" t="s">
        <v>211</v>
      </c>
      <c r="S120" t="s">
        <v>45</v>
      </c>
      <c r="T120" t="s">
        <v>214</v>
      </c>
      <c r="X120" t="s">
        <v>43</v>
      </c>
      <c r="Y120">
        <v>1495275</v>
      </c>
      <c r="Z120">
        <v>20250710</v>
      </c>
    </row>
    <row r="121" spans="3:26" x14ac:dyDescent="0.25">
      <c r="C121">
        <v>10000001</v>
      </c>
      <c r="D121" t="s">
        <v>199</v>
      </c>
      <c r="F121">
        <v>12005430</v>
      </c>
      <c r="H121" t="s">
        <v>199</v>
      </c>
      <c r="I121">
        <v>50</v>
      </c>
      <c r="J121" s="1">
        <v>-50000</v>
      </c>
      <c r="K121" t="s">
        <v>26</v>
      </c>
      <c r="L121" s="1">
        <v>-50000</v>
      </c>
      <c r="M121" t="s">
        <v>26</v>
      </c>
      <c r="Q121" t="s">
        <v>27</v>
      </c>
      <c r="R121" t="s">
        <v>215</v>
      </c>
      <c r="S121" t="s">
        <v>45</v>
      </c>
      <c r="T121" t="s">
        <v>216</v>
      </c>
      <c r="X121" t="s">
        <v>43</v>
      </c>
      <c r="Y121">
        <v>1495275</v>
      </c>
      <c r="Z121">
        <v>20250710</v>
      </c>
    </row>
    <row r="122" spans="3:26" x14ac:dyDescent="0.25">
      <c r="C122">
        <v>10000001</v>
      </c>
      <c r="D122" t="s">
        <v>199</v>
      </c>
      <c r="F122">
        <v>12005431</v>
      </c>
      <c r="H122" t="s">
        <v>199</v>
      </c>
      <c r="I122">
        <v>50</v>
      </c>
      <c r="J122" s="1">
        <v>-50000</v>
      </c>
      <c r="K122" t="s">
        <v>26</v>
      </c>
      <c r="L122" s="1">
        <v>-50000</v>
      </c>
      <c r="M122" t="s">
        <v>26</v>
      </c>
      <c r="Q122" t="s">
        <v>27</v>
      </c>
      <c r="R122" t="s">
        <v>215</v>
      </c>
      <c r="S122" t="s">
        <v>45</v>
      </c>
      <c r="T122" t="s">
        <v>216</v>
      </c>
      <c r="X122" t="s">
        <v>43</v>
      </c>
      <c r="Y122">
        <v>1495275</v>
      </c>
      <c r="Z122">
        <v>20250710</v>
      </c>
    </row>
    <row r="123" spans="3:26" x14ac:dyDescent="0.25">
      <c r="C123">
        <v>10000001</v>
      </c>
      <c r="D123" t="s">
        <v>199</v>
      </c>
      <c r="F123">
        <v>12005432</v>
      </c>
      <c r="H123" t="s">
        <v>199</v>
      </c>
      <c r="I123">
        <v>50</v>
      </c>
      <c r="J123" s="1">
        <v>-952000</v>
      </c>
      <c r="K123" t="s">
        <v>26</v>
      </c>
      <c r="L123" s="1">
        <v>-952000</v>
      </c>
      <c r="M123" t="s">
        <v>26</v>
      </c>
      <c r="Q123" t="s">
        <v>27</v>
      </c>
      <c r="R123" t="s">
        <v>217</v>
      </c>
      <c r="S123" t="s">
        <v>126</v>
      </c>
      <c r="T123" t="s">
        <v>218</v>
      </c>
      <c r="X123" t="s">
        <v>43</v>
      </c>
      <c r="Y123">
        <v>1495275</v>
      </c>
      <c r="Z123">
        <v>20250710</v>
      </c>
    </row>
    <row r="124" spans="3:26" x14ac:dyDescent="0.25">
      <c r="C124">
        <v>10000001</v>
      </c>
      <c r="D124" t="s">
        <v>199</v>
      </c>
      <c r="F124">
        <v>12005433</v>
      </c>
      <c r="H124" t="s">
        <v>199</v>
      </c>
      <c r="I124">
        <v>50</v>
      </c>
      <c r="J124" s="1">
        <v>-580000</v>
      </c>
      <c r="K124" t="s">
        <v>26</v>
      </c>
      <c r="L124" s="1">
        <v>-580000</v>
      </c>
      <c r="M124" t="s">
        <v>26</v>
      </c>
      <c r="Q124" t="s">
        <v>27</v>
      </c>
      <c r="R124" t="s">
        <v>219</v>
      </c>
      <c r="S124" t="s">
        <v>96</v>
      </c>
      <c r="T124" t="s">
        <v>220</v>
      </c>
      <c r="X124" t="s">
        <v>43</v>
      </c>
      <c r="Y124">
        <v>1495275</v>
      </c>
      <c r="Z124">
        <v>20250710</v>
      </c>
    </row>
    <row r="125" spans="3:26" x14ac:dyDescent="0.25">
      <c r="C125">
        <v>10000001</v>
      </c>
      <c r="D125" t="s">
        <v>199</v>
      </c>
      <c r="F125">
        <v>12005434</v>
      </c>
      <c r="H125" t="s">
        <v>199</v>
      </c>
      <c r="I125">
        <v>50</v>
      </c>
      <c r="J125" s="1">
        <v>-420000</v>
      </c>
      <c r="K125" t="s">
        <v>26</v>
      </c>
      <c r="L125" s="1">
        <v>-420000</v>
      </c>
      <c r="M125" t="s">
        <v>26</v>
      </c>
      <c r="Q125" t="s">
        <v>27</v>
      </c>
      <c r="R125" t="s">
        <v>219</v>
      </c>
      <c r="S125" t="s">
        <v>67</v>
      </c>
      <c r="T125" t="s">
        <v>98</v>
      </c>
      <c r="X125" t="s">
        <v>43</v>
      </c>
      <c r="Y125">
        <v>1495275</v>
      </c>
      <c r="Z125">
        <v>20250710</v>
      </c>
    </row>
    <row r="126" spans="3:26" x14ac:dyDescent="0.25">
      <c r="C126">
        <v>10000001</v>
      </c>
      <c r="D126" t="s">
        <v>221</v>
      </c>
      <c r="F126">
        <v>12005435</v>
      </c>
      <c r="H126" t="s">
        <v>221</v>
      </c>
      <c r="I126">
        <v>50</v>
      </c>
      <c r="J126" s="1">
        <v>-50000</v>
      </c>
      <c r="K126" t="s">
        <v>26</v>
      </c>
      <c r="L126" s="1">
        <v>-50000</v>
      </c>
      <c r="M126" t="s">
        <v>26</v>
      </c>
      <c r="Q126" t="s">
        <v>27</v>
      </c>
      <c r="R126" t="s">
        <v>222</v>
      </c>
      <c r="S126" t="s">
        <v>45</v>
      </c>
      <c r="T126" t="s">
        <v>223</v>
      </c>
      <c r="X126" t="s">
        <v>43</v>
      </c>
      <c r="Y126">
        <v>1495275</v>
      </c>
      <c r="Z126">
        <v>20250711</v>
      </c>
    </row>
    <row r="127" spans="3:26" x14ac:dyDescent="0.25">
      <c r="C127">
        <v>10000001</v>
      </c>
      <c r="D127" t="s">
        <v>221</v>
      </c>
      <c r="F127">
        <v>12005436</v>
      </c>
      <c r="H127" t="s">
        <v>221</v>
      </c>
      <c r="I127">
        <v>50</v>
      </c>
      <c r="J127" s="1">
        <v>-50000</v>
      </c>
      <c r="K127" t="s">
        <v>26</v>
      </c>
      <c r="L127" s="1">
        <v>-50000</v>
      </c>
      <c r="M127" t="s">
        <v>26</v>
      </c>
      <c r="Q127" t="s">
        <v>27</v>
      </c>
      <c r="R127" t="s">
        <v>222</v>
      </c>
      <c r="S127" t="s">
        <v>45</v>
      </c>
      <c r="T127" t="s">
        <v>224</v>
      </c>
      <c r="X127" t="s">
        <v>43</v>
      </c>
      <c r="Y127">
        <v>1495275</v>
      </c>
      <c r="Z127">
        <v>20250711</v>
      </c>
    </row>
    <row r="128" spans="3:26" x14ac:dyDescent="0.25">
      <c r="C128">
        <v>10000001</v>
      </c>
      <c r="D128" t="s">
        <v>221</v>
      </c>
      <c r="F128">
        <v>12005437</v>
      </c>
      <c r="H128" t="s">
        <v>221</v>
      </c>
      <c r="I128">
        <v>50</v>
      </c>
      <c r="J128" s="1">
        <v>-50000</v>
      </c>
      <c r="K128" t="s">
        <v>26</v>
      </c>
      <c r="L128" s="1">
        <v>-50000</v>
      </c>
      <c r="M128" t="s">
        <v>26</v>
      </c>
      <c r="Q128" t="s">
        <v>27</v>
      </c>
      <c r="R128" t="s">
        <v>222</v>
      </c>
      <c r="S128" t="s">
        <v>45</v>
      </c>
      <c r="T128" t="s">
        <v>225</v>
      </c>
      <c r="X128" t="s">
        <v>43</v>
      </c>
      <c r="Y128">
        <v>1495275</v>
      </c>
      <c r="Z128">
        <v>20250711</v>
      </c>
    </row>
    <row r="129" spans="3:26" x14ac:dyDescent="0.25">
      <c r="C129">
        <v>10000001</v>
      </c>
      <c r="D129" t="s">
        <v>221</v>
      </c>
      <c r="F129">
        <v>12005438</v>
      </c>
      <c r="H129" t="s">
        <v>221</v>
      </c>
      <c r="I129">
        <v>50</v>
      </c>
      <c r="J129" s="1">
        <v>-50000</v>
      </c>
      <c r="K129" t="s">
        <v>26</v>
      </c>
      <c r="L129" s="1">
        <v>-50000</v>
      </c>
      <c r="M129" t="s">
        <v>26</v>
      </c>
      <c r="Q129" t="s">
        <v>27</v>
      </c>
      <c r="R129" t="s">
        <v>222</v>
      </c>
      <c r="S129" t="s">
        <v>45</v>
      </c>
      <c r="T129" t="s">
        <v>226</v>
      </c>
      <c r="X129" t="s">
        <v>43</v>
      </c>
      <c r="Y129">
        <v>1495275</v>
      </c>
      <c r="Z129">
        <v>20250711</v>
      </c>
    </row>
    <row r="130" spans="3:26" x14ac:dyDescent="0.25">
      <c r="C130">
        <v>10000001</v>
      </c>
      <c r="D130" t="s">
        <v>221</v>
      </c>
      <c r="F130">
        <v>12005439</v>
      </c>
      <c r="H130" t="s">
        <v>221</v>
      </c>
      <c r="I130">
        <v>50</v>
      </c>
      <c r="J130" s="1">
        <v>-50000</v>
      </c>
      <c r="K130" t="s">
        <v>26</v>
      </c>
      <c r="L130" s="1">
        <v>-50000</v>
      </c>
      <c r="M130" t="s">
        <v>26</v>
      </c>
      <c r="Q130" t="s">
        <v>27</v>
      </c>
      <c r="R130" t="s">
        <v>222</v>
      </c>
      <c r="S130" t="s">
        <v>45</v>
      </c>
      <c r="T130" t="s">
        <v>227</v>
      </c>
      <c r="X130" t="s">
        <v>43</v>
      </c>
      <c r="Y130">
        <v>1495275</v>
      </c>
      <c r="Z130">
        <v>20250711</v>
      </c>
    </row>
    <row r="131" spans="3:26" x14ac:dyDescent="0.25">
      <c r="C131">
        <v>10000001</v>
      </c>
      <c r="D131" t="s">
        <v>221</v>
      </c>
      <c r="F131">
        <v>12005440</v>
      </c>
      <c r="H131" t="s">
        <v>221</v>
      </c>
      <c r="I131">
        <v>50</v>
      </c>
      <c r="J131" s="1">
        <v>-50000</v>
      </c>
      <c r="K131" t="s">
        <v>26</v>
      </c>
      <c r="L131" s="1">
        <v>-50000</v>
      </c>
      <c r="M131" t="s">
        <v>26</v>
      </c>
      <c r="Q131" t="s">
        <v>27</v>
      </c>
      <c r="R131" t="s">
        <v>222</v>
      </c>
      <c r="S131" t="s">
        <v>45</v>
      </c>
      <c r="T131" t="s">
        <v>228</v>
      </c>
      <c r="X131" t="s">
        <v>43</v>
      </c>
      <c r="Y131">
        <v>1495275</v>
      </c>
      <c r="Z131">
        <v>20250711</v>
      </c>
    </row>
    <row r="132" spans="3:26" x14ac:dyDescent="0.25">
      <c r="C132">
        <v>10000001</v>
      </c>
      <c r="D132" t="s">
        <v>221</v>
      </c>
      <c r="F132">
        <v>12005441</v>
      </c>
      <c r="H132" t="s">
        <v>221</v>
      </c>
      <c r="I132">
        <v>50</v>
      </c>
      <c r="J132" s="1">
        <v>-50000</v>
      </c>
      <c r="K132" t="s">
        <v>26</v>
      </c>
      <c r="L132" s="1">
        <v>-50000</v>
      </c>
      <c r="M132" t="s">
        <v>26</v>
      </c>
      <c r="Q132" t="s">
        <v>27</v>
      </c>
      <c r="R132" t="s">
        <v>222</v>
      </c>
      <c r="S132" t="s">
        <v>45</v>
      </c>
      <c r="T132" t="s">
        <v>229</v>
      </c>
      <c r="X132" t="s">
        <v>43</v>
      </c>
      <c r="Y132">
        <v>1495275</v>
      </c>
      <c r="Z132">
        <v>20250711</v>
      </c>
    </row>
    <row r="133" spans="3:26" x14ac:dyDescent="0.25">
      <c r="C133">
        <v>10000001</v>
      </c>
      <c r="D133" t="s">
        <v>221</v>
      </c>
      <c r="F133">
        <v>12005442</v>
      </c>
      <c r="H133" t="s">
        <v>221</v>
      </c>
      <c r="I133">
        <v>50</v>
      </c>
      <c r="J133" s="1">
        <v>-50000</v>
      </c>
      <c r="K133" t="s">
        <v>26</v>
      </c>
      <c r="L133" s="1">
        <v>-50000</v>
      </c>
      <c r="M133" t="s">
        <v>26</v>
      </c>
      <c r="Q133" t="s">
        <v>27</v>
      </c>
      <c r="R133" t="s">
        <v>222</v>
      </c>
      <c r="S133" t="s">
        <v>45</v>
      </c>
      <c r="T133" t="s">
        <v>230</v>
      </c>
      <c r="X133" t="s">
        <v>43</v>
      </c>
      <c r="Y133">
        <v>1495275</v>
      </c>
      <c r="Z133">
        <v>20250711</v>
      </c>
    </row>
    <row r="134" spans="3:26" x14ac:dyDescent="0.25">
      <c r="C134">
        <v>10000001</v>
      </c>
      <c r="D134" t="s">
        <v>221</v>
      </c>
      <c r="F134">
        <v>12005443</v>
      </c>
      <c r="H134" t="s">
        <v>221</v>
      </c>
      <c r="I134">
        <v>50</v>
      </c>
      <c r="J134" s="1">
        <v>-50000</v>
      </c>
      <c r="K134" t="s">
        <v>26</v>
      </c>
      <c r="L134" s="1">
        <v>-50000</v>
      </c>
      <c r="M134" t="s">
        <v>26</v>
      </c>
      <c r="Q134" t="s">
        <v>27</v>
      </c>
      <c r="R134" t="s">
        <v>231</v>
      </c>
      <c r="S134" t="s">
        <v>45</v>
      </c>
      <c r="T134" t="s">
        <v>232</v>
      </c>
      <c r="X134" t="s">
        <v>43</v>
      </c>
      <c r="Y134">
        <v>1495275</v>
      </c>
      <c r="Z134">
        <v>20250711</v>
      </c>
    </row>
    <row r="135" spans="3:26" x14ac:dyDescent="0.25">
      <c r="C135">
        <v>10000001</v>
      </c>
      <c r="D135" t="s">
        <v>221</v>
      </c>
      <c r="F135">
        <v>12005444</v>
      </c>
      <c r="H135" t="s">
        <v>221</v>
      </c>
      <c r="I135">
        <v>50</v>
      </c>
      <c r="J135" s="1">
        <v>-50000</v>
      </c>
      <c r="K135" t="s">
        <v>26</v>
      </c>
      <c r="L135" s="1">
        <v>-50000</v>
      </c>
      <c r="M135" t="s">
        <v>26</v>
      </c>
      <c r="Q135" t="s">
        <v>27</v>
      </c>
      <c r="R135" t="s">
        <v>231</v>
      </c>
      <c r="S135" t="s">
        <v>45</v>
      </c>
      <c r="T135" t="s">
        <v>233</v>
      </c>
      <c r="X135" t="s">
        <v>43</v>
      </c>
      <c r="Y135">
        <v>1495275</v>
      </c>
      <c r="Z135">
        <v>20250711</v>
      </c>
    </row>
    <row r="136" spans="3:26" x14ac:dyDescent="0.25">
      <c r="C136">
        <v>10000001</v>
      </c>
      <c r="D136" t="s">
        <v>221</v>
      </c>
      <c r="F136">
        <v>12005445</v>
      </c>
      <c r="H136" t="s">
        <v>221</v>
      </c>
      <c r="I136">
        <v>50</v>
      </c>
      <c r="J136" s="1">
        <v>-50000</v>
      </c>
      <c r="K136" t="s">
        <v>26</v>
      </c>
      <c r="L136" s="1">
        <v>-50000</v>
      </c>
      <c r="M136" t="s">
        <v>26</v>
      </c>
      <c r="Q136" t="s">
        <v>27</v>
      </c>
      <c r="R136" t="s">
        <v>231</v>
      </c>
      <c r="S136" t="s">
        <v>45</v>
      </c>
      <c r="T136" t="s">
        <v>234</v>
      </c>
      <c r="X136" t="s">
        <v>43</v>
      </c>
      <c r="Y136">
        <v>1495275</v>
      </c>
      <c r="Z136">
        <v>20250711</v>
      </c>
    </row>
    <row r="137" spans="3:26" x14ac:dyDescent="0.25">
      <c r="C137">
        <v>10000001</v>
      </c>
      <c r="D137" t="s">
        <v>221</v>
      </c>
      <c r="F137">
        <v>12005446</v>
      </c>
      <c r="H137" t="s">
        <v>221</v>
      </c>
      <c r="I137">
        <v>50</v>
      </c>
      <c r="J137" s="1">
        <v>-50000</v>
      </c>
      <c r="K137" t="s">
        <v>26</v>
      </c>
      <c r="L137" s="1">
        <v>-50000</v>
      </c>
      <c r="M137" t="s">
        <v>26</v>
      </c>
      <c r="Q137" t="s">
        <v>27</v>
      </c>
      <c r="R137" t="s">
        <v>231</v>
      </c>
      <c r="S137" t="s">
        <v>45</v>
      </c>
      <c r="T137" t="s">
        <v>235</v>
      </c>
      <c r="X137" t="s">
        <v>43</v>
      </c>
      <c r="Y137">
        <v>1495275</v>
      </c>
      <c r="Z137">
        <v>20250711</v>
      </c>
    </row>
    <row r="138" spans="3:26" x14ac:dyDescent="0.25">
      <c r="C138">
        <v>10000001</v>
      </c>
      <c r="D138" t="s">
        <v>221</v>
      </c>
      <c r="F138">
        <v>12005447</v>
      </c>
      <c r="H138" t="s">
        <v>221</v>
      </c>
      <c r="I138">
        <v>50</v>
      </c>
      <c r="J138" s="1">
        <v>-50000</v>
      </c>
      <c r="K138" t="s">
        <v>26</v>
      </c>
      <c r="L138" s="1">
        <v>-50000</v>
      </c>
      <c r="M138" t="s">
        <v>26</v>
      </c>
      <c r="Q138" t="s">
        <v>27</v>
      </c>
      <c r="R138" t="s">
        <v>231</v>
      </c>
      <c r="S138" t="s">
        <v>45</v>
      </c>
      <c r="T138" t="s">
        <v>236</v>
      </c>
      <c r="X138" t="s">
        <v>43</v>
      </c>
      <c r="Y138">
        <v>1495275</v>
      </c>
      <c r="Z138">
        <v>20250711</v>
      </c>
    </row>
    <row r="139" spans="3:26" x14ac:dyDescent="0.25">
      <c r="C139">
        <v>10000001</v>
      </c>
      <c r="D139" t="s">
        <v>221</v>
      </c>
      <c r="F139">
        <v>12005448</v>
      </c>
      <c r="H139" t="s">
        <v>221</v>
      </c>
      <c r="I139">
        <v>50</v>
      </c>
      <c r="J139" s="1">
        <v>-50000</v>
      </c>
      <c r="K139" t="s">
        <v>26</v>
      </c>
      <c r="L139" s="1">
        <v>-50000</v>
      </c>
      <c r="M139" t="s">
        <v>26</v>
      </c>
      <c r="Q139" t="s">
        <v>27</v>
      </c>
      <c r="R139" t="s">
        <v>231</v>
      </c>
      <c r="S139" t="s">
        <v>45</v>
      </c>
      <c r="T139" t="s">
        <v>237</v>
      </c>
      <c r="X139" t="s">
        <v>43</v>
      </c>
      <c r="Y139">
        <v>1495275</v>
      </c>
      <c r="Z139">
        <v>20250711</v>
      </c>
    </row>
    <row r="140" spans="3:26" x14ac:dyDescent="0.25">
      <c r="C140">
        <v>10000001</v>
      </c>
      <c r="D140" t="s">
        <v>221</v>
      </c>
      <c r="F140">
        <v>12005449</v>
      </c>
      <c r="H140" t="s">
        <v>221</v>
      </c>
      <c r="I140">
        <v>50</v>
      </c>
      <c r="J140" s="1">
        <v>-50000</v>
      </c>
      <c r="K140" t="s">
        <v>26</v>
      </c>
      <c r="L140" s="1">
        <v>-50000</v>
      </c>
      <c r="M140" t="s">
        <v>26</v>
      </c>
      <c r="Q140" t="s">
        <v>27</v>
      </c>
      <c r="R140" t="s">
        <v>231</v>
      </c>
      <c r="S140" t="s">
        <v>45</v>
      </c>
      <c r="T140" t="s">
        <v>238</v>
      </c>
      <c r="X140" t="s">
        <v>43</v>
      </c>
      <c r="Y140">
        <v>1495275</v>
      </c>
      <c r="Z140">
        <v>20250711</v>
      </c>
    </row>
    <row r="141" spans="3:26" x14ac:dyDescent="0.25">
      <c r="C141">
        <v>10000001</v>
      </c>
      <c r="D141" t="s">
        <v>221</v>
      </c>
      <c r="F141">
        <v>12005450</v>
      </c>
      <c r="H141" t="s">
        <v>221</v>
      </c>
      <c r="I141">
        <v>50</v>
      </c>
      <c r="J141" s="1">
        <v>-100000</v>
      </c>
      <c r="K141" t="s">
        <v>26</v>
      </c>
      <c r="L141" s="1">
        <v>-100000</v>
      </c>
      <c r="M141" t="s">
        <v>26</v>
      </c>
      <c r="Q141" t="s">
        <v>27</v>
      </c>
      <c r="R141" t="s">
        <v>231</v>
      </c>
      <c r="S141" t="s">
        <v>45</v>
      </c>
      <c r="T141" t="s">
        <v>239</v>
      </c>
      <c r="X141" t="s">
        <v>43</v>
      </c>
      <c r="Y141">
        <v>1495275</v>
      </c>
      <c r="Z141">
        <v>20250711</v>
      </c>
    </row>
    <row r="142" spans="3:26" x14ac:dyDescent="0.25">
      <c r="C142">
        <v>10000001</v>
      </c>
      <c r="D142" t="s">
        <v>221</v>
      </c>
      <c r="F142">
        <v>12005451</v>
      </c>
      <c r="H142" t="s">
        <v>221</v>
      </c>
      <c r="I142">
        <v>50</v>
      </c>
      <c r="J142" s="1">
        <v>-50000</v>
      </c>
      <c r="K142" t="s">
        <v>26</v>
      </c>
      <c r="L142" s="1">
        <v>-50000</v>
      </c>
      <c r="M142" t="s">
        <v>26</v>
      </c>
      <c r="Q142" t="s">
        <v>27</v>
      </c>
      <c r="R142" t="s">
        <v>231</v>
      </c>
      <c r="S142" t="s">
        <v>45</v>
      </c>
      <c r="T142" t="s">
        <v>240</v>
      </c>
      <c r="X142" t="s">
        <v>43</v>
      </c>
      <c r="Y142">
        <v>1495275</v>
      </c>
      <c r="Z142">
        <v>20250711</v>
      </c>
    </row>
    <row r="143" spans="3:26" x14ac:dyDescent="0.25">
      <c r="C143">
        <v>10000001</v>
      </c>
      <c r="D143" t="s">
        <v>221</v>
      </c>
      <c r="F143">
        <v>12005452</v>
      </c>
      <c r="H143" t="s">
        <v>221</v>
      </c>
      <c r="I143">
        <v>50</v>
      </c>
      <c r="J143" s="1">
        <v>-50000</v>
      </c>
      <c r="K143" t="s">
        <v>26</v>
      </c>
      <c r="L143" s="1">
        <v>-50000</v>
      </c>
      <c r="M143" t="s">
        <v>26</v>
      </c>
      <c r="Q143" t="s">
        <v>27</v>
      </c>
      <c r="R143" t="s">
        <v>231</v>
      </c>
      <c r="S143" t="s">
        <v>45</v>
      </c>
      <c r="T143" t="s">
        <v>241</v>
      </c>
      <c r="X143" t="s">
        <v>43</v>
      </c>
      <c r="Y143">
        <v>1495275</v>
      </c>
      <c r="Z143">
        <v>20250711</v>
      </c>
    </row>
    <row r="144" spans="3:26" x14ac:dyDescent="0.25">
      <c r="C144">
        <v>10000001</v>
      </c>
      <c r="D144" t="s">
        <v>221</v>
      </c>
      <c r="F144">
        <v>12005453</v>
      </c>
      <c r="H144" t="s">
        <v>221</v>
      </c>
      <c r="I144">
        <v>50</v>
      </c>
      <c r="J144" s="1">
        <v>-50000</v>
      </c>
      <c r="K144" t="s">
        <v>26</v>
      </c>
      <c r="L144" s="1">
        <v>-50000</v>
      </c>
      <c r="M144" t="s">
        <v>26</v>
      </c>
      <c r="Q144" t="s">
        <v>27</v>
      </c>
      <c r="R144" t="s">
        <v>231</v>
      </c>
      <c r="S144" t="s">
        <v>45</v>
      </c>
      <c r="T144" t="s">
        <v>242</v>
      </c>
      <c r="X144" t="s">
        <v>43</v>
      </c>
      <c r="Y144">
        <v>1495275</v>
      </c>
      <c r="Z144">
        <v>20250711</v>
      </c>
    </row>
    <row r="145" spans="3:26" x14ac:dyDescent="0.25">
      <c r="C145">
        <v>10000001</v>
      </c>
      <c r="D145" t="s">
        <v>221</v>
      </c>
      <c r="F145">
        <v>12005454</v>
      </c>
      <c r="H145" t="s">
        <v>221</v>
      </c>
      <c r="I145">
        <v>50</v>
      </c>
      <c r="J145" s="1">
        <v>-50000</v>
      </c>
      <c r="K145" t="s">
        <v>26</v>
      </c>
      <c r="L145" s="1">
        <v>-50000</v>
      </c>
      <c r="M145" t="s">
        <v>26</v>
      </c>
      <c r="Q145" t="s">
        <v>27</v>
      </c>
      <c r="R145" t="s">
        <v>231</v>
      </c>
      <c r="S145" t="s">
        <v>45</v>
      </c>
      <c r="T145" t="s">
        <v>243</v>
      </c>
      <c r="X145" t="s">
        <v>43</v>
      </c>
      <c r="Y145">
        <v>1495275</v>
      </c>
      <c r="Z145">
        <v>20250711</v>
      </c>
    </row>
    <row r="146" spans="3:26" x14ac:dyDescent="0.25">
      <c r="C146">
        <v>10000001</v>
      </c>
      <c r="D146" t="s">
        <v>221</v>
      </c>
      <c r="F146">
        <v>12005455</v>
      </c>
      <c r="H146" t="s">
        <v>221</v>
      </c>
      <c r="I146">
        <v>50</v>
      </c>
      <c r="J146" s="1">
        <v>-100000</v>
      </c>
      <c r="K146" t="s">
        <v>26</v>
      </c>
      <c r="L146" s="1">
        <v>-100000</v>
      </c>
      <c r="M146" t="s">
        <v>26</v>
      </c>
      <c r="Q146" t="s">
        <v>27</v>
      </c>
      <c r="R146" t="s">
        <v>231</v>
      </c>
      <c r="S146" t="s">
        <v>45</v>
      </c>
      <c r="T146" t="s">
        <v>244</v>
      </c>
      <c r="X146" t="s">
        <v>43</v>
      </c>
      <c r="Y146">
        <v>1495275</v>
      </c>
      <c r="Z146">
        <v>20250711</v>
      </c>
    </row>
    <row r="147" spans="3:26" x14ac:dyDescent="0.25">
      <c r="C147">
        <v>10000001</v>
      </c>
      <c r="D147" t="s">
        <v>221</v>
      </c>
      <c r="F147">
        <v>12005456</v>
      </c>
      <c r="H147" t="s">
        <v>221</v>
      </c>
      <c r="I147">
        <v>50</v>
      </c>
      <c r="J147" s="1">
        <v>-50000</v>
      </c>
      <c r="K147" t="s">
        <v>26</v>
      </c>
      <c r="L147" s="1">
        <v>-50000</v>
      </c>
      <c r="M147" t="s">
        <v>26</v>
      </c>
      <c r="Q147" t="s">
        <v>27</v>
      </c>
      <c r="R147" t="s">
        <v>231</v>
      </c>
      <c r="S147" t="s">
        <v>45</v>
      </c>
      <c r="T147" t="s">
        <v>245</v>
      </c>
      <c r="X147" t="s">
        <v>43</v>
      </c>
      <c r="Y147">
        <v>1495275</v>
      </c>
      <c r="Z147">
        <v>20250711</v>
      </c>
    </row>
    <row r="148" spans="3:26" x14ac:dyDescent="0.25">
      <c r="C148">
        <v>10000001</v>
      </c>
      <c r="D148" t="s">
        <v>221</v>
      </c>
      <c r="F148">
        <v>12005457</v>
      </c>
      <c r="H148" t="s">
        <v>221</v>
      </c>
      <c r="I148">
        <v>50</v>
      </c>
      <c r="J148" s="1">
        <v>-50000</v>
      </c>
      <c r="K148" t="s">
        <v>26</v>
      </c>
      <c r="L148" s="1">
        <v>-50000</v>
      </c>
      <c r="M148" t="s">
        <v>26</v>
      </c>
      <c r="Q148" t="s">
        <v>27</v>
      </c>
      <c r="R148" t="s">
        <v>231</v>
      </c>
      <c r="S148" t="s">
        <v>45</v>
      </c>
      <c r="T148" t="s">
        <v>246</v>
      </c>
      <c r="X148" t="s">
        <v>43</v>
      </c>
      <c r="Y148">
        <v>1495275</v>
      </c>
      <c r="Z148">
        <v>20250711</v>
      </c>
    </row>
    <row r="149" spans="3:26" x14ac:dyDescent="0.25">
      <c r="C149">
        <v>10000001</v>
      </c>
      <c r="D149" t="s">
        <v>221</v>
      </c>
      <c r="F149">
        <v>12005458</v>
      </c>
      <c r="H149" t="s">
        <v>221</v>
      </c>
      <c r="I149">
        <v>50</v>
      </c>
      <c r="J149" s="1">
        <v>-50000</v>
      </c>
      <c r="K149" t="s">
        <v>26</v>
      </c>
      <c r="L149" s="1">
        <v>-50000</v>
      </c>
      <c r="M149" t="s">
        <v>26</v>
      </c>
      <c r="Q149" t="s">
        <v>27</v>
      </c>
      <c r="R149" t="s">
        <v>231</v>
      </c>
      <c r="S149" t="s">
        <v>45</v>
      </c>
      <c r="T149" t="s">
        <v>247</v>
      </c>
      <c r="X149" t="s">
        <v>43</v>
      </c>
      <c r="Y149">
        <v>1495275</v>
      </c>
      <c r="Z149">
        <v>20250711</v>
      </c>
    </row>
    <row r="150" spans="3:26" x14ac:dyDescent="0.25">
      <c r="C150">
        <v>10000001</v>
      </c>
      <c r="D150" t="s">
        <v>221</v>
      </c>
      <c r="F150">
        <v>12005459</v>
      </c>
      <c r="H150" t="s">
        <v>221</v>
      </c>
      <c r="I150">
        <v>50</v>
      </c>
      <c r="J150" s="1">
        <v>-50000</v>
      </c>
      <c r="K150" t="s">
        <v>26</v>
      </c>
      <c r="L150" s="1">
        <v>-50000</v>
      </c>
      <c r="M150" t="s">
        <v>26</v>
      </c>
      <c r="Q150" t="s">
        <v>27</v>
      </c>
      <c r="R150" t="s">
        <v>231</v>
      </c>
      <c r="S150" t="s">
        <v>45</v>
      </c>
      <c r="T150" t="s">
        <v>248</v>
      </c>
      <c r="X150" t="s">
        <v>43</v>
      </c>
      <c r="Y150">
        <v>1495275</v>
      </c>
      <c r="Z150">
        <v>20250711</v>
      </c>
    </row>
    <row r="151" spans="3:26" x14ac:dyDescent="0.25">
      <c r="C151">
        <v>10000001</v>
      </c>
      <c r="D151" t="s">
        <v>221</v>
      </c>
      <c r="F151">
        <v>12005460</v>
      </c>
      <c r="H151" t="s">
        <v>221</v>
      </c>
      <c r="I151">
        <v>40</v>
      </c>
      <c r="J151" s="1">
        <v>32056775</v>
      </c>
      <c r="K151" t="s">
        <v>26</v>
      </c>
      <c r="L151" s="1">
        <v>32056775</v>
      </c>
      <c r="M151" t="s">
        <v>26</v>
      </c>
      <c r="Q151" t="s">
        <v>27</v>
      </c>
      <c r="S151" t="s">
        <v>249</v>
      </c>
      <c r="T151" t="s">
        <v>250</v>
      </c>
      <c r="X151" t="s">
        <v>43</v>
      </c>
      <c r="Y151">
        <v>1495275</v>
      </c>
      <c r="Z151">
        <v>20250711</v>
      </c>
    </row>
    <row r="152" spans="3:26" x14ac:dyDescent="0.25">
      <c r="C152">
        <v>10000001</v>
      </c>
      <c r="D152" t="s">
        <v>251</v>
      </c>
      <c r="F152">
        <v>12005952</v>
      </c>
      <c r="H152" t="s">
        <v>251</v>
      </c>
      <c r="I152">
        <v>50</v>
      </c>
      <c r="J152" s="1">
        <v>-629000</v>
      </c>
      <c r="K152" t="s">
        <v>26</v>
      </c>
      <c r="L152" s="1">
        <v>-629000</v>
      </c>
      <c r="M152" t="s">
        <v>26</v>
      </c>
      <c r="Q152" t="s">
        <v>27</v>
      </c>
      <c r="S152" t="s">
        <v>59</v>
      </c>
      <c r="T152" t="s">
        <v>252</v>
      </c>
      <c r="X152" t="s">
        <v>43</v>
      </c>
      <c r="Y152">
        <v>1495275</v>
      </c>
      <c r="Z152">
        <v>20250716</v>
      </c>
    </row>
    <row r="153" spans="3:26" x14ac:dyDescent="0.25">
      <c r="C153">
        <v>10000001</v>
      </c>
      <c r="D153" t="s">
        <v>251</v>
      </c>
      <c r="F153">
        <v>12005953</v>
      </c>
      <c r="H153" t="s">
        <v>251</v>
      </c>
      <c r="I153">
        <v>50</v>
      </c>
      <c r="J153" s="1">
        <v>-303100</v>
      </c>
      <c r="K153" t="s">
        <v>26</v>
      </c>
      <c r="L153" s="1">
        <v>-303100</v>
      </c>
      <c r="M153" t="s">
        <v>26</v>
      </c>
      <c r="Q153" t="s">
        <v>27</v>
      </c>
      <c r="S153" t="s">
        <v>57</v>
      </c>
      <c r="T153" t="s">
        <v>253</v>
      </c>
      <c r="X153" t="s">
        <v>43</v>
      </c>
      <c r="Y153">
        <v>1495275</v>
      </c>
      <c r="Z153">
        <v>20250716</v>
      </c>
    </row>
    <row r="154" spans="3:26" x14ac:dyDescent="0.25">
      <c r="C154">
        <v>10000001</v>
      </c>
      <c r="D154" t="s">
        <v>251</v>
      </c>
      <c r="F154">
        <v>12005954</v>
      </c>
      <c r="H154" t="s">
        <v>251</v>
      </c>
      <c r="I154">
        <v>50</v>
      </c>
      <c r="J154" s="1">
        <v>-290500</v>
      </c>
      <c r="K154" t="s">
        <v>26</v>
      </c>
      <c r="L154" s="1">
        <v>-290500</v>
      </c>
      <c r="M154" t="s">
        <v>26</v>
      </c>
      <c r="Q154" t="s">
        <v>27</v>
      </c>
      <c r="S154" t="s">
        <v>254</v>
      </c>
      <c r="T154" t="s">
        <v>255</v>
      </c>
      <c r="X154" t="s">
        <v>43</v>
      </c>
      <c r="Y154">
        <v>1495275</v>
      </c>
      <c r="Z154">
        <v>20250716</v>
      </c>
    </row>
    <row r="155" spans="3:26" x14ac:dyDescent="0.25">
      <c r="C155">
        <v>10000001</v>
      </c>
      <c r="D155" t="s">
        <v>251</v>
      </c>
      <c r="F155">
        <v>12005955</v>
      </c>
      <c r="H155" t="s">
        <v>251</v>
      </c>
      <c r="I155">
        <v>50</v>
      </c>
      <c r="J155" s="1">
        <v>-304800</v>
      </c>
      <c r="K155" t="s">
        <v>26</v>
      </c>
      <c r="L155" s="1">
        <v>-304800</v>
      </c>
      <c r="M155" t="s">
        <v>26</v>
      </c>
      <c r="Q155" t="s">
        <v>27</v>
      </c>
      <c r="S155" t="s">
        <v>64</v>
      </c>
      <c r="T155" t="s">
        <v>256</v>
      </c>
      <c r="X155" t="s">
        <v>43</v>
      </c>
      <c r="Y155">
        <v>1495275</v>
      </c>
      <c r="Z155">
        <v>20250716</v>
      </c>
    </row>
    <row r="156" spans="3:26" x14ac:dyDescent="0.25">
      <c r="C156">
        <v>10000001</v>
      </c>
      <c r="D156" t="s">
        <v>251</v>
      </c>
      <c r="F156">
        <v>12005956</v>
      </c>
      <c r="H156" t="s">
        <v>251</v>
      </c>
      <c r="I156">
        <v>50</v>
      </c>
      <c r="J156" s="1">
        <v>-500000</v>
      </c>
      <c r="K156" t="s">
        <v>26</v>
      </c>
      <c r="L156" s="1">
        <v>-500000</v>
      </c>
      <c r="M156" t="s">
        <v>26</v>
      </c>
      <c r="Q156" t="s">
        <v>27</v>
      </c>
      <c r="S156" t="s">
        <v>41</v>
      </c>
      <c r="T156" t="s">
        <v>257</v>
      </c>
      <c r="X156" t="s">
        <v>43</v>
      </c>
      <c r="Y156">
        <v>1495275</v>
      </c>
      <c r="Z156">
        <v>20250716</v>
      </c>
    </row>
    <row r="157" spans="3:26" x14ac:dyDescent="0.25">
      <c r="C157">
        <v>10000001</v>
      </c>
      <c r="D157" t="s">
        <v>251</v>
      </c>
      <c r="F157">
        <v>12005957</v>
      </c>
      <c r="H157" t="s">
        <v>251</v>
      </c>
      <c r="I157">
        <v>50</v>
      </c>
      <c r="J157" s="1">
        <v>-331500</v>
      </c>
      <c r="K157" t="s">
        <v>26</v>
      </c>
      <c r="L157" s="1">
        <v>-331500</v>
      </c>
      <c r="M157" t="s">
        <v>26</v>
      </c>
      <c r="Q157" t="s">
        <v>27</v>
      </c>
      <c r="S157" t="s">
        <v>126</v>
      </c>
      <c r="T157" t="s">
        <v>258</v>
      </c>
      <c r="X157" t="s">
        <v>43</v>
      </c>
      <c r="Y157">
        <v>1495275</v>
      </c>
      <c r="Z157">
        <v>20250716</v>
      </c>
    </row>
    <row r="158" spans="3:26" x14ac:dyDescent="0.25">
      <c r="C158">
        <v>10000001</v>
      </c>
      <c r="D158" t="s">
        <v>251</v>
      </c>
      <c r="F158">
        <v>12005958</v>
      </c>
      <c r="H158" t="s">
        <v>251</v>
      </c>
      <c r="I158">
        <v>50</v>
      </c>
      <c r="J158" s="1">
        <v>-1000000</v>
      </c>
      <c r="K158" t="s">
        <v>26</v>
      </c>
      <c r="L158" s="1">
        <v>-1000000</v>
      </c>
      <c r="M158" t="s">
        <v>26</v>
      </c>
      <c r="Q158" t="s">
        <v>27</v>
      </c>
      <c r="S158" t="s">
        <v>259</v>
      </c>
      <c r="T158" t="s">
        <v>260</v>
      </c>
      <c r="X158" t="s">
        <v>43</v>
      </c>
      <c r="Y158">
        <v>1495275</v>
      </c>
      <c r="Z158">
        <v>20250716</v>
      </c>
    </row>
    <row r="159" spans="3:26" x14ac:dyDescent="0.25">
      <c r="C159">
        <v>10000001</v>
      </c>
      <c r="D159" t="s">
        <v>251</v>
      </c>
      <c r="F159">
        <v>12005959</v>
      </c>
      <c r="H159" t="s">
        <v>251</v>
      </c>
      <c r="I159">
        <v>50</v>
      </c>
      <c r="J159" s="1">
        <v>-153000</v>
      </c>
      <c r="K159" t="s">
        <v>26</v>
      </c>
      <c r="L159" s="1">
        <v>-153000</v>
      </c>
      <c r="M159" t="s">
        <v>26</v>
      </c>
      <c r="Q159" t="s">
        <v>27</v>
      </c>
      <c r="S159" t="s">
        <v>129</v>
      </c>
      <c r="T159" t="s">
        <v>261</v>
      </c>
      <c r="X159" t="s">
        <v>43</v>
      </c>
      <c r="Y159">
        <v>1495275</v>
      </c>
      <c r="Z159">
        <v>20250716</v>
      </c>
    </row>
    <row r="160" spans="3:26" x14ac:dyDescent="0.25">
      <c r="C160">
        <v>10000001</v>
      </c>
      <c r="D160" t="s">
        <v>251</v>
      </c>
      <c r="F160">
        <v>12005960</v>
      </c>
      <c r="H160" t="s">
        <v>251</v>
      </c>
      <c r="I160">
        <v>50</v>
      </c>
      <c r="J160" s="1">
        <v>-50000</v>
      </c>
      <c r="K160" t="s">
        <v>26</v>
      </c>
      <c r="L160" s="1">
        <v>-50000</v>
      </c>
      <c r="M160" t="s">
        <v>26</v>
      </c>
      <c r="Q160" t="s">
        <v>27</v>
      </c>
      <c r="S160" t="s">
        <v>45</v>
      </c>
      <c r="T160" t="s">
        <v>262</v>
      </c>
      <c r="X160" t="s">
        <v>43</v>
      </c>
      <c r="Y160">
        <v>1495275</v>
      </c>
      <c r="Z160">
        <v>20250716</v>
      </c>
    </row>
    <row r="161" spans="3:26" x14ac:dyDescent="0.25">
      <c r="C161">
        <v>10000001</v>
      </c>
      <c r="D161" t="s">
        <v>251</v>
      </c>
      <c r="F161">
        <v>12005961</v>
      </c>
      <c r="H161" t="s">
        <v>251</v>
      </c>
      <c r="I161">
        <v>50</v>
      </c>
      <c r="J161" s="1">
        <v>-50000</v>
      </c>
      <c r="K161" t="s">
        <v>26</v>
      </c>
      <c r="L161" s="1">
        <v>-50000</v>
      </c>
      <c r="M161" t="s">
        <v>26</v>
      </c>
      <c r="Q161" t="s">
        <v>27</v>
      </c>
      <c r="S161" t="s">
        <v>45</v>
      </c>
      <c r="T161" t="s">
        <v>263</v>
      </c>
      <c r="X161" t="s">
        <v>43</v>
      </c>
      <c r="Y161">
        <v>1495275</v>
      </c>
      <c r="Z161">
        <v>20250716</v>
      </c>
    </row>
    <row r="162" spans="3:26" x14ac:dyDescent="0.25">
      <c r="C162">
        <v>10000001</v>
      </c>
      <c r="D162" t="s">
        <v>251</v>
      </c>
      <c r="F162">
        <v>12005962</v>
      </c>
      <c r="H162" t="s">
        <v>251</v>
      </c>
      <c r="I162">
        <v>50</v>
      </c>
      <c r="J162" s="1">
        <v>-50000</v>
      </c>
      <c r="K162" t="s">
        <v>26</v>
      </c>
      <c r="L162" s="1">
        <v>-50000</v>
      </c>
      <c r="M162" t="s">
        <v>26</v>
      </c>
      <c r="Q162" t="s">
        <v>27</v>
      </c>
      <c r="S162" t="s">
        <v>45</v>
      </c>
      <c r="T162" t="s">
        <v>264</v>
      </c>
      <c r="X162" t="s">
        <v>43</v>
      </c>
      <c r="Y162">
        <v>1495275</v>
      </c>
      <c r="Z162">
        <v>20250716</v>
      </c>
    </row>
    <row r="163" spans="3:26" x14ac:dyDescent="0.25">
      <c r="C163">
        <v>10000001</v>
      </c>
      <c r="D163" t="s">
        <v>251</v>
      </c>
      <c r="F163">
        <v>12005963</v>
      </c>
      <c r="H163" t="s">
        <v>251</v>
      </c>
      <c r="I163">
        <v>50</v>
      </c>
      <c r="J163" s="1">
        <v>-50000</v>
      </c>
      <c r="K163" t="s">
        <v>26</v>
      </c>
      <c r="L163" s="1">
        <v>-50000</v>
      </c>
      <c r="M163" t="s">
        <v>26</v>
      </c>
      <c r="Q163" t="s">
        <v>27</v>
      </c>
      <c r="S163" t="s">
        <v>45</v>
      </c>
      <c r="T163" t="s">
        <v>265</v>
      </c>
      <c r="X163" t="s">
        <v>43</v>
      </c>
      <c r="Y163">
        <v>1495275</v>
      </c>
      <c r="Z163">
        <v>20250716</v>
      </c>
    </row>
    <row r="164" spans="3:26" x14ac:dyDescent="0.25">
      <c r="C164">
        <v>10000001</v>
      </c>
      <c r="D164" t="s">
        <v>251</v>
      </c>
      <c r="F164">
        <v>12005964</v>
      </c>
      <c r="H164" t="s">
        <v>251</v>
      </c>
      <c r="I164">
        <v>50</v>
      </c>
      <c r="J164" s="1">
        <v>-60000</v>
      </c>
      <c r="K164" t="s">
        <v>26</v>
      </c>
      <c r="L164" s="1">
        <v>-60000</v>
      </c>
      <c r="M164" t="s">
        <v>26</v>
      </c>
      <c r="Q164" t="s">
        <v>27</v>
      </c>
      <c r="S164" t="s">
        <v>129</v>
      </c>
      <c r="T164" t="s">
        <v>266</v>
      </c>
      <c r="X164" t="s">
        <v>43</v>
      </c>
      <c r="Y164">
        <v>1495275</v>
      </c>
      <c r="Z164">
        <v>20250716</v>
      </c>
    </row>
    <row r="165" spans="3:26" x14ac:dyDescent="0.25">
      <c r="C165">
        <v>10000001</v>
      </c>
      <c r="D165" t="s">
        <v>251</v>
      </c>
      <c r="F165">
        <v>12005965</v>
      </c>
      <c r="H165" t="s">
        <v>251</v>
      </c>
      <c r="I165">
        <v>50</v>
      </c>
      <c r="J165" s="1">
        <v>-770000</v>
      </c>
      <c r="K165" t="s">
        <v>26</v>
      </c>
      <c r="L165" s="1">
        <v>-770000</v>
      </c>
      <c r="M165" t="s">
        <v>26</v>
      </c>
      <c r="Q165" t="s">
        <v>27</v>
      </c>
      <c r="S165" t="s">
        <v>96</v>
      </c>
      <c r="T165" t="s">
        <v>267</v>
      </c>
      <c r="X165" t="s">
        <v>43</v>
      </c>
      <c r="Y165">
        <v>1495275</v>
      </c>
      <c r="Z165">
        <v>20250716</v>
      </c>
    </row>
    <row r="166" spans="3:26" x14ac:dyDescent="0.25">
      <c r="C166">
        <v>10000001</v>
      </c>
      <c r="D166" t="s">
        <v>251</v>
      </c>
      <c r="F166">
        <v>12005966</v>
      </c>
      <c r="H166" t="s">
        <v>251</v>
      </c>
      <c r="I166">
        <v>50</v>
      </c>
      <c r="J166" s="1">
        <v>-229900</v>
      </c>
      <c r="K166" t="s">
        <v>26</v>
      </c>
      <c r="L166" s="1">
        <v>-229900</v>
      </c>
      <c r="M166" t="s">
        <v>26</v>
      </c>
      <c r="Q166" t="s">
        <v>27</v>
      </c>
      <c r="S166" t="s">
        <v>67</v>
      </c>
      <c r="T166" t="s">
        <v>98</v>
      </c>
      <c r="X166" t="s">
        <v>43</v>
      </c>
      <c r="Y166">
        <v>1495275</v>
      </c>
      <c r="Z166">
        <v>20250716</v>
      </c>
    </row>
    <row r="167" spans="3:26" x14ac:dyDescent="0.25">
      <c r="C167">
        <v>10000001</v>
      </c>
      <c r="D167" t="s">
        <v>251</v>
      </c>
      <c r="F167">
        <v>12005967</v>
      </c>
      <c r="H167" t="s">
        <v>251</v>
      </c>
      <c r="I167">
        <v>50</v>
      </c>
      <c r="J167" s="1">
        <v>-50000</v>
      </c>
      <c r="K167" t="s">
        <v>26</v>
      </c>
      <c r="L167" s="1">
        <v>-50000</v>
      </c>
      <c r="M167" t="s">
        <v>26</v>
      </c>
      <c r="Q167" t="s">
        <v>27</v>
      </c>
      <c r="S167" t="s">
        <v>45</v>
      </c>
      <c r="T167" t="s">
        <v>268</v>
      </c>
      <c r="X167" t="s">
        <v>43</v>
      </c>
      <c r="Y167">
        <v>1495275</v>
      </c>
      <c r="Z167">
        <v>20250716</v>
      </c>
    </row>
    <row r="168" spans="3:26" x14ac:dyDescent="0.25">
      <c r="C168">
        <v>10000001</v>
      </c>
      <c r="D168" t="s">
        <v>251</v>
      </c>
      <c r="F168">
        <v>12005968</v>
      </c>
      <c r="H168" t="s">
        <v>251</v>
      </c>
      <c r="I168">
        <v>50</v>
      </c>
      <c r="J168" s="1">
        <v>-50000</v>
      </c>
      <c r="K168" t="s">
        <v>26</v>
      </c>
      <c r="L168" s="1">
        <v>-50000</v>
      </c>
      <c r="M168" t="s">
        <v>26</v>
      </c>
      <c r="Q168" t="s">
        <v>27</v>
      </c>
      <c r="S168" t="s">
        <v>45</v>
      </c>
      <c r="T168" t="s">
        <v>269</v>
      </c>
      <c r="X168" t="s">
        <v>43</v>
      </c>
      <c r="Y168">
        <v>1495275</v>
      </c>
      <c r="Z168">
        <v>20250716</v>
      </c>
    </row>
    <row r="169" spans="3:26" x14ac:dyDescent="0.25">
      <c r="C169">
        <v>10000001</v>
      </c>
      <c r="D169" t="s">
        <v>251</v>
      </c>
      <c r="F169">
        <v>12005969</v>
      </c>
      <c r="H169" t="s">
        <v>251</v>
      </c>
      <c r="I169">
        <v>50</v>
      </c>
      <c r="J169" s="1">
        <v>-50000</v>
      </c>
      <c r="K169" t="s">
        <v>26</v>
      </c>
      <c r="L169" s="1">
        <v>-50000</v>
      </c>
      <c r="M169" t="s">
        <v>26</v>
      </c>
      <c r="Q169" t="s">
        <v>27</v>
      </c>
      <c r="S169" t="s">
        <v>45</v>
      </c>
      <c r="T169" t="s">
        <v>270</v>
      </c>
      <c r="X169" t="s">
        <v>43</v>
      </c>
      <c r="Y169">
        <v>1495275</v>
      </c>
      <c r="Z169">
        <v>20250716</v>
      </c>
    </row>
    <row r="170" spans="3:26" x14ac:dyDescent="0.25">
      <c r="C170">
        <v>10000001</v>
      </c>
      <c r="D170" t="s">
        <v>251</v>
      </c>
      <c r="F170">
        <v>12005970</v>
      </c>
      <c r="H170" t="s">
        <v>251</v>
      </c>
      <c r="I170">
        <v>50</v>
      </c>
      <c r="J170" s="1">
        <v>-50000</v>
      </c>
      <c r="K170" t="s">
        <v>26</v>
      </c>
      <c r="L170" s="1">
        <v>-50000</v>
      </c>
      <c r="M170" t="s">
        <v>26</v>
      </c>
      <c r="Q170" t="s">
        <v>27</v>
      </c>
      <c r="S170" t="s">
        <v>45</v>
      </c>
      <c r="T170" t="s">
        <v>271</v>
      </c>
      <c r="X170" t="s">
        <v>43</v>
      </c>
      <c r="Y170">
        <v>1495275</v>
      </c>
      <c r="Z170">
        <v>20250716</v>
      </c>
    </row>
    <row r="171" spans="3:26" x14ac:dyDescent="0.25">
      <c r="C171">
        <v>10000001</v>
      </c>
      <c r="D171" t="s">
        <v>251</v>
      </c>
      <c r="F171">
        <v>12005971</v>
      </c>
      <c r="H171" t="s">
        <v>251</v>
      </c>
      <c r="I171">
        <v>50</v>
      </c>
      <c r="J171" s="1">
        <v>-50000</v>
      </c>
      <c r="K171" t="s">
        <v>26</v>
      </c>
      <c r="L171" s="1">
        <v>-50000</v>
      </c>
      <c r="M171" t="s">
        <v>26</v>
      </c>
      <c r="Q171" t="s">
        <v>27</v>
      </c>
      <c r="S171" t="s">
        <v>45</v>
      </c>
      <c r="T171" t="s">
        <v>272</v>
      </c>
      <c r="X171" t="s">
        <v>43</v>
      </c>
      <c r="Y171">
        <v>1495275</v>
      </c>
      <c r="Z171">
        <v>20250716</v>
      </c>
    </row>
    <row r="172" spans="3:26" x14ac:dyDescent="0.25">
      <c r="C172">
        <v>10000001</v>
      </c>
      <c r="D172" t="s">
        <v>273</v>
      </c>
      <c r="F172">
        <v>12005972</v>
      </c>
      <c r="H172" t="s">
        <v>273</v>
      </c>
      <c r="I172">
        <v>50</v>
      </c>
      <c r="J172" s="1">
        <v>-962500</v>
      </c>
      <c r="K172" t="s">
        <v>26</v>
      </c>
      <c r="L172" s="1">
        <v>-962500</v>
      </c>
      <c r="M172" t="s">
        <v>26</v>
      </c>
      <c r="Q172" t="s">
        <v>27</v>
      </c>
      <c r="S172" t="s">
        <v>274</v>
      </c>
      <c r="T172" t="s">
        <v>275</v>
      </c>
      <c r="X172" t="s">
        <v>43</v>
      </c>
      <c r="Y172">
        <v>1495275</v>
      </c>
      <c r="Z172">
        <v>20250717</v>
      </c>
    </row>
    <row r="173" spans="3:26" x14ac:dyDescent="0.25">
      <c r="C173">
        <v>10000001</v>
      </c>
      <c r="D173" t="s">
        <v>273</v>
      </c>
      <c r="F173">
        <v>12005973</v>
      </c>
      <c r="H173" t="s">
        <v>273</v>
      </c>
      <c r="I173">
        <v>50</v>
      </c>
      <c r="J173" s="1">
        <v>-590000</v>
      </c>
      <c r="K173" t="s">
        <v>26</v>
      </c>
      <c r="L173" s="1">
        <v>-590000</v>
      </c>
      <c r="M173" t="s">
        <v>26</v>
      </c>
      <c r="Q173" t="s">
        <v>27</v>
      </c>
      <c r="S173" t="s">
        <v>96</v>
      </c>
      <c r="T173" t="s">
        <v>276</v>
      </c>
      <c r="X173" t="s">
        <v>43</v>
      </c>
      <c r="Y173">
        <v>1495275</v>
      </c>
      <c r="Z173">
        <v>20250717</v>
      </c>
    </row>
    <row r="174" spans="3:26" x14ac:dyDescent="0.25">
      <c r="C174">
        <v>10000001</v>
      </c>
      <c r="D174" t="s">
        <v>273</v>
      </c>
      <c r="F174">
        <v>12005974</v>
      </c>
      <c r="H174" t="s">
        <v>273</v>
      </c>
      <c r="I174">
        <v>50</v>
      </c>
      <c r="J174" s="1">
        <v>-407500</v>
      </c>
      <c r="K174" t="s">
        <v>26</v>
      </c>
      <c r="L174" s="1">
        <v>-407500</v>
      </c>
      <c r="M174" t="s">
        <v>26</v>
      </c>
      <c r="Q174" t="s">
        <v>27</v>
      </c>
      <c r="S174" t="s">
        <v>67</v>
      </c>
      <c r="T174" t="s">
        <v>98</v>
      </c>
      <c r="X174" t="s">
        <v>43</v>
      </c>
      <c r="Y174">
        <v>1495275</v>
      </c>
      <c r="Z174">
        <v>20250717</v>
      </c>
    </row>
    <row r="175" spans="3:26" x14ac:dyDescent="0.25">
      <c r="C175">
        <v>10000001</v>
      </c>
      <c r="D175" t="s">
        <v>273</v>
      </c>
      <c r="F175">
        <v>12005975</v>
      </c>
      <c r="H175" t="s">
        <v>273</v>
      </c>
      <c r="I175">
        <v>50</v>
      </c>
      <c r="J175" s="1">
        <v>-331727</v>
      </c>
      <c r="K175" t="s">
        <v>26</v>
      </c>
      <c r="L175" s="1">
        <v>-331727</v>
      </c>
      <c r="M175" t="s">
        <v>26</v>
      </c>
      <c r="Q175" t="s">
        <v>27</v>
      </c>
      <c r="S175" t="s">
        <v>59</v>
      </c>
      <c r="T175" t="s">
        <v>277</v>
      </c>
      <c r="X175" t="s">
        <v>43</v>
      </c>
      <c r="Y175">
        <v>1495275</v>
      </c>
      <c r="Z175">
        <v>20250717</v>
      </c>
    </row>
    <row r="176" spans="3:26" x14ac:dyDescent="0.25">
      <c r="C176">
        <v>10000001</v>
      </c>
      <c r="D176" t="s">
        <v>273</v>
      </c>
      <c r="F176">
        <v>12005976</v>
      </c>
      <c r="H176" t="s">
        <v>273</v>
      </c>
      <c r="I176">
        <v>50</v>
      </c>
      <c r="J176" s="1">
        <v>-963404</v>
      </c>
      <c r="K176" t="s">
        <v>26</v>
      </c>
      <c r="L176" s="1">
        <v>-963404</v>
      </c>
      <c r="M176" t="s">
        <v>26</v>
      </c>
      <c r="Q176" t="s">
        <v>27</v>
      </c>
      <c r="S176" t="s">
        <v>59</v>
      </c>
      <c r="T176" t="s">
        <v>278</v>
      </c>
      <c r="X176" t="s">
        <v>43</v>
      </c>
      <c r="Y176">
        <v>1495275</v>
      </c>
      <c r="Z176">
        <v>20250717</v>
      </c>
    </row>
    <row r="177" spans="3:26" x14ac:dyDescent="0.25">
      <c r="C177">
        <v>10000001</v>
      </c>
      <c r="D177" t="s">
        <v>273</v>
      </c>
      <c r="F177">
        <v>12005977</v>
      </c>
      <c r="H177" t="s">
        <v>273</v>
      </c>
      <c r="I177">
        <v>50</v>
      </c>
      <c r="J177" s="1">
        <v>-714500</v>
      </c>
      <c r="K177" t="s">
        <v>26</v>
      </c>
      <c r="L177" s="1">
        <v>-714500</v>
      </c>
      <c r="M177" t="s">
        <v>26</v>
      </c>
      <c r="Q177" t="s">
        <v>27</v>
      </c>
      <c r="S177" t="s">
        <v>146</v>
      </c>
      <c r="T177" t="s">
        <v>279</v>
      </c>
      <c r="X177" t="s">
        <v>43</v>
      </c>
      <c r="Y177">
        <v>1495275</v>
      </c>
      <c r="Z177">
        <v>20250717</v>
      </c>
    </row>
    <row r="178" spans="3:26" x14ac:dyDescent="0.25">
      <c r="C178">
        <v>10000001</v>
      </c>
      <c r="D178" t="s">
        <v>273</v>
      </c>
      <c r="F178">
        <v>12005978</v>
      </c>
      <c r="H178" t="s">
        <v>273</v>
      </c>
      <c r="I178">
        <v>50</v>
      </c>
      <c r="J178" s="1">
        <v>-830500</v>
      </c>
      <c r="K178" t="s">
        <v>26</v>
      </c>
      <c r="L178" s="1">
        <v>-830500</v>
      </c>
      <c r="M178" t="s">
        <v>26</v>
      </c>
      <c r="Q178" t="s">
        <v>27</v>
      </c>
      <c r="S178" t="s">
        <v>162</v>
      </c>
      <c r="T178" t="s">
        <v>280</v>
      </c>
      <c r="X178" t="s">
        <v>43</v>
      </c>
      <c r="Y178">
        <v>1495275</v>
      </c>
      <c r="Z178">
        <v>20250717</v>
      </c>
    </row>
    <row r="179" spans="3:26" x14ac:dyDescent="0.25">
      <c r="C179">
        <v>10000001</v>
      </c>
      <c r="D179" t="s">
        <v>273</v>
      </c>
      <c r="F179">
        <v>12005979</v>
      </c>
      <c r="H179" t="s">
        <v>273</v>
      </c>
      <c r="I179">
        <v>50</v>
      </c>
      <c r="J179" s="1">
        <v>-700000</v>
      </c>
      <c r="K179" t="s">
        <v>26</v>
      </c>
      <c r="L179" s="1">
        <v>-700000</v>
      </c>
      <c r="M179" t="s">
        <v>26</v>
      </c>
      <c r="Q179" t="s">
        <v>27</v>
      </c>
      <c r="S179" t="s">
        <v>281</v>
      </c>
      <c r="T179" t="s">
        <v>282</v>
      </c>
      <c r="X179" t="s">
        <v>43</v>
      </c>
      <c r="Y179">
        <v>1495275</v>
      </c>
      <c r="Z179">
        <v>20250717</v>
      </c>
    </row>
    <row r="180" spans="3:26" x14ac:dyDescent="0.25">
      <c r="C180">
        <v>10000001</v>
      </c>
      <c r="D180" t="s">
        <v>273</v>
      </c>
      <c r="F180">
        <v>12005980</v>
      </c>
      <c r="H180" t="s">
        <v>273</v>
      </c>
      <c r="I180">
        <v>50</v>
      </c>
      <c r="J180" s="1">
        <v>-500000</v>
      </c>
      <c r="K180" t="s">
        <v>26</v>
      </c>
      <c r="L180" s="1">
        <v>-500000</v>
      </c>
      <c r="M180" t="s">
        <v>26</v>
      </c>
      <c r="Q180" t="s">
        <v>27</v>
      </c>
      <c r="S180" t="s">
        <v>126</v>
      </c>
      <c r="T180" t="s">
        <v>283</v>
      </c>
      <c r="X180" t="s">
        <v>43</v>
      </c>
      <c r="Y180">
        <v>1495275</v>
      </c>
      <c r="Z180">
        <v>20250717</v>
      </c>
    </row>
    <row r="181" spans="3:26" x14ac:dyDescent="0.25">
      <c r="C181">
        <v>10000001</v>
      </c>
      <c r="D181" t="s">
        <v>284</v>
      </c>
      <c r="F181">
        <v>12005981</v>
      </c>
      <c r="H181" t="s">
        <v>284</v>
      </c>
      <c r="I181">
        <v>50</v>
      </c>
      <c r="J181" s="1">
        <v>-991000</v>
      </c>
      <c r="K181" t="s">
        <v>26</v>
      </c>
      <c r="L181" s="1">
        <v>-991000</v>
      </c>
      <c r="M181" t="s">
        <v>26</v>
      </c>
      <c r="Q181" t="s">
        <v>27</v>
      </c>
      <c r="R181" t="s">
        <v>285</v>
      </c>
      <c r="S181" t="s">
        <v>57</v>
      </c>
      <c r="T181" t="s">
        <v>286</v>
      </c>
      <c r="X181" t="s">
        <v>43</v>
      </c>
      <c r="Y181">
        <v>1495275</v>
      </c>
      <c r="Z181">
        <v>20250725</v>
      </c>
    </row>
    <row r="182" spans="3:26" x14ac:dyDescent="0.25">
      <c r="C182">
        <v>10000001</v>
      </c>
      <c r="D182" t="s">
        <v>284</v>
      </c>
      <c r="F182">
        <v>12005982</v>
      </c>
      <c r="H182" t="s">
        <v>284</v>
      </c>
      <c r="I182">
        <v>50</v>
      </c>
      <c r="J182" s="1">
        <v>-904127</v>
      </c>
      <c r="K182" t="s">
        <v>26</v>
      </c>
      <c r="L182" s="1">
        <v>-904127</v>
      </c>
      <c r="M182" t="s">
        <v>26</v>
      </c>
      <c r="Q182" t="s">
        <v>27</v>
      </c>
      <c r="R182" t="s">
        <v>287</v>
      </c>
      <c r="S182" t="s">
        <v>59</v>
      </c>
      <c r="T182" t="s">
        <v>288</v>
      </c>
      <c r="X182" t="s">
        <v>43</v>
      </c>
      <c r="Y182">
        <v>1495275</v>
      </c>
      <c r="Z182">
        <v>20250725</v>
      </c>
    </row>
    <row r="183" spans="3:26" x14ac:dyDescent="0.25">
      <c r="C183">
        <v>10000001</v>
      </c>
      <c r="D183" t="s">
        <v>284</v>
      </c>
      <c r="F183">
        <v>12005983</v>
      </c>
      <c r="H183" t="s">
        <v>284</v>
      </c>
      <c r="I183">
        <v>50</v>
      </c>
      <c r="J183" s="1">
        <v>-50000</v>
      </c>
      <c r="K183" t="s">
        <v>26</v>
      </c>
      <c r="L183" s="1">
        <v>-50000</v>
      </c>
      <c r="M183" t="s">
        <v>26</v>
      </c>
      <c r="Q183" t="s">
        <v>27</v>
      </c>
      <c r="R183" t="s">
        <v>289</v>
      </c>
      <c r="S183" t="s">
        <v>45</v>
      </c>
      <c r="T183" t="s">
        <v>290</v>
      </c>
      <c r="X183" t="s">
        <v>43</v>
      </c>
      <c r="Y183">
        <v>1495275</v>
      </c>
      <c r="Z183">
        <v>20250725</v>
      </c>
    </row>
    <row r="184" spans="3:26" x14ac:dyDescent="0.25">
      <c r="C184">
        <v>10000001</v>
      </c>
      <c r="D184" t="s">
        <v>284</v>
      </c>
      <c r="F184">
        <v>12005984</v>
      </c>
      <c r="H184" t="s">
        <v>284</v>
      </c>
      <c r="I184">
        <v>50</v>
      </c>
      <c r="J184" s="1">
        <v>-50000</v>
      </c>
      <c r="K184" t="s">
        <v>26</v>
      </c>
      <c r="L184" s="1">
        <v>-50000</v>
      </c>
      <c r="M184" t="s">
        <v>26</v>
      </c>
      <c r="Q184" t="s">
        <v>27</v>
      </c>
      <c r="R184" t="s">
        <v>289</v>
      </c>
      <c r="S184" t="s">
        <v>45</v>
      </c>
      <c r="T184" t="s">
        <v>291</v>
      </c>
      <c r="X184" t="s">
        <v>43</v>
      </c>
      <c r="Y184">
        <v>1495275</v>
      </c>
      <c r="Z184">
        <v>20250725</v>
      </c>
    </row>
    <row r="185" spans="3:26" x14ac:dyDescent="0.25">
      <c r="C185">
        <v>10000001</v>
      </c>
      <c r="D185" t="s">
        <v>284</v>
      </c>
      <c r="F185">
        <v>12005985</v>
      </c>
      <c r="H185" t="s">
        <v>284</v>
      </c>
      <c r="I185">
        <v>50</v>
      </c>
      <c r="J185" s="1">
        <v>-50000</v>
      </c>
      <c r="K185" t="s">
        <v>26</v>
      </c>
      <c r="L185" s="1">
        <v>-50000</v>
      </c>
      <c r="M185" t="s">
        <v>26</v>
      </c>
      <c r="Q185" t="s">
        <v>27</v>
      </c>
      <c r="R185" t="s">
        <v>289</v>
      </c>
      <c r="S185" t="s">
        <v>45</v>
      </c>
      <c r="T185" t="s">
        <v>292</v>
      </c>
      <c r="X185" t="s">
        <v>43</v>
      </c>
      <c r="Y185">
        <v>1495275</v>
      </c>
      <c r="Z185">
        <v>20250725</v>
      </c>
    </row>
    <row r="186" spans="3:26" x14ac:dyDescent="0.25">
      <c r="C186">
        <v>10000001</v>
      </c>
      <c r="D186" t="s">
        <v>284</v>
      </c>
      <c r="F186">
        <v>12005986</v>
      </c>
      <c r="H186" t="s">
        <v>284</v>
      </c>
      <c r="I186">
        <v>50</v>
      </c>
      <c r="J186" s="1">
        <v>-200000</v>
      </c>
      <c r="K186" t="s">
        <v>26</v>
      </c>
      <c r="L186" s="1">
        <v>-200000</v>
      </c>
      <c r="M186" t="s">
        <v>26</v>
      </c>
      <c r="Q186" t="s">
        <v>27</v>
      </c>
      <c r="R186" t="s">
        <v>289</v>
      </c>
      <c r="S186" t="s">
        <v>45</v>
      </c>
      <c r="T186" t="s">
        <v>293</v>
      </c>
      <c r="X186" t="s">
        <v>43</v>
      </c>
      <c r="Y186">
        <v>1495275</v>
      </c>
      <c r="Z186">
        <v>20250725</v>
      </c>
    </row>
    <row r="187" spans="3:26" x14ac:dyDescent="0.25">
      <c r="C187">
        <v>10000001</v>
      </c>
      <c r="D187" t="s">
        <v>284</v>
      </c>
      <c r="F187">
        <v>12005987</v>
      </c>
      <c r="H187" t="s">
        <v>284</v>
      </c>
      <c r="I187">
        <v>50</v>
      </c>
      <c r="J187" s="1">
        <v>-301000</v>
      </c>
      <c r="K187" t="s">
        <v>26</v>
      </c>
      <c r="L187" s="1">
        <v>-301000</v>
      </c>
      <c r="M187" t="s">
        <v>26</v>
      </c>
      <c r="Q187" t="s">
        <v>27</v>
      </c>
      <c r="R187" t="s">
        <v>294</v>
      </c>
      <c r="S187" t="s">
        <v>146</v>
      </c>
      <c r="T187" t="s">
        <v>295</v>
      </c>
      <c r="X187" t="s">
        <v>43</v>
      </c>
      <c r="Y187">
        <v>1495275</v>
      </c>
      <c r="Z187">
        <v>20250725</v>
      </c>
    </row>
    <row r="188" spans="3:26" x14ac:dyDescent="0.25">
      <c r="C188">
        <v>10000001</v>
      </c>
      <c r="D188" t="s">
        <v>284</v>
      </c>
      <c r="F188">
        <v>12005988</v>
      </c>
      <c r="H188" t="s">
        <v>284</v>
      </c>
      <c r="I188">
        <v>50</v>
      </c>
      <c r="J188" s="1">
        <v>-264000</v>
      </c>
      <c r="K188" t="s">
        <v>26</v>
      </c>
      <c r="L188" s="1">
        <v>-264000</v>
      </c>
      <c r="M188" t="s">
        <v>26</v>
      </c>
      <c r="Q188" t="s">
        <v>27</v>
      </c>
      <c r="R188" t="s">
        <v>294</v>
      </c>
      <c r="S188" t="s">
        <v>59</v>
      </c>
      <c r="T188" t="s">
        <v>296</v>
      </c>
      <c r="X188" t="s">
        <v>43</v>
      </c>
      <c r="Y188">
        <v>1495275</v>
      </c>
      <c r="Z188">
        <v>20250725</v>
      </c>
    </row>
    <row r="189" spans="3:26" x14ac:dyDescent="0.25">
      <c r="C189">
        <v>10000001</v>
      </c>
      <c r="D189" t="s">
        <v>284</v>
      </c>
      <c r="F189">
        <v>12005989</v>
      </c>
      <c r="H189" t="s">
        <v>284</v>
      </c>
      <c r="I189">
        <v>50</v>
      </c>
      <c r="J189" s="1">
        <v>-44000</v>
      </c>
      <c r="K189" t="s">
        <v>26</v>
      </c>
      <c r="L189" s="1">
        <v>-44000</v>
      </c>
      <c r="M189" t="s">
        <v>26</v>
      </c>
      <c r="Q189" t="s">
        <v>27</v>
      </c>
      <c r="R189" t="s">
        <v>294</v>
      </c>
      <c r="S189" t="s">
        <v>259</v>
      </c>
      <c r="T189" t="s">
        <v>297</v>
      </c>
      <c r="X189" t="s">
        <v>43</v>
      </c>
      <c r="Y189">
        <v>1495275</v>
      </c>
      <c r="Z189">
        <v>20250725</v>
      </c>
    </row>
    <row r="190" spans="3:26" x14ac:dyDescent="0.25">
      <c r="C190">
        <v>10000001</v>
      </c>
      <c r="D190" t="s">
        <v>284</v>
      </c>
      <c r="F190">
        <v>12005990</v>
      </c>
      <c r="H190" t="s">
        <v>284</v>
      </c>
      <c r="I190">
        <v>50</v>
      </c>
      <c r="J190" s="1">
        <v>-50000</v>
      </c>
      <c r="K190" t="s">
        <v>26</v>
      </c>
      <c r="L190" s="1">
        <v>-50000</v>
      </c>
      <c r="M190" t="s">
        <v>26</v>
      </c>
      <c r="Q190" t="s">
        <v>27</v>
      </c>
      <c r="R190" t="s">
        <v>298</v>
      </c>
      <c r="S190" t="s">
        <v>45</v>
      </c>
      <c r="T190" t="s">
        <v>299</v>
      </c>
      <c r="X190" t="s">
        <v>43</v>
      </c>
      <c r="Y190">
        <v>1495275</v>
      </c>
      <c r="Z190">
        <v>20250725</v>
      </c>
    </row>
    <row r="191" spans="3:26" x14ac:dyDescent="0.25">
      <c r="C191">
        <v>10000001</v>
      </c>
      <c r="D191" t="s">
        <v>284</v>
      </c>
      <c r="F191">
        <v>12005991</v>
      </c>
      <c r="H191" t="s">
        <v>284</v>
      </c>
      <c r="I191">
        <v>50</v>
      </c>
      <c r="J191" s="1">
        <v>-50000</v>
      </c>
      <c r="K191" t="s">
        <v>26</v>
      </c>
      <c r="L191" s="1">
        <v>-50000</v>
      </c>
      <c r="M191" t="s">
        <v>26</v>
      </c>
      <c r="Q191" t="s">
        <v>27</v>
      </c>
      <c r="R191" t="s">
        <v>298</v>
      </c>
      <c r="S191" t="s">
        <v>45</v>
      </c>
      <c r="T191" t="s">
        <v>300</v>
      </c>
      <c r="X191" t="s">
        <v>43</v>
      </c>
      <c r="Y191">
        <v>1495275</v>
      </c>
      <c r="Z191">
        <v>20250725</v>
      </c>
    </row>
    <row r="192" spans="3:26" x14ac:dyDescent="0.25">
      <c r="C192">
        <v>10000001</v>
      </c>
      <c r="D192" t="s">
        <v>284</v>
      </c>
      <c r="F192">
        <v>12005992</v>
      </c>
      <c r="H192" t="s">
        <v>284</v>
      </c>
      <c r="I192">
        <v>50</v>
      </c>
      <c r="J192" s="1">
        <v>-50000</v>
      </c>
      <c r="K192" t="s">
        <v>26</v>
      </c>
      <c r="L192" s="1">
        <v>-50000</v>
      </c>
      <c r="M192" t="s">
        <v>26</v>
      </c>
      <c r="Q192" t="s">
        <v>27</v>
      </c>
      <c r="R192" t="s">
        <v>298</v>
      </c>
      <c r="S192" t="s">
        <v>45</v>
      </c>
      <c r="T192" t="s">
        <v>301</v>
      </c>
      <c r="X192" t="s">
        <v>43</v>
      </c>
      <c r="Y192">
        <v>1495275</v>
      </c>
      <c r="Z192">
        <v>20250725</v>
      </c>
    </row>
    <row r="193" spans="3:26" x14ac:dyDescent="0.25">
      <c r="C193">
        <v>10000001</v>
      </c>
      <c r="D193" t="s">
        <v>284</v>
      </c>
      <c r="F193">
        <v>12005993</v>
      </c>
      <c r="H193" t="s">
        <v>284</v>
      </c>
      <c r="I193">
        <v>50</v>
      </c>
      <c r="J193" s="1">
        <v>-727500</v>
      </c>
      <c r="K193" t="s">
        <v>26</v>
      </c>
      <c r="L193" s="1">
        <v>-727500</v>
      </c>
      <c r="M193" t="s">
        <v>26</v>
      </c>
      <c r="Q193" t="s">
        <v>27</v>
      </c>
      <c r="R193" t="s">
        <v>302</v>
      </c>
      <c r="S193" t="s">
        <v>146</v>
      </c>
      <c r="T193" t="s">
        <v>303</v>
      </c>
      <c r="X193" t="s">
        <v>43</v>
      </c>
      <c r="Y193">
        <v>1495275</v>
      </c>
      <c r="Z193">
        <v>20250725</v>
      </c>
    </row>
    <row r="194" spans="3:26" x14ac:dyDescent="0.25">
      <c r="C194">
        <v>10000001</v>
      </c>
      <c r="D194" t="s">
        <v>284</v>
      </c>
      <c r="F194">
        <v>12005994</v>
      </c>
      <c r="H194" t="s">
        <v>284</v>
      </c>
      <c r="I194">
        <v>50</v>
      </c>
      <c r="J194" s="1">
        <v>-43000</v>
      </c>
      <c r="K194" t="s">
        <v>26</v>
      </c>
      <c r="L194" s="1">
        <v>-43000</v>
      </c>
      <c r="M194" t="s">
        <v>26</v>
      </c>
      <c r="Q194" t="s">
        <v>27</v>
      </c>
      <c r="R194" t="s">
        <v>302</v>
      </c>
      <c r="S194" t="s">
        <v>259</v>
      </c>
      <c r="T194" t="s">
        <v>304</v>
      </c>
      <c r="X194" t="s">
        <v>43</v>
      </c>
      <c r="Y194">
        <v>1495275</v>
      </c>
      <c r="Z194">
        <v>20250725</v>
      </c>
    </row>
    <row r="195" spans="3:26" x14ac:dyDescent="0.25">
      <c r="C195">
        <v>10000001</v>
      </c>
      <c r="D195" t="s">
        <v>284</v>
      </c>
      <c r="F195">
        <v>12005995</v>
      </c>
      <c r="H195" t="s">
        <v>284</v>
      </c>
      <c r="I195">
        <v>50</v>
      </c>
      <c r="J195" s="1">
        <v>-57000</v>
      </c>
      <c r="K195" t="s">
        <v>26</v>
      </c>
      <c r="L195" s="1">
        <v>-57000</v>
      </c>
      <c r="M195" t="s">
        <v>26</v>
      </c>
      <c r="Q195" t="s">
        <v>27</v>
      </c>
      <c r="R195" t="s">
        <v>302</v>
      </c>
      <c r="S195" t="s">
        <v>59</v>
      </c>
      <c r="T195" t="s">
        <v>305</v>
      </c>
      <c r="X195" t="s">
        <v>43</v>
      </c>
      <c r="Y195">
        <v>1495275</v>
      </c>
      <c r="Z195">
        <v>20250725</v>
      </c>
    </row>
    <row r="196" spans="3:26" x14ac:dyDescent="0.25">
      <c r="C196">
        <v>10000001</v>
      </c>
      <c r="D196" t="s">
        <v>284</v>
      </c>
      <c r="F196">
        <v>12005996</v>
      </c>
      <c r="H196" t="s">
        <v>284</v>
      </c>
      <c r="I196">
        <v>50</v>
      </c>
      <c r="J196" s="1">
        <v>-180000</v>
      </c>
      <c r="K196" t="s">
        <v>26</v>
      </c>
      <c r="L196" s="1">
        <v>-180000</v>
      </c>
      <c r="M196" t="s">
        <v>26</v>
      </c>
      <c r="Q196" t="s">
        <v>27</v>
      </c>
      <c r="R196" t="s">
        <v>306</v>
      </c>
      <c r="S196" t="s">
        <v>126</v>
      </c>
      <c r="T196" t="s">
        <v>307</v>
      </c>
      <c r="X196" t="s">
        <v>43</v>
      </c>
      <c r="Y196">
        <v>1495275</v>
      </c>
      <c r="Z196">
        <v>20250725</v>
      </c>
    </row>
    <row r="197" spans="3:26" x14ac:dyDescent="0.25">
      <c r="C197">
        <v>10000001</v>
      </c>
      <c r="D197" t="s">
        <v>284</v>
      </c>
      <c r="F197">
        <v>12005997</v>
      </c>
      <c r="H197" t="s">
        <v>284</v>
      </c>
      <c r="I197">
        <v>50</v>
      </c>
      <c r="J197" s="1">
        <v>-50000</v>
      </c>
      <c r="K197" t="s">
        <v>26</v>
      </c>
      <c r="L197" s="1">
        <v>-50000</v>
      </c>
      <c r="M197" t="s">
        <v>26</v>
      </c>
      <c r="Q197" t="s">
        <v>27</v>
      </c>
      <c r="R197" t="s">
        <v>308</v>
      </c>
      <c r="S197" t="s">
        <v>45</v>
      </c>
      <c r="T197" t="s">
        <v>309</v>
      </c>
      <c r="X197" t="s">
        <v>43</v>
      </c>
      <c r="Y197">
        <v>1495275</v>
      </c>
      <c r="Z197">
        <v>20250725</v>
      </c>
    </row>
    <row r="198" spans="3:26" x14ac:dyDescent="0.25">
      <c r="C198">
        <v>10000001</v>
      </c>
      <c r="D198" t="s">
        <v>284</v>
      </c>
      <c r="F198">
        <v>12005998</v>
      </c>
      <c r="H198" t="s">
        <v>284</v>
      </c>
      <c r="I198">
        <v>50</v>
      </c>
      <c r="J198" s="1">
        <v>-50000</v>
      </c>
      <c r="K198" t="s">
        <v>26</v>
      </c>
      <c r="L198" s="1">
        <v>-50000</v>
      </c>
      <c r="M198" t="s">
        <v>26</v>
      </c>
      <c r="Q198" t="s">
        <v>27</v>
      </c>
      <c r="R198" t="s">
        <v>308</v>
      </c>
      <c r="S198" t="s">
        <v>45</v>
      </c>
      <c r="T198" t="s">
        <v>310</v>
      </c>
      <c r="X198" t="s">
        <v>43</v>
      </c>
      <c r="Y198">
        <v>1495275</v>
      </c>
      <c r="Z198">
        <v>20250725</v>
      </c>
    </row>
    <row r="199" spans="3:26" x14ac:dyDescent="0.25">
      <c r="C199">
        <v>10000001</v>
      </c>
      <c r="D199" t="s">
        <v>284</v>
      </c>
      <c r="F199">
        <v>12005999</v>
      </c>
      <c r="H199" t="s">
        <v>284</v>
      </c>
      <c r="I199">
        <v>50</v>
      </c>
      <c r="J199" s="1">
        <v>-50000</v>
      </c>
      <c r="K199" t="s">
        <v>26</v>
      </c>
      <c r="L199" s="1">
        <v>-50000</v>
      </c>
      <c r="M199" t="s">
        <v>26</v>
      </c>
      <c r="Q199" t="s">
        <v>27</v>
      </c>
      <c r="R199" t="s">
        <v>308</v>
      </c>
      <c r="S199" t="s">
        <v>45</v>
      </c>
      <c r="T199" t="s">
        <v>311</v>
      </c>
      <c r="X199" t="s">
        <v>43</v>
      </c>
      <c r="Y199">
        <v>1495275</v>
      </c>
      <c r="Z199">
        <v>20250725</v>
      </c>
    </row>
    <row r="200" spans="3:26" x14ac:dyDescent="0.25">
      <c r="C200">
        <v>10000001</v>
      </c>
      <c r="D200" t="s">
        <v>284</v>
      </c>
      <c r="F200">
        <v>12006000</v>
      </c>
      <c r="H200" t="s">
        <v>284</v>
      </c>
      <c r="I200">
        <v>50</v>
      </c>
      <c r="J200" s="1">
        <v>-50000</v>
      </c>
      <c r="K200" t="s">
        <v>26</v>
      </c>
      <c r="L200" s="1">
        <v>-50000</v>
      </c>
      <c r="M200" t="s">
        <v>26</v>
      </c>
      <c r="Q200" t="s">
        <v>27</v>
      </c>
      <c r="R200" t="s">
        <v>308</v>
      </c>
      <c r="S200" t="s">
        <v>45</v>
      </c>
      <c r="T200" t="s">
        <v>312</v>
      </c>
      <c r="X200" t="s">
        <v>43</v>
      </c>
      <c r="Y200">
        <v>1495275</v>
      </c>
      <c r="Z200">
        <v>20250725</v>
      </c>
    </row>
    <row r="201" spans="3:26" x14ac:dyDescent="0.25">
      <c r="C201">
        <v>10000001</v>
      </c>
      <c r="D201" t="s">
        <v>284</v>
      </c>
      <c r="F201">
        <v>12006001</v>
      </c>
      <c r="H201" t="s">
        <v>284</v>
      </c>
      <c r="I201">
        <v>50</v>
      </c>
      <c r="J201" s="1">
        <v>-50000</v>
      </c>
      <c r="K201" t="s">
        <v>26</v>
      </c>
      <c r="L201" s="1">
        <v>-50000</v>
      </c>
      <c r="M201" t="s">
        <v>26</v>
      </c>
      <c r="Q201" t="s">
        <v>27</v>
      </c>
      <c r="R201" t="s">
        <v>308</v>
      </c>
      <c r="S201" t="s">
        <v>45</v>
      </c>
      <c r="T201" t="s">
        <v>313</v>
      </c>
      <c r="X201" t="s">
        <v>43</v>
      </c>
      <c r="Y201">
        <v>1495275</v>
      </c>
      <c r="Z201">
        <v>20250725</v>
      </c>
    </row>
    <row r="202" spans="3:26" x14ac:dyDescent="0.25">
      <c r="C202">
        <v>10000001</v>
      </c>
      <c r="D202" t="s">
        <v>284</v>
      </c>
      <c r="F202">
        <v>12006002</v>
      </c>
      <c r="H202" t="s">
        <v>284</v>
      </c>
      <c r="I202">
        <v>50</v>
      </c>
      <c r="J202" s="1">
        <v>-500000</v>
      </c>
      <c r="K202" t="s">
        <v>26</v>
      </c>
      <c r="L202" s="1">
        <v>-500000</v>
      </c>
      <c r="M202" t="s">
        <v>26</v>
      </c>
      <c r="Q202" t="s">
        <v>27</v>
      </c>
      <c r="R202" t="s">
        <v>314</v>
      </c>
      <c r="S202" t="s">
        <v>41</v>
      </c>
      <c r="T202" t="s">
        <v>315</v>
      </c>
      <c r="X202" t="s">
        <v>43</v>
      </c>
      <c r="Y202">
        <v>1495275</v>
      </c>
      <c r="Z202">
        <v>20250725</v>
      </c>
    </row>
    <row r="203" spans="3:26" x14ac:dyDescent="0.25">
      <c r="C203">
        <v>10000001</v>
      </c>
      <c r="D203" t="s">
        <v>284</v>
      </c>
      <c r="F203">
        <v>12006003</v>
      </c>
      <c r="H203" t="s">
        <v>284</v>
      </c>
      <c r="I203">
        <v>50</v>
      </c>
      <c r="J203" s="1">
        <v>-710000</v>
      </c>
      <c r="K203" t="s">
        <v>26</v>
      </c>
      <c r="L203" s="1">
        <v>-710000</v>
      </c>
      <c r="M203" t="s">
        <v>26</v>
      </c>
      <c r="Q203" t="s">
        <v>27</v>
      </c>
      <c r="R203" t="s">
        <v>316</v>
      </c>
      <c r="S203" t="s">
        <v>96</v>
      </c>
      <c r="T203" t="s">
        <v>317</v>
      </c>
      <c r="X203" t="s">
        <v>43</v>
      </c>
      <c r="Y203">
        <v>1495275</v>
      </c>
      <c r="Z203">
        <v>20250725</v>
      </c>
    </row>
    <row r="204" spans="3:26" x14ac:dyDescent="0.25">
      <c r="C204">
        <v>10000001</v>
      </c>
      <c r="D204" t="s">
        <v>284</v>
      </c>
      <c r="F204">
        <v>12006004</v>
      </c>
      <c r="H204" t="s">
        <v>284</v>
      </c>
      <c r="I204">
        <v>50</v>
      </c>
      <c r="J204" s="1">
        <v>-290000</v>
      </c>
      <c r="K204" t="s">
        <v>26</v>
      </c>
      <c r="L204" s="1">
        <v>-290000</v>
      </c>
      <c r="M204" t="s">
        <v>26</v>
      </c>
      <c r="Q204" t="s">
        <v>27</v>
      </c>
      <c r="R204" t="s">
        <v>316</v>
      </c>
      <c r="S204" t="s">
        <v>67</v>
      </c>
      <c r="T204" t="s">
        <v>98</v>
      </c>
      <c r="X204" t="s">
        <v>43</v>
      </c>
      <c r="Y204">
        <v>1495275</v>
      </c>
      <c r="Z204">
        <v>20250725</v>
      </c>
    </row>
    <row r="205" spans="3:26" x14ac:dyDescent="0.25">
      <c r="C205">
        <v>10000001</v>
      </c>
      <c r="D205" t="s">
        <v>284</v>
      </c>
      <c r="F205">
        <v>12006005</v>
      </c>
      <c r="H205" t="s">
        <v>284</v>
      </c>
      <c r="I205">
        <v>50</v>
      </c>
      <c r="J205" s="1">
        <v>-212000</v>
      </c>
      <c r="K205" t="s">
        <v>26</v>
      </c>
      <c r="L205" s="1">
        <v>-212000</v>
      </c>
      <c r="M205" t="s">
        <v>26</v>
      </c>
      <c r="Q205" t="s">
        <v>27</v>
      </c>
      <c r="R205" t="s">
        <v>318</v>
      </c>
      <c r="S205" t="s">
        <v>57</v>
      </c>
      <c r="T205" t="s">
        <v>319</v>
      </c>
      <c r="X205" t="s">
        <v>43</v>
      </c>
      <c r="Y205">
        <v>1495275</v>
      </c>
      <c r="Z205">
        <v>20250725</v>
      </c>
    </row>
    <row r="206" spans="3:26" x14ac:dyDescent="0.25">
      <c r="C206">
        <v>10000001</v>
      </c>
      <c r="D206" t="s">
        <v>284</v>
      </c>
      <c r="F206">
        <v>12006006</v>
      </c>
      <c r="H206" t="s">
        <v>284</v>
      </c>
      <c r="I206">
        <v>50</v>
      </c>
      <c r="J206" s="1">
        <v>-50000</v>
      </c>
      <c r="K206" t="s">
        <v>26</v>
      </c>
      <c r="L206" s="1">
        <v>-50000</v>
      </c>
      <c r="M206" t="s">
        <v>26</v>
      </c>
      <c r="Q206" t="s">
        <v>27</v>
      </c>
      <c r="R206" t="s">
        <v>320</v>
      </c>
      <c r="S206" t="s">
        <v>45</v>
      </c>
      <c r="T206" t="s">
        <v>321</v>
      </c>
      <c r="X206" t="s">
        <v>43</v>
      </c>
      <c r="Y206">
        <v>1495275</v>
      </c>
      <c r="Z206">
        <v>20250725</v>
      </c>
    </row>
    <row r="207" spans="3:26" x14ac:dyDescent="0.25">
      <c r="C207">
        <v>10000001</v>
      </c>
      <c r="D207" t="s">
        <v>284</v>
      </c>
      <c r="F207">
        <v>12006007</v>
      </c>
      <c r="H207" t="s">
        <v>284</v>
      </c>
      <c r="I207">
        <v>50</v>
      </c>
      <c r="J207" s="1">
        <v>-50000</v>
      </c>
      <c r="K207" t="s">
        <v>26</v>
      </c>
      <c r="L207" s="1">
        <v>-50000</v>
      </c>
      <c r="M207" t="s">
        <v>26</v>
      </c>
      <c r="Q207" t="s">
        <v>27</v>
      </c>
      <c r="R207" t="s">
        <v>320</v>
      </c>
      <c r="S207" t="s">
        <v>45</v>
      </c>
      <c r="T207" t="s">
        <v>322</v>
      </c>
      <c r="X207" t="s">
        <v>43</v>
      </c>
      <c r="Y207">
        <v>1495275</v>
      </c>
      <c r="Z207">
        <v>20250725</v>
      </c>
    </row>
    <row r="208" spans="3:26" x14ac:dyDescent="0.25">
      <c r="C208">
        <v>10000001</v>
      </c>
      <c r="D208" t="s">
        <v>284</v>
      </c>
      <c r="F208">
        <v>12006008</v>
      </c>
      <c r="H208" t="s">
        <v>284</v>
      </c>
      <c r="I208">
        <v>50</v>
      </c>
      <c r="J208" s="1">
        <v>-50000</v>
      </c>
      <c r="K208" t="s">
        <v>26</v>
      </c>
      <c r="L208" s="1">
        <v>-50000</v>
      </c>
      <c r="M208" t="s">
        <v>26</v>
      </c>
      <c r="Q208" t="s">
        <v>27</v>
      </c>
      <c r="R208" t="s">
        <v>320</v>
      </c>
      <c r="S208" t="s">
        <v>45</v>
      </c>
      <c r="T208" t="s">
        <v>323</v>
      </c>
      <c r="X208" t="s">
        <v>43</v>
      </c>
      <c r="Y208">
        <v>1495275</v>
      </c>
      <c r="Z208">
        <v>20250725</v>
      </c>
    </row>
    <row r="209" spans="3:26" x14ac:dyDescent="0.25">
      <c r="C209">
        <v>10000001</v>
      </c>
      <c r="D209" t="s">
        <v>284</v>
      </c>
      <c r="F209">
        <v>12006009</v>
      </c>
      <c r="H209" t="s">
        <v>284</v>
      </c>
      <c r="I209">
        <v>50</v>
      </c>
      <c r="J209" s="1">
        <v>-50000</v>
      </c>
      <c r="K209" t="s">
        <v>26</v>
      </c>
      <c r="L209" s="1">
        <v>-50000</v>
      </c>
      <c r="M209" t="s">
        <v>26</v>
      </c>
      <c r="Q209" t="s">
        <v>27</v>
      </c>
      <c r="R209" t="s">
        <v>320</v>
      </c>
      <c r="S209" t="s">
        <v>45</v>
      </c>
      <c r="T209" t="s">
        <v>324</v>
      </c>
      <c r="X209" t="s">
        <v>43</v>
      </c>
      <c r="Y209">
        <v>1495275</v>
      </c>
      <c r="Z209">
        <v>20250725</v>
      </c>
    </row>
    <row r="210" spans="3:26" x14ac:dyDescent="0.25">
      <c r="C210">
        <v>10000001</v>
      </c>
      <c r="D210" t="s">
        <v>284</v>
      </c>
      <c r="F210">
        <v>12006010</v>
      </c>
      <c r="H210" t="s">
        <v>284</v>
      </c>
      <c r="I210">
        <v>50</v>
      </c>
      <c r="J210" s="1">
        <v>-50000</v>
      </c>
      <c r="K210" t="s">
        <v>26</v>
      </c>
      <c r="L210" s="1">
        <v>-50000</v>
      </c>
      <c r="M210" t="s">
        <v>26</v>
      </c>
      <c r="Q210" t="s">
        <v>27</v>
      </c>
      <c r="R210" t="s">
        <v>320</v>
      </c>
      <c r="S210" t="s">
        <v>45</v>
      </c>
      <c r="T210" t="s">
        <v>325</v>
      </c>
      <c r="X210" t="s">
        <v>43</v>
      </c>
      <c r="Y210">
        <v>1495275</v>
      </c>
      <c r="Z210">
        <v>20250725</v>
      </c>
    </row>
    <row r="211" spans="3:26" x14ac:dyDescent="0.25">
      <c r="C211">
        <v>10000001</v>
      </c>
      <c r="D211" t="s">
        <v>284</v>
      </c>
      <c r="F211">
        <v>12006011</v>
      </c>
      <c r="H211" t="s">
        <v>284</v>
      </c>
      <c r="I211">
        <v>50</v>
      </c>
      <c r="J211" s="1">
        <v>-50000</v>
      </c>
      <c r="K211" t="s">
        <v>26</v>
      </c>
      <c r="L211" s="1">
        <v>-50000</v>
      </c>
      <c r="M211" t="s">
        <v>26</v>
      </c>
      <c r="Q211" t="s">
        <v>27</v>
      </c>
      <c r="R211" t="s">
        <v>320</v>
      </c>
      <c r="S211" t="s">
        <v>45</v>
      </c>
      <c r="T211" t="s">
        <v>326</v>
      </c>
      <c r="X211" t="s">
        <v>43</v>
      </c>
      <c r="Y211">
        <v>1495275</v>
      </c>
      <c r="Z211">
        <v>20250725</v>
      </c>
    </row>
    <row r="212" spans="3:26" x14ac:dyDescent="0.25">
      <c r="C212">
        <v>10000001</v>
      </c>
      <c r="D212" t="s">
        <v>284</v>
      </c>
      <c r="F212">
        <v>12006012</v>
      </c>
      <c r="H212" t="s">
        <v>284</v>
      </c>
      <c r="I212">
        <v>50</v>
      </c>
      <c r="J212" s="1">
        <v>-50000</v>
      </c>
      <c r="K212" t="s">
        <v>26</v>
      </c>
      <c r="L212" s="1">
        <v>-50000</v>
      </c>
      <c r="M212" t="s">
        <v>26</v>
      </c>
      <c r="Q212" t="s">
        <v>27</v>
      </c>
      <c r="R212" t="s">
        <v>320</v>
      </c>
      <c r="S212" t="s">
        <v>45</v>
      </c>
      <c r="T212" t="s">
        <v>327</v>
      </c>
      <c r="X212" t="s">
        <v>43</v>
      </c>
      <c r="Y212">
        <v>1495275</v>
      </c>
      <c r="Z212">
        <v>20250725</v>
      </c>
    </row>
    <row r="213" spans="3:26" x14ac:dyDescent="0.25">
      <c r="C213">
        <v>10000001</v>
      </c>
      <c r="D213" t="s">
        <v>284</v>
      </c>
      <c r="F213">
        <v>12006013</v>
      </c>
      <c r="H213" t="s">
        <v>284</v>
      </c>
      <c r="I213">
        <v>50</v>
      </c>
      <c r="J213" s="1">
        <v>-50000</v>
      </c>
      <c r="K213" t="s">
        <v>26</v>
      </c>
      <c r="L213" s="1">
        <v>-50000</v>
      </c>
      <c r="M213" t="s">
        <v>26</v>
      </c>
      <c r="Q213" t="s">
        <v>27</v>
      </c>
      <c r="R213" t="s">
        <v>320</v>
      </c>
      <c r="S213" t="s">
        <v>45</v>
      </c>
      <c r="T213" t="s">
        <v>328</v>
      </c>
      <c r="X213" t="s">
        <v>43</v>
      </c>
      <c r="Y213">
        <v>1495275</v>
      </c>
      <c r="Z213">
        <v>20250725</v>
      </c>
    </row>
    <row r="214" spans="3:26" x14ac:dyDescent="0.25">
      <c r="C214">
        <v>10000001</v>
      </c>
      <c r="D214" t="s">
        <v>284</v>
      </c>
      <c r="F214">
        <v>12006014</v>
      </c>
      <c r="H214" t="s">
        <v>284</v>
      </c>
      <c r="I214">
        <v>50</v>
      </c>
      <c r="J214" s="1">
        <v>-50000</v>
      </c>
      <c r="K214" t="s">
        <v>26</v>
      </c>
      <c r="L214" s="1">
        <v>-50000</v>
      </c>
      <c r="M214" t="s">
        <v>26</v>
      </c>
      <c r="Q214" t="s">
        <v>27</v>
      </c>
      <c r="R214" t="s">
        <v>320</v>
      </c>
      <c r="S214" t="s">
        <v>45</v>
      </c>
      <c r="T214" t="s">
        <v>329</v>
      </c>
      <c r="X214" t="s">
        <v>43</v>
      </c>
      <c r="Y214">
        <v>1495275</v>
      </c>
      <c r="Z214">
        <v>20250725</v>
      </c>
    </row>
    <row r="215" spans="3:26" x14ac:dyDescent="0.25">
      <c r="C215">
        <v>10000001</v>
      </c>
      <c r="D215" t="s">
        <v>284</v>
      </c>
      <c r="F215">
        <v>12006015</v>
      </c>
      <c r="H215" t="s">
        <v>284</v>
      </c>
      <c r="I215">
        <v>50</v>
      </c>
      <c r="J215" s="1">
        <v>-50000</v>
      </c>
      <c r="K215" t="s">
        <v>26</v>
      </c>
      <c r="L215" s="1">
        <v>-50000</v>
      </c>
      <c r="M215" t="s">
        <v>26</v>
      </c>
      <c r="Q215" t="s">
        <v>27</v>
      </c>
      <c r="R215" t="s">
        <v>330</v>
      </c>
      <c r="S215" t="s">
        <v>45</v>
      </c>
      <c r="T215" t="s">
        <v>331</v>
      </c>
      <c r="X215" t="s">
        <v>43</v>
      </c>
      <c r="Y215">
        <v>1495275</v>
      </c>
      <c r="Z215">
        <v>20250725</v>
      </c>
    </row>
    <row r="216" spans="3:26" x14ac:dyDescent="0.25">
      <c r="C216">
        <v>10000001</v>
      </c>
      <c r="D216" t="s">
        <v>284</v>
      </c>
      <c r="F216">
        <v>12006016</v>
      </c>
      <c r="H216" t="s">
        <v>284</v>
      </c>
      <c r="I216">
        <v>50</v>
      </c>
      <c r="J216" s="1">
        <v>-50000</v>
      </c>
      <c r="K216" t="s">
        <v>26</v>
      </c>
      <c r="L216" s="1">
        <v>-50000</v>
      </c>
      <c r="M216" t="s">
        <v>26</v>
      </c>
      <c r="Q216" t="s">
        <v>27</v>
      </c>
      <c r="R216" t="s">
        <v>330</v>
      </c>
      <c r="S216" t="s">
        <v>45</v>
      </c>
      <c r="T216" t="s">
        <v>332</v>
      </c>
      <c r="X216" t="s">
        <v>43</v>
      </c>
      <c r="Y216">
        <v>1495275</v>
      </c>
      <c r="Z216">
        <v>20250725</v>
      </c>
    </row>
    <row r="217" spans="3:26" x14ac:dyDescent="0.25">
      <c r="C217">
        <v>10000001</v>
      </c>
      <c r="D217" t="s">
        <v>284</v>
      </c>
      <c r="F217">
        <v>12006017</v>
      </c>
      <c r="H217" t="s">
        <v>284</v>
      </c>
      <c r="I217">
        <v>50</v>
      </c>
      <c r="J217" s="1">
        <v>-50000</v>
      </c>
      <c r="K217" t="s">
        <v>26</v>
      </c>
      <c r="L217" s="1">
        <v>-50000</v>
      </c>
      <c r="M217" t="s">
        <v>26</v>
      </c>
      <c r="Q217" t="s">
        <v>27</v>
      </c>
      <c r="R217" t="s">
        <v>330</v>
      </c>
      <c r="S217" t="s">
        <v>45</v>
      </c>
      <c r="T217" t="s">
        <v>333</v>
      </c>
      <c r="X217" t="s">
        <v>43</v>
      </c>
      <c r="Y217">
        <v>1495275</v>
      </c>
      <c r="Z217">
        <v>20250725</v>
      </c>
    </row>
    <row r="218" spans="3:26" x14ac:dyDescent="0.25">
      <c r="C218">
        <v>10000001</v>
      </c>
      <c r="D218" t="s">
        <v>284</v>
      </c>
      <c r="F218">
        <v>12006018</v>
      </c>
      <c r="H218" t="s">
        <v>284</v>
      </c>
      <c r="I218">
        <v>50</v>
      </c>
      <c r="J218" s="1">
        <v>-3000</v>
      </c>
      <c r="K218" t="s">
        <v>26</v>
      </c>
      <c r="L218" s="1">
        <v>-3000</v>
      </c>
      <c r="M218" t="s">
        <v>26</v>
      </c>
      <c r="Q218" t="s">
        <v>27</v>
      </c>
      <c r="R218" t="s">
        <v>330</v>
      </c>
      <c r="S218" t="s">
        <v>334</v>
      </c>
      <c r="T218" t="s">
        <v>335</v>
      </c>
      <c r="X218" t="s">
        <v>43</v>
      </c>
      <c r="Y218">
        <v>1495275</v>
      </c>
      <c r="Z218">
        <v>20250725</v>
      </c>
    </row>
    <row r="219" spans="3:26" x14ac:dyDescent="0.25">
      <c r="C219">
        <v>10000001</v>
      </c>
      <c r="D219" t="s">
        <v>284</v>
      </c>
      <c r="F219">
        <v>12006019</v>
      </c>
      <c r="H219" t="s">
        <v>284</v>
      </c>
      <c r="I219">
        <v>50</v>
      </c>
      <c r="J219" s="1">
        <v>-286200</v>
      </c>
      <c r="K219" t="s">
        <v>26</v>
      </c>
      <c r="L219" s="1">
        <v>-286200</v>
      </c>
      <c r="M219" t="s">
        <v>26</v>
      </c>
      <c r="Q219" t="s">
        <v>27</v>
      </c>
      <c r="R219" t="s">
        <v>336</v>
      </c>
      <c r="S219" t="s">
        <v>274</v>
      </c>
      <c r="T219" t="s">
        <v>337</v>
      </c>
      <c r="X219" t="s">
        <v>43</v>
      </c>
      <c r="Y219">
        <v>1495275</v>
      </c>
      <c r="Z219">
        <v>20250725</v>
      </c>
    </row>
    <row r="220" spans="3:26" x14ac:dyDescent="0.25">
      <c r="C220">
        <v>10000001</v>
      </c>
      <c r="D220" t="s">
        <v>284</v>
      </c>
      <c r="F220">
        <v>12006020</v>
      </c>
      <c r="H220" t="s">
        <v>284</v>
      </c>
      <c r="I220">
        <v>50</v>
      </c>
      <c r="J220" s="1">
        <v>-183680</v>
      </c>
      <c r="K220" t="s">
        <v>26</v>
      </c>
      <c r="L220" s="1">
        <v>-183680</v>
      </c>
      <c r="M220" t="s">
        <v>26</v>
      </c>
      <c r="Q220" t="s">
        <v>27</v>
      </c>
      <c r="R220" t="s">
        <v>336</v>
      </c>
      <c r="S220" t="s">
        <v>59</v>
      </c>
      <c r="T220" t="s">
        <v>338</v>
      </c>
      <c r="X220" t="s">
        <v>43</v>
      </c>
      <c r="Y220">
        <v>1495275</v>
      </c>
      <c r="Z220">
        <v>20250725</v>
      </c>
    </row>
    <row r="221" spans="3:26" x14ac:dyDescent="0.25">
      <c r="C221">
        <v>10000001</v>
      </c>
      <c r="D221" t="s">
        <v>284</v>
      </c>
      <c r="F221">
        <v>12006021</v>
      </c>
      <c r="H221" t="s">
        <v>284</v>
      </c>
      <c r="I221">
        <v>50</v>
      </c>
      <c r="J221" s="1">
        <v>-50000</v>
      </c>
      <c r="K221" t="s">
        <v>26</v>
      </c>
      <c r="L221" s="1">
        <v>-50000</v>
      </c>
      <c r="M221" t="s">
        <v>26</v>
      </c>
      <c r="Q221" t="s">
        <v>27</v>
      </c>
      <c r="R221" t="s">
        <v>339</v>
      </c>
      <c r="S221" t="s">
        <v>45</v>
      </c>
      <c r="T221" t="s">
        <v>340</v>
      </c>
      <c r="X221" t="s">
        <v>43</v>
      </c>
      <c r="Y221">
        <v>1495275</v>
      </c>
      <c r="Z221">
        <v>20250725</v>
      </c>
    </row>
    <row r="222" spans="3:26" x14ac:dyDescent="0.25">
      <c r="C222">
        <v>10000001</v>
      </c>
      <c r="D222" t="s">
        <v>284</v>
      </c>
      <c r="F222">
        <v>12006022</v>
      </c>
      <c r="H222" t="s">
        <v>284</v>
      </c>
      <c r="I222">
        <v>50</v>
      </c>
      <c r="J222" s="1">
        <v>-100000</v>
      </c>
      <c r="K222" t="s">
        <v>26</v>
      </c>
      <c r="L222" s="1">
        <v>-100000</v>
      </c>
      <c r="M222" t="s">
        <v>26</v>
      </c>
      <c r="Q222" t="s">
        <v>27</v>
      </c>
      <c r="R222" t="s">
        <v>341</v>
      </c>
      <c r="S222" t="s">
        <v>45</v>
      </c>
      <c r="T222" t="s">
        <v>342</v>
      </c>
      <c r="X222" t="s">
        <v>43</v>
      </c>
      <c r="Y222">
        <v>1495275</v>
      </c>
      <c r="Z222">
        <v>20250725</v>
      </c>
    </row>
    <row r="223" spans="3:26" x14ac:dyDescent="0.25">
      <c r="C223">
        <v>10000001</v>
      </c>
      <c r="D223" t="s">
        <v>284</v>
      </c>
      <c r="F223">
        <v>12006023</v>
      </c>
      <c r="H223" t="s">
        <v>284</v>
      </c>
      <c r="I223">
        <v>50</v>
      </c>
      <c r="J223" s="1">
        <v>-50000</v>
      </c>
      <c r="K223" t="s">
        <v>26</v>
      </c>
      <c r="L223" s="1">
        <v>-50000</v>
      </c>
      <c r="M223" t="s">
        <v>26</v>
      </c>
      <c r="Q223" t="s">
        <v>27</v>
      </c>
      <c r="R223" t="s">
        <v>343</v>
      </c>
      <c r="S223" t="s">
        <v>45</v>
      </c>
      <c r="T223" t="s">
        <v>344</v>
      </c>
      <c r="X223" t="s">
        <v>43</v>
      </c>
      <c r="Y223">
        <v>1495275</v>
      </c>
      <c r="Z223">
        <v>20250725</v>
      </c>
    </row>
    <row r="224" spans="3:26" x14ac:dyDescent="0.25">
      <c r="C224">
        <v>10000001</v>
      </c>
      <c r="D224" t="s">
        <v>284</v>
      </c>
      <c r="F224">
        <v>12006024</v>
      </c>
      <c r="H224" t="s">
        <v>284</v>
      </c>
      <c r="I224">
        <v>50</v>
      </c>
      <c r="J224" s="1">
        <v>-50000</v>
      </c>
      <c r="K224" t="s">
        <v>26</v>
      </c>
      <c r="L224" s="1">
        <v>-50000</v>
      </c>
      <c r="M224" t="s">
        <v>26</v>
      </c>
      <c r="Q224" t="s">
        <v>27</v>
      </c>
      <c r="R224" t="s">
        <v>343</v>
      </c>
      <c r="S224" t="s">
        <v>45</v>
      </c>
      <c r="T224" t="s">
        <v>345</v>
      </c>
      <c r="X224" t="s">
        <v>43</v>
      </c>
      <c r="Y224">
        <v>1495275</v>
      </c>
      <c r="Z224">
        <v>20250725</v>
      </c>
    </row>
    <row r="225" spans="3:26" x14ac:dyDescent="0.25">
      <c r="C225">
        <v>10000001</v>
      </c>
      <c r="D225" t="s">
        <v>284</v>
      </c>
      <c r="F225">
        <v>12006025</v>
      </c>
      <c r="H225" t="s">
        <v>284</v>
      </c>
      <c r="I225">
        <v>50</v>
      </c>
      <c r="J225" s="1">
        <v>-50000</v>
      </c>
      <c r="K225" t="s">
        <v>26</v>
      </c>
      <c r="L225" s="1">
        <v>-50000</v>
      </c>
      <c r="M225" t="s">
        <v>26</v>
      </c>
      <c r="Q225" t="s">
        <v>27</v>
      </c>
      <c r="R225" t="s">
        <v>343</v>
      </c>
      <c r="S225" t="s">
        <v>45</v>
      </c>
      <c r="T225" t="s">
        <v>346</v>
      </c>
      <c r="X225" t="s">
        <v>43</v>
      </c>
      <c r="Y225">
        <v>1495275</v>
      </c>
      <c r="Z225">
        <v>20250725</v>
      </c>
    </row>
    <row r="226" spans="3:26" x14ac:dyDescent="0.25">
      <c r="C226">
        <v>10000001</v>
      </c>
      <c r="D226" t="s">
        <v>284</v>
      </c>
      <c r="F226">
        <v>12006026</v>
      </c>
      <c r="H226" t="s">
        <v>284</v>
      </c>
      <c r="I226">
        <v>50</v>
      </c>
      <c r="J226" s="1">
        <v>-831000</v>
      </c>
      <c r="K226" t="s">
        <v>26</v>
      </c>
      <c r="L226" s="1">
        <v>-831000</v>
      </c>
      <c r="M226" t="s">
        <v>26</v>
      </c>
      <c r="Q226" t="s">
        <v>27</v>
      </c>
      <c r="R226" t="s">
        <v>347</v>
      </c>
      <c r="S226" t="s">
        <v>57</v>
      </c>
      <c r="T226" t="s">
        <v>348</v>
      </c>
      <c r="X226" t="s">
        <v>43</v>
      </c>
      <c r="Y226">
        <v>1495275</v>
      </c>
      <c r="Z226">
        <v>20250725</v>
      </c>
    </row>
    <row r="227" spans="3:26" x14ac:dyDescent="0.25">
      <c r="C227">
        <v>10000001</v>
      </c>
      <c r="D227" t="s">
        <v>284</v>
      </c>
      <c r="F227">
        <v>12006027</v>
      </c>
      <c r="H227" t="s">
        <v>284</v>
      </c>
      <c r="I227">
        <v>50</v>
      </c>
      <c r="J227" s="1">
        <v>-790000</v>
      </c>
      <c r="K227" t="s">
        <v>26</v>
      </c>
      <c r="L227" s="1">
        <v>-790000</v>
      </c>
      <c r="M227" t="s">
        <v>26</v>
      </c>
      <c r="Q227" t="s">
        <v>27</v>
      </c>
      <c r="R227" t="s">
        <v>349</v>
      </c>
      <c r="S227" t="s">
        <v>96</v>
      </c>
      <c r="T227" t="s">
        <v>350</v>
      </c>
      <c r="X227" t="s">
        <v>43</v>
      </c>
      <c r="Y227">
        <v>1495275</v>
      </c>
      <c r="Z227">
        <v>20250725</v>
      </c>
    </row>
    <row r="228" spans="3:26" x14ac:dyDescent="0.25">
      <c r="C228">
        <v>10000001</v>
      </c>
      <c r="D228" t="s">
        <v>284</v>
      </c>
      <c r="F228">
        <v>12006028</v>
      </c>
      <c r="H228" t="s">
        <v>284</v>
      </c>
      <c r="I228">
        <v>50</v>
      </c>
      <c r="J228" s="1">
        <v>-209500</v>
      </c>
      <c r="K228" t="s">
        <v>26</v>
      </c>
      <c r="L228" s="1">
        <v>-209500</v>
      </c>
      <c r="M228" t="s">
        <v>26</v>
      </c>
      <c r="Q228" t="s">
        <v>27</v>
      </c>
      <c r="R228" t="s">
        <v>349</v>
      </c>
      <c r="S228" t="s">
        <v>67</v>
      </c>
      <c r="T228" t="s">
        <v>98</v>
      </c>
      <c r="X228" t="s">
        <v>43</v>
      </c>
      <c r="Y228">
        <v>1495275</v>
      </c>
      <c r="Z228">
        <v>20250725</v>
      </c>
    </row>
    <row r="229" spans="3:26" x14ac:dyDescent="0.25">
      <c r="C229">
        <v>10000001</v>
      </c>
      <c r="D229" t="s">
        <v>284</v>
      </c>
      <c r="F229">
        <v>12006029</v>
      </c>
      <c r="H229" t="s">
        <v>284</v>
      </c>
      <c r="I229">
        <v>50</v>
      </c>
      <c r="J229" s="1">
        <v>-383350</v>
      </c>
      <c r="K229" t="s">
        <v>26</v>
      </c>
      <c r="L229" s="1">
        <v>-383350</v>
      </c>
      <c r="M229" t="s">
        <v>26</v>
      </c>
      <c r="Q229" t="s">
        <v>27</v>
      </c>
      <c r="R229" t="s">
        <v>351</v>
      </c>
      <c r="S229" t="s">
        <v>274</v>
      </c>
      <c r="T229" t="s">
        <v>352</v>
      </c>
      <c r="X229" t="s">
        <v>43</v>
      </c>
      <c r="Y229">
        <v>1495275</v>
      </c>
      <c r="Z229">
        <v>20250725</v>
      </c>
    </row>
    <row r="230" spans="3:26" x14ac:dyDescent="0.25">
      <c r="C230">
        <v>10000001</v>
      </c>
      <c r="D230" t="s">
        <v>284</v>
      </c>
      <c r="F230">
        <v>12006030</v>
      </c>
      <c r="H230" t="s">
        <v>284</v>
      </c>
      <c r="I230">
        <v>50</v>
      </c>
      <c r="J230" s="1">
        <v>-889800</v>
      </c>
      <c r="K230" t="s">
        <v>26</v>
      </c>
      <c r="L230" s="1">
        <v>-889800</v>
      </c>
      <c r="M230" t="s">
        <v>26</v>
      </c>
      <c r="Q230" t="s">
        <v>27</v>
      </c>
      <c r="R230" t="s">
        <v>353</v>
      </c>
      <c r="S230" t="s">
        <v>126</v>
      </c>
      <c r="T230" t="s">
        <v>354</v>
      </c>
      <c r="X230" t="s">
        <v>43</v>
      </c>
      <c r="Y230">
        <v>1495275</v>
      </c>
      <c r="Z230">
        <v>20250725</v>
      </c>
    </row>
    <row r="231" spans="3:26" x14ac:dyDescent="0.25">
      <c r="C231">
        <v>10000001</v>
      </c>
      <c r="D231" t="s">
        <v>284</v>
      </c>
      <c r="F231">
        <v>12006031</v>
      </c>
      <c r="H231" t="s">
        <v>284</v>
      </c>
      <c r="I231">
        <v>50</v>
      </c>
      <c r="J231" s="1">
        <v>-275000</v>
      </c>
      <c r="K231" t="s">
        <v>26</v>
      </c>
      <c r="L231" s="1">
        <v>-275000</v>
      </c>
      <c r="M231" t="s">
        <v>26</v>
      </c>
      <c r="Q231" t="s">
        <v>27</v>
      </c>
      <c r="R231" t="s">
        <v>355</v>
      </c>
      <c r="S231" t="s">
        <v>57</v>
      </c>
      <c r="T231" t="s">
        <v>356</v>
      </c>
      <c r="X231" t="s">
        <v>43</v>
      </c>
      <c r="Y231">
        <v>1495275</v>
      </c>
      <c r="Z231">
        <v>20250725</v>
      </c>
    </row>
    <row r="232" spans="3:26" x14ac:dyDescent="0.25">
      <c r="C232">
        <v>10000001</v>
      </c>
      <c r="D232" t="s">
        <v>357</v>
      </c>
      <c r="F232">
        <v>12006032</v>
      </c>
      <c r="H232" t="s">
        <v>357</v>
      </c>
      <c r="I232">
        <v>50</v>
      </c>
      <c r="J232" s="1">
        <v>-362500</v>
      </c>
      <c r="K232" t="s">
        <v>26</v>
      </c>
      <c r="L232" s="1">
        <v>-362500</v>
      </c>
      <c r="M232" t="s">
        <v>26</v>
      </c>
      <c r="Q232" t="s">
        <v>27</v>
      </c>
      <c r="R232" t="s">
        <v>358</v>
      </c>
      <c r="S232" t="s">
        <v>126</v>
      </c>
      <c r="T232" t="s">
        <v>359</v>
      </c>
      <c r="X232" t="s">
        <v>43</v>
      </c>
      <c r="Y232">
        <v>1495275</v>
      </c>
      <c r="Z232">
        <v>20250728</v>
      </c>
    </row>
    <row r="233" spans="3:26" x14ac:dyDescent="0.25">
      <c r="C233">
        <v>10000001</v>
      </c>
      <c r="D233" t="s">
        <v>357</v>
      </c>
      <c r="F233">
        <v>12006033</v>
      </c>
      <c r="H233" t="s">
        <v>357</v>
      </c>
      <c r="I233">
        <v>50</v>
      </c>
      <c r="J233" s="1">
        <v>-420000</v>
      </c>
      <c r="K233" t="s">
        <v>26</v>
      </c>
      <c r="L233" s="1">
        <v>-420000</v>
      </c>
      <c r="M233" t="s">
        <v>26</v>
      </c>
      <c r="Q233" t="s">
        <v>27</v>
      </c>
      <c r="R233" t="s">
        <v>360</v>
      </c>
      <c r="S233" t="s">
        <v>96</v>
      </c>
      <c r="T233" t="s">
        <v>361</v>
      </c>
      <c r="X233" t="s">
        <v>43</v>
      </c>
      <c r="Y233">
        <v>1495275</v>
      </c>
      <c r="Z233">
        <v>20250728</v>
      </c>
    </row>
    <row r="234" spans="3:26" x14ac:dyDescent="0.25">
      <c r="C234">
        <v>10000001</v>
      </c>
      <c r="D234" t="s">
        <v>357</v>
      </c>
      <c r="F234">
        <v>12006034</v>
      </c>
      <c r="H234" t="s">
        <v>357</v>
      </c>
      <c r="I234">
        <v>50</v>
      </c>
      <c r="J234" s="1">
        <v>-579500</v>
      </c>
      <c r="K234" t="s">
        <v>26</v>
      </c>
      <c r="L234" s="1">
        <v>-579500</v>
      </c>
      <c r="M234" t="s">
        <v>26</v>
      </c>
      <c r="Q234" t="s">
        <v>27</v>
      </c>
      <c r="R234" t="s">
        <v>362</v>
      </c>
      <c r="S234" t="s">
        <v>67</v>
      </c>
      <c r="T234" t="s">
        <v>98</v>
      </c>
      <c r="X234" t="s">
        <v>43</v>
      </c>
      <c r="Y234">
        <v>1495275</v>
      </c>
      <c r="Z234">
        <v>20250728</v>
      </c>
    </row>
    <row r="235" spans="3:26" x14ac:dyDescent="0.25">
      <c r="C235">
        <v>10000001</v>
      </c>
      <c r="D235" t="s">
        <v>357</v>
      </c>
      <c r="F235">
        <v>12006035</v>
      </c>
      <c r="H235" t="s">
        <v>357</v>
      </c>
      <c r="I235">
        <v>50</v>
      </c>
      <c r="J235" s="1">
        <v>-600000</v>
      </c>
      <c r="K235" t="s">
        <v>26</v>
      </c>
      <c r="L235" s="1">
        <v>-600000</v>
      </c>
      <c r="M235" t="s">
        <v>26</v>
      </c>
      <c r="Q235" t="s">
        <v>27</v>
      </c>
      <c r="R235" t="s">
        <v>363</v>
      </c>
      <c r="S235" t="s">
        <v>41</v>
      </c>
      <c r="T235" t="s">
        <v>364</v>
      </c>
      <c r="X235" t="s">
        <v>43</v>
      </c>
      <c r="Y235">
        <v>1495275</v>
      </c>
      <c r="Z235">
        <v>20250728</v>
      </c>
    </row>
    <row r="236" spans="3:26" x14ac:dyDescent="0.25">
      <c r="C236">
        <v>10000001</v>
      </c>
      <c r="D236" t="s">
        <v>357</v>
      </c>
      <c r="F236">
        <v>12006036</v>
      </c>
      <c r="H236" t="s">
        <v>357</v>
      </c>
      <c r="I236">
        <v>50</v>
      </c>
      <c r="J236" s="1">
        <v>-900300</v>
      </c>
      <c r="K236" t="s">
        <v>26</v>
      </c>
      <c r="L236" s="1">
        <v>-900300</v>
      </c>
      <c r="M236" t="s">
        <v>26</v>
      </c>
      <c r="Q236" t="s">
        <v>27</v>
      </c>
      <c r="R236" t="s">
        <v>362</v>
      </c>
      <c r="S236" t="s">
        <v>126</v>
      </c>
      <c r="T236" t="s">
        <v>365</v>
      </c>
      <c r="X236" t="s">
        <v>43</v>
      </c>
      <c r="Y236">
        <v>1495275</v>
      </c>
      <c r="Z236">
        <v>20250728</v>
      </c>
    </row>
    <row r="237" spans="3:26" x14ac:dyDescent="0.25">
      <c r="C237">
        <v>10000001</v>
      </c>
      <c r="D237" t="s">
        <v>357</v>
      </c>
      <c r="F237">
        <v>12006037</v>
      </c>
      <c r="H237" t="s">
        <v>357</v>
      </c>
      <c r="I237">
        <v>50</v>
      </c>
      <c r="J237" s="1">
        <v>-1000000</v>
      </c>
      <c r="K237" t="s">
        <v>26</v>
      </c>
      <c r="L237" s="1">
        <v>-1000000</v>
      </c>
      <c r="M237" t="s">
        <v>26</v>
      </c>
      <c r="Q237" t="s">
        <v>27</v>
      </c>
      <c r="R237" t="s">
        <v>366</v>
      </c>
      <c r="S237" t="s">
        <v>259</v>
      </c>
      <c r="T237" t="s">
        <v>367</v>
      </c>
      <c r="X237" t="s">
        <v>43</v>
      </c>
      <c r="Y237">
        <v>1495275</v>
      </c>
      <c r="Z237">
        <v>20250728</v>
      </c>
    </row>
    <row r="238" spans="3:26" x14ac:dyDescent="0.25">
      <c r="C238">
        <v>10000001</v>
      </c>
      <c r="D238" t="s">
        <v>357</v>
      </c>
      <c r="F238">
        <v>12006038</v>
      </c>
      <c r="H238" t="s">
        <v>357</v>
      </c>
      <c r="I238">
        <v>50</v>
      </c>
      <c r="J238" s="1">
        <v>-26000</v>
      </c>
      <c r="K238" t="s">
        <v>26</v>
      </c>
      <c r="L238" s="1">
        <v>-26000</v>
      </c>
      <c r="M238" t="s">
        <v>26</v>
      </c>
      <c r="Q238" t="s">
        <v>27</v>
      </c>
      <c r="R238" t="s">
        <v>368</v>
      </c>
      <c r="S238" t="s">
        <v>334</v>
      </c>
      <c r="T238" t="s">
        <v>369</v>
      </c>
      <c r="X238" t="s">
        <v>43</v>
      </c>
      <c r="Y238">
        <v>1495275</v>
      </c>
      <c r="Z238">
        <v>20250728</v>
      </c>
    </row>
    <row r="239" spans="3:26" x14ac:dyDescent="0.25">
      <c r="C239">
        <v>10000001</v>
      </c>
      <c r="D239" t="s">
        <v>370</v>
      </c>
      <c r="F239">
        <v>12006039</v>
      </c>
      <c r="H239" t="s">
        <v>370</v>
      </c>
      <c r="I239">
        <v>50</v>
      </c>
      <c r="J239" s="1">
        <v>-421000</v>
      </c>
      <c r="K239" t="s">
        <v>26</v>
      </c>
      <c r="L239" s="1">
        <v>-421000</v>
      </c>
      <c r="M239" t="s">
        <v>26</v>
      </c>
      <c r="Q239" t="s">
        <v>27</v>
      </c>
      <c r="R239" t="s">
        <v>371</v>
      </c>
      <c r="S239" t="s">
        <v>59</v>
      </c>
      <c r="T239" t="s">
        <v>372</v>
      </c>
      <c r="X239" t="s">
        <v>43</v>
      </c>
      <c r="Y239">
        <v>1495275</v>
      </c>
      <c r="Z239">
        <v>20250729</v>
      </c>
    </row>
    <row r="240" spans="3:26" x14ac:dyDescent="0.25">
      <c r="C240">
        <v>10000001</v>
      </c>
      <c r="D240" t="s">
        <v>370</v>
      </c>
      <c r="F240">
        <v>12006040</v>
      </c>
      <c r="H240" t="s">
        <v>370</v>
      </c>
      <c r="I240">
        <v>50</v>
      </c>
      <c r="J240" s="1">
        <v>-345000</v>
      </c>
      <c r="K240" t="s">
        <v>26</v>
      </c>
      <c r="L240" s="1">
        <v>-345000</v>
      </c>
      <c r="M240" t="s">
        <v>26</v>
      </c>
      <c r="Q240" t="s">
        <v>27</v>
      </c>
      <c r="R240" t="s">
        <v>373</v>
      </c>
      <c r="S240" t="s">
        <v>57</v>
      </c>
      <c r="T240" t="s">
        <v>374</v>
      </c>
      <c r="X240" t="s">
        <v>43</v>
      </c>
      <c r="Y240">
        <v>1495275</v>
      </c>
      <c r="Z240">
        <v>20250729</v>
      </c>
    </row>
    <row r="241" spans="3:26" x14ac:dyDescent="0.25">
      <c r="C241">
        <v>10000001</v>
      </c>
      <c r="D241" t="s">
        <v>370</v>
      </c>
      <c r="F241">
        <v>12006041</v>
      </c>
      <c r="H241" t="s">
        <v>370</v>
      </c>
      <c r="I241">
        <v>50</v>
      </c>
      <c r="J241" s="1">
        <v>-131000</v>
      </c>
      <c r="K241" t="s">
        <v>26</v>
      </c>
      <c r="L241" s="1">
        <v>-131000</v>
      </c>
      <c r="M241" t="s">
        <v>26</v>
      </c>
      <c r="Q241" t="s">
        <v>27</v>
      </c>
      <c r="R241" t="s">
        <v>373</v>
      </c>
      <c r="S241" t="s">
        <v>375</v>
      </c>
      <c r="T241" t="s">
        <v>376</v>
      </c>
      <c r="X241" t="s">
        <v>43</v>
      </c>
      <c r="Y241">
        <v>1495275</v>
      </c>
      <c r="Z241">
        <v>20250729</v>
      </c>
    </row>
    <row r="242" spans="3:26" x14ac:dyDescent="0.25">
      <c r="C242">
        <v>10000001</v>
      </c>
      <c r="D242" t="s">
        <v>370</v>
      </c>
      <c r="F242">
        <v>12006042</v>
      </c>
      <c r="H242" t="s">
        <v>370</v>
      </c>
      <c r="I242">
        <v>40</v>
      </c>
      <c r="J242" s="1">
        <v>26532388</v>
      </c>
      <c r="K242" t="s">
        <v>26</v>
      </c>
      <c r="L242" s="1">
        <v>26532388</v>
      </c>
      <c r="M242" t="s">
        <v>26</v>
      </c>
      <c r="Q242" t="s">
        <v>27</v>
      </c>
      <c r="S242" t="s">
        <v>249</v>
      </c>
      <c r="T242" t="s">
        <v>377</v>
      </c>
      <c r="X242" t="s">
        <v>43</v>
      </c>
      <c r="Y242">
        <v>1495275</v>
      </c>
      <c r="Z242">
        <v>20250729</v>
      </c>
    </row>
    <row r="243" spans="3:26" x14ac:dyDescent="0.25">
      <c r="C243">
        <v>10000001</v>
      </c>
      <c r="D243" t="s">
        <v>378</v>
      </c>
      <c r="F243">
        <v>1495275</v>
      </c>
      <c r="H243" t="s">
        <v>378</v>
      </c>
      <c r="I243">
        <v>40</v>
      </c>
      <c r="J243" s="1">
        <v>727500</v>
      </c>
      <c r="K243" t="s">
        <v>26</v>
      </c>
      <c r="L243" s="1">
        <v>727500</v>
      </c>
      <c r="M243" t="s">
        <v>26</v>
      </c>
      <c r="Q243" t="s">
        <v>27</v>
      </c>
      <c r="T243" t="s">
        <v>303</v>
      </c>
      <c r="X243" t="s">
        <v>30</v>
      </c>
      <c r="Y243">
        <v>1495275</v>
      </c>
      <c r="Z243">
        <v>20250731</v>
      </c>
    </row>
    <row r="244" spans="3:26" x14ac:dyDescent="0.25">
      <c r="C244">
        <v>10000001</v>
      </c>
      <c r="D244" t="s">
        <v>378</v>
      </c>
      <c r="F244">
        <v>1495275</v>
      </c>
      <c r="H244" t="s">
        <v>378</v>
      </c>
      <c r="I244">
        <v>40</v>
      </c>
      <c r="J244" s="1">
        <v>1360000</v>
      </c>
      <c r="K244" t="s">
        <v>26</v>
      </c>
      <c r="L244" s="1">
        <v>1360000</v>
      </c>
      <c r="M244" t="s">
        <v>26</v>
      </c>
      <c r="Q244" t="s">
        <v>27</v>
      </c>
      <c r="T244" t="s">
        <v>151</v>
      </c>
      <c r="X244" t="s">
        <v>30</v>
      </c>
      <c r="Y244">
        <v>1495275</v>
      </c>
      <c r="Z244">
        <v>20250731</v>
      </c>
    </row>
    <row r="245" spans="3:26" x14ac:dyDescent="0.25">
      <c r="C245">
        <v>10000001</v>
      </c>
      <c r="D245" t="s">
        <v>378</v>
      </c>
      <c r="F245">
        <v>1495275</v>
      </c>
      <c r="H245" t="s">
        <v>378</v>
      </c>
      <c r="I245">
        <v>40</v>
      </c>
      <c r="J245" s="1">
        <v>304800</v>
      </c>
      <c r="K245" t="s">
        <v>26</v>
      </c>
      <c r="L245" s="1">
        <v>304800</v>
      </c>
      <c r="M245" t="s">
        <v>26</v>
      </c>
      <c r="Q245" t="s">
        <v>27</v>
      </c>
      <c r="T245" t="s">
        <v>256</v>
      </c>
      <c r="X245" t="s">
        <v>30</v>
      </c>
      <c r="Y245">
        <v>1495275</v>
      </c>
      <c r="Z245">
        <v>20250731</v>
      </c>
    </row>
    <row r="246" spans="3:26" x14ac:dyDescent="0.25">
      <c r="C246">
        <v>10000001</v>
      </c>
      <c r="D246" t="s">
        <v>378</v>
      </c>
      <c r="F246">
        <v>1495275</v>
      </c>
      <c r="H246" t="s">
        <v>378</v>
      </c>
      <c r="I246">
        <v>40</v>
      </c>
      <c r="J246" s="1">
        <v>200000</v>
      </c>
      <c r="K246" t="s">
        <v>26</v>
      </c>
      <c r="L246" s="1">
        <v>200000</v>
      </c>
      <c r="M246" t="s">
        <v>26</v>
      </c>
      <c r="Q246" t="s">
        <v>27</v>
      </c>
      <c r="T246" t="s">
        <v>112</v>
      </c>
      <c r="X246" t="s">
        <v>30</v>
      </c>
      <c r="Y246">
        <v>1495275</v>
      </c>
      <c r="Z246">
        <v>20250731</v>
      </c>
    </row>
    <row r="247" spans="3:26" x14ac:dyDescent="0.25">
      <c r="C247">
        <v>10000001</v>
      </c>
      <c r="D247" t="s">
        <v>378</v>
      </c>
      <c r="F247">
        <v>1495275</v>
      </c>
      <c r="H247" t="s">
        <v>378</v>
      </c>
      <c r="I247">
        <v>40</v>
      </c>
      <c r="J247" s="1">
        <v>100000</v>
      </c>
      <c r="K247" t="s">
        <v>26</v>
      </c>
      <c r="L247" s="1">
        <v>100000</v>
      </c>
      <c r="M247" t="s">
        <v>26</v>
      </c>
      <c r="Q247" t="s">
        <v>27</v>
      </c>
      <c r="T247" t="s">
        <v>46</v>
      </c>
      <c r="X247" t="s">
        <v>30</v>
      </c>
      <c r="Y247">
        <v>1495275</v>
      </c>
      <c r="Z247">
        <v>20250731</v>
      </c>
    </row>
    <row r="248" spans="3:26" x14ac:dyDescent="0.25">
      <c r="C248">
        <v>10000001</v>
      </c>
      <c r="D248" t="s">
        <v>378</v>
      </c>
      <c r="F248">
        <v>1495275</v>
      </c>
      <c r="H248" t="s">
        <v>378</v>
      </c>
      <c r="I248">
        <v>40</v>
      </c>
      <c r="J248" s="1">
        <v>100000</v>
      </c>
      <c r="K248" t="s">
        <v>26</v>
      </c>
      <c r="L248" s="1">
        <v>100000</v>
      </c>
      <c r="M248" t="s">
        <v>26</v>
      </c>
      <c r="Q248" t="s">
        <v>27</v>
      </c>
      <c r="T248" t="s">
        <v>47</v>
      </c>
      <c r="X248" t="s">
        <v>30</v>
      </c>
      <c r="Y248">
        <v>1495275</v>
      </c>
      <c r="Z248">
        <v>20250731</v>
      </c>
    </row>
    <row r="249" spans="3:26" x14ac:dyDescent="0.25">
      <c r="C249">
        <v>10000001</v>
      </c>
      <c r="D249" t="s">
        <v>378</v>
      </c>
      <c r="F249">
        <v>1495275</v>
      </c>
      <c r="H249" t="s">
        <v>378</v>
      </c>
      <c r="I249">
        <v>40</v>
      </c>
      <c r="J249" s="1">
        <v>150000</v>
      </c>
      <c r="K249" t="s">
        <v>26</v>
      </c>
      <c r="L249" s="1">
        <v>150000</v>
      </c>
      <c r="M249" t="s">
        <v>26</v>
      </c>
      <c r="Q249" t="s">
        <v>27</v>
      </c>
      <c r="T249" t="s">
        <v>48</v>
      </c>
      <c r="X249" t="s">
        <v>30</v>
      </c>
      <c r="Y249">
        <v>1495275</v>
      </c>
      <c r="Z249">
        <v>20250731</v>
      </c>
    </row>
    <row r="250" spans="3:26" x14ac:dyDescent="0.25">
      <c r="C250">
        <v>10000001</v>
      </c>
      <c r="D250" t="s">
        <v>378</v>
      </c>
      <c r="F250">
        <v>1495275</v>
      </c>
      <c r="H250" t="s">
        <v>378</v>
      </c>
      <c r="I250">
        <v>40</v>
      </c>
      <c r="J250" s="1">
        <v>100000</v>
      </c>
      <c r="K250" t="s">
        <v>26</v>
      </c>
      <c r="L250" s="1">
        <v>100000</v>
      </c>
      <c r="M250" t="s">
        <v>26</v>
      </c>
      <c r="Q250" t="s">
        <v>27</v>
      </c>
      <c r="T250" t="s">
        <v>49</v>
      </c>
      <c r="X250" t="s">
        <v>30</v>
      </c>
      <c r="Y250">
        <v>1495275</v>
      </c>
      <c r="Z250">
        <v>20250731</v>
      </c>
    </row>
    <row r="251" spans="3:26" x14ac:dyDescent="0.25">
      <c r="C251">
        <v>10000001</v>
      </c>
      <c r="D251" t="s">
        <v>378</v>
      </c>
      <c r="F251">
        <v>1495275</v>
      </c>
      <c r="H251" t="s">
        <v>378</v>
      </c>
      <c r="I251">
        <v>40</v>
      </c>
      <c r="J251" s="1">
        <v>100000</v>
      </c>
      <c r="K251" t="s">
        <v>26</v>
      </c>
      <c r="L251" s="1">
        <v>100000</v>
      </c>
      <c r="M251" t="s">
        <v>26</v>
      </c>
      <c r="Q251" t="s">
        <v>27</v>
      </c>
      <c r="T251" t="s">
        <v>50</v>
      </c>
      <c r="X251" t="s">
        <v>30</v>
      </c>
      <c r="Y251">
        <v>1495275</v>
      </c>
      <c r="Z251">
        <v>20250731</v>
      </c>
    </row>
    <row r="252" spans="3:26" x14ac:dyDescent="0.25">
      <c r="C252">
        <v>10000001</v>
      </c>
      <c r="D252" t="s">
        <v>378</v>
      </c>
      <c r="F252">
        <v>1495275</v>
      </c>
      <c r="H252" t="s">
        <v>378</v>
      </c>
      <c r="I252">
        <v>40</v>
      </c>
      <c r="J252" s="1">
        <v>100000</v>
      </c>
      <c r="K252" t="s">
        <v>26</v>
      </c>
      <c r="L252" s="1">
        <v>100000</v>
      </c>
      <c r="M252" t="s">
        <v>26</v>
      </c>
      <c r="Q252" t="s">
        <v>27</v>
      </c>
      <c r="T252" t="s">
        <v>51</v>
      </c>
      <c r="X252" t="s">
        <v>30</v>
      </c>
      <c r="Y252">
        <v>1495275</v>
      </c>
      <c r="Z252">
        <v>20250731</v>
      </c>
    </row>
    <row r="253" spans="3:26" x14ac:dyDescent="0.25">
      <c r="C253">
        <v>10000001</v>
      </c>
      <c r="D253" t="s">
        <v>378</v>
      </c>
      <c r="F253">
        <v>1495275</v>
      </c>
      <c r="H253" t="s">
        <v>378</v>
      </c>
      <c r="I253">
        <v>40</v>
      </c>
      <c r="J253" s="1">
        <v>100000</v>
      </c>
      <c r="K253" t="s">
        <v>26</v>
      </c>
      <c r="L253" s="1">
        <v>100000</v>
      </c>
      <c r="M253" t="s">
        <v>26</v>
      </c>
      <c r="Q253" t="s">
        <v>27</v>
      </c>
      <c r="T253" t="s">
        <v>52</v>
      </c>
      <c r="X253" t="s">
        <v>30</v>
      </c>
      <c r="Y253">
        <v>1495275</v>
      </c>
      <c r="Z253">
        <v>20250731</v>
      </c>
    </row>
    <row r="254" spans="3:26" x14ac:dyDescent="0.25">
      <c r="C254">
        <v>10000001</v>
      </c>
      <c r="D254" t="s">
        <v>378</v>
      </c>
      <c r="F254">
        <v>1495275</v>
      </c>
      <c r="H254" t="s">
        <v>378</v>
      </c>
      <c r="I254">
        <v>40</v>
      </c>
      <c r="J254" s="1">
        <v>100000</v>
      </c>
      <c r="K254" t="s">
        <v>26</v>
      </c>
      <c r="L254" s="1">
        <v>100000</v>
      </c>
      <c r="M254" t="s">
        <v>26</v>
      </c>
      <c r="Q254" t="s">
        <v>27</v>
      </c>
      <c r="T254" t="s">
        <v>53</v>
      </c>
      <c r="X254" t="s">
        <v>30</v>
      </c>
      <c r="Y254">
        <v>1495275</v>
      </c>
      <c r="Z254">
        <v>20250731</v>
      </c>
    </row>
    <row r="255" spans="3:26" x14ac:dyDescent="0.25">
      <c r="C255">
        <v>10000001</v>
      </c>
      <c r="D255" t="s">
        <v>378</v>
      </c>
      <c r="F255">
        <v>1495275</v>
      </c>
      <c r="H255" t="s">
        <v>378</v>
      </c>
      <c r="I255">
        <v>40</v>
      </c>
      <c r="J255" s="1">
        <v>100000</v>
      </c>
      <c r="K255" t="s">
        <v>26</v>
      </c>
      <c r="L255" s="1">
        <v>100000</v>
      </c>
      <c r="M255" t="s">
        <v>26</v>
      </c>
      <c r="Q255" t="s">
        <v>27</v>
      </c>
      <c r="T255" t="s">
        <v>54</v>
      </c>
      <c r="X255" t="s">
        <v>30</v>
      </c>
      <c r="Y255">
        <v>1495275</v>
      </c>
      <c r="Z255">
        <v>20250731</v>
      </c>
    </row>
    <row r="256" spans="3:26" x14ac:dyDescent="0.25">
      <c r="C256">
        <v>10000001</v>
      </c>
      <c r="D256" t="s">
        <v>378</v>
      </c>
      <c r="F256">
        <v>1495275</v>
      </c>
      <c r="H256" t="s">
        <v>378</v>
      </c>
      <c r="I256">
        <v>40</v>
      </c>
      <c r="J256" s="1">
        <v>200000</v>
      </c>
      <c r="K256" t="s">
        <v>26</v>
      </c>
      <c r="L256" s="1">
        <v>200000</v>
      </c>
      <c r="M256" t="s">
        <v>26</v>
      </c>
      <c r="Q256" t="s">
        <v>27</v>
      </c>
      <c r="T256" t="s">
        <v>293</v>
      </c>
      <c r="X256" t="s">
        <v>30</v>
      </c>
      <c r="Y256">
        <v>1495275</v>
      </c>
      <c r="Z256">
        <v>20250731</v>
      </c>
    </row>
    <row r="257" spans="3:26" x14ac:dyDescent="0.25">
      <c r="C257">
        <v>10000001</v>
      </c>
      <c r="D257" t="s">
        <v>378</v>
      </c>
      <c r="F257">
        <v>1495275</v>
      </c>
      <c r="H257" t="s">
        <v>378</v>
      </c>
      <c r="I257">
        <v>40</v>
      </c>
      <c r="J257" s="1">
        <v>131000</v>
      </c>
      <c r="K257" t="s">
        <v>26</v>
      </c>
      <c r="L257" s="1">
        <v>131000</v>
      </c>
      <c r="M257" t="s">
        <v>26</v>
      </c>
      <c r="Q257" t="s">
        <v>27</v>
      </c>
      <c r="T257" t="s">
        <v>376</v>
      </c>
      <c r="X257" t="s">
        <v>30</v>
      </c>
      <c r="Y257">
        <v>1495275</v>
      </c>
      <c r="Z257">
        <v>20250731</v>
      </c>
    </row>
    <row r="258" spans="3:26" x14ac:dyDescent="0.25">
      <c r="C258">
        <v>10000001</v>
      </c>
      <c r="D258" t="s">
        <v>378</v>
      </c>
      <c r="F258">
        <v>1495275</v>
      </c>
      <c r="H258" t="s">
        <v>378</v>
      </c>
      <c r="I258">
        <v>40</v>
      </c>
      <c r="J258" s="1">
        <v>22000</v>
      </c>
      <c r="K258" t="s">
        <v>26</v>
      </c>
      <c r="L258" s="1">
        <v>22000</v>
      </c>
      <c r="M258" t="s">
        <v>26</v>
      </c>
      <c r="Q258" t="s">
        <v>27</v>
      </c>
      <c r="T258" t="s">
        <v>69</v>
      </c>
      <c r="X258" t="s">
        <v>30</v>
      </c>
      <c r="Y258">
        <v>1495275</v>
      </c>
      <c r="Z258">
        <v>20250731</v>
      </c>
    </row>
    <row r="259" spans="3:26" x14ac:dyDescent="0.25">
      <c r="C259">
        <v>10000001</v>
      </c>
      <c r="D259" t="s">
        <v>378</v>
      </c>
      <c r="F259">
        <v>1495275</v>
      </c>
      <c r="H259" t="s">
        <v>378</v>
      </c>
      <c r="I259">
        <v>40</v>
      </c>
      <c r="J259" s="1">
        <v>217000</v>
      </c>
      <c r="K259" t="s">
        <v>26</v>
      </c>
      <c r="L259" s="1">
        <v>217000</v>
      </c>
      <c r="M259" t="s">
        <v>26</v>
      </c>
      <c r="Q259" t="s">
        <v>27</v>
      </c>
      <c r="T259" t="s">
        <v>154</v>
      </c>
      <c r="X259" t="s">
        <v>30</v>
      </c>
      <c r="Y259">
        <v>1495275</v>
      </c>
      <c r="Z259">
        <v>20250731</v>
      </c>
    </row>
    <row r="260" spans="3:26" x14ac:dyDescent="0.25">
      <c r="C260">
        <v>10000001</v>
      </c>
      <c r="D260" t="s">
        <v>378</v>
      </c>
      <c r="F260">
        <v>1495275</v>
      </c>
      <c r="H260" t="s">
        <v>378</v>
      </c>
      <c r="I260">
        <v>40</v>
      </c>
      <c r="J260" s="1">
        <v>100000</v>
      </c>
      <c r="K260" t="s">
        <v>26</v>
      </c>
      <c r="L260" s="1">
        <v>100000</v>
      </c>
      <c r="M260" t="s">
        <v>26</v>
      </c>
      <c r="Q260" t="s">
        <v>27</v>
      </c>
      <c r="T260" t="s">
        <v>216</v>
      </c>
      <c r="X260" t="s">
        <v>30</v>
      </c>
      <c r="Y260">
        <v>1495275</v>
      </c>
      <c r="Z260">
        <v>20250731</v>
      </c>
    </row>
    <row r="261" spans="3:26" x14ac:dyDescent="0.25">
      <c r="C261">
        <v>10000001</v>
      </c>
      <c r="D261" t="s">
        <v>378</v>
      </c>
      <c r="F261">
        <v>1495275</v>
      </c>
      <c r="H261" t="s">
        <v>378</v>
      </c>
      <c r="I261">
        <v>40</v>
      </c>
      <c r="J261" s="1">
        <v>50000</v>
      </c>
      <c r="K261" t="s">
        <v>26</v>
      </c>
      <c r="L261" s="1">
        <v>50000</v>
      </c>
      <c r="M261" t="s">
        <v>26</v>
      </c>
      <c r="Q261" t="s">
        <v>27</v>
      </c>
      <c r="T261" t="s">
        <v>233</v>
      </c>
      <c r="X261" t="s">
        <v>30</v>
      </c>
      <c r="Y261">
        <v>1495275</v>
      </c>
      <c r="Z261">
        <v>20250731</v>
      </c>
    </row>
    <row r="262" spans="3:26" x14ac:dyDescent="0.25">
      <c r="C262">
        <v>10000001</v>
      </c>
      <c r="D262" t="s">
        <v>378</v>
      </c>
      <c r="F262">
        <v>1495275</v>
      </c>
      <c r="H262" t="s">
        <v>378</v>
      </c>
      <c r="I262">
        <v>40</v>
      </c>
      <c r="J262" s="1">
        <v>50000</v>
      </c>
      <c r="K262" t="s">
        <v>26</v>
      </c>
      <c r="L262" s="1">
        <v>50000</v>
      </c>
      <c r="M262" t="s">
        <v>26</v>
      </c>
      <c r="Q262" t="s">
        <v>27</v>
      </c>
      <c r="T262" t="s">
        <v>114</v>
      </c>
      <c r="X262" t="s">
        <v>30</v>
      </c>
      <c r="Y262">
        <v>1495275</v>
      </c>
      <c r="Z262">
        <v>20250731</v>
      </c>
    </row>
    <row r="263" spans="3:26" x14ac:dyDescent="0.25">
      <c r="C263">
        <v>10000001</v>
      </c>
      <c r="D263" t="s">
        <v>378</v>
      </c>
      <c r="F263">
        <v>1495275</v>
      </c>
      <c r="H263" t="s">
        <v>378</v>
      </c>
      <c r="I263">
        <v>40</v>
      </c>
      <c r="J263" s="1">
        <v>50000</v>
      </c>
      <c r="K263" t="s">
        <v>26</v>
      </c>
      <c r="L263" s="1">
        <v>50000</v>
      </c>
      <c r="M263" t="s">
        <v>26</v>
      </c>
      <c r="Q263" t="s">
        <v>27</v>
      </c>
      <c r="T263" t="s">
        <v>115</v>
      </c>
      <c r="X263" t="s">
        <v>30</v>
      </c>
      <c r="Y263">
        <v>1495275</v>
      </c>
      <c r="Z263">
        <v>20250731</v>
      </c>
    </row>
    <row r="264" spans="3:26" x14ac:dyDescent="0.25">
      <c r="C264">
        <v>10000001</v>
      </c>
      <c r="D264" t="s">
        <v>378</v>
      </c>
      <c r="F264">
        <v>1495275</v>
      </c>
      <c r="H264" t="s">
        <v>378</v>
      </c>
      <c r="I264">
        <v>40</v>
      </c>
      <c r="J264" s="1">
        <v>50000</v>
      </c>
      <c r="K264" t="s">
        <v>26</v>
      </c>
      <c r="L264" s="1">
        <v>50000</v>
      </c>
      <c r="M264" t="s">
        <v>26</v>
      </c>
      <c r="Q264" t="s">
        <v>27</v>
      </c>
      <c r="T264" t="s">
        <v>116</v>
      </c>
      <c r="X264" t="s">
        <v>30</v>
      </c>
      <c r="Y264">
        <v>1495275</v>
      </c>
      <c r="Z264">
        <v>20250731</v>
      </c>
    </row>
    <row r="265" spans="3:26" x14ac:dyDescent="0.25">
      <c r="C265">
        <v>10000001</v>
      </c>
      <c r="D265" t="s">
        <v>378</v>
      </c>
      <c r="F265">
        <v>1495275</v>
      </c>
      <c r="H265" t="s">
        <v>378</v>
      </c>
      <c r="I265">
        <v>40</v>
      </c>
      <c r="J265" s="1">
        <v>50000</v>
      </c>
      <c r="K265" t="s">
        <v>26</v>
      </c>
      <c r="L265" s="1">
        <v>50000</v>
      </c>
      <c r="M265" t="s">
        <v>26</v>
      </c>
      <c r="Q265" t="s">
        <v>27</v>
      </c>
      <c r="T265" t="s">
        <v>117</v>
      </c>
      <c r="X265" t="s">
        <v>30</v>
      </c>
      <c r="Y265">
        <v>1495275</v>
      </c>
      <c r="Z265">
        <v>20250731</v>
      </c>
    </row>
    <row r="266" spans="3:26" x14ac:dyDescent="0.25">
      <c r="C266">
        <v>10000001</v>
      </c>
      <c r="D266" t="s">
        <v>378</v>
      </c>
      <c r="F266">
        <v>1495275</v>
      </c>
      <c r="H266" t="s">
        <v>378</v>
      </c>
      <c r="I266">
        <v>40</v>
      </c>
      <c r="J266" s="1">
        <v>50000</v>
      </c>
      <c r="K266" t="s">
        <v>26</v>
      </c>
      <c r="L266" s="1">
        <v>50000</v>
      </c>
      <c r="M266" t="s">
        <v>26</v>
      </c>
      <c r="Q266" t="s">
        <v>27</v>
      </c>
      <c r="T266" t="s">
        <v>118</v>
      </c>
      <c r="X266" t="s">
        <v>30</v>
      </c>
      <c r="Y266">
        <v>1495275</v>
      </c>
      <c r="Z266">
        <v>20250731</v>
      </c>
    </row>
    <row r="267" spans="3:26" x14ac:dyDescent="0.25">
      <c r="C267">
        <v>10000001</v>
      </c>
      <c r="D267" t="s">
        <v>378</v>
      </c>
      <c r="F267">
        <v>1495275</v>
      </c>
      <c r="H267" t="s">
        <v>378</v>
      </c>
      <c r="I267">
        <v>40</v>
      </c>
      <c r="J267" s="1">
        <v>50000</v>
      </c>
      <c r="K267" t="s">
        <v>26</v>
      </c>
      <c r="L267" s="1">
        <v>50000</v>
      </c>
      <c r="M267" t="s">
        <v>26</v>
      </c>
      <c r="Q267" t="s">
        <v>27</v>
      </c>
      <c r="T267" t="s">
        <v>119</v>
      </c>
      <c r="X267" t="s">
        <v>30</v>
      </c>
      <c r="Y267">
        <v>1495275</v>
      </c>
      <c r="Z267">
        <v>20250731</v>
      </c>
    </row>
    <row r="268" spans="3:26" x14ac:dyDescent="0.25">
      <c r="C268">
        <v>10000001</v>
      </c>
      <c r="D268" t="s">
        <v>378</v>
      </c>
      <c r="F268">
        <v>1495275</v>
      </c>
      <c r="H268" t="s">
        <v>378</v>
      </c>
      <c r="I268">
        <v>40</v>
      </c>
      <c r="J268" s="1">
        <v>50000</v>
      </c>
      <c r="K268" t="s">
        <v>26</v>
      </c>
      <c r="L268" s="1">
        <v>50000</v>
      </c>
      <c r="M268" t="s">
        <v>26</v>
      </c>
      <c r="Q268" t="s">
        <v>27</v>
      </c>
      <c r="T268" t="s">
        <v>120</v>
      </c>
      <c r="X268" t="s">
        <v>30</v>
      </c>
      <c r="Y268">
        <v>1495275</v>
      </c>
      <c r="Z268">
        <v>20250731</v>
      </c>
    </row>
    <row r="269" spans="3:26" x14ac:dyDescent="0.25">
      <c r="C269">
        <v>10000001</v>
      </c>
      <c r="D269" t="s">
        <v>378</v>
      </c>
      <c r="F269">
        <v>1495275</v>
      </c>
      <c r="H269" t="s">
        <v>378</v>
      </c>
      <c r="I269">
        <v>40</v>
      </c>
      <c r="J269" s="1">
        <v>50000</v>
      </c>
      <c r="K269" t="s">
        <v>26</v>
      </c>
      <c r="L269" s="1">
        <v>50000</v>
      </c>
      <c r="M269" t="s">
        <v>26</v>
      </c>
      <c r="Q269" t="s">
        <v>27</v>
      </c>
      <c r="T269" t="s">
        <v>121</v>
      </c>
      <c r="X269" t="s">
        <v>30</v>
      </c>
      <c r="Y269">
        <v>1495275</v>
      </c>
      <c r="Z269">
        <v>20250731</v>
      </c>
    </row>
    <row r="270" spans="3:26" x14ac:dyDescent="0.25">
      <c r="C270">
        <v>10000001</v>
      </c>
      <c r="D270" t="s">
        <v>378</v>
      </c>
      <c r="F270">
        <v>1495275</v>
      </c>
      <c r="H270" t="s">
        <v>378</v>
      </c>
      <c r="I270">
        <v>40</v>
      </c>
      <c r="J270" s="1">
        <v>50000</v>
      </c>
      <c r="K270" t="s">
        <v>26</v>
      </c>
      <c r="L270" s="1">
        <v>50000</v>
      </c>
      <c r="M270" t="s">
        <v>26</v>
      </c>
      <c r="Q270" t="s">
        <v>27</v>
      </c>
      <c r="T270" t="s">
        <v>122</v>
      </c>
      <c r="X270" t="s">
        <v>30</v>
      </c>
      <c r="Y270">
        <v>1495275</v>
      </c>
      <c r="Z270">
        <v>20250731</v>
      </c>
    </row>
    <row r="271" spans="3:26" x14ac:dyDescent="0.25">
      <c r="C271">
        <v>10000001</v>
      </c>
      <c r="D271" t="s">
        <v>378</v>
      </c>
      <c r="F271">
        <v>1495275</v>
      </c>
      <c r="H271" t="s">
        <v>378</v>
      </c>
      <c r="I271">
        <v>40</v>
      </c>
      <c r="J271" s="1">
        <v>50000</v>
      </c>
      <c r="K271" t="s">
        <v>26</v>
      </c>
      <c r="L271" s="1">
        <v>50000</v>
      </c>
      <c r="M271" t="s">
        <v>26</v>
      </c>
      <c r="Q271" t="s">
        <v>27</v>
      </c>
      <c r="T271" t="s">
        <v>290</v>
      </c>
      <c r="X271" t="s">
        <v>30</v>
      </c>
      <c r="Y271">
        <v>1495275</v>
      </c>
      <c r="Z271">
        <v>20250731</v>
      </c>
    </row>
    <row r="272" spans="3:26" x14ac:dyDescent="0.25">
      <c r="C272">
        <v>10000001</v>
      </c>
      <c r="D272" t="s">
        <v>378</v>
      </c>
      <c r="F272">
        <v>1495275</v>
      </c>
      <c r="H272" t="s">
        <v>378</v>
      </c>
      <c r="I272">
        <v>40</v>
      </c>
      <c r="J272" s="1">
        <v>50000</v>
      </c>
      <c r="K272" t="s">
        <v>26</v>
      </c>
      <c r="L272" s="1">
        <v>50000</v>
      </c>
      <c r="M272" t="s">
        <v>26</v>
      </c>
      <c r="Q272" t="s">
        <v>27</v>
      </c>
      <c r="T272" t="s">
        <v>55</v>
      </c>
      <c r="X272" t="s">
        <v>30</v>
      </c>
      <c r="Y272">
        <v>1495275</v>
      </c>
      <c r="Z272">
        <v>20250731</v>
      </c>
    </row>
    <row r="273" spans="3:26" x14ac:dyDescent="0.25">
      <c r="C273">
        <v>10000001</v>
      </c>
      <c r="D273" t="s">
        <v>378</v>
      </c>
      <c r="F273">
        <v>1495275</v>
      </c>
      <c r="H273" t="s">
        <v>378</v>
      </c>
      <c r="I273">
        <v>40</v>
      </c>
      <c r="J273" s="1">
        <v>50000</v>
      </c>
      <c r="K273" t="s">
        <v>26</v>
      </c>
      <c r="L273" s="1">
        <v>50000</v>
      </c>
      <c r="M273" t="s">
        <v>26</v>
      </c>
      <c r="Q273" t="s">
        <v>27</v>
      </c>
      <c r="T273" t="s">
        <v>78</v>
      </c>
      <c r="X273" t="s">
        <v>30</v>
      </c>
      <c r="Y273">
        <v>1495275</v>
      </c>
      <c r="Z273">
        <v>20250731</v>
      </c>
    </row>
    <row r="274" spans="3:26" x14ac:dyDescent="0.25">
      <c r="C274">
        <v>10000001</v>
      </c>
      <c r="D274" t="s">
        <v>378</v>
      </c>
      <c r="F274">
        <v>1495275</v>
      </c>
      <c r="H274" t="s">
        <v>378</v>
      </c>
      <c r="I274">
        <v>40</v>
      </c>
      <c r="J274" s="1">
        <v>50000</v>
      </c>
      <c r="K274" t="s">
        <v>26</v>
      </c>
      <c r="L274" s="1">
        <v>50000</v>
      </c>
      <c r="M274" t="s">
        <v>26</v>
      </c>
      <c r="Q274" t="s">
        <v>27</v>
      </c>
      <c r="T274" t="s">
        <v>76</v>
      </c>
      <c r="X274" t="s">
        <v>30</v>
      </c>
      <c r="Y274">
        <v>1495275</v>
      </c>
      <c r="Z274">
        <v>20250731</v>
      </c>
    </row>
    <row r="275" spans="3:26" x14ac:dyDescent="0.25">
      <c r="C275">
        <v>10000001</v>
      </c>
      <c r="D275" t="s">
        <v>378</v>
      </c>
      <c r="F275">
        <v>1495275</v>
      </c>
      <c r="H275" t="s">
        <v>378</v>
      </c>
      <c r="I275">
        <v>40</v>
      </c>
      <c r="J275" s="1">
        <v>50000</v>
      </c>
      <c r="K275" t="s">
        <v>26</v>
      </c>
      <c r="L275" s="1">
        <v>50000</v>
      </c>
      <c r="M275" t="s">
        <v>26</v>
      </c>
      <c r="Q275" t="s">
        <v>27</v>
      </c>
      <c r="T275" t="s">
        <v>80</v>
      </c>
      <c r="X275" t="s">
        <v>30</v>
      </c>
      <c r="Y275">
        <v>1495275</v>
      </c>
      <c r="Z275">
        <v>20250731</v>
      </c>
    </row>
    <row r="276" spans="3:26" x14ac:dyDescent="0.25">
      <c r="C276">
        <v>10000001</v>
      </c>
      <c r="D276" t="s">
        <v>378</v>
      </c>
      <c r="F276">
        <v>1495275</v>
      </c>
      <c r="H276" t="s">
        <v>378</v>
      </c>
      <c r="I276">
        <v>40</v>
      </c>
      <c r="J276" s="1">
        <v>50000</v>
      </c>
      <c r="K276" t="s">
        <v>26</v>
      </c>
      <c r="L276" s="1">
        <v>50000</v>
      </c>
      <c r="M276" t="s">
        <v>26</v>
      </c>
      <c r="Q276" t="s">
        <v>27</v>
      </c>
      <c r="T276" t="s">
        <v>81</v>
      </c>
      <c r="X276" t="s">
        <v>30</v>
      </c>
      <c r="Y276">
        <v>1495275</v>
      </c>
      <c r="Z276">
        <v>20250731</v>
      </c>
    </row>
    <row r="277" spans="3:26" x14ac:dyDescent="0.25">
      <c r="C277">
        <v>10000001</v>
      </c>
      <c r="D277" t="s">
        <v>378</v>
      </c>
      <c r="F277">
        <v>1495275</v>
      </c>
      <c r="H277" t="s">
        <v>378</v>
      </c>
      <c r="I277">
        <v>40</v>
      </c>
      <c r="J277" s="1">
        <v>50000</v>
      </c>
      <c r="K277" t="s">
        <v>26</v>
      </c>
      <c r="L277" s="1">
        <v>50000</v>
      </c>
      <c r="M277" t="s">
        <v>26</v>
      </c>
      <c r="Q277" t="s">
        <v>27</v>
      </c>
      <c r="T277" t="s">
        <v>84</v>
      </c>
      <c r="X277" t="s">
        <v>30</v>
      </c>
      <c r="Y277">
        <v>1495275</v>
      </c>
      <c r="Z277">
        <v>20250731</v>
      </c>
    </row>
    <row r="278" spans="3:26" x14ac:dyDescent="0.25">
      <c r="C278">
        <v>10000001</v>
      </c>
      <c r="D278" t="s">
        <v>378</v>
      </c>
      <c r="F278">
        <v>1495275</v>
      </c>
      <c r="H278" t="s">
        <v>378</v>
      </c>
      <c r="I278">
        <v>40</v>
      </c>
      <c r="J278" s="1">
        <v>50000</v>
      </c>
      <c r="K278" t="s">
        <v>26</v>
      </c>
      <c r="L278" s="1">
        <v>50000</v>
      </c>
      <c r="M278" t="s">
        <v>26</v>
      </c>
      <c r="Q278" t="s">
        <v>27</v>
      </c>
      <c r="T278" t="s">
        <v>83</v>
      </c>
      <c r="X278" t="s">
        <v>30</v>
      </c>
      <c r="Y278">
        <v>1495275</v>
      </c>
      <c r="Z278">
        <v>20250731</v>
      </c>
    </row>
    <row r="279" spans="3:26" x14ac:dyDescent="0.25">
      <c r="C279">
        <v>10000001</v>
      </c>
      <c r="D279" t="s">
        <v>378</v>
      </c>
      <c r="F279">
        <v>1495275</v>
      </c>
      <c r="H279" t="s">
        <v>378</v>
      </c>
      <c r="I279">
        <v>40</v>
      </c>
      <c r="J279" s="1">
        <v>50000</v>
      </c>
      <c r="K279" t="s">
        <v>26</v>
      </c>
      <c r="L279" s="1">
        <v>50000</v>
      </c>
      <c r="M279" t="s">
        <v>26</v>
      </c>
      <c r="Q279" t="s">
        <v>27</v>
      </c>
      <c r="T279" t="s">
        <v>75</v>
      </c>
      <c r="X279" t="s">
        <v>30</v>
      </c>
      <c r="Y279">
        <v>1495275</v>
      </c>
      <c r="Z279">
        <v>20250731</v>
      </c>
    </row>
    <row r="280" spans="3:26" x14ac:dyDescent="0.25">
      <c r="C280">
        <v>10000001</v>
      </c>
      <c r="D280" t="s">
        <v>378</v>
      </c>
      <c r="F280">
        <v>1495275</v>
      </c>
      <c r="H280" t="s">
        <v>378</v>
      </c>
      <c r="I280">
        <v>40</v>
      </c>
      <c r="J280" s="1">
        <v>50000</v>
      </c>
      <c r="K280" t="s">
        <v>26</v>
      </c>
      <c r="L280" s="1">
        <v>50000</v>
      </c>
      <c r="M280" t="s">
        <v>26</v>
      </c>
      <c r="Q280" t="s">
        <v>27</v>
      </c>
      <c r="T280" t="s">
        <v>77</v>
      </c>
      <c r="X280" t="s">
        <v>30</v>
      </c>
      <c r="Y280">
        <v>1495275</v>
      </c>
      <c r="Z280">
        <v>20250731</v>
      </c>
    </row>
    <row r="281" spans="3:26" x14ac:dyDescent="0.25">
      <c r="C281">
        <v>10000001</v>
      </c>
      <c r="D281" t="s">
        <v>378</v>
      </c>
      <c r="F281">
        <v>1495275</v>
      </c>
      <c r="H281" t="s">
        <v>378</v>
      </c>
      <c r="I281">
        <v>40</v>
      </c>
      <c r="J281" s="1">
        <v>50000</v>
      </c>
      <c r="K281" t="s">
        <v>26</v>
      </c>
      <c r="L281" s="1">
        <v>50000</v>
      </c>
      <c r="M281" t="s">
        <v>26</v>
      </c>
      <c r="Q281" t="s">
        <v>27</v>
      </c>
      <c r="T281" t="s">
        <v>269</v>
      </c>
      <c r="X281" t="s">
        <v>30</v>
      </c>
      <c r="Y281">
        <v>1495275</v>
      </c>
      <c r="Z281">
        <v>20250731</v>
      </c>
    </row>
    <row r="282" spans="3:26" x14ac:dyDescent="0.25">
      <c r="C282">
        <v>10000001</v>
      </c>
      <c r="D282" t="s">
        <v>378</v>
      </c>
      <c r="F282">
        <v>1495275</v>
      </c>
      <c r="H282" t="s">
        <v>378</v>
      </c>
      <c r="I282">
        <v>40</v>
      </c>
      <c r="J282" s="1">
        <v>50000</v>
      </c>
      <c r="K282" t="s">
        <v>26</v>
      </c>
      <c r="L282" s="1">
        <v>50000</v>
      </c>
      <c r="M282" t="s">
        <v>26</v>
      </c>
      <c r="Q282" t="s">
        <v>27</v>
      </c>
      <c r="T282" t="s">
        <v>270</v>
      </c>
      <c r="X282" t="s">
        <v>30</v>
      </c>
      <c r="Y282">
        <v>1495275</v>
      </c>
      <c r="Z282">
        <v>20250731</v>
      </c>
    </row>
    <row r="283" spans="3:26" x14ac:dyDescent="0.25">
      <c r="C283">
        <v>10000001</v>
      </c>
      <c r="D283" t="s">
        <v>378</v>
      </c>
      <c r="F283">
        <v>1495275</v>
      </c>
      <c r="H283" t="s">
        <v>378</v>
      </c>
      <c r="I283">
        <v>40</v>
      </c>
      <c r="J283" s="1">
        <v>100000</v>
      </c>
      <c r="K283" t="s">
        <v>26</v>
      </c>
      <c r="L283" s="1">
        <v>100000</v>
      </c>
      <c r="M283" t="s">
        <v>26</v>
      </c>
      <c r="Q283" t="s">
        <v>27</v>
      </c>
      <c r="T283" t="s">
        <v>113</v>
      </c>
      <c r="X283" t="s">
        <v>30</v>
      </c>
      <c r="Y283">
        <v>1495275</v>
      </c>
      <c r="Z283">
        <v>20250731</v>
      </c>
    </row>
    <row r="284" spans="3:26" x14ac:dyDescent="0.25">
      <c r="C284">
        <v>10000001</v>
      </c>
      <c r="D284" t="s">
        <v>378</v>
      </c>
      <c r="F284">
        <v>1495275</v>
      </c>
      <c r="H284" t="s">
        <v>378</v>
      </c>
      <c r="I284">
        <v>40</v>
      </c>
      <c r="J284" s="1">
        <v>50000</v>
      </c>
      <c r="K284" t="s">
        <v>26</v>
      </c>
      <c r="L284" s="1">
        <v>50000</v>
      </c>
      <c r="M284" t="s">
        <v>26</v>
      </c>
      <c r="Q284" t="s">
        <v>27</v>
      </c>
      <c r="T284" t="s">
        <v>237</v>
      </c>
      <c r="X284" t="s">
        <v>30</v>
      </c>
      <c r="Y284">
        <v>1495275</v>
      </c>
      <c r="Z284">
        <v>20250731</v>
      </c>
    </row>
    <row r="285" spans="3:26" x14ac:dyDescent="0.25">
      <c r="C285">
        <v>10000001</v>
      </c>
      <c r="D285" t="s">
        <v>378</v>
      </c>
      <c r="F285">
        <v>1495275</v>
      </c>
      <c r="H285" t="s">
        <v>378</v>
      </c>
      <c r="I285">
        <v>40</v>
      </c>
      <c r="J285" s="1">
        <v>50000</v>
      </c>
      <c r="K285" t="s">
        <v>26</v>
      </c>
      <c r="L285" s="1">
        <v>50000</v>
      </c>
      <c r="M285" t="s">
        <v>26</v>
      </c>
      <c r="Q285" t="s">
        <v>27</v>
      </c>
      <c r="T285" t="s">
        <v>228</v>
      </c>
      <c r="X285" t="s">
        <v>30</v>
      </c>
      <c r="Y285">
        <v>1495275</v>
      </c>
      <c r="Z285">
        <v>20250731</v>
      </c>
    </row>
    <row r="286" spans="3:26" x14ac:dyDescent="0.25">
      <c r="C286">
        <v>10000001</v>
      </c>
      <c r="D286" t="s">
        <v>378</v>
      </c>
      <c r="F286">
        <v>1495275</v>
      </c>
      <c r="H286" t="s">
        <v>378</v>
      </c>
      <c r="I286">
        <v>40</v>
      </c>
      <c r="J286" s="1">
        <v>50000</v>
      </c>
      <c r="K286" t="s">
        <v>26</v>
      </c>
      <c r="L286" s="1">
        <v>50000</v>
      </c>
      <c r="M286" t="s">
        <v>26</v>
      </c>
      <c r="Q286" t="s">
        <v>27</v>
      </c>
      <c r="T286" t="s">
        <v>226</v>
      </c>
      <c r="X286" t="s">
        <v>30</v>
      </c>
      <c r="Y286">
        <v>1495275</v>
      </c>
      <c r="Z286">
        <v>20250731</v>
      </c>
    </row>
    <row r="287" spans="3:26" x14ac:dyDescent="0.25">
      <c r="C287">
        <v>10000001</v>
      </c>
      <c r="D287" t="s">
        <v>378</v>
      </c>
      <c r="F287">
        <v>1495275</v>
      </c>
      <c r="H287" t="s">
        <v>378</v>
      </c>
      <c r="I287">
        <v>40</v>
      </c>
      <c r="J287" s="1">
        <v>50000</v>
      </c>
      <c r="K287" t="s">
        <v>26</v>
      </c>
      <c r="L287" s="1">
        <v>50000</v>
      </c>
      <c r="M287" t="s">
        <v>26</v>
      </c>
      <c r="Q287" t="s">
        <v>27</v>
      </c>
      <c r="T287" t="s">
        <v>223</v>
      </c>
      <c r="X287" t="s">
        <v>30</v>
      </c>
      <c r="Y287">
        <v>1495275</v>
      </c>
      <c r="Z287">
        <v>20250731</v>
      </c>
    </row>
    <row r="288" spans="3:26" x14ac:dyDescent="0.25">
      <c r="C288">
        <v>10000001</v>
      </c>
      <c r="D288" t="s">
        <v>378</v>
      </c>
      <c r="F288">
        <v>1495275</v>
      </c>
      <c r="H288" t="s">
        <v>378</v>
      </c>
      <c r="I288">
        <v>40</v>
      </c>
      <c r="J288" s="1">
        <v>50000</v>
      </c>
      <c r="K288" t="s">
        <v>26</v>
      </c>
      <c r="L288" s="1">
        <v>50000</v>
      </c>
      <c r="M288" t="s">
        <v>26</v>
      </c>
      <c r="Q288" t="s">
        <v>27</v>
      </c>
      <c r="T288" t="s">
        <v>340</v>
      </c>
      <c r="X288" t="s">
        <v>30</v>
      </c>
      <c r="Y288">
        <v>1495275</v>
      </c>
      <c r="Z288">
        <v>20250731</v>
      </c>
    </row>
    <row r="289" spans="3:26" x14ac:dyDescent="0.25">
      <c r="C289">
        <v>10000001</v>
      </c>
      <c r="D289" t="s">
        <v>378</v>
      </c>
      <c r="F289">
        <v>1495275</v>
      </c>
      <c r="H289" t="s">
        <v>378</v>
      </c>
      <c r="I289">
        <v>40</v>
      </c>
      <c r="J289" s="1">
        <v>50000</v>
      </c>
      <c r="K289" t="s">
        <v>26</v>
      </c>
      <c r="L289" s="1">
        <v>50000</v>
      </c>
      <c r="M289" t="s">
        <v>26</v>
      </c>
      <c r="Q289" t="s">
        <v>27</v>
      </c>
      <c r="T289" t="s">
        <v>248</v>
      </c>
      <c r="X289" t="s">
        <v>30</v>
      </c>
      <c r="Y289">
        <v>1495275</v>
      </c>
      <c r="Z289">
        <v>20250731</v>
      </c>
    </row>
    <row r="290" spans="3:26" x14ac:dyDescent="0.25">
      <c r="C290">
        <v>10000001</v>
      </c>
      <c r="D290" t="s">
        <v>378</v>
      </c>
      <c r="F290">
        <v>1495275</v>
      </c>
      <c r="H290" t="s">
        <v>378</v>
      </c>
      <c r="I290">
        <v>40</v>
      </c>
      <c r="J290" s="1">
        <v>50000</v>
      </c>
      <c r="K290" t="s">
        <v>26</v>
      </c>
      <c r="L290" s="1">
        <v>50000</v>
      </c>
      <c r="M290" t="s">
        <v>26</v>
      </c>
      <c r="Q290" t="s">
        <v>27</v>
      </c>
      <c r="T290" t="s">
        <v>247</v>
      </c>
      <c r="X290" t="s">
        <v>30</v>
      </c>
      <c r="Y290">
        <v>1495275</v>
      </c>
      <c r="Z290">
        <v>20250731</v>
      </c>
    </row>
    <row r="291" spans="3:26" x14ac:dyDescent="0.25">
      <c r="C291">
        <v>10000001</v>
      </c>
      <c r="D291" t="s">
        <v>378</v>
      </c>
      <c r="F291">
        <v>1495275</v>
      </c>
      <c r="H291" t="s">
        <v>378</v>
      </c>
      <c r="I291">
        <v>40</v>
      </c>
      <c r="J291" s="1">
        <v>50000</v>
      </c>
      <c r="K291" t="s">
        <v>26</v>
      </c>
      <c r="L291" s="1">
        <v>50000</v>
      </c>
      <c r="M291" t="s">
        <v>26</v>
      </c>
      <c r="Q291" t="s">
        <v>27</v>
      </c>
      <c r="T291" t="s">
        <v>235</v>
      </c>
      <c r="X291" t="s">
        <v>30</v>
      </c>
      <c r="Y291">
        <v>1495275</v>
      </c>
      <c r="Z291">
        <v>20250731</v>
      </c>
    </row>
    <row r="292" spans="3:26" x14ac:dyDescent="0.25">
      <c r="C292">
        <v>10000001</v>
      </c>
      <c r="D292" t="s">
        <v>378</v>
      </c>
      <c r="F292">
        <v>1495275</v>
      </c>
      <c r="H292" t="s">
        <v>378</v>
      </c>
      <c r="I292">
        <v>40</v>
      </c>
      <c r="J292" s="1">
        <v>50000</v>
      </c>
      <c r="K292" t="s">
        <v>26</v>
      </c>
      <c r="L292" s="1">
        <v>50000</v>
      </c>
      <c r="M292" t="s">
        <v>26</v>
      </c>
      <c r="Q292" t="s">
        <v>27</v>
      </c>
      <c r="T292" t="s">
        <v>93</v>
      </c>
      <c r="X292" t="s">
        <v>30</v>
      </c>
      <c r="Y292">
        <v>1495275</v>
      </c>
      <c r="Z292">
        <v>20250731</v>
      </c>
    </row>
    <row r="293" spans="3:26" x14ac:dyDescent="0.25">
      <c r="C293">
        <v>10000001</v>
      </c>
      <c r="D293" t="s">
        <v>378</v>
      </c>
      <c r="F293">
        <v>1495275</v>
      </c>
      <c r="H293" t="s">
        <v>378</v>
      </c>
      <c r="I293">
        <v>40</v>
      </c>
      <c r="J293" s="1">
        <v>50000</v>
      </c>
      <c r="K293" t="s">
        <v>26</v>
      </c>
      <c r="L293" s="1">
        <v>50000</v>
      </c>
      <c r="M293" t="s">
        <v>26</v>
      </c>
      <c r="Q293" t="s">
        <v>27</v>
      </c>
      <c r="T293" t="s">
        <v>234</v>
      </c>
      <c r="X293" t="s">
        <v>30</v>
      </c>
      <c r="Y293">
        <v>1495275</v>
      </c>
      <c r="Z293">
        <v>20250731</v>
      </c>
    </row>
    <row r="294" spans="3:26" x14ac:dyDescent="0.25">
      <c r="C294">
        <v>10000001</v>
      </c>
      <c r="D294" t="s">
        <v>378</v>
      </c>
      <c r="F294">
        <v>1495275</v>
      </c>
      <c r="H294" t="s">
        <v>378</v>
      </c>
      <c r="I294">
        <v>40</v>
      </c>
      <c r="J294" s="1">
        <v>50000</v>
      </c>
      <c r="K294" t="s">
        <v>26</v>
      </c>
      <c r="L294" s="1">
        <v>50000</v>
      </c>
      <c r="M294" t="s">
        <v>26</v>
      </c>
      <c r="Q294" t="s">
        <v>27</v>
      </c>
      <c r="T294" t="s">
        <v>264</v>
      </c>
      <c r="X294" t="s">
        <v>30</v>
      </c>
      <c r="Y294">
        <v>1495275</v>
      </c>
      <c r="Z294">
        <v>20250731</v>
      </c>
    </row>
    <row r="295" spans="3:26" x14ac:dyDescent="0.25">
      <c r="C295">
        <v>10000001</v>
      </c>
      <c r="D295" t="s">
        <v>378</v>
      </c>
      <c r="F295">
        <v>1495275</v>
      </c>
      <c r="H295" t="s">
        <v>378</v>
      </c>
      <c r="I295">
        <v>40</v>
      </c>
      <c r="J295" s="1">
        <v>50000</v>
      </c>
      <c r="K295" t="s">
        <v>26</v>
      </c>
      <c r="L295" s="1">
        <v>50000</v>
      </c>
      <c r="M295" t="s">
        <v>26</v>
      </c>
      <c r="Q295" t="s">
        <v>27</v>
      </c>
      <c r="T295" t="s">
        <v>346</v>
      </c>
      <c r="X295" t="s">
        <v>30</v>
      </c>
      <c r="Y295">
        <v>1495275</v>
      </c>
      <c r="Z295">
        <v>20250731</v>
      </c>
    </row>
    <row r="296" spans="3:26" x14ac:dyDescent="0.25">
      <c r="C296">
        <v>10000001</v>
      </c>
      <c r="D296" t="s">
        <v>378</v>
      </c>
      <c r="F296">
        <v>1495275</v>
      </c>
      <c r="H296" t="s">
        <v>378</v>
      </c>
      <c r="I296">
        <v>40</v>
      </c>
      <c r="J296" s="1">
        <v>50000</v>
      </c>
      <c r="K296" t="s">
        <v>26</v>
      </c>
      <c r="L296" s="1">
        <v>50000</v>
      </c>
      <c r="M296" t="s">
        <v>26</v>
      </c>
      <c r="Q296" t="s">
        <v>27</v>
      </c>
      <c r="T296" t="s">
        <v>109</v>
      </c>
      <c r="X296" t="s">
        <v>30</v>
      </c>
      <c r="Y296">
        <v>1495275</v>
      </c>
      <c r="Z296">
        <v>20250731</v>
      </c>
    </row>
    <row r="297" spans="3:26" x14ac:dyDescent="0.25">
      <c r="C297">
        <v>10000001</v>
      </c>
      <c r="D297" t="s">
        <v>378</v>
      </c>
      <c r="F297">
        <v>1495275</v>
      </c>
      <c r="H297" t="s">
        <v>378</v>
      </c>
      <c r="I297">
        <v>40</v>
      </c>
      <c r="J297" s="1">
        <v>50000</v>
      </c>
      <c r="K297" t="s">
        <v>26</v>
      </c>
      <c r="L297" s="1">
        <v>50000</v>
      </c>
      <c r="M297" t="s">
        <v>26</v>
      </c>
      <c r="Q297" t="s">
        <v>27</v>
      </c>
      <c r="T297" t="s">
        <v>110</v>
      </c>
      <c r="X297" t="s">
        <v>30</v>
      </c>
      <c r="Y297">
        <v>1495275</v>
      </c>
      <c r="Z297">
        <v>20250731</v>
      </c>
    </row>
    <row r="298" spans="3:26" x14ac:dyDescent="0.25">
      <c r="C298">
        <v>10000001</v>
      </c>
      <c r="D298" t="s">
        <v>378</v>
      </c>
      <c r="F298">
        <v>1495275</v>
      </c>
      <c r="H298" t="s">
        <v>378</v>
      </c>
      <c r="I298">
        <v>40</v>
      </c>
      <c r="J298" s="1">
        <v>50000</v>
      </c>
      <c r="K298" t="s">
        <v>26</v>
      </c>
      <c r="L298" s="1">
        <v>50000</v>
      </c>
      <c r="M298" t="s">
        <v>26</v>
      </c>
      <c r="Q298" t="s">
        <v>27</v>
      </c>
      <c r="T298" t="s">
        <v>331</v>
      </c>
      <c r="X298" t="s">
        <v>30</v>
      </c>
      <c r="Y298">
        <v>1495275</v>
      </c>
      <c r="Z298">
        <v>20250731</v>
      </c>
    </row>
    <row r="299" spans="3:26" x14ac:dyDescent="0.25">
      <c r="C299">
        <v>10000001</v>
      </c>
      <c r="D299" t="s">
        <v>378</v>
      </c>
      <c r="F299">
        <v>1495275</v>
      </c>
      <c r="H299" t="s">
        <v>378</v>
      </c>
      <c r="I299">
        <v>40</v>
      </c>
      <c r="J299" s="1">
        <v>50000</v>
      </c>
      <c r="K299" t="s">
        <v>26</v>
      </c>
      <c r="L299" s="1">
        <v>50000</v>
      </c>
      <c r="M299" t="s">
        <v>26</v>
      </c>
      <c r="Q299" t="s">
        <v>27</v>
      </c>
      <c r="T299" t="s">
        <v>108</v>
      </c>
      <c r="X299" t="s">
        <v>30</v>
      </c>
      <c r="Y299">
        <v>1495275</v>
      </c>
      <c r="Z299">
        <v>20250731</v>
      </c>
    </row>
    <row r="300" spans="3:26" x14ac:dyDescent="0.25">
      <c r="C300">
        <v>10000001</v>
      </c>
      <c r="D300" t="s">
        <v>378</v>
      </c>
      <c r="F300">
        <v>1495275</v>
      </c>
      <c r="H300" t="s">
        <v>378</v>
      </c>
      <c r="I300">
        <v>40</v>
      </c>
      <c r="J300" s="1">
        <v>50000</v>
      </c>
      <c r="K300" t="s">
        <v>26</v>
      </c>
      <c r="L300" s="1">
        <v>50000</v>
      </c>
      <c r="M300" t="s">
        <v>26</v>
      </c>
      <c r="Q300" t="s">
        <v>27</v>
      </c>
      <c r="T300" t="s">
        <v>183</v>
      </c>
      <c r="X300" t="s">
        <v>30</v>
      </c>
      <c r="Y300">
        <v>1495275</v>
      </c>
      <c r="Z300">
        <v>20250731</v>
      </c>
    </row>
    <row r="301" spans="3:26" x14ac:dyDescent="0.25">
      <c r="C301">
        <v>10000001</v>
      </c>
      <c r="D301" t="s">
        <v>378</v>
      </c>
      <c r="F301">
        <v>1495275</v>
      </c>
      <c r="H301" t="s">
        <v>378</v>
      </c>
      <c r="I301">
        <v>40</v>
      </c>
      <c r="J301" s="1">
        <v>50000</v>
      </c>
      <c r="K301" t="s">
        <v>26</v>
      </c>
      <c r="L301" s="1">
        <v>50000</v>
      </c>
      <c r="M301" t="s">
        <v>26</v>
      </c>
      <c r="Q301" t="s">
        <v>27</v>
      </c>
      <c r="T301" t="s">
        <v>158</v>
      </c>
      <c r="X301" t="s">
        <v>30</v>
      </c>
      <c r="Y301">
        <v>1495275</v>
      </c>
      <c r="Z301">
        <v>20250731</v>
      </c>
    </row>
    <row r="302" spans="3:26" x14ac:dyDescent="0.25">
      <c r="C302">
        <v>10000001</v>
      </c>
      <c r="D302" t="s">
        <v>378</v>
      </c>
      <c r="F302">
        <v>1495275</v>
      </c>
      <c r="H302" t="s">
        <v>378</v>
      </c>
      <c r="I302">
        <v>40</v>
      </c>
      <c r="J302" s="1">
        <v>50000</v>
      </c>
      <c r="K302" t="s">
        <v>26</v>
      </c>
      <c r="L302" s="1">
        <v>50000</v>
      </c>
      <c r="M302" t="s">
        <v>26</v>
      </c>
      <c r="Q302" t="s">
        <v>27</v>
      </c>
      <c r="T302" t="s">
        <v>268</v>
      </c>
      <c r="X302" t="s">
        <v>30</v>
      </c>
      <c r="Y302">
        <v>1495275</v>
      </c>
      <c r="Z302">
        <v>20250731</v>
      </c>
    </row>
    <row r="303" spans="3:26" x14ac:dyDescent="0.25">
      <c r="C303">
        <v>10000001</v>
      </c>
      <c r="D303" t="s">
        <v>378</v>
      </c>
      <c r="F303">
        <v>1495275</v>
      </c>
      <c r="H303" t="s">
        <v>378</v>
      </c>
      <c r="I303">
        <v>40</v>
      </c>
      <c r="J303" s="1">
        <v>50000</v>
      </c>
      <c r="K303" t="s">
        <v>26</v>
      </c>
      <c r="L303" s="1">
        <v>50000</v>
      </c>
      <c r="M303" t="s">
        <v>26</v>
      </c>
      <c r="Q303" t="s">
        <v>27</v>
      </c>
      <c r="T303" t="s">
        <v>271</v>
      </c>
      <c r="X303" t="s">
        <v>30</v>
      </c>
      <c r="Y303">
        <v>1495275</v>
      </c>
      <c r="Z303">
        <v>20250731</v>
      </c>
    </row>
    <row r="304" spans="3:26" x14ac:dyDescent="0.25">
      <c r="C304">
        <v>10000001</v>
      </c>
      <c r="D304" t="s">
        <v>378</v>
      </c>
      <c r="F304">
        <v>1495275</v>
      </c>
      <c r="H304" t="s">
        <v>378</v>
      </c>
      <c r="I304">
        <v>40</v>
      </c>
      <c r="J304" s="1">
        <v>50000</v>
      </c>
      <c r="K304" t="s">
        <v>26</v>
      </c>
      <c r="L304" s="1">
        <v>50000</v>
      </c>
      <c r="M304" t="s">
        <v>26</v>
      </c>
      <c r="Q304" t="s">
        <v>27</v>
      </c>
      <c r="T304" t="s">
        <v>94</v>
      </c>
      <c r="X304" t="s">
        <v>30</v>
      </c>
      <c r="Y304">
        <v>1495275</v>
      </c>
      <c r="Z304">
        <v>20250731</v>
      </c>
    </row>
    <row r="305" spans="3:26" x14ac:dyDescent="0.25">
      <c r="C305">
        <v>10000001</v>
      </c>
      <c r="D305" t="s">
        <v>378</v>
      </c>
      <c r="F305">
        <v>1495275</v>
      </c>
      <c r="H305" t="s">
        <v>378</v>
      </c>
      <c r="I305">
        <v>40</v>
      </c>
      <c r="J305" s="1">
        <v>50000</v>
      </c>
      <c r="K305" t="s">
        <v>26</v>
      </c>
      <c r="L305" s="1">
        <v>50000</v>
      </c>
      <c r="M305" t="s">
        <v>26</v>
      </c>
      <c r="Q305" t="s">
        <v>27</v>
      </c>
      <c r="T305" t="s">
        <v>332</v>
      </c>
      <c r="X305" t="s">
        <v>30</v>
      </c>
      <c r="Y305">
        <v>1495275</v>
      </c>
      <c r="Z305">
        <v>20250731</v>
      </c>
    </row>
    <row r="306" spans="3:26" x14ac:dyDescent="0.25">
      <c r="C306">
        <v>10000001</v>
      </c>
      <c r="D306" t="s">
        <v>378</v>
      </c>
      <c r="F306">
        <v>1495275</v>
      </c>
      <c r="H306" t="s">
        <v>378</v>
      </c>
      <c r="I306">
        <v>40</v>
      </c>
      <c r="J306" s="1">
        <v>50000</v>
      </c>
      <c r="K306" t="s">
        <v>26</v>
      </c>
      <c r="L306" s="1">
        <v>50000</v>
      </c>
      <c r="M306" t="s">
        <v>26</v>
      </c>
      <c r="Q306" t="s">
        <v>27</v>
      </c>
      <c r="T306" t="s">
        <v>333</v>
      </c>
      <c r="X306" t="s">
        <v>30</v>
      </c>
      <c r="Y306">
        <v>1495275</v>
      </c>
      <c r="Z306">
        <v>20250731</v>
      </c>
    </row>
    <row r="307" spans="3:26" x14ac:dyDescent="0.25">
      <c r="C307">
        <v>10000001</v>
      </c>
      <c r="D307" t="s">
        <v>378</v>
      </c>
      <c r="F307">
        <v>1495275</v>
      </c>
      <c r="H307" t="s">
        <v>378</v>
      </c>
      <c r="I307">
        <v>40</v>
      </c>
      <c r="J307" s="1">
        <v>50000</v>
      </c>
      <c r="K307" t="s">
        <v>26</v>
      </c>
      <c r="L307" s="1">
        <v>50000</v>
      </c>
      <c r="M307" t="s">
        <v>26</v>
      </c>
      <c r="Q307" t="s">
        <v>27</v>
      </c>
      <c r="T307" t="s">
        <v>232</v>
      </c>
      <c r="X307" t="s">
        <v>30</v>
      </c>
      <c r="Y307">
        <v>1495275</v>
      </c>
      <c r="Z307">
        <v>20250731</v>
      </c>
    </row>
    <row r="308" spans="3:26" x14ac:dyDescent="0.25">
      <c r="C308">
        <v>10000001</v>
      </c>
      <c r="D308" t="s">
        <v>378</v>
      </c>
      <c r="F308">
        <v>1495275</v>
      </c>
      <c r="H308" t="s">
        <v>378</v>
      </c>
      <c r="I308">
        <v>40</v>
      </c>
      <c r="J308" s="1">
        <v>100000</v>
      </c>
      <c r="K308" t="s">
        <v>26</v>
      </c>
      <c r="L308" s="1">
        <v>100000</v>
      </c>
      <c r="M308" t="s">
        <v>26</v>
      </c>
      <c r="Q308" t="s">
        <v>27</v>
      </c>
      <c r="T308" t="s">
        <v>239</v>
      </c>
      <c r="X308" t="s">
        <v>30</v>
      </c>
      <c r="Y308">
        <v>1495275</v>
      </c>
      <c r="Z308">
        <v>20250731</v>
      </c>
    </row>
    <row r="309" spans="3:26" x14ac:dyDescent="0.25">
      <c r="C309">
        <v>10000001</v>
      </c>
      <c r="D309" t="s">
        <v>378</v>
      </c>
      <c r="F309">
        <v>1495275</v>
      </c>
      <c r="H309" t="s">
        <v>378</v>
      </c>
      <c r="I309">
        <v>40</v>
      </c>
      <c r="J309" s="1">
        <v>100000</v>
      </c>
      <c r="K309" t="s">
        <v>26</v>
      </c>
      <c r="L309" s="1">
        <v>100000</v>
      </c>
      <c r="M309" t="s">
        <v>26</v>
      </c>
      <c r="Q309" t="s">
        <v>27</v>
      </c>
      <c r="T309" t="s">
        <v>244</v>
      </c>
      <c r="X309" t="s">
        <v>30</v>
      </c>
      <c r="Y309">
        <v>1495275</v>
      </c>
      <c r="Z309">
        <v>20250731</v>
      </c>
    </row>
    <row r="310" spans="3:26" x14ac:dyDescent="0.25">
      <c r="C310">
        <v>10000001</v>
      </c>
      <c r="D310" t="s">
        <v>378</v>
      </c>
      <c r="F310">
        <v>1495275</v>
      </c>
      <c r="H310" t="s">
        <v>378</v>
      </c>
      <c r="I310">
        <v>40</v>
      </c>
      <c r="J310" s="1">
        <v>50000</v>
      </c>
      <c r="K310" t="s">
        <v>26</v>
      </c>
      <c r="L310" s="1">
        <v>50000</v>
      </c>
      <c r="M310" t="s">
        <v>26</v>
      </c>
      <c r="Q310" t="s">
        <v>27</v>
      </c>
      <c r="T310" t="s">
        <v>245</v>
      </c>
      <c r="X310" t="s">
        <v>30</v>
      </c>
      <c r="Y310">
        <v>1495275</v>
      </c>
      <c r="Z310">
        <v>20250731</v>
      </c>
    </row>
    <row r="311" spans="3:26" x14ac:dyDescent="0.25">
      <c r="C311">
        <v>10000001</v>
      </c>
      <c r="D311" t="s">
        <v>378</v>
      </c>
      <c r="F311">
        <v>1495275</v>
      </c>
      <c r="H311" t="s">
        <v>378</v>
      </c>
      <c r="I311">
        <v>40</v>
      </c>
      <c r="J311" s="1">
        <v>100000</v>
      </c>
      <c r="K311" t="s">
        <v>26</v>
      </c>
      <c r="L311" s="1">
        <v>100000</v>
      </c>
      <c r="M311" t="s">
        <v>26</v>
      </c>
      <c r="Q311" t="s">
        <v>27</v>
      </c>
      <c r="T311" t="s">
        <v>342</v>
      </c>
      <c r="X311" t="s">
        <v>30</v>
      </c>
      <c r="Y311">
        <v>1495275</v>
      </c>
      <c r="Z311">
        <v>20250731</v>
      </c>
    </row>
    <row r="312" spans="3:26" x14ac:dyDescent="0.25">
      <c r="C312">
        <v>10000001</v>
      </c>
      <c r="D312" t="s">
        <v>378</v>
      </c>
      <c r="F312">
        <v>1495275</v>
      </c>
      <c r="H312" t="s">
        <v>378</v>
      </c>
      <c r="I312">
        <v>40</v>
      </c>
      <c r="J312" s="1">
        <v>50000</v>
      </c>
      <c r="K312" t="s">
        <v>26</v>
      </c>
      <c r="L312" s="1">
        <v>50000</v>
      </c>
      <c r="M312" t="s">
        <v>26</v>
      </c>
      <c r="Q312" t="s">
        <v>27</v>
      </c>
      <c r="T312" t="s">
        <v>91</v>
      </c>
      <c r="X312" t="s">
        <v>30</v>
      </c>
      <c r="Y312">
        <v>1495275</v>
      </c>
      <c r="Z312">
        <v>20250731</v>
      </c>
    </row>
    <row r="313" spans="3:26" x14ac:dyDescent="0.25">
      <c r="C313">
        <v>10000001</v>
      </c>
      <c r="D313" t="s">
        <v>378</v>
      </c>
      <c r="F313">
        <v>1495275</v>
      </c>
      <c r="H313" t="s">
        <v>378</v>
      </c>
      <c r="I313">
        <v>40</v>
      </c>
      <c r="J313" s="1">
        <v>50000</v>
      </c>
      <c r="K313" t="s">
        <v>26</v>
      </c>
      <c r="L313" s="1">
        <v>50000</v>
      </c>
      <c r="M313" t="s">
        <v>26</v>
      </c>
      <c r="Q313" t="s">
        <v>27</v>
      </c>
      <c r="T313" t="s">
        <v>90</v>
      </c>
      <c r="X313" t="s">
        <v>30</v>
      </c>
      <c r="Y313">
        <v>1495275</v>
      </c>
      <c r="Z313">
        <v>20250731</v>
      </c>
    </row>
    <row r="314" spans="3:26" x14ac:dyDescent="0.25">
      <c r="C314">
        <v>10000001</v>
      </c>
      <c r="D314" t="s">
        <v>378</v>
      </c>
      <c r="F314">
        <v>1495275</v>
      </c>
      <c r="H314" t="s">
        <v>378</v>
      </c>
      <c r="I314">
        <v>40</v>
      </c>
      <c r="J314" s="1">
        <v>50000</v>
      </c>
      <c r="K314" t="s">
        <v>26</v>
      </c>
      <c r="L314" s="1">
        <v>50000</v>
      </c>
      <c r="M314" t="s">
        <v>26</v>
      </c>
      <c r="Q314" t="s">
        <v>27</v>
      </c>
      <c r="T314" t="s">
        <v>299</v>
      </c>
      <c r="X314" t="s">
        <v>30</v>
      </c>
      <c r="Y314">
        <v>1495275</v>
      </c>
      <c r="Z314">
        <v>20250731</v>
      </c>
    </row>
    <row r="315" spans="3:26" x14ac:dyDescent="0.25">
      <c r="C315">
        <v>10000001</v>
      </c>
      <c r="D315" t="s">
        <v>378</v>
      </c>
      <c r="F315">
        <v>1495275</v>
      </c>
      <c r="H315" t="s">
        <v>378</v>
      </c>
      <c r="I315">
        <v>40</v>
      </c>
      <c r="J315" s="1">
        <v>50000</v>
      </c>
      <c r="K315" t="s">
        <v>26</v>
      </c>
      <c r="L315" s="1">
        <v>50000</v>
      </c>
      <c r="M315" t="s">
        <v>26</v>
      </c>
      <c r="Q315" t="s">
        <v>27</v>
      </c>
      <c r="T315" t="s">
        <v>291</v>
      </c>
      <c r="X315" t="s">
        <v>30</v>
      </c>
      <c r="Y315">
        <v>1495275</v>
      </c>
      <c r="Z315">
        <v>20250731</v>
      </c>
    </row>
    <row r="316" spans="3:26" x14ac:dyDescent="0.25">
      <c r="C316">
        <v>10000001</v>
      </c>
      <c r="D316" t="s">
        <v>378</v>
      </c>
      <c r="F316">
        <v>1495275</v>
      </c>
      <c r="H316" t="s">
        <v>378</v>
      </c>
      <c r="I316">
        <v>40</v>
      </c>
      <c r="J316" s="1">
        <v>50000</v>
      </c>
      <c r="K316" t="s">
        <v>26</v>
      </c>
      <c r="L316" s="1">
        <v>50000</v>
      </c>
      <c r="M316" t="s">
        <v>26</v>
      </c>
      <c r="Q316" t="s">
        <v>27</v>
      </c>
      <c r="T316" t="s">
        <v>327</v>
      </c>
      <c r="X316" t="s">
        <v>30</v>
      </c>
      <c r="Y316">
        <v>1495275</v>
      </c>
      <c r="Z316">
        <v>20250731</v>
      </c>
    </row>
    <row r="317" spans="3:26" x14ac:dyDescent="0.25">
      <c r="C317">
        <v>10000001</v>
      </c>
      <c r="D317" t="s">
        <v>378</v>
      </c>
      <c r="F317">
        <v>1495275</v>
      </c>
      <c r="H317" t="s">
        <v>378</v>
      </c>
      <c r="I317">
        <v>40</v>
      </c>
      <c r="J317" s="1">
        <v>50000</v>
      </c>
      <c r="K317" t="s">
        <v>26</v>
      </c>
      <c r="L317" s="1">
        <v>50000</v>
      </c>
      <c r="M317" t="s">
        <v>26</v>
      </c>
      <c r="Q317" t="s">
        <v>27</v>
      </c>
      <c r="T317" t="s">
        <v>86</v>
      </c>
      <c r="X317" t="s">
        <v>30</v>
      </c>
      <c r="Y317">
        <v>1495275</v>
      </c>
      <c r="Z317">
        <v>20250731</v>
      </c>
    </row>
    <row r="318" spans="3:26" x14ac:dyDescent="0.25">
      <c r="C318">
        <v>10000001</v>
      </c>
      <c r="D318" t="s">
        <v>378</v>
      </c>
      <c r="F318">
        <v>1495275</v>
      </c>
      <c r="H318" t="s">
        <v>378</v>
      </c>
      <c r="I318">
        <v>40</v>
      </c>
      <c r="J318" s="1">
        <v>50000</v>
      </c>
      <c r="K318" t="s">
        <v>26</v>
      </c>
      <c r="L318" s="1">
        <v>50000</v>
      </c>
      <c r="M318" t="s">
        <v>26</v>
      </c>
      <c r="Q318" t="s">
        <v>27</v>
      </c>
      <c r="T318" t="s">
        <v>87</v>
      </c>
      <c r="X318" t="s">
        <v>30</v>
      </c>
      <c r="Y318">
        <v>1495275</v>
      </c>
      <c r="Z318">
        <v>20250731</v>
      </c>
    </row>
    <row r="319" spans="3:26" x14ac:dyDescent="0.25">
      <c r="C319">
        <v>10000001</v>
      </c>
      <c r="D319" t="s">
        <v>378</v>
      </c>
      <c r="F319">
        <v>1495275</v>
      </c>
      <c r="H319" t="s">
        <v>378</v>
      </c>
      <c r="I319">
        <v>40</v>
      </c>
      <c r="J319" s="1">
        <v>50000</v>
      </c>
      <c r="K319" t="s">
        <v>26</v>
      </c>
      <c r="L319" s="1">
        <v>50000</v>
      </c>
      <c r="M319" t="s">
        <v>26</v>
      </c>
      <c r="Q319" t="s">
        <v>27</v>
      </c>
      <c r="T319" t="s">
        <v>88</v>
      </c>
      <c r="X319" t="s">
        <v>30</v>
      </c>
      <c r="Y319">
        <v>1495275</v>
      </c>
      <c r="Z319">
        <v>20250731</v>
      </c>
    </row>
    <row r="320" spans="3:26" x14ac:dyDescent="0.25">
      <c r="C320">
        <v>10000001</v>
      </c>
      <c r="D320" t="s">
        <v>378</v>
      </c>
      <c r="F320">
        <v>1495275</v>
      </c>
      <c r="H320" t="s">
        <v>378</v>
      </c>
      <c r="I320">
        <v>40</v>
      </c>
      <c r="J320" s="1">
        <v>50000</v>
      </c>
      <c r="K320" t="s">
        <v>26</v>
      </c>
      <c r="L320" s="1">
        <v>50000</v>
      </c>
      <c r="M320" t="s">
        <v>26</v>
      </c>
      <c r="Q320" t="s">
        <v>27</v>
      </c>
      <c r="T320" t="s">
        <v>106</v>
      </c>
      <c r="X320" t="s">
        <v>30</v>
      </c>
      <c r="Y320">
        <v>1495275</v>
      </c>
      <c r="Z320">
        <v>20250731</v>
      </c>
    </row>
    <row r="321" spans="3:26" x14ac:dyDescent="0.25">
      <c r="C321">
        <v>10000001</v>
      </c>
      <c r="D321" t="s">
        <v>378</v>
      </c>
      <c r="F321">
        <v>1495275</v>
      </c>
      <c r="H321" t="s">
        <v>378</v>
      </c>
      <c r="I321">
        <v>40</v>
      </c>
      <c r="J321" s="1">
        <v>50000</v>
      </c>
      <c r="K321" t="s">
        <v>26</v>
      </c>
      <c r="L321" s="1">
        <v>50000</v>
      </c>
      <c r="M321" t="s">
        <v>26</v>
      </c>
      <c r="Q321" t="s">
        <v>27</v>
      </c>
      <c r="T321" t="s">
        <v>89</v>
      </c>
      <c r="X321" t="s">
        <v>30</v>
      </c>
      <c r="Y321">
        <v>1495275</v>
      </c>
      <c r="Z321">
        <v>20250731</v>
      </c>
    </row>
    <row r="322" spans="3:26" x14ac:dyDescent="0.25">
      <c r="C322">
        <v>10000001</v>
      </c>
      <c r="D322" t="s">
        <v>378</v>
      </c>
      <c r="F322">
        <v>1495275</v>
      </c>
      <c r="H322" t="s">
        <v>378</v>
      </c>
      <c r="I322">
        <v>40</v>
      </c>
      <c r="J322" s="1">
        <v>50000</v>
      </c>
      <c r="K322" t="s">
        <v>26</v>
      </c>
      <c r="L322" s="1">
        <v>50000</v>
      </c>
      <c r="M322" t="s">
        <v>26</v>
      </c>
      <c r="Q322" t="s">
        <v>27</v>
      </c>
      <c r="T322" t="s">
        <v>104</v>
      </c>
      <c r="X322" t="s">
        <v>30</v>
      </c>
      <c r="Y322">
        <v>1495275</v>
      </c>
      <c r="Z322">
        <v>20250731</v>
      </c>
    </row>
    <row r="323" spans="3:26" x14ac:dyDescent="0.25">
      <c r="C323">
        <v>10000001</v>
      </c>
      <c r="D323" t="s">
        <v>378</v>
      </c>
      <c r="F323">
        <v>1495275</v>
      </c>
      <c r="H323" t="s">
        <v>378</v>
      </c>
      <c r="I323">
        <v>40</v>
      </c>
      <c r="J323" s="1">
        <v>50000</v>
      </c>
      <c r="K323" t="s">
        <v>26</v>
      </c>
      <c r="L323" s="1">
        <v>50000</v>
      </c>
      <c r="M323" t="s">
        <v>26</v>
      </c>
      <c r="Q323" t="s">
        <v>27</v>
      </c>
      <c r="T323" t="s">
        <v>105</v>
      </c>
      <c r="X323" t="s">
        <v>30</v>
      </c>
      <c r="Y323">
        <v>1495275</v>
      </c>
      <c r="Z323">
        <v>20250731</v>
      </c>
    </row>
    <row r="324" spans="3:26" x14ac:dyDescent="0.25">
      <c r="C324">
        <v>10000001</v>
      </c>
      <c r="D324" t="s">
        <v>378</v>
      </c>
      <c r="F324">
        <v>1495275</v>
      </c>
      <c r="H324" t="s">
        <v>378</v>
      </c>
      <c r="I324">
        <v>40</v>
      </c>
      <c r="J324" s="1">
        <v>50000</v>
      </c>
      <c r="K324" t="s">
        <v>26</v>
      </c>
      <c r="L324" s="1">
        <v>50000</v>
      </c>
      <c r="M324" t="s">
        <v>26</v>
      </c>
      <c r="Q324" t="s">
        <v>27</v>
      </c>
      <c r="T324" t="s">
        <v>229</v>
      </c>
      <c r="X324" t="s">
        <v>30</v>
      </c>
      <c r="Y324">
        <v>1495275</v>
      </c>
      <c r="Z324">
        <v>20250731</v>
      </c>
    </row>
    <row r="325" spans="3:26" x14ac:dyDescent="0.25">
      <c r="C325">
        <v>10000001</v>
      </c>
      <c r="D325" t="s">
        <v>378</v>
      </c>
      <c r="F325">
        <v>1495275</v>
      </c>
      <c r="H325" t="s">
        <v>378</v>
      </c>
      <c r="I325">
        <v>40</v>
      </c>
      <c r="J325" s="1">
        <v>50000</v>
      </c>
      <c r="K325" t="s">
        <v>26</v>
      </c>
      <c r="L325" s="1">
        <v>50000</v>
      </c>
      <c r="M325" t="s">
        <v>26</v>
      </c>
      <c r="Q325" t="s">
        <v>27</v>
      </c>
      <c r="T325" t="s">
        <v>230</v>
      </c>
      <c r="X325" t="s">
        <v>30</v>
      </c>
      <c r="Y325">
        <v>1495275</v>
      </c>
      <c r="Z325">
        <v>20250731</v>
      </c>
    </row>
    <row r="326" spans="3:26" x14ac:dyDescent="0.25">
      <c r="C326">
        <v>10000001</v>
      </c>
      <c r="D326" t="s">
        <v>378</v>
      </c>
      <c r="F326">
        <v>1495275</v>
      </c>
      <c r="H326" t="s">
        <v>378</v>
      </c>
      <c r="I326">
        <v>40</v>
      </c>
      <c r="J326" s="1">
        <v>50000</v>
      </c>
      <c r="K326" t="s">
        <v>26</v>
      </c>
      <c r="L326" s="1">
        <v>50000</v>
      </c>
      <c r="M326" t="s">
        <v>26</v>
      </c>
      <c r="Q326" t="s">
        <v>27</v>
      </c>
      <c r="T326" t="s">
        <v>227</v>
      </c>
      <c r="X326" t="s">
        <v>30</v>
      </c>
      <c r="Y326">
        <v>1495275</v>
      </c>
      <c r="Z326">
        <v>20250731</v>
      </c>
    </row>
    <row r="327" spans="3:26" x14ac:dyDescent="0.25">
      <c r="C327">
        <v>10000001</v>
      </c>
      <c r="D327" t="s">
        <v>378</v>
      </c>
      <c r="F327">
        <v>1495275</v>
      </c>
      <c r="H327" t="s">
        <v>378</v>
      </c>
      <c r="I327">
        <v>40</v>
      </c>
      <c r="J327" s="1">
        <v>50000</v>
      </c>
      <c r="K327" t="s">
        <v>26</v>
      </c>
      <c r="L327" s="1">
        <v>50000</v>
      </c>
      <c r="M327" t="s">
        <v>26</v>
      </c>
      <c r="Q327" t="s">
        <v>27</v>
      </c>
      <c r="T327" t="s">
        <v>185</v>
      </c>
      <c r="X327" t="s">
        <v>30</v>
      </c>
      <c r="Y327">
        <v>1495275</v>
      </c>
      <c r="Z327">
        <v>20250731</v>
      </c>
    </row>
    <row r="328" spans="3:26" x14ac:dyDescent="0.25">
      <c r="C328">
        <v>10000001</v>
      </c>
      <c r="D328" t="s">
        <v>378</v>
      </c>
      <c r="F328">
        <v>1495275</v>
      </c>
      <c r="H328" t="s">
        <v>378</v>
      </c>
      <c r="I328">
        <v>40</v>
      </c>
      <c r="J328" s="1">
        <v>50000</v>
      </c>
      <c r="K328" t="s">
        <v>26</v>
      </c>
      <c r="L328" s="1">
        <v>50000</v>
      </c>
      <c r="M328" t="s">
        <v>26</v>
      </c>
      <c r="Q328" t="s">
        <v>27</v>
      </c>
      <c r="T328" t="s">
        <v>159</v>
      </c>
      <c r="X328" t="s">
        <v>30</v>
      </c>
      <c r="Y328">
        <v>1495275</v>
      </c>
      <c r="Z328">
        <v>20250731</v>
      </c>
    </row>
    <row r="329" spans="3:26" x14ac:dyDescent="0.25">
      <c r="C329">
        <v>10000001</v>
      </c>
      <c r="D329" t="s">
        <v>378</v>
      </c>
      <c r="F329">
        <v>1495275</v>
      </c>
      <c r="H329" t="s">
        <v>378</v>
      </c>
      <c r="I329">
        <v>40</v>
      </c>
      <c r="J329" s="1">
        <v>50000</v>
      </c>
      <c r="K329" t="s">
        <v>26</v>
      </c>
      <c r="L329" s="1">
        <v>50000</v>
      </c>
      <c r="M329" t="s">
        <v>26</v>
      </c>
      <c r="Q329" t="s">
        <v>27</v>
      </c>
      <c r="T329" t="s">
        <v>186</v>
      </c>
      <c r="X329" t="s">
        <v>30</v>
      </c>
      <c r="Y329">
        <v>1495275</v>
      </c>
      <c r="Z329">
        <v>20250731</v>
      </c>
    </row>
    <row r="330" spans="3:26" x14ac:dyDescent="0.25">
      <c r="C330">
        <v>10000001</v>
      </c>
      <c r="D330" t="s">
        <v>378</v>
      </c>
      <c r="F330">
        <v>1495275</v>
      </c>
      <c r="H330" t="s">
        <v>378</v>
      </c>
      <c r="I330">
        <v>40</v>
      </c>
      <c r="J330" s="1">
        <v>50000</v>
      </c>
      <c r="K330" t="s">
        <v>26</v>
      </c>
      <c r="L330" s="1">
        <v>50000</v>
      </c>
      <c r="M330" t="s">
        <v>26</v>
      </c>
      <c r="Q330" t="s">
        <v>27</v>
      </c>
      <c r="T330" t="s">
        <v>187</v>
      </c>
      <c r="X330" t="s">
        <v>30</v>
      </c>
      <c r="Y330">
        <v>1495275</v>
      </c>
      <c r="Z330">
        <v>20250731</v>
      </c>
    </row>
    <row r="331" spans="3:26" x14ac:dyDescent="0.25">
      <c r="C331">
        <v>10000001</v>
      </c>
      <c r="D331" t="s">
        <v>378</v>
      </c>
      <c r="F331">
        <v>1495275</v>
      </c>
      <c r="H331" t="s">
        <v>378</v>
      </c>
      <c r="I331">
        <v>40</v>
      </c>
      <c r="J331" s="1">
        <v>50000</v>
      </c>
      <c r="K331" t="s">
        <v>26</v>
      </c>
      <c r="L331" s="1">
        <v>50000</v>
      </c>
      <c r="M331" t="s">
        <v>26</v>
      </c>
      <c r="Q331" t="s">
        <v>27</v>
      </c>
      <c r="T331" t="s">
        <v>224</v>
      </c>
      <c r="X331" t="s">
        <v>30</v>
      </c>
      <c r="Y331">
        <v>1495275</v>
      </c>
      <c r="Z331">
        <v>20250731</v>
      </c>
    </row>
    <row r="332" spans="3:26" x14ac:dyDescent="0.25">
      <c r="C332">
        <v>10000001</v>
      </c>
      <c r="D332" t="s">
        <v>378</v>
      </c>
      <c r="F332">
        <v>1495275</v>
      </c>
      <c r="H332" t="s">
        <v>378</v>
      </c>
      <c r="I332">
        <v>40</v>
      </c>
      <c r="J332" s="1">
        <v>50000</v>
      </c>
      <c r="K332" t="s">
        <v>26</v>
      </c>
      <c r="L332" s="1">
        <v>50000</v>
      </c>
      <c r="M332" t="s">
        <v>26</v>
      </c>
      <c r="Q332" t="s">
        <v>27</v>
      </c>
      <c r="T332" t="s">
        <v>225</v>
      </c>
      <c r="X332" t="s">
        <v>30</v>
      </c>
      <c r="Y332">
        <v>1495275</v>
      </c>
      <c r="Z332">
        <v>20250731</v>
      </c>
    </row>
    <row r="333" spans="3:26" x14ac:dyDescent="0.25">
      <c r="C333">
        <v>10000001</v>
      </c>
      <c r="D333" t="s">
        <v>378</v>
      </c>
      <c r="F333">
        <v>1495275</v>
      </c>
      <c r="H333" t="s">
        <v>378</v>
      </c>
      <c r="I333">
        <v>40</v>
      </c>
      <c r="J333" s="1">
        <v>50000</v>
      </c>
      <c r="K333" t="s">
        <v>26</v>
      </c>
      <c r="L333" s="1">
        <v>50000</v>
      </c>
      <c r="M333" t="s">
        <v>26</v>
      </c>
      <c r="Q333" t="s">
        <v>27</v>
      </c>
      <c r="T333" t="s">
        <v>160</v>
      </c>
      <c r="X333" t="s">
        <v>30</v>
      </c>
      <c r="Y333">
        <v>1495275</v>
      </c>
      <c r="Z333">
        <v>20250731</v>
      </c>
    </row>
    <row r="334" spans="3:26" x14ac:dyDescent="0.25">
      <c r="C334">
        <v>10000001</v>
      </c>
      <c r="D334" t="s">
        <v>378</v>
      </c>
      <c r="F334">
        <v>1495275</v>
      </c>
      <c r="H334" t="s">
        <v>378</v>
      </c>
      <c r="I334">
        <v>40</v>
      </c>
      <c r="J334" s="1">
        <v>50000</v>
      </c>
      <c r="K334" t="s">
        <v>26</v>
      </c>
      <c r="L334" s="1">
        <v>50000</v>
      </c>
      <c r="M334" t="s">
        <v>26</v>
      </c>
      <c r="Q334" t="s">
        <v>27</v>
      </c>
      <c r="T334" t="s">
        <v>207</v>
      </c>
      <c r="X334" t="s">
        <v>30</v>
      </c>
      <c r="Y334">
        <v>1495275</v>
      </c>
      <c r="Z334">
        <v>20250731</v>
      </c>
    </row>
    <row r="335" spans="3:26" x14ac:dyDescent="0.25">
      <c r="C335">
        <v>10000001</v>
      </c>
      <c r="D335" t="s">
        <v>378</v>
      </c>
      <c r="F335">
        <v>1495275</v>
      </c>
      <c r="H335" t="s">
        <v>378</v>
      </c>
      <c r="I335">
        <v>40</v>
      </c>
      <c r="J335" s="1">
        <v>50000</v>
      </c>
      <c r="K335" t="s">
        <v>26</v>
      </c>
      <c r="L335" s="1">
        <v>50000</v>
      </c>
      <c r="M335" t="s">
        <v>26</v>
      </c>
      <c r="Q335" t="s">
        <v>27</v>
      </c>
      <c r="T335" t="s">
        <v>212</v>
      </c>
      <c r="X335" t="s">
        <v>30</v>
      </c>
      <c r="Y335">
        <v>1495275</v>
      </c>
      <c r="Z335">
        <v>20250731</v>
      </c>
    </row>
    <row r="336" spans="3:26" x14ac:dyDescent="0.25">
      <c r="C336">
        <v>10000001</v>
      </c>
      <c r="D336" t="s">
        <v>378</v>
      </c>
      <c r="F336">
        <v>1495275</v>
      </c>
      <c r="H336" t="s">
        <v>378</v>
      </c>
      <c r="I336">
        <v>40</v>
      </c>
      <c r="J336" s="1">
        <v>50000</v>
      </c>
      <c r="K336" t="s">
        <v>26</v>
      </c>
      <c r="L336" s="1">
        <v>50000</v>
      </c>
      <c r="M336" t="s">
        <v>26</v>
      </c>
      <c r="Q336" t="s">
        <v>27</v>
      </c>
      <c r="T336" t="s">
        <v>262</v>
      </c>
      <c r="X336" t="s">
        <v>30</v>
      </c>
      <c r="Y336">
        <v>1495275</v>
      </c>
      <c r="Z336">
        <v>20250731</v>
      </c>
    </row>
    <row r="337" spans="3:26" x14ac:dyDescent="0.25">
      <c r="C337">
        <v>10000001</v>
      </c>
      <c r="D337" t="s">
        <v>378</v>
      </c>
      <c r="F337">
        <v>1495275</v>
      </c>
      <c r="H337" t="s">
        <v>378</v>
      </c>
      <c r="I337">
        <v>40</v>
      </c>
      <c r="J337" s="1">
        <v>50000</v>
      </c>
      <c r="K337" t="s">
        <v>26</v>
      </c>
      <c r="L337" s="1">
        <v>50000</v>
      </c>
      <c r="M337" t="s">
        <v>26</v>
      </c>
      <c r="Q337" t="s">
        <v>27</v>
      </c>
      <c r="T337" t="s">
        <v>214</v>
      </c>
      <c r="X337" t="s">
        <v>30</v>
      </c>
      <c r="Y337">
        <v>1495275</v>
      </c>
      <c r="Z337">
        <v>20250731</v>
      </c>
    </row>
    <row r="338" spans="3:26" x14ac:dyDescent="0.25">
      <c r="C338">
        <v>10000001</v>
      </c>
      <c r="D338" t="s">
        <v>378</v>
      </c>
      <c r="F338">
        <v>1495275</v>
      </c>
      <c r="H338" t="s">
        <v>378</v>
      </c>
      <c r="I338">
        <v>40</v>
      </c>
      <c r="J338" s="1">
        <v>50000</v>
      </c>
      <c r="K338" t="s">
        <v>26</v>
      </c>
      <c r="L338" s="1">
        <v>50000</v>
      </c>
      <c r="M338" t="s">
        <v>26</v>
      </c>
      <c r="Q338" t="s">
        <v>27</v>
      </c>
      <c r="T338" t="s">
        <v>263</v>
      </c>
      <c r="X338" t="s">
        <v>30</v>
      </c>
      <c r="Y338">
        <v>1495275</v>
      </c>
      <c r="Z338">
        <v>20250731</v>
      </c>
    </row>
    <row r="339" spans="3:26" x14ac:dyDescent="0.25">
      <c r="C339">
        <v>10000001</v>
      </c>
      <c r="D339" t="s">
        <v>378</v>
      </c>
      <c r="F339">
        <v>1495275</v>
      </c>
      <c r="H339" t="s">
        <v>378</v>
      </c>
      <c r="I339">
        <v>40</v>
      </c>
      <c r="J339" s="1">
        <v>50000</v>
      </c>
      <c r="K339" t="s">
        <v>26</v>
      </c>
      <c r="L339" s="1">
        <v>50000</v>
      </c>
      <c r="M339" t="s">
        <v>26</v>
      </c>
      <c r="Q339" t="s">
        <v>27</v>
      </c>
      <c r="T339" t="s">
        <v>213</v>
      </c>
      <c r="X339" t="s">
        <v>30</v>
      </c>
      <c r="Y339">
        <v>1495275</v>
      </c>
      <c r="Z339">
        <v>20250731</v>
      </c>
    </row>
    <row r="340" spans="3:26" x14ac:dyDescent="0.25">
      <c r="C340">
        <v>10000001</v>
      </c>
      <c r="D340" t="s">
        <v>378</v>
      </c>
      <c r="F340">
        <v>1495275</v>
      </c>
      <c r="H340" t="s">
        <v>378</v>
      </c>
      <c r="I340">
        <v>40</v>
      </c>
      <c r="J340" s="1">
        <v>50000</v>
      </c>
      <c r="K340" t="s">
        <v>26</v>
      </c>
      <c r="L340" s="1">
        <v>50000</v>
      </c>
      <c r="M340" t="s">
        <v>26</v>
      </c>
      <c r="Q340" t="s">
        <v>27</v>
      </c>
      <c r="T340" t="s">
        <v>328</v>
      </c>
      <c r="X340" t="s">
        <v>30</v>
      </c>
      <c r="Y340">
        <v>1495275</v>
      </c>
      <c r="Z340">
        <v>20250731</v>
      </c>
    </row>
    <row r="341" spans="3:26" x14ac:dyDescent="0.25">
      <c r="C341">
        <v>10000001</v>
      </c>
      <c r="D341" t="s">
        <v>378</v>
      </c>
      <c r="F341">
        <v>1495275</v>
      </c>
      <c r="H341" t="s">
        <v>378</v>
      </c>
      <c r="I341">
        <v>40</v>
      </c>
      <c r="J341" s="1">
        <v>50000</v>
      </c>
      <c r="K341" t="s">
        <v>26</v>
      </c>
      <c r="L341" s="1">
        <v>50000</v>
      </c>
      <c r="M341" t="s">
        <v>26</v>
      </c>
      <c r="Q341" t="s">
        <v>27</v>
      </c>
      <c r="T341" t="s">
        <v>326</v>
      </c>
      <c r="X341" t="s">
        <v>30</v>
      </c>
      <c r="Y341">
        <v>1495275</v>
      </c>
      <c r="Z341">
        <v>20250731</v>
      </c>
    </row>
    <row r="342" spans="3:26" x14ac:dyDescent="0.25">
      <c r="C342">
        <v>10000001</v>
      </c>
      <c r="D342" t="s">
        <v>378</v>
      </c>
      <c r="F342">
        <v>1495275</v>
      </c>
      <c r="H342" t="s">
        <v>378</v>
      </c>
      <c r="I342">
        <v>40</v>
      </c>
      <c r="J342" s="1">
        <v>50000</v>
      </c>
      <c r="K342" t="s">
        <v>26</v>
      </c>
      <c r="L342" s="1">
        <v>50000</v>
      </c>
      <c r="M342" t="s">
        <v>26</v>
      </c>
      <c r="Q342" t="s">
        <v>27</v>
      </c>
      <c r="T342" t="s">
        <v>329</v>
      </c>
      <c r="X342" t="s">
        <v>30</v>
      </c>
      <c r="Y342">
        <v>1495275</v>
      </c>
      <c r="Z342">
        <v>20250731</v>
      </c>
    </row>
    <row r="343" spans="3:26" x14ac:dyDescent="0.25">
      <c r="C343">
        <v>10000001</v>
      </c>
      <c r="D343" t="s">
        <v>378</v>
      </c>
      <c r="F343">
        <v>1495275</v>
      </c>
      <c r="H343" t="s">
        <v>378</v>
      </c>
      <c r="I343">
        <v>40</v>
      </c>
      <c r="J343" s="1">
        <v>50000</v>
      </c>
      <c r="K343" t="s">
        <v>26</v>
      </c>
      <c r="L343" s="1">
        <v>50000</v>
      </c>
      <c r="M343" t="s">
        <v>26</v>
      </c>
      <c r="Q343" t="s">
        <v>27</v>
      </c>
      <c r="T343" t="s">
        <v>272</v>
      </c>
      <c r="X343" t="s">
        <v>30</v>
      </c>
      <c r="Y343">
        <v>1495275</v>
      </c>
      <c r="Z343">
        <v>20250731</v>
      </c>
    </row>
    <row r="344" spans="3:26" x14ac:dyDescent="0.25">
      <c r="C344">
        <v>10000001</v>
      </c>
      <c r="D344" t="s">
        <v>378</v>
      </c>
      <c r="F344">
        <v>1495275</v>
      </c>
      <c r="H344" t="s">
        <v>378</v>
      </c>
      <c r="I344">
        <v>40</v>
      </c>
      <c r="J344" s="1">
        <v>50000</v>
      </c>
      <c r="K344" t="s">
        <v>26</v>
      </c>
      <c r="L344" s="1">
        <v>50000</v>
      </c>
      <c r="M344" t="s">
        <v>26</v>
      </c>
      <c r="Q344" t="s">
        <v>27</v>
      </c>
      <c r="T344" t="s">
        <v>321</v>
      </c>
      <c r="X344" t="s">
        <v>30</v>
      </c>
      <c r="Y344">
        <v>1495275</v>
      </c>
      <c r="Z344">
        <v>20250731</v>
      </c>
    </row>
    <row r="345" spans="3:26" x14ac:dyDescent="0.25">
      <c r="C345">
        <v>10000001</v>
      </c>
      <c r="D345" t="s">
        <v>378</v>
      </c>
      <c r="F345">
        <v>1495275</v>
      </c>
      <c r="H345" t="s">
        <v>378</v>
      </c>
      <c r="I345">
        <v>40</v>
      </c>
      <c r="J345" s="1">
        <v>50000</v>
      </c>
      <c r="K345" t="s">
        <v>26</v>
      </c>
      <c r="L345" s="1">
        <v>50000</v>
      </c>
      <c r="M345" t="s">
        <v>26</v>
      </c>
      <c r="Q345" t="s">
        <v>27</v>
      </c>
      <c r="T345" t="s">
        <v>292</v>
      </c>
      <c r="X345" t="s">
        <v>30</v>
      </c>
      <c r="Y345">
        <v>1495275</v>
      </c>
      <c r="Z345">
        <v>20250731</v>
      </c>
    </row>
    <row r="346" spans="3:26" x14ac:dyDescent="0.25">
      <c r="C346">
        <v>10000001</v>
      </c>
      <c r="D346" t="s">
        <v>378</v>
      </c>
      <c r="F346">
        <v>1495275</v>
      </c>
      <c r="H346" t="s">
        <v>378</v>
      </c>
      <c r="I346">
        <v>40</v>
      </c>
      <c r="J346" s="1">
        <v>50000</v>
      </c>
      <c r="K346" t="s">
        <v>26</v>
      </c>
      <c r="L346" s="1">
        <v>50000</v>
      </c>
      <c r="M346" t="s">
        <v>26</v>
      </c>
      <c r="Q346" t="s">
        <v>27</v>
      </c>
      <c r="T346" t="s">
        <v>323</v>
      </c>
      <c r="X346" t="s">
        <v>30</v>
      </c>
      <c r="Y346">
        <v>1495275</v>
      </c>
      <c r="Z346">
        <v>20250731</v>
      </c>
    </row>
    <row r="347" spans="3:26" x14ac:dyDescent="0.25">
      <c r="C347">
        <v>10000001</v>
      </c>
      <c r="D347" t="s">
        <v>378</v>
      </c>
      <c r="F347">
        <v>1495275</v>
      </c>
      <c r="H347" t="s">
        <v>378</v>
      </c>
      <c r="I347">
        <v>40</v>
      </c>
      <c r="J347" s="1">
        <v>50000</v>
      </c>
      <c r="K347" t="s">
        <v>26</v>
      </c>
      <c r="L347" s="1">
        <v>50000</v>
      </c>
      <c r="M347" t="s">
        <v>26</v>
      </c>
      <c r="Q347" t="s">
        <v>27</v>
      </c>
      <c r="T347" t="s">
        <v>344</v>
      </c>
      <c r="X347" t="s">
        <v>30</v>
      </c>
      <c r="Y347">
        <v>1495275</v>
      </c>
      <c r="Z347">
        <v>20250731</v>
      </c>
    </row>
    <row r="348" spans="3:26" x14ac:dyDescent="0.25">
      <c r="C348">
        <v>10000001</v>
      </c>
      <c r="D348" t="s">
        <v>378</v>
      </c>
      <c r="F348">
        <v>1495275</v>
      </c>
      <c r="H348" t="s">
        <v>378</v>
      </c>
      <c r="I348">
        <v>40</v>
      </c>
      <c r="J348" s="1">
        <v>50000</v>
      </c>
      <c r="K348" t="s">
        <v>26</v>
      </c>
      <c r="L348" s="1">
        <v>50000</v>
      </c>
      <c r="M348" t="s">
        <v>26</v>
      </c>
      <c r="Q348" t="s">
        <v>27</v>
      </c>
      <c r="T348" t="s">
        <v>301</v>
      </c>
      <c r="X348" t="s">
        <v>30</v>
      </c>
      <c r="Y348">
        <v>1495275</v>
      </c>
      <c r="Z348">
        <v>20250731</v>
      </c>
    </row>
    <row r="349" spans="3:26" x14ac:dyDescent="0.25">
      <c r="C349">
        <v>10000001</v>
      </c>
      <c r="D349" t="s">
        <v>378</v>
      </c>
      <c r="F349">
        <v>1495275</v>
      </c>
      <c r="H349" t="s">
        <v>378</v>
      </c>
      <c r="I349">
        <v>40</v>
      </c>
      <c r="J349" s="1">
        <v>50000</v>
      </c>
      <c r="K349" t="s">
        <v>26</v>
      </c>
      <c r="L349" s="1">
        <v>50000</v>
      </c>
      <c r="M349" t="s">
        <v>26</v>
      </c>
      <c r="Q349" t="s">
        <v>27</v>
      </c>
      <c r="T349" t="s">
        <v>300</v>
      </c>
      <c r="X349" t="s">
        <v>30</v>
      </c>
      <c r="Y349">
        <v>1495275</v>
      </c>
      <c r="Z349">
        <v>20250731</v>
      </c>
    </row>
    <row r="350" spans="3:26" x14ac:dyDescent="0.25">
      <c r="C350">
        <v>10000001</v>
      </c>
      <c r="D350" t="s">
        <v>378</v>
      </c>
      <c r="F350">
        <v>1495275</v>
      </c>
      <c r="H350" t="s">
        <v>378</v>
      </c>
      <c r="I350">
        <v>40</v>
      </c>
      <c r="J350" s="1">
        <v>50000</v>
      </c>
      <c r="K350" t="s">
        <v>26</v>
      </c>
      <c r="L350" s="1">
        <v>50000</v>
      </c>
      <c r="M350" t="s">
        <v>26</v>
      </c>
      <c r="Q350" t="s">
        <v>27</v>
      </c>
      <c r="T350" t="s">
        <v>324</v>
      </c>
      <c r="X350" t="s">
        <v>30</v>
      </c>
      <c r="Y350">
        <v>1495275</v>
      </c>
      <c r="Z350">
        <v>20250731</v>
      </c>
    </row>
    <row r="351" spans="3:26" x14ac:dyDescent="0.25">
      <c r="C351">
        <v>10000001</v>
      </c>
      <c r="D351" t="s">
        <v>378</v>
      </c>
      <c r="F351">
        <v>1495275</v>
      </c>
      <c r="H351" t="s">
        <v>378</v>
      </c>
      <c r="I351">
        <v>40</v>
      </c>
      <c r="J351" s="1">
        <v>50000</v>
      </c>
      <c r="K351" t="s">
        <v>26</v>
      </c>
      <c r="L351" s="1">
        <v>50000</v>
      </c>
      <c r="M351" t="s">
        <v>26</v>
      </c>
      <c r="Q351" t="s">
        <v>27</v>
      </c>
      <c r="T351" t="s">
        <v>322</v>
      </c>
      <c r="X351" t="s">
        <v>30</v>
      </c>
      <c r="Y351">
        <v>1495275</v>
      </c>
      <c r="Z351">
        <v>20250731</v>
      </c>
    </row>
    <row r="352" spans="3:26" x14ac:dyDescent="0.25">
      <c r="C352">
        <v>10000001</v>
      </c>
      <c r="D352" t="s">
        <v>378</v>
      </c>
      <c r="F352">
        <v>1495275</v>
      </c>
      <c r="H352" t="s">
        <v>378</v>
      </c>
      <c r="I352">
        <v>40</v>
      </c>
      <c r="J352" s="1">
        <v>50000</v>
      </c>
      <c r="K352" t="s">
        <v>26</v>
      </c>
      <c r="L352" s="1">
        <v>50000</v>
      </c>
      <c r="M352" t="s">
        <v>26</v>
      </c>
      <c r="Q352" t="s">
        <v>27</v>
      </c>
      <c r="T352" t="s">
        <v>313</v>
      </c>
      <c r="X352" t="s">
        <v>30</v>
      </c>
      <c r="Y352">
        <v>1495275</v>
      </c>
      <c r="Z352">
        <v>20250731</v>
      </c>
    </row>
    <row r="353" spans="3:26" x14ac:dyDescent="0.25">
      <c r="C353">
        <v>10000001</v>
      </c>
      <c r="D353" t="s">
        <v>378</v>
      </c>
      <c r="F353">
        <v>1495275</v>
      </c>
      <c r="H353" t="s">
        <v>378</v>
      </c>
      <c r="I353">
        <v>40</v>
      </c>
      <c r="J353" s="1">
        <v>50000</v>
      </c>
      <c r="K353" t="s">
        <v>26</v>
      </c>
      <c r="L353" s="1">
        <v>50000</v>
      </c>
      <c r="M353" t="s">
        <v>26</v>
      </c>
      <c r="Q353" t="s">
        <v>27</v>
      </c>
      <c r="T353" t="s">
        <v>345</v>
      </c>
      <c r="X353" t="s">
        <v>30</v>
      </c>
      <c r="Y353">
        <v>1495275</v>
      </c>
      <c r="Z353">
        <v>20250731</v>
      </c>
    </row>
    <row r="354" spans="3:26" x14ac:dyDescent="0.25">
      <c r="C354">
        <v>10000001</v>
      </c>
      <c r="D354" t="s">
        <v>378</v>
      </c>
      <c r="F354">
        <v>1495275</v>
      </c>
      <c r="H354" t="s">
        <v>378</v>
      </c>
      <c r="I354">
        <v>40</v>
      </c>
      <c r="J354" s="1">
        <v>50000</v>
      </c>
      <c r="K354" t="s">
        <v>26</v>
      </c>
      <c r="L354" s="1">
        <v>50000</v>
      </c>
      <c r="M354" t="s">
        <v>26</v>
      </c>
      <c r="Q354" t="s">
        <v>27</v>
      </c>
      <c r="T354" t="s">
        <v>311</v>
      </c>
      <c r="X354" t="s">
        <v>30</v>
      </c>
      <c r="Y354">
        <v>1495275</v>
      </c>
      <c r="Z354">
        <v>20250731</v>
      </c>
    </row>
    <row r="355" spans="3:26" x14ac:dyDescent="0.25">
      <c r="C355">
        <v>10000001</v>
      </c>
      <c r="D355" t="s">
        <v>378</v>
      </c>
      <c r="F355">
        <v>1495275</v>
      </c>
      <c r="H355" t="s">
        <v>378</v>
      </c>
      <c r="I355">
        <v>40</v>
      </c>
      <c r="J355" s="1">
        <v>50000</v>
      </c>
      <c r="K355" t="s">
        <v>26</v>
      </c>
      <c r="L355" s="1">
        <v>50000</v>
      </c>
      <c r="M355" t="s">
        <v>26</v>
      </c>
      <c r="Q355" t="s">
        <v>27</v>
      </c>
      <c r="T355" t="s">
        <v>246</v>
      </c>
      <c r="X355" t="s">
        <v>30</v>
      </c>
      <c r="Y355">
        <v>1495275</v>
      </c>
      <c r="Z355">
        <v>20250731</v>
      </c>
    </row>
    <row r="356" spans="3:26" x14ac:dyDescent="0.25">
      <c r="C356">
        <v>10000001</v>
      </c>
      <c r="D356" t="s">
        <v>378</v>
      </c>
      <c r="F356">
        <v>1495275</v>
      </c>
      <c r="H356" t="s">
        <v>378</v>
      </c>
      <c r="I356">
        <v>40</v>
      </c>
      <c r="J356" s="1">
        <v>50000</v>
      </c>
      <c r="K356" t="s">
        <v>26</v>
      </c>
      <c r="L356" s="1">
        <v>50000</v>
      </c>
      <c r="M356" t="s">
        <v>26</v>
      </c>
      <c r="Q356" t="s">
        <v>27</v>
      </c>
      <c r="T356" t="s">
        <v>238</v>
      </c>
      <c r="X356" t="s">
        <v>30</v>
      </c>
      <c r="Y356">
        <v>1495275</v>
      </c>
      <c r="Z356">
        <v>20250731</v>
      </c>
    </row>
    <row r="357" spans="3:26" x14ac:dyDescent="0.25">
      <c r="C357">
        <v>10000001</v>
      </c>
      <c r="D357" t="s">
        <v>378</v>
      </c>
      <c r="F357">
        <v>1495275</v>
      </c>
      <c r="H357" t="s">
        <v>378</v>
      </c>
      <c r="I357">
        <v>40</v>
      </c>
      <c r="J357" s="1">
        <v>50000</v>
      </c>
      <c r="K357" t="s">
        <v>26</v>
      </c>
      <c r="L357" s="1">
        <v>50000</v>
      </c>
      <c r="M357" t="s">
        <v>26</v>
      </c>
      <c r="Q357" t="s">
        <v>27</v>
      </c>
      <c r="T357" t="s">
        <v>240</v>
      </c>
      <c r="X357" t="s">
        <v>30</v>
      </c>
      <c r="Y357">
        <v>1495275</v>
      </c>
      <c r="Z357">
        <v>20250731</v>
      </c>
    </row>
    <row r="358" spans="3:26" x14ac:dyDescent="0.25">
      <c r="C358">
        <v>10000001</v>
      </c>
      <c r="D358" t="s">
        <v>378</v>
      </c>
      <c r="F358">
        <v>1495275</v>
      </c>
      <c r="H358" t="s">
        <v>378</v>
      </c>
      <c r="I358">
        <v>40</v>
      </c>
      <c r="J358" s="1">
        <v>50000</v>
      </c>
      <c r="K358" t="s">
        <v>26</v>
      </c>
      <c r="L358" s="1">
        <v>50000</v>
      </c>
      <c r="M358" t="s">
        <v>26</v>
      </c>
      <c r="Q358" t="s">
        <v>27</v>
      </c>
      <c r="T358" t="s">
        <v>243</v>
      </c>
      <c r="X358" t="s">
        <v>30</v>
      </c>
      <c r="Y358">
        <v>1495275</v>
      </c>
      <c r="Z358">
        <v>20250731</v>
      </c>
    </row>
    <row r="359" spans="3:26" x14ac:dyDescent="0.25">
      <c r="C359">
        <v>10000001</v>
      </c>
      <c r="D359" t="s">
        <v>378</v>
      </c>
      <c r="F359">
        <v>1495275</v>
      </c>
      <c r="H359" t="s">
        <v>378</v>
      </c>
      <c r="I359">
        <v>40</v>
      </c>
      <c r="J359" s="1">
        <v>50000</v>
      </c>
      <c r="K359" t="s">
        <v>26</v>
      </c>
      <c r="L359" s="1">
        <v>50000</v>
      </c>
      <c r="M359" t="s">
        <v>26</v>
      </c>
      <c r="Q359" t="s">
        <v>27</v>
      </c>
      <c r="T359" t="s">
        <v>309</v>
      </c>
      <c r="X359" t="s">
        <v>30</v>
      </c>
      <c r="Y359">
        <v>1495275</v>
      </c>
      <c r="Z359">
        <v>20250731</v>
      </c>
    </row>
    <row r="360" spans="3:26" x14ac:dyDescent="0.25">
      <c r="C360">
        <v>10000001</v>
      </c>
      <c r="D360" t="s">
        <v>378</v>
      </c>
      <c r="F360">
        <v>1495275</v>
      </c>
      <c r="H360" t="s">
        <v>378</v>
      </c>
      <c r="I360">
        <v>40</v>
      </c>
      <c r="J360" s="1">
        <v>50000</v>
      </c>
      <c r="K360" t="s">
        <v>26</v>
      </c>
      <c r="L360" s="1">
        <v>50000</v>
      </c>
      <c r="M360" t="s">
        <v>26</v>
      </c>
      <c r="Q360" t="s">
        <v>27</v>
      </c>
      <c r="T360" t="s">
        <v>310</v>
      </c>
      <c r="X360" t="s">
        <v>30</v>
      </c>
      <c r="Y360">
        <v>1495275</v>
      </c>
      <c r="Z360">
        <v>20250731</v>
      </c>
    </row>
    <row r="361" spans="3:26" x14ac:dyDescent="0.25">
      <c r="C361">
        <v>10000001</v>
      </c>
      <c r="D361" t="s">
        <v>378</v>
      </c>
      <c r="F361">
        <v>1495275</v>
      </c>
      <c r="H361" t="s">
        <v>378</v>
      </c>
      <c r="I361">
        <v>40</v>
      </c>
      <c r="J361" s="1">
        <v>50000</v>
      </c>
      <c r="K361" t="s">
        <v>26</v>
      </c>
      <c r="L361" s="1">
        <v>50000</v>
      </c>
      <c r="M361" t="s">
        <v>26</v>
      </c>
      <c r="Q361" t="s">
        <v>27</v>
      </c>
      <c r="T361" t="s">
        <v>325</v>
      </c>
      <c r="X361" t="s">
        <v>30</v>
      </c>
      <c r="Y361">
        <v>1495275</v>
      </c>
      <c r="Z361">
        <v>20250731</v>
      </c>
    </row>
    <row r="362" spans="3:26" x14ac:dyDescent="0.25">
      <c r="C362">
        <v>10000001</v>
      </c>
      <c r="D362" t="s">
        <v>378</v>
      </c>
      <c r="F362">
        <v>1495275</v>
      </c>
      <c r="H362" t="s">
        <v>378</v>
      </c>
      <c r="I362">
        <v>40</v>
      </c>
      <c r="J362" s="1">
        <v>50000</v>
      </c>
      <c r="K362" t="s">
        <v>26</v>
      </c>
      <c r="L362" s="1">
        <v>50000</v>
      </c>
      <c r="M362" t="s">
        <v>26</v>
      </c>
      <c r="Q362" t="s">
        <v>27</v>
      </c>
      <c r="T362" t="s">
        <v>312</v>
      </c>
      <c r="X362" t="s">
        <v>30</v>
      </c>
      <c r="Y362">
        <v>1495275</v>
      </c>
      <c r="Z362">
        <v>20250731</v>
      </c>
    </row>
    <row r="363" spans="3:26" x14ac:dyDescent="0.25">
      <c r="C363">
        <v>10000001</v>
      </c>
      <c r="D363" t="s">
        <v>378</v>
      </c>
      <c r="F363">
        <v>1495275</v>
      </c>
      <c r="H363" t="s">
        <v>378</v>
      </c>
      <c r="I363">
        <v>40</v>
      </c>
      <c r="J363" s="1">
        <v>50000</v>
      </c>
      <c r="K363" t="s">
        <v>26</v>
      </c>
      <c r="L363" s="1">
        <v>50000</v>
      </c>
      <c r="M363" t="s">
        <v>26</v>
      </c>
      <c r="Q363" t="s">
        <v>27</v>
      </c>
      <c r="T363" t="s">
        <v>236</v>
      </c>
      <c r="X363" t="s">
        <v>30</v>
      </c>
      <c r="Y363">
        <v>1495275</v>
      </c>
      <c r="Z363">
        <v>20250731</v>
      </c>
    </row>
    <row r="364" spans="3:26" x14ac:dyDescent="0.25">
      <c r="C364">
        <v>10000001</v>
      </c>
      <c r="D364" t="s">
        <v>378</v>
      </c>
      <c r="F364">
        <v>1495275</v>
      </c>
      <c r="H364" t="s">
        <v>378</v>
      </c>
      <c r="I364">
        <v>40</v>
      </c>
      <c r="J364" s="1">
        <v>50000</v>
      </c>
      <c r="K364" t="s">
        <v>26</v>
      </c>
      <c r="L364" s="1">
        <v>50000</v>
      </c>
      <c r="M364" t="s">
        <v>26</v>
      </c>
      <c r="Q364" t="s">
        <v>27</v>
      </c>
      <c r="T364" t="s">
        <v>242</v>
      </c>
      <c r="X364" t="s">
        <v>30</v>
      </c>
      <c r="Y364">
        <v>1495275</v>
      </c>
      <c r="Z364">
        <v>20250731</v>
      </c>
    </row>
    <row r="365" spans="3:26" x14ac:dyDescent="0.25">
      <c r="C365">
        <v>10000001</v>
      </c>
      <c r="D365" t="s">
        <v>378</v>
      </c>
      <c r="F365">
        <v>1495275</v>
      </c>
      <c r="H365" t="s">
        <v>378</v>
      </c>
      <c r="I365">
        <v>40</v>
      </c>
      <c r="J365" s="1">
        <v>50000</v>
      </c>
      <c r="K365" t="s">
        <v>26</v>
      </c>
      <c r="L365" s="1">
        <v>50000</v>
      </c>
      <c r="M365" t="s">
        <v>26</v>
      </c>
      <c r="Q365" t="s">
        <v>27</v>
      </c>
      <c r="T365" t="s">
        <v>241</v>
      </c>
      <c r="X365" t="s">
        <v>30</v>
      </c>
      <c r="Y365">
        <v>1495275</v>
      </c>
      <c r="Z365">
        <v>20250731</v>
      </c>
    </row>
    <row r="366" spans="3:26" x14ac:dyDescent="0.25">
      <c r="C366">
        <v>10000001</v>
      </c>
      <c r="D366" t="s">
        <v>378</v>
      </c>
      <c r="F366">
        <v>1495275</v>
      </c>
      <c r="H366" t="s">
        <v>378</v>
      </c>
      <c r="I366">
        <v>40</v>
      </c>
      <c r="J366" s="1">
        <v>50000</v>
      </c>
      <c r="K366" t="s">
        <v>26</v>
      </c>
      <c r="L366" s="1">
        <v>50000</v>
      </c>
      <c r="M366" t="s">
        <v>26</v>
      </c>
      <c r="Q366" t="s">
        <v>27</v>
      </c>
      <c r="T366" t="s">
        <v>265</v>
      </c>
      <c r="X366" t="s">
        <v>30</v>
      </c>
      <c r="Y366">
        <v>1495275</v>
      </c>
      <c r="Z366">
        <v>20250731</v>
      </c>
    </row>
    <row r="367" spans="3:26" x14ac:dyDescent="0.25">
      <c r="C367">
        <v>10000001</v>
      </c>
      <c r="D367" t="s">
        <v>378</v>
      </c>
      <c r="F367">
        <v>1495275</v>
      </c>
      <c r="H367" t="s">
        <v>378</v>
      </c>
      <c r="I367">
        <v>40</v>
      </c>
      <c r="J367" s="1">
        <v>50000</v>
      </c>
      <c r="K367" t="s">
        <v>26</v>
      </c>
      <c r="L367" s="1">
        <v>50000</v>
      </c>
      <c r="M367" t="s">
        <v>26</v>
      </c>
      <c r="Q367" t="s">
        <v>27</v>
      </c>
      <c r="T367" t="s">
        <v>208</v>
      </c>
      <c r="X367" t="s">
        <v>30</v>
      </c>
      <c r="Y367">
        <v>1495275</v>
      </c>
      <c r="Z367">
        <v>20250731</v>
      </c>
    </row>
    <row r="368" spans="3:26" x14ac:dyDescent="0.25">
      <c r="C368">
        <v>10000001</v>
      </c>
      <c r="D368" t="s">
        <v>378</v>
      </c>
      <c r="F368">
        <v>1495275</v>
      </c>
      <c r="H368" t="s">
        <v>378</v>
      </c>
      <c r="I368">
        <v>40</v>
      </c>
      <c r="J368" s="1">
        <v>700000</v>
      </c>
      <c r="K368" t="s">
        <v>26</v>
      </c>
      <c r="L368" s="1">
        <v>700000</v>
      </c>
      <c r="M368" t="s">
        <v>26</v>
      </c>
      <c r="Q368" t="s">
        <v>27</v>
      </c>
      <c r="T368" t="s">
        <v>282</v>
      </c>
      <c r="X368" t="s">
        <v>30</v>
      </c>
      <c r="Y368">
        <v>1495275</v>
      </c>
      <c r="Z368">
        <v>20250731</v>
      </c>
    </row>
    <row r="369" spans="3:26" x14ac:dyDescent="0.25">
      <c r="C369">
        <v>10000001</v>
      </c>
      <c r="D369" t="s">
        <v>378</v>
      </c>
      <c r="F369">
        <v>1495275</v>
      </c>
      <c r="H369" t="s">
        <v>378</v>
      </c>
      <c r="I369">
        <v>40</v>
      </c>
      <c r="J369" s="1">
        <v>183680</v>
      </c>
      <c r="K369" t="s">
        <v>26</v>
      </c>
      <c r="L369" s="1">
        <v>183680</v>
      </c>
      <c r="M369" t="s">
        <v>26</v>
      </c>
      <c r="Q369" t="s">
        <v>27</v>
      </c>
      <c r="T369" t="s">
        <v>338</v>
      </c>
      <c r="X369" t="s">
        <v>30</v>
      </c>
      <c r="Y369">
        <v>1495275</v>
      </c>
      <c r="Z369">
        <v>20250731</v>
      </c>
    </row>
    <row r="370" spans="3:26" x14ac:dyDescent="0.25">
      <c r="C370">
        <v>10000001</v>
      </c>
      <c r="D370" t="s">
        <v>378</v>
      </c>
      <c r="F370">
        <v>1495275</v>
      </c>
      <c r="H370" t="s">
        <v>378</v>
      </c>
      <c r="I370">
        <v>40</v>
      </c>
      <c r="J370" s="1">
        <v>973200</v>
      </c>
      <c r="K370" t="s">
        <v>26</v>
      </c>
      <c r="L370" s="1">
        <v>973200</v>
      </c>
      <c r="M370" t="s">
        <v>26</v>
      </c>
      <c r="Q370" t="s">
        <v>27</v>
      </c>
      <c r="T370" t="s">
        <v>127</v>
      </c>
      <c r="X370" t="s">
        <v>30</v>
      </c>
      <c r="Y370">
        <v>1495275</v>
      </c>
      <c r="Z370">
        <v>20250731</v>
      </c>
    </row>
    <row r="371" spans="3:26" x14ac:dyDescent="0.25">
      <c r="C371">
        <v>10000001</v>
      </c>
      <c r="D371" t="s">
        <v>378</v>
      </c>
      <c r="F371">
        <v>1495275</v>
      </c>
      <c r="H371" t="s">
        <v>378</v>
      </c>
      <c r="I371">
        <v>40</v>
      </c>
      <c r="J371" s="1">
        <v>900300</v>
      </c>
      <c r="K371" t="s">
        <v>26</v>
      </c>
      <c r="L371" s="1">
        <v>900300</v>
      </c>
      <c r="M371" t="s">
        <v>26</v>
      </c>
      <c r="Q371" t="s">
        <v>27</v>
      </c>
      <c r="T371" t="s">
        <v>365</v>
      </c>
      <c r="X371" t="s">
        <v>30</v>
      </c>
      <c r="Y371">
        <v>1495275</v>
      </c>
      <c r="Z371">
        <v>20250731</v>
      </c>
    </row>
    <row r="372" spans="3:26" x14ac:dyDescent="0.25">
      <c r="C372">
        <v>10000001</v>
      </c>
      <c r="D372" t="s">
        <v>378</v>
      </c>
      <c r="F372">
        <v>1495275</v>
      </c>
      <c r="H372" t="s">
        <v>378</v>
      </c>
      <c r="I372">
        <v>40</v>
      </c>
      <c r="J372" s="1">
        <v>945000</v>
      </c>
      <c r="K372" t="s">
        <v>26</v>
      </c>
      <c r="L372" s="1">
        <v>945000</v>
      </c>
      <c r="M372" t="s">
        <v>26</v>
      </c>
      <c r="Q372" t="s">
        <v>27</v>
      </c>
      <c r="T372" t="s">
        <v>203</v>
      </c>
      <c r="X372" t="s">
        <v>30</v>
      </c>
      <c r="Y372">
        <v>1495275</v>
      </c>
      <c r="Z372">
        <v>20250731</v>
      </c>
    </row>
    <row r="373" spans="3:26" x14ac:dyDescent="0.25">
      <c r="C373">
        <v>10000001</v>
      </c>
      <c r="D373" t="s">
        <v>378</v>
      </c>
      <c r="F373">
        <v>1495275</v>
      </c>
      <c r="H373" t="s">
        <v>378</v>
      </c>
      <c r="I373">
        <v>40</v>
      </c>
      <c r="J373" s="1">
        <v>889800</v>
      </c>
      <c r="K373" t="s">
        <v>26</v>
      </c>
      <c r="L373" s="1">
        <v>889800</v>
      </c>
      <c r="M373" t="s">
        <v>26</v>
      </c>
      <c r="Q373" t="s">
        <v>27</v>
      </c>
      <c r="T373" t="s">
        <v>354</v>
      </c>
      <c r="X373" t="s">
        <v>30</v>
      </c>
      <c r="Y373">
        <v>1495275</v>
      </c>
      <c r="Z373">
        <v>20250731</v>
      </c>
    </row>
    <row r="374" spans="3:26" x14ac:dyDescent="0.25">
      <c r="C374">
        <v>10000001</v>
      </c>
      <c r="D374" t="s">
        <v>378</v>
      </c>
      <c r="F374">
        <v>1495275</v>
      </c>
      <c r="H374" t="s">
        <v>378</v>
      </c>
      <c r="I374">
        <v>40</v>
      </c>
      <c r="J374" s="1">
        <v>362500</v>
      </c>
      <c r="K374" t="s">
        <v>26</v>
      </c>
      <c r="L374" s="1">
        <v>362500</v>
      </c>
      <c r="M374" t="s">
        <v>26</v>
      </c>
      <c r="Q374" t="s">
        <v>27</v>
      </c>
      <c r="T374" t="s">
        <v>359</v>
      </c>
      <c r="X374" t="s">
        <v>30</v>
      </c>
      <c r="Y374">
        <v>1495275</v>
      </c>
      <c r="Z374">
        <v>20250731</v>
      </c>
    </row>
    <row r="375" spans="3:26" x14ac:dyDescent="0.25">
      <c r="C375">
        <v>10000001</v>
      </c>
      <c r="D375" t="s">
        <v>378</v>
      </c>
      <c r="F375">
        <v>1495275</v>
      </c>
      <c r="H375" t="s">
        <v>378</v>
      </c>
      <c r="I375">
        <v>40</v>
      </c>
      <c r="J375" s="1">
        <v>156280</v>
      </c>
      <c r="K375" t="s">
        <v>26</v>
      </c>
      <c r="L375" s="1">
        <v>156280</v>
      </c>
      <c r="M375" t="s">
        <v>26</v>
      </c>
      <c r="Q375" t="s">
        <v>27</v>
      </c>
      <c r="T375" t="s">
        <v>164</v>
      </c>
      <c r="X375" t="s">
        <v>30</v>
      </c>
      <c r="Y375">
        <v>1495275</v>
      </c>
      <c r="Z375">
        <v>20250731</v>
      </c>
    </row>
    <row r="376" spans="3:26" x14ac:dyDescent="0.25">
      <c r="C376">
        <v>10000001</v>
      </c>
      <c r="D376" t="s">
        <v>378</v>
      </c>
      <c r="F376">
        <v>1495275</v>
      </c>
      <c r="H376" t="s">
        <v>378</v>
      </c>
      <c r="I376">
        <v>40</v>
      </c>
      <c r="J376" s="1">
        <v>325000</v>
      </c>
      <c r="K376" t="s">
        <v>26</v>
      </c>
      <c r="L376" s="1">
        <v>325000</v>
      </c>
      <c r="M376" t="s">
        <v>26</v>
      </c>
      <c r="Q376" t="s">
        <v>27</v>
      </c>
      <c r="T376" t="s">
        <v>170</v>
      </c>
      <c r="X376" t="s">
        <v>30</v>
      </c>
      <c r="Y376">
        <v>1495275</v>
      </c>
      <c r="Z376">
        <v>20250731</v>
      </c>
    </row>
    <row r="377" spans="3:26" x14ac:dyDescent="0.25">
      <c r="C377">
        <v>10000001</v>
      </c>
      <c r="D377" t="s">
        <v>378</v>
      </c>
      <c r="F377">
        <v>1495275</v>
      </c>
      <c r="H377" t="s">
        <v>378</v>
      </c>
      <c r="I377">
        <v>40</v>
      </c>
      <c r="J377" s="1">
        <v>180000</v>
      </c>
      <c r="K377" t="s">
        <v>26</v>
      </c>
      <c r="L377" s="1">
        <v>180000</v>
      </c>
      <c r="M377" t="s">
        <v>26</v>
      </c>
      <c r="Q377" t="s">
        <v>27</v>
      </c>
      <c r="T377" t="s">
        <v>307</v>
      </c>
      <c r="X377" t="s">
        <v>30</v>
      </c>
      <c r="Y377">
        <v>1495275</v>
      </c>
      <c r="Z377">
        <v>20250731</v>
      </c>
    </row>
    <row r="378" spans="3:26" x14ac:dyDescent="0.25">
      <c r="C378">
        <v>10000001</v>
      </c>
      <c r="D378" t="s">
        <v>378</v>
      </c>
      <c r="F378">
        <v>1495275</v>
      </c>
      <c r="H378" t="s">
        <v>378</v>
      </c>
      <c r="I378">
        <v>40</v>
      </c>
      <c r="J378" s="1">
        <v>915600</v>
      </c>
      <c r="K378" t="s">
        <v>26</v>
      </c>
      <c r="L378" s="1">
        <v>915600</v>
      </c>
      <c r="M378" t="s">
        <v>26</v>
      </c>
      <c r="Q378" t="s">
        <v>27</v>
      </c>
      <c r="T378" t="s">
        <v>177</v>
      </c>
      <c r="X378" t="s">
        <v>30</v>
      </c>
      <c r="Y378">
        <v>1495275</v>
      </c>
      <c r="Z378">
        <v>20250731</v>
      </c>
    </row>
    <row r="379" spans="3:26" x14ac:dyDescent="0.25">
      <c r="C379">
        <v>10000001</v>
      </c>
      <c r="D379" t="s">
        <v>378</v>
      </c>
      <c r="F379">
        <v>1495275</v>
      </c>
      <c r="H379" t="s">
        <v>378</v>
      </c>
      <c r="I379">
        <v>40</v>
      </c>
      <c r="J379" s="1">
        <v>500000</v>
      </c>
      <c r="K379" t="s">
        <v>26</v>
      </c>
      <c r="L379" s="1">
        <v>500000</v>
      </c>
      <c r="M379" t="s">
        <v>26</v>
      </c>
      <c r="Q379" t="s">
        <v>27</v>
      </c>
      <c r="T379" t="s">
        <v>283</v>
      </c>
      <c r="X379" t="s">
        <v>30</v>
      </c>
      <c r="Y379">
        <v>1495275</v>
      </c>
      <c r="Z379">
        <v>20250731</v>
      </c>
    </row>
    <row r="380" spans="3:26" x14ac:dyDescent="0.25">
      <c r="C380">
        <v>10000001</v>
      </c>
      <c r="D380" t="s">
        <v>378</v>
      </c>
      <c r="F380">
        <v>1495275</v>
      </c>
      <c r="H380" t="s">
        <v>378</v>
      </c>
      <c r="I380">
        <v>40</v>
      </c>
      <c r="J380" s="1">
        <v>952000</v>
      </c>
      <c r="K380" t="s">
        <v>26</v>
      </c>
      <c r="L380" s="1">
        <v>952000</v>
      </c>
      <c r="M380" t="s">
        <v>26</v>
      </c>
      <c r="Q380" t="s">
        <v>27</v>
      </c>
      <c r="T380" t="s">
        <v>218</v>
      </c>
      <c r="X380" t="s">
        <v>30</v>
      </c>
      <c r="Y380">
        <v>1495275</v>
      </c>
      <c r="Z380">
        <v>20250731</v>
      </c>
    </row>
    <row r="381" spans="3:26" x14ac:dyDescent="0.25">
      <c r="C381">
        <v>10000001</v>
      </c>
      <c r="D381" t="s">
        <v>378</v>
      </c>
      <c r="F381">
        <v>1495275</v>
      </c>
      <c r="H381" t="s">
        <v>378</v>
      </c>
      <c r="I381">
        <v>40</v>
      </c>
      <c r="J381" s="1">
        <v>26000</v>
      </c>
      <c r="K381" t="s">
        <v>26</v>
      </c>
      <c r="L381" s="1">
        <v>26000</v>
      </c>
      <c r="M381" t="s">
        <v>26</v>
      </c>
      <c r="Q381" t="s">
        <v>27</v>
      </c>
      <c r="T381" t="s">
        <v>369</v>
      </c>
      <c r="X381" t="s">
        <v>30</v>
      </c>
      <c r="Y381">
        <v>1495275</v>
      </c>
      <c r="Z381">
        <v>20250731</v>
      </c>
    </row>
    <row r="382" spans="3:26" x14ac:dyDescent="0.25">
      <c r="C382">
        <v>10000001</v>
      </c>
      <c r="D382" t="s">
        <v>378</v>
      </c>
      <c r="F382">
        <v>1495275</v>
      </c>
      <c r="H382" t="s">
        <v>378</v>
      </c>
      <c r="I382">
        <v>40</v>
      </c>
      <c r="J382" s="1">
        <v>3000</v>
      </c>
      <c r="K382" t="s">
        <v>26</v>
      </c>
      <c r="L382" s="1">
        <v>3000</v>
      </c>
      <c r="M382" t="s">
        <v>26</v>
      </c>
      <c r="Q382" t="s">
        <v>27</v>
      </c>
      <c r="T382" t="s">
        <v>335</v>
      </c>
      <c r="X382" t="s">
        <v>30</v>
      </c>
      <c r="Y382">
        <v>1495275</v>
      </c>
      <c r="Z382">
        <v>20250731</v>
      </c>
    </row>
    <row r="383" spans="3:26" x14ac:dyDescent="0.25">
      <c r="C383">
        <v>10000001</v>
      </c>
      <c r="D383" t="s">
        <v>378</v>
      </c>
      <c r="F383">
        <v>1495275</v>
      </c>
      <c r="H383" t="s">
        <v>378</v>
      </c>
      <c r="I383">
        <v>40</v>
      </c>
      <c r="J383" s="1">
        <v>50000</v>
      </c>
      <c r="K383" t="s">
        <v>26</v>
      </c>
      <c r="L383" s="1">
        <v>50000</v>
      </c>
      <c r="M383" t="s">
        <v>26</v>
      </c>
      <c r="Q383" t="s">
        <v>27</v>
      </c>
      <c r="T383" t="s">
        <v>149</v>
      </c>
      <c r="X383" t="s">
        <v>30</v>
      </c>
      <c r="Y383">
        <v>1495275</v>
      </c>
      <c r="Z383">
        <v>20250731</v>
      </c>
    </row>
    <row r="384" spans="3:26" x14ac:dyDescent="0.25">
      <c r="C384">
        <v>10000001</v>
      </c>
      <c r="D384" t="s">
        <v>378</v>
      </c>
      <c r="F384">
        <v>1495275</v>
      </c>
      <c r="H384" t="s">
        <v>378</v>
      </c>
      <c r="I384">
        <v>40</v>
      </c>
      <c r="J384" s="1">
        <v>600000</v>
      </c>
      <c r="K384" t="s">
        <v>26</v>
      </c>
      <c r="L384" s="1">
        <v>600000</v>
      </c>
      <c r="M384" t="s">
        <v>26</v>
      </c>
      <c r="Q384" t="s">
        <v>27</v>
      </c>
      <c r="T384" t="s">
        <v>196</v>
      </c>
      <c r="X384" t="s">
        <v>30</v>
      </c>
      <c r="Y384">
        <v>1495275</v>
      </c>
      <c r="Z384">
        <v>20250731</v>
      </c>
    </row>
    <row r="385" spans="3:26" x14ac:dyDescent="0.25">
      <c r="C385">
        <v>10000001</v>
      </c>
      <c r="D385" t="s">
        <v>378</v>
      </c>
      <c r="F385">
        <v>1495275</v>
      </c>
      <c r="H385" t="s">
        <v>378</v>
      </c>
      <c r="I385">
        <v>40</v>
      </c>
      <c r="J385" s="1">
        <v>500000</v>
      </c>
      <c r="K385" t="s">
        <v>26</v>
      </c>
      <c r="L385" s="1">
        <v>500000</v>
      </c>
      <c r="M385" t="s">
        <v>26</v>
      </c>
      <c r="Q385" t="s">
        <v>27</v>
      </c>
      <c r="T385" t="s">
        <v>257</v>
      </c>
      <c r="X385" t="s">
        <v>30</v>
      </c>
      <c r="Y385">
        <v>1495275</v>
      </c>
      <c r="Z385">
        <v>20250731</v>
      </c>
    </row>
    <row r="386" spans="3:26" x14ac:dyDescent="0.25">
      <c r="C386">
        <v>10000001</v>
      </c>
      <c r="D386" t="s">
        <v>378</v>
      </c>
      <c r="F386">
        <v>1495275</v>
      </c>
      <c r="H386" t="s">
        <v>378</v>
      </c>
      <c r="I386">
        <v>40</v>
      </c>
      <c r="J386" s="1">
        <v>500000</v>
      </c>
      <c r="K386" t="s">
        <v>26</v>
      </c>
      <c r="L386" s="1">
        <v>500000</v>
      </c>
      <c r="M386" t="s">
        <v>26</v>
      </c>
      <c r="Q386" t="s">
        <v>27</v>
      </c>
      <c r="T386" t="s">
        <v>315</v>
      </c>
      <c r="X386" t="s">
        <v>30</v>
      </c>
      <c r="Y386">
        <v>1495275</v>
      </c>
      <c r="Z386">
        <v>20250731</v>
      </c>
    </row>
    <row r="387" spans="3:26" x14ac:dyDescent="0.25">
      <c r="C387">
        <v>10000001</v>
      </c>
      <c r="D387" t="s">
        <v>378</v>
      </c>
      <c r="F387">
        <v>1495275</v>
      </c>
      <c r="H387" t="s">
        <v>378</v>
      </c>
      <c r="I387">
        <v>40</v>
      </c>
      <c r="J387" s="1">
        <v>400000</v>
      </c>
      <c r="K387" t="s">
        <v>26</v>
      </c>
      <c r="L387" s="1">
        <v>400000</v>
      </c>
      <c r="M387" t="s">
        <v>26</v>
      </c>
      <c r="Q387" t="s">
        <v>27</v>
      </c>
      <c r="T387" t="s">
        <v>42</v>
      </c>
      <c r="X387" t="s">
        <v>30</v>
      </c>
      <c r="Y387">
        <v>1495275</v>
      </c>
      <c r="Z387">
        <v>20250731</v>
      </c>
    </row>
    <row r="388" spans="3:26" x14ac:dyDescent="0.25">
      <c r="C388">
        <v>10000001</v>
      </c>
      <c r="D388" t="s">
        <v>378</v>
      </c>
      <c r="F388">
        <v>1495275</v>
      </c>
      <c r="H388" t="s">
        <v>378</v>
      </c>
      <c r="I388">
        <v>40</v>
      </c>
      <c r="J388" s="1">
        <v>600000</v>
      </c>
      <c r="K388" t="s">
        <v>26</v>
      </c>
      <c r="L388" s="1">
        <v>600000</v>
      </c>
      <c r="M388" t="s">
        <v>26</v>
      </c>
      <c r="Q388" t="s">
        <v>27</v>
      </c>
      <c r="T388" t="s">
        <v>364</v>
      </c>
      <c r="X388" t="s">
        <v>30</v>
      </c>
      <c r="Y388">
        <v>1495275</v>
      </c>
      <c r="Z388">
        <v>20250731</v>
      </c>
    </row>
    <row r="389" spans="3:26" x14ac:dyDescent="0.25">
      <c r="C389">
        <v>10000001</v>
      </c>
      <c r="D389" t="s">
        <v>378</v>
      </c>
      <c r="F389">
        <v>1495275</v>
      </c>
      <c r="H389" t="s">
        <v>378</v>
      </c>
      <c r="I389">
        <v>40</v>
      </c>
      <c r="J389" s="1">
        <v>44000</v>
      </c>
      <c r="K389" t="s">
        <v>26</v>
      </c>
      <c r="L389" s="1">
        <v>44000</v>
      </c>
      <c r="M389" t="s">
        <v>26</v>
      </c>
      <c r="Q389" t="s">
        <v>27</v>
      </c>
      <c r="T389" t="s">
        <v>297</v>
      </c>
      <c r="X389" t="s">
        <v>30</v>
      </c>
      <c r="Y389">
        <v>1495275</v>
      </c>
      <c r="Z389">
        <v>20250731</v>
      </c>
    </row>
    <row r="390" spans="3:26" x14ac:dyDescent="0.25">
      <c r="C390">
        <v>10000001</v>
      </c>
      <c r="D390" t="s">
        <v>378</v>
      </c>
      <c r="F390">
        <v>1495275</v>
      </c>
      <c r="H390" t="s">
        <v>378</v>
      </c>
      <c r="I390">
        <v>40</v>
      </c>
      <c r="J390" s="1">
        <v>43000</v>
      </c>
      <c r="K390" t="s">
        <v>26</v>
      </c>
      <c r="L390" s="1">
        <v>43000</v>
      </c>
      <c r="M390" t="s">
        <v>26</v>
      </c>
      <c r="Q390" t="s">
        <v>27</v>
      </c>
      <c r="T390" t="s">
        <v>304</v>
      </c>
      <c r="X390" t="s">
        <v>30</v>
      </c>
      <c r="Y390">
        <v>1495275</v>
      </c>
      <c r="Z390">
        <v>20250731</v>
      </c>
    </row>
    <row r="391" spans="3:26" x14ac:dyDescent="0.25">
      <c r="C391">
        <v>10000001</v>
      </c>
      <c r="D391" t="s">
        <v>378</v>
      </c>
      <c r="F391">
        <v>1495275</v>
      </c>
      <c r="H391" t="s">
        <v>378</v>
      </c>
      <c r="I391">
        <v>40</v>
      </c>
      <c r="J391" s="1">
        <v>210000</v>
      </c>
      <c r="K391" t="s">
        <v>26</v>
      </c>
      <c r="L391" s="1">
        <v>210000</v>
      </c>
      <c r="M391" t="s">
        <v>26</v>
      </c>
      <c r="Q391" t="s">
        <v>27</v>
      </c>
      <c r="T391" t="s">
        <v>68</v>
      </c>
      <c r="X391" t="s">
        <v>30</v>
      </c>
      <c r="Y391">
        <v>1495275</v>
      </c>
      <c r="Z391">
        <v>20250731</v>
      </c>
    </row>
    <row r="392" spans="3:26" x14ac:dyDescent="0.25">
      <c r="C392">
        <v>10000001</v>
      </c>
      <c r="D392" t="s">
        <v>378</v>
      </c>
      <c r="F392">
        <v>1495275</v>
      </c>
      <c r="H392" t="s">
        <v>378</v>
      </c>
      <c r="I392">
        <v>40</v>
      </c>
      <c r="J392" s="1">
        <v>184000</v>
      </c>
      <c r="K392" t="s">
        <v>26</v>
      </c>
      <c r="L392" s="1">
        <v>184000</v>
      </c>
      <c r="M392" t="s">
        <v>26</v>
      </c>
      <c r="Q392" t="s">
        <v>27</v>
      </c>
      <c r="T392" t="s">
        <v>102</v>
      </c>
      <c r="X392" t="s">
        <v>30</v>
      </c>
      <c r="Y392">
        <v>1495275</v>
      </c>
      <c r="Z392">
        <v>20250731</v>
      </c>
    </row>
    <row r="393" spans="3:26" x14ac:dyDescent="0.25">
      <c r="C393">
        <v>10000001</v>
      </c>
      <c r="D393" t="s">
        <v>378</v>
      </c>
      <c r="F393">
        <v>1495275</v>
      </c>
      <c r="H393" t="s">
        <v>378</v>
      </c>
      <c r="I393">
        <v>40</v>
      </c>
      <c r="J393" s="1">
        <v>290500</v>
      </c>
      <c r="K393" t="s">
        <v>26</v>
      </c>
      <c r="L393" s="1">
        <v>290500</v>
      </c>
      <c r="M393" t="s">
        <v>26</v>
      </c>
      <c r="Q393" t="s">
        <v>27</v>
      </c>
      <c r="T393" t="s">
        <v>255</v>
      </c>
      <c r="X393" t="s">
        <v>30</v>
      </c>
      <c r="Y393">
        <v>1495275</v>
      </c>
      <c r="Z393">
        <v>20250731</v>
      </c>
    </row>
    <row r="394" spans="3:26" x14ac:dyDescent="0.25">
      <c r="C394">
        <v>10000001</v>
      </c>
      <c r="D394" t="s">
        <v>378</v>
      </c>
      <c r="F394">
        <v>1495275</v>
      </c>
      <c r="H394" t="s">
        <v>378</v>
      </c>
      <c r="I394">
        <v>40</v>
      </c>
      <c r="J394" s="1">
        <v>991458</v>
      </c>
      <c r="K394" t="s">
        <v>26</v>
      </c>
      <c r="L394" s="1">
        <v>991458</v>
      </c>
      <c r="M394" t="s">
        <v>26</v>
      </c>
      <c r="Q394" t="s">
        <v>27</v>
      </c>
      <c r="T394" t="s">
        <v>210</v>
      </c>
      <c r="X394" t="s">
        <v>30</v>
      </c>
      <c r="Y394">
        <v>1495275</v>
      </c>
      <c r="Z394">
        <v>20250731</v>
      </c>
    </row>
    <row r="395" spans="3:26" x14ac:dyDescent="0.25">
      <c r="C395">
        <v>10000001</v>
      </c>
      <c r="D395" t="s">
        <v>378</v>
      </c>
      <c r="F395">
        <v>1495275</v>
      </c>
      <c r="H395" t="s">
        <v>378</v>
      </c>
      <c r="I395">
        <v>40</v>
      </c>
      <c r="J395" s="1">
        <v>60000</v>
      </c>
      <c r="K395" t="s">
        <v>26</v>
      </c>
      <c r="L395" s="1">
        <v>60000</v>
      </c>
      <c r="M395" t="s">
        <v>26</v>
      </c>
      <c r="Q395" t="s">
        <v>27</v>
      </c>
      <c r="T395" t="s">
        <v>266</v>
      </c>
      <c r="X395" t="s">
        <v>30</v>
      </c>
      <c r="Y395">
        <v>1495275</v>
      </c>
      <c r="Z395">
        <v>20250731</v>
      </c>
    </row>
    <row r="396" spans="3:26" x14ac:dyDescent="0.25">
      <c r="C396">
        <v>10000001</v>
      </c>
      <c r="D396" t="s">
        <v>378</v>
      </c>
      <c r="F396">
        <v>1495275</v>
      </c>
      <c r="H396" t="s">
        <v>378</v>
      </c>
      <c r="I396">
        <v>40</v>
      </c>
      <c r="J396" s="1">
        <v>48000</v>
      </c>
      <c r="K396" t="s">
        <v>26</v>
      </c>
      <c r="L396" s="1">
        <v>48000</v>
      </c>
      <c r="M396" t="s">
        <v>26</v>
      </c>
      <c r="Q396" t="s">
        <v>27</v>
      </c>
      <c r="T396" t="s">
        <v>156</v>
      </c>
      <c r="X396" t="s">
        <v>30</v>
      </c>
      <c r="Y396">
        <v>1495275</v>
      </c>
      <c r="Z396">
        <v>20250731</v>
      </c>
    </row>
    <row r="397" spans="3:26" x14ac:dyDescent="0.25">
      <c r="C397">
        <v>10000001</v>
      </c>
      <c r="D397" t="s">
        <v>378</v>
      </c>
      <c r="F397">
        <v>1495275</v>
      </c>
      <c r="H397" t="s">
        <v>378</v>
      </c>
      <c r="I397">
        <v>40</v>
      </c>
      <c r="J397" s="1">
        <v>1800000</v>
      </c>
      <c r="K397" t="s">
        <v>26</v>
      </c>
      <c r="L397" s="1">
        <v>1800000</v>
      </c>
      <c r="M397" t="s">
        <v>26</v>
      </c>
      <c r="Q397" t="s">
        <v>27</v>
      </c>
      <c r="T397" t="s">
        <v>173</v>
      </c>
      <c r="X397" t="s">
        <v>30</v>
      </c>
      <c r="Y397">
        <v>1495275</v>
      </c>
      <c r="Z397">
        <v>20250731</v>
      </c>
    </row>
    <row r="398" spans="3:26" x14ac:dyDescent="0.25">
      <c r="C398">
        <v>10000001</v>
      </c>
      <c r="D398" t="s">
        <v>378</v>
      </c>
      <c r="F398">
        <v>1495275</v>
      </c>
      <c r="H398" t="s">
        <v>378</v>
      </c>
      <c r="I398">
        <v>40</v>
      </c>
      <c r="J398" s="1">
        <v>825000</v>
      </c>
      <c r="K398" t="s">
        <v>26</v>
      </c>
      <c r="L398" s="1">
        <v>825000</v>
      </c>
      <c r="M398" t="s">
        <v>26</v>
      </c>
      <c r="Q398" t="s">
        <v>27</v>
      </c>
      <c r="T398" t="s">
        <v>132</v>
      </c>
      <c r="X398" t="s">
        <v>30</v>
      </c>
      <c r="Y398">
        <v>1495275</v>
      </c>
      <c r="Z398">
        <v>20250731</v>
      </c>
    </row>
    <row r="399" spans="3:26" x14ac:dyDescent="0.25">
      <c r="C399">
        <v>10000001</v>
      </c>
      <c r="D399" t="s">
        <v>378</v>
      </c>
      <c r="F399">
        <v>1495275</v>
      </c>
      <c r="H399" t="s">
        <v>378</v>
      </c>
      <c r="I399">
        <v>40</v>
      </c>
      <c r="J399" s="1">
        <v>830500</v>
      </c>
      <c r="K399" t="s">
        <v>26</v>
      </c>
      <c r="L399" s="1">
        <v>830500</v>
      </c>
      <c r="M399" t="s">
        <v>26</v>
      </c>
      <c r="Q399" t="s">
        <v>27</v>
      </c>
      <c r="T399" t="s">
        <v>280</v>
      </c>
      <c r="X399" t="s">
        <v>30</v>
      </c>
      <c r="Y399">
        <v>1495275</v>
      </c>
      <c r="Z399">
        <v>20250731</v>
      </c>
    </row>
    <row r="400" spans="3:26" x14ac:dyDescent="0.25">
      <c r="C400">
        <v>10000001</v>
      </c>
      <c r="D400" t="s">
        <v>378</v>
      </c>
      <c r="F400">
        <v>1495275</v>
      </c>
      <c r="H400" t="s">
        <v>378</v>
      </c>
      <c r="I400">
        <v>40</v>
      </c>
      <c r="J400" s="1">
        <v>863500</v>
      </c>
      <c r="K400" t="s">
        <v>26</v>
      </c>
      <c r="L400" s="1">
        <v>863500</v>
      </c>
      <c r="M400" t="s">
        <v>26</v>
      </c>
      <c r="Q400" t="s">
        <v>27</v>
      </c>
      <c r="T400" t="s">
        <v>147</v>
      </c>
      <c r="X400" t="s">
        <v>30</v>
      </c>
      <c r="Y400">
        <v>1495275</v>
      </c>
      <c r="Z400">
        <v>20250731</v>
      </c>
    </row>
    <row r="401" spans="3:26" x14ac:dyDescent="0.25">
      <c r="C401">
        <v>10000001</v>
      </c>
      <c r="D401" t="s">
        <v>378</v>
      </c>
      <c r="F401">
        <v>1495275</v>
      </c>
      <c r="H401" t="s">
        <v>378</v>
      </c>
      <c r="I401">
        <v>40</v>
      </c>
      <c r="J401" s="1">
        <v>714500</v>
      </c>
      <c r="K401" t="s">
        <v>26</v>
      </c>
      <c r="L401" s="1">
        <v>714500</v>
      </c>
      <c r="M401" t="s">
        <v>26</v>
      </c>
      <c r="Q401" t="s">
        <v>27</v>
      </c>
      <c r="T401" t="s">
        <v>279</v>
      </c>
      <c r="X401" t="s">
        <v>30</v>
      </c>
      <c r="Y401">
        <v>1495275</v>
      </c>
      <c r="Z401">
        <v>20250731</v>
      </c>
    </row>
    <row r="402" spans="3:26" x14ac:dyDescent="0.25">
      <c r="C402">
        <v>10000001</v>
      </c>
      <c r="D402" t="s">
        <v>378</v>
      </c>
      <c r="F402">
        <v>1495275</v>
      </c>
      <c r="H402" t="s">
        <v>378</v>
      </c>
      <c r="I402">
        <v>40</v>
      </c>
      <c r="J402" s="1">
        <v>93000</v>
      </c>
      <c r="K402" t="s">
        <v>26</v>
      </c>
      <c r="L402" s="1">
        <v>93000</v>
      </c>
      <c r="M402" t="s">
        <v>26</v>
      </c>
      <c r="Q402" t="s">
        <v>27</v>
      </c>
      <c r="T402" t="s">
        <v>124</v>
      </c>
      <c r="X402" t="s">
        <v>30</v>
      </c>
      <c r="Y402">
        <v>1495275</v>
      </c>
      <c r="Z402">
        <v>20250731</v>
      </c>
    </row>
    <row r="403" spans="3:26" x14ac:dyDescent="0.25">
      <c r="C403">
        <v>10000001</v>
      </c>
      <c r="D403" t="s">
        <v>378</v>
      </c>
      <c r="F403">
        <v>1495275</v>
      </c>
      <c r="H403" t="s">
        <v>378</v>
      </c>
      <c r="I403">
        <v>40</v>
      </c>
      <c r="J403" s="1">
        <v>383350</v>
      </c>
      <c r="K403" t="s">
        <v>26</v>
      </c>
      <c r="L403" s="1">
        <v>383350</v>
      </c>
      <c r="M403" t="s">
        <v>26</v>
      </c>
      <c r="Q403" t="s">
        <v>27</v>
      </c>
      <c r="T403" t="s">
        <v>352</v>
      </c>
      <c r="X403" t="s">
        <v>30</v>
      </c>
      <c r="Y403">
        <v>1495275</v>
      </c>
      <c r="Z403">
        <v>20250731</v>
      </c>
    </row>
    <row r="404" spans="3:26" x14ac:dyDescent="0.25">
      <c r="C404">
        <v>10000001</v>
      </c>
      <c r="D404" t="s">
        <v>378</v>
      </c>
      <c r="F404">
        <v>1495275</v>
      </c>
      <c r="H404" t="s">
        <v>378</v>
      </c>
      <c r="I404">
        <v>40</v>
      </c>
      <c r="J404" s="1">
        <v>856000</v>
      </c>
      <c r="K404" t="s">
        <v>26</v>
      </c>
      <c r="L404" s="1">
        <v>856000</v>
      </c>
      <c r="M404" t="s">
        <v>26</v>
      </c>
      <c r="Q404" t="s">
        <v>27</v>
      </c>
      <c r="T404" t="s">
        <v>201</v>
      </c>
      <c r="X404" t="s">
        <v>30</v>
      </c>
      <c r="Y404">
        <v>1495275</v>
      </c>
      <c r="Z404">
        <v>20250731</v>
      </c>
    </row>
    <row r="405" spans="3:26" x14ac:dyDescent="0.25">
      <c r="C405">
        <v>10000001</v>
      </c>
      <c r="D405" t="s">
        <v>378</v>
      </c>
      <c r="F405">
        <v>1495275</v>
      </c>
      <c r="H405" t="s">
        <v>378</v>
      </c>
      <c r="I405">
        <v>40</v>
      </c>
      <c r="J405" s="1">
        <v>831000</v>
      </c>
      <c r="K405" t="s">
        <v>26</v>
      </c>
      <c r="L405" s="1">
        <v>831000</v>
      </c>
      <c r="M405" t="s">
        <v>26</v>
      </c>
      <c r="Q405" t="s">
        <v>27</v>
      </c>
      <c r="T405" t="s">
        <v>348</v>
      </c>
      <c r="X405" t="s">
        <v>30</v>
      </c>
      <c r="Y405">
        <v>1495275</v>
      </c>
      <c r="Z405">
        <v>20250731</v>
      </c>
    </row>
    <row r="406" spans="3:26" x14ac:dyDescent="0.25">
      <c r="C406">
        <v>10000001</v>
      </c>
      <c r="D406" t="s">
        <v>378</v>
      </c>
      <c r="F406">
        <v>1495275</v>
      </c>
      <c r="H406" t="s">
        <v>378</v>
      </c>
      <c r="I406">
        <v>40</v>
      </c>
      <c r="J406" s="1">
        <v>172150</v>
      </c>
      <c r="K406" t="s">
        <v>26</v>
      </c>
      <c r="L406" s="1">
        <v>172150</v>
      </c>
      <c r="M406" t="s">
        <v>26</v>
      </c>
      <c r="Q406" t="s">
        <v>27</v>
      </c>
      <c r="T406" t="s">
        <v>166</v>
      </c>
      <c r="X406" t="s">
        <v>30</v>
      </c>
      <c r="Y406">
        <v>1495275</v>
      </c>
      <c r="Z406">
        <v>20250731</v>
      </c>
    </row>
    <row r="407" spans="3:26" x14ac:dyDescent="0.25">
      <c r="C407">
        <v>10000001</v>
      </c>
      <c r="D407" t="s">
        <v>378</v>
      </c>
      <c r="F407">
        <v>1495275</v>
      </c>
      <c r="H407" t="s">
        <v>378</v>
      </c>
      <c r="I407">
        <v>40</v>
      </c>
      <c r="J407" s="1">
        <v>502640</v>
      </c>
      <c r="K407" t="s">
        <v>26</v>
      </c>
      <c r="L407" s="1">
        <v>502640</v>
      </c>
      <c r="M407" t="s">
        <v>26</v>
      </c>
      <c r="Q407" t="s">
        <v>27</v>
      </c>
      <c r="T407" t="s">
        <v>100</v>
      </c>
      <c r="X407" t="s">
        <v>30</v>
      </c>
      <c r="Y407">
        <v>1495275</v>
      </c>
      <c r="Z407">
        <v>20250731</v>
      </c>
    </row>
    <row r="408" spans="3:26" x14ac:dyDescent="0.25">
      <c r="C408">
        <v>10000001</v>
      </c>
      <c r="D408" t="s">
        <v>378</v>
      </c>
      <c r="F408">
        <v>1495275</v>
      </c>
      <c r="H408" t="s">
        <v>378</v>
      </c>
      <c r="I408">
        <v>40</v>
      </c>
      <c r="J408" s="1">
        <v>504050</v>
      </c>
      <c r="K408" t="s">
        <v>26</v>
      </c>
      <c r="L408" s="1">
        <v>504050</v>
      </c>
      <c r="M408" t="s">
        <v>26</v>
      </c>
      <c r="Q408" t="s">
        <v>27</v>
      </c>
      <c r="T408" t="s">
        <v>142</v>
      </c>
      <c r="X408" t="s">
        <v>30</v>
      </c>
      <c r="Y408">
        <v>1495275</v>
      </c>
      <c r="Z408">
        <v>20250731</v>
      </c>
    </row>
    <row r="409" spans="3:26" x14ac:dyDescent="0.25">
      <c r="C409">
        <v>10000001</v>
      </c>
      <c r="D409" t="s">
        <v>378</v>
      </c>
      <c r="F409">
        <v>1495275</v>
      </c>
      <c r="H409" t="s">
        <v>378</v>
      </c>
      <c r="I409">
        <v>40</v>
      </c>
      <c r="J409" s="1">
        <v>629000</v>
      </c>
      <c r="K409" t="s">
        <v>26</v>
      </c>
      <c r="L409" s="1">
        <v>629000</v>
      </c>
      <c r="M409" t="s">
        <v>26</v>
      </c>
      <c r="Q409" t="s">
        <v>27</v>
      </c>
      <c r="T409" t="s">
        <v>252</v>
      </c>
      <c r="X409" t="s">
        <v>30</v>
      </c>
      <c r="Y409">
        <v>1495275</v>
      </c>
      <c r="Z409">
        <v>20250731</v>
      </c>
    </row>
    <row r="410" spans="3:26" x14ac:dyDescent="0.25">
      <c r="C410">
        <v>10000001</v>
      </c>
      <c r="D410" t="s">
        <v>378</v>
      </c>
      <c r="F410">
        <v>1495275</v>
      </c>
      <c r="H410" t="s">
        <v>378</v>
      </c>
      <c r="I410">
        <v>40</v>
      </c>
      <c r="J410" s="1">
        <v>685420</v>
      </c>
      <c r="K410" t="s">
        <v>26</v>
      </c>
      <c r="L410" s="1">
        <v>685420</v>
      </c>
      <c r="M410" t="s">
        <v>26</v>
      </c>
      <c r="Q410" t="s">
        <v>27</v>
      </c>
      <c r="T410" t="s">
        <v>134</v>
      </c>
      <c r="X410" t="s">
        <v>30</v>
      </c>
      <c r="Y410">
        <v>1495275</v>
      </c>
      <c r="Z410">
        <v>20250731</v>
      </c>
    </row>
    <row r="411" spans="3:26" x14ac:dyDescent="0.25">
      <c r="C411">
        <v>10000001</v>
      </c>
      <c r="D411" t="s">
        <v>378</v>
      </c>
      <c r="F411">
        <v>1495275</v>
      </c>
      <c r="H411" t="s">
        <v>378</v>
      </c>
      <c r="I411">
        <v>40</v>
      </c>
      <c r="J411" s="1">
        <v>275000</v>
      </c>
      <c r="K411" t="s">
        <v>26</v>
      </c>
      <c r="L411" s="1">
        <v>275000</v>
      </c>
      <c r="M411" t="s">
        <v>26</v>
      </c>
      <c r="Q411" t="s">
        <v>27</v>
      </c>
      <c r="T411" t="s">
        <v>356</v>
      </c>
      <c r="X411" t="s">
        <v>30</v>
      </c>
      <c r="Y411">
        <v>1495275</v>
      </c>
      <c r="Z411">
        <v>20250731</v>
      </c>
    </row>
    <row r="412" spans="3:26" x14ac:dyDescent="0.25">
      <c r="C412">
        <v>10000001</v>
      </c>
      <c r="D412" t="s">
        <v>378</v>
      </c>
      <c r="F412">
        <v>1495275</v>
      </c>
      <c r="H412" t="s">
        <v>378</v>
      </c>
      <c r="I412">
        <v>40</v>
      </c>
      <c r="J412" s="1">
        <v>809000</v>
      </c>
      <c r="K412" t="s">
        <v>26</v>
      </c>
      <c r="L412" s="1">
        <v>809000</v>
      </c>
      <c r="M412" t="s">
        <v>26</v>
      </c>
      <c r="Q412" t="s">
        <v>27</v>
      </c>
      <c r="T412" t="s">
        <v>189</v>
      </c>
      <c r="X412" t="s">
        <v>30</v>
      </c>
      <c r="Y412">
        <v>1495275</v>
      </c>
      <c r="Z412">
        <v>20250731</v>
      </c>
    </row>
    <row r="413" spans="3:26" x14ac:dyDescent="0.25">
      <c r="C413">
        <v>10000001</v>
      </c>
      <c r="D413" t="s">
        <v>378</v>
      </c>
      <c r="F413">
        <v>1495275</v>
      </c>
      <c r="H413" t="s">
        <v>378</v>
      </c>
      <c r="I413">
        <v>40</v>
      </c>
      <c r="J413" s="1">
        <v>210000</v>
      </c>
      <c r="K413" t="s">
        <v>26</v>
      </c>
      <c r="L413" s="1">
        <v>210000</v>
      </c>
      <c r="M413" t="s">
        <v>26</v>
      </c>
      <c r="Q413" t="s">
        <v>27</v>
      </c>
      <c r="T413" t="s">
        <v>144</v>
      </c>
      <c r="X413" t="s">
        <v>30</v>
      </c>
      <c r="Y413">
        <v>1495275</v>
      </c>
      <c r="Z413">
        <v>20250731</v>
      </c>
    </row>
    <row r="414" spans="3:26" x14ac:dyDescent="0.25">
      <c r="C414">
        <v>10000001</v>
      </c>
      <c r="D414" t="s">
        <v>378</v>
      </c>
      <c r="F414">
        <v>1495275</v>
      </c>
      <c r="H414" t="s">
        <v>378</v>
      </c>
      <c r="I414">
        <v>40</v>
      </c>
      <c r="J414" s="1">
        <v>153000</v>
      </c>
      <c r="K414" t="s">
        <v>26</v>
      </c>
      <c r="L414" s="1">
        <v>153000</v>
      </c>
      <c r="M414" t="s">
        <v>26</v>
      </c>
      <c r="Q414" t="s">
        <v>27</v>
      </c>
      <c r="T414" t="s">
        <v>261</v>
      </c>
      <c r="X414" t="s">
        <v>30</v>
      </c>
      <c r="Y414">
        <v>1495275</v>
      </c>
      <c r="Z414">
        <v>20250731</v>
      </c>
    </row>
    <row r="415" spans="3:26" x14ac:dyDescent="0.25">
      <c r="C415">
        <v>10000001</v>
      </c>
      <c r="D415" t="s">
        <v>378</v>
      </c>
      <c r="F415">
        <v>1495275</v>
      </c>
      <c r="H415" t="s">
        <v>378</v>
      </c>
      <c r="I415">
        <v>40</v>
      </c>
      <c r="J415" s="1">
        <v>143900</v>
      </c>
      <c r="K415" t="s">
        <v>26</v>
      </c>
      <c r="L415" s="1">
        <v>143900</v>
      </c>
      <c r="M415" t="s">
        <v>26</v>
      </c>
      <c r="Q415" t="s">
        <v>27</v>
      </c>
      <c r="T415" t="s">
        <v>140</v>
      </c>
      <c r="X415" t="s">
        <v>30</v>
      </c>
      <c r="Y415">
        <v>1495275</v>
      </c>
      <c r="Z415">
        <v>20250731</v>
      </c>
    </row>
    <row r="416" spans="3:26" x14ac:dyDescent="0.25">
      <c r="C416">
        <v>10000001</v>
      </c>
      <c r="D416" t="s">
        <v>378</v>
      </c>
      <c r="F416">
        <v>1495275</v>
      </c>
      <c r="H416" t="s">
        <v>378</v>
      </c>
      <c r="I416">
        <v>40</v>
      </c>
      <c r="J416" s="1">
        <v>1000000</v>
      </c>
      <c r="K416" t="s">
        <v>26</v>
      </c>
      <c r="L416" s="1">
        <v>1000000</v>
      </c>
      <c r="M416" t="s">
        <v>26</v>
      </c>
      <c r="Q416" t="s">
        <v>27</v>
      </c>
      <c r="T416" t="s">
        <v>260</v>
      </c>
      <c r="X416" t="s">
        <v>30</v>
      </c>
      <c r="Y416">
        <v>1495275</v>
      </c>
      <c r="Z416">
        <v>20250731</v>
      </c>
    </row>
    <row r="417" spans="3:26" x14ac:dyDescent="0.25">
      <c r="C417">
        <v>10000001</v>
      </c>
      <c r="D417" t="s">
        <v>378</v>
      </c>
      <c r="F417">
        <v>1495275</v>
      </c>
      <c r="H417" t="s">
        <v>378</v>
      </c>
      <c r="I417">
        <v>40</v>
      </c>
      <c r="J417" s="1">
        <v>1000000</v>
      </c>
      <c r="K417" t="s">
        <v>26</v>
      </c>
      <c r="L417" s="1">
        <v>1000000</v>
      </c>
      <c r="M417" t="s">
        <v>26</v>
      </c>
      <c r="Q417" t="s">
        <v>27</v>
      </c>
      <c r="T417" t="s">
        <v>367</v>
      </c>
      <c r="X417" t="s">
        <v>30</v>
      </c>
      <c r="Y417">
        <v>1495275</v>
      </c>
      <c r="Z417">
        <v>20250731</v>
      </c>
    </row>
    <row r="418" spans="3:26" x14ac:dyDescent="0.25">
      <c r="C418">
        <v>10000001</v>
      </c>
      <c r="D418" t="s">
        <v>378</v>
      </c>
      <c r="F418">
        <v>1495275</v>
      </c>
      <c r="H418" t="s">
        <v>378</v>
      </c>
      <c r="I418">
        <v>40</v>
      </c>
      <c r="J418" s="1">
        <v>991000</v>
      </c>
      <c r="K418" t="s">
        <v>26</v>
      </c>
      <c r="L418" s="1">
        <v>991000</v>
      </c>
      <c r="M418" t="s">
        <v>26</v>
      </c>
      <c r="Q418" t="s">
        <v>27</v>
      </c>
      <c r="T418" t="s">
        <v>286</v>
      </c>
      <c r="X418" t="s">
        <v>30</v>
      </c>
      <c r="Y418">
        <v>1495275</v>
      </c>
      <c r="Z418">
        <v>20250731</v>
      </c>
    </row>
    <row r="419" spans="3:26" x14ac:dyDescent="0.25">
      <c r="C419">
        <v>10000001</v>
      </c>
      <c r="D419" t="s">
        <v>378</v>
      </c>
      <c r="F419">
        <v>1495275</v>
      </c>
      <c r="H419" t="s">
        <v>378</v>
      </c>
      <c r="I419">
        <v>40</v>
      </c>
      <c r="J419" s="1">
        <v>460060</v>
      </c>
      <c r="K419" t="s">
        <v>26</v>
      </c>
      <c r="L419" s="1">
        <v>460060</v>
      </c>
      <c r="M419" t="s">
        <v>26</v>
      </c>
      <c r="Q419" t="s">
        <v>27</v>
      </c>
      <c r="T419" t="s">
        <v>136</v>
      </c>
      <c r="X419" t="s">
        <v>30</v>
      </c>
      <c r="Y419">
        <v>1495275</v>
      </c>
      <c r="Z419">
        <v>20250731</v>
      </c>
    </row>
    <row r="420" spans="3:26" x14ac:dyDescent="0.25">
      <c r="C420">
        <v>10000001</v>
      </c>
      <c r="D420" t="s">
        <v>378</v>
      </c>
      <c r="F420">
        <v>1495275</v>
      </c>
      <c r="H420" t="s">
        <v>378</v>
      </c>
      <c r="I420">
        <v>40</v>
      </c>
      <c r="J420" s="1">
        <v>212000</v>
      </c>
      <c r="K420" t="s">
        <v>26</v>
      </c>
      <c r="L420" s="1">
        <v>212000</v>
      </c>
      <c r="M420" t="s">
        <v>26</v>
      </c>
      <c r="Q420" t="s">
        <v>27</v>
      </c>
      <c r="T420" t="s">
        <v>319</v>
      </c>
      <c r="X420" t="s">
        <v>30</v>
      </c>
      <c r="Y420">
        <v>1495275</v>
      </c>
      <c r="Z420">
        <v>20250731</v>
      </c>
    </row>
    <row r="421" spans="3:26" x14ac:dyDescent="0.25">
      <c r="C421">
        <v>10000001</v>
      </c>
      <c r="D421" t="s">
        <v>378</v>
      </c>
      <c r="F421">
        <v>1495275</v>
      </c>
      <c r="H421" t="s">
        <v>378</v>
      </c>
      <c r="I421">
        <v>40</v>
      </c>
      <c r="J421" s="1">
        <v>990000</v>
      </c>
      <c r="K421" t="s">
        <v>26</v>
      </c>
      <c r="L421" s="1">
        <v>990000</v>
      </c>
      <c r="M421" t="s">
        <v>26</v>
      </c>
      <c r="Q421" t="s">
        <v>27</v>
      </c>
      <c r="T421" t="s">
        <v>130</v>
      </c>
      <c r="X421" t="s">
        <v>30</v>
      </c>
      <c r="Y421">
        <v>1495275</v>
      </c>
      <c r="Z421">
        <v>20250731</v>
      </c>
    </row>
    <row r="422" spans="3:26" x14ac:dyDescent="0.25">
      <c r="C422">
        <v>10000001</v>
      </c>
      <c r="D422" t="s">
        <v>378</v>
      </c>
      <c r="F422">
        <v>1495275</v>
      </c>
      <c r="H422" t="s">
        <v>378</v>
      </c>
      <c r="I422">
        <v>40</v>
      </c>
      <c r="J422" s="1">
        <v>331727</v>
      </c>
      <c r="K422" t="s">
        <v>26</v>
      </c>
      <c r="L422" s="1">
        <v>331727</v>
      </c>
      <c r="M422" t="s">
        <v>26</v>
      </c>
      <c r="Q422" t="s">
        <v>27</v>
      </c>
      <c r="T422" t="s">
        <v>277</v>
      </c>
      <c r="X422" t="s">
        <v>30</v>
      </c>
      <c r="Y422">
        <v>1495275</v>
      </c>
      <c r="Z422">
        <v>20250731</v>
      </c>
    </row>
    <row r="423" spans="3:26" x14ac:dyDescent="0.25">
      <c r="C423">
        <v>10000001</v>
      </c>
      <c r="D423" t="s">
        <v>378</v>
      </c>
      <c r="F423">
        <v>1495275</v>
      </c>
      <c r="H423" t="s">
        <v>378</v>
      </c>
      <c r="I423">
        <v>40</v>
      </c>
      <c r="J423" s="1">
        <v>144900</v>
      </c>
      <c r="K423" t="s">
        <v>26</v>
      </c>
      <c r="L423" s="1">
        <v>144900</v>
      </c>
      <c r="M423" t="s">
        <v>26</v>
      </c>
      <c r="Q423" t="s">
        <v>27</v>
      </c>
      <c r="T423" t="s">
        <v>152</v>
      </c>
      <c r="X423" t="s">
        <v>30</v>
      </c>
      <c r="Y423">
        <v>1495275</v>
      </c>
      <c r="Z423">
        <v>20250731</v>
      </c>
    </row>
    <row r="424" spans="3:26" x14ac:dyDescent="0.25">
      <c r="C424">
        <v>10000001</v>
      </c>
      <c r="D424" t="s">
        <v>378</v>
      </c>
      <c r="F424">
        <v>1495275</v>
      </c>
      <c r="H424" t="s">
        <v>378</v>
      </c>
      <c r="I424">
        <v>40</v>
      </c>
      <c r="J424" s="1">
        <v>264000</v>
      </c>
      <c r="K424" t="s">
        <v>26</v>
      </c>
      <c r="L424" s="1">
        <v>264000</v>
      </c>
      <c r="M424" t="s">
        <v>26</v>
      </c>
      <c r="Q424" t="s">
        <v>27</v>
      </c>
      <c r="T424" t="s">
        <v>296</v>
      </c>
      <c r="X424" t="s">
        <v>30</v>
      </c>
      <c r="Y424">
        <v>1495275</v>
      </c>
      <c r="Z424">
        <v>20250731</v>
      </c>
    </row>
    <row r="425" spans="3:26" x14ac:dyDescent="0.25">
      <c r="C425">
        <v>10000001</v>
      </c>
      <c r="D425" t="s">
        <v>378</v>
      </c>
      <c r="F425">
        <v>1495275</v>
      </c>
      <c r="H425" t="s">
        <v>378</v>
      </c>
      <c r="I425">
        <v>40</v>
      </c>
      <c r="J425" s="1">
        <v>76000</v>
      </c>
      <c r="K425" t="s">
        <v>26</v>
      </c>
      <c r="L425" s="1">
        <v>76000</v>
      </c>
      <c r="M425" t="s">
        <v>26</v>
      </c>
      <c r="Q425" t="s">
        <v>27</v>
      </c>
      <c r="T425" t="s">
        <v>175</v>
      </c>
      <c r="X425" t="s">
        <v>30</v>
      </c>
      <c r="Y425">
        <v>1495275</v>
      </c>
      <c r="Z425">
        <v>20250731</v>
      </c>
    </row>
    <row r="426" spans="3:26" x14ac:dyDescent="0.25">
      <c r="C426">
        <v>10000001</v>
      </c>
      <c r="D426" t="s">
        <v>378</v>
      </c>
      <c r="F426">
        <v>1495275</v>
      </c>
      <c r="H426" t="s">
        <v>378</v>
      </c>
      <c r="I426">
        <v>40</v>
      </c>
      <c r="J426" s="1">
        <v>963404</v>
      </c>
      <c r="K426" t="s">
        <v>26</v>
      </c>
      <c r="L426" s="1">
        <v>963404</v>
      </c>
      <c r="M426" t="s">
        <v>26</v>
      </c>
      <c r="Q426" t="s">
        <v>27</v>
      </c>
      <c r="T426" t="s">
        <v>278</v>
      </c>
      <c r="X426" t="s">
        <v>30</v>
      </c>
      <c r="Y426">
        <v>1495275</v>
      </c>
      <c r="Z426">
        <v>20250731</v>
      </c>
    </row>
    <row r="427" spans="3:26" x14ac:dyDescent="0.25">
      <c r="C427">
        <v>10000001</v>
      </c>
      <c r="D427" t="s">
        <v>378</v>
      </c>
      <c r="F427">
        <v>1495275</v>
      </c>
      <c r="H427" t="s">
        <v>378</v>
      </c>
      <c r="I427">
        <v>40</v>
      </c>
      <c r="J427" s="1">
        <v>904127</v>
      </c>
      <c r="K427" t="s">
        <v>26</v>
      </c>
      <c r="L427" s="1">
        <v>904127</v>
      </c>
      <c r="M427" t="s">
        <v>26</v>
      </c>
      <c r="Q427" t="s">
        <v>27</v>
      </c>
      <c r="T427" t="s">
        <v>288</v>
      </c>
      <c r="X427" t="s">
        <v>30</v>
      </c>
      <c r="Y427">
        <v>1495275</v>
      </c>
      <c r="Z427">
        <v>20250731</v>
      </c>
    </row>
    <row r="428" spans="3:26" x14ac:dyDescent="0.25">
      <c r="C428">
        <v>10000001</v>
      </c>
      <c r="D428" t="s">
        <v>378</v>
      </c>
      <c r="F428">
        <v>1495275</v>
      </c>
      <c r="H428" t="s">
        <v>378</v>
      </c>
      <c r="I428">
        <v>40</v>
      </c>
      <c r="J428" s="1">
        <v>962500</v>
      </c>
      <c r="K428" t="s">
        <v>26</v>
      </c>
      <c r="L428" s="1">
        <v>962500</v>
      </c>
      <c r="M428" t="s">
        <v>26</v>
      </c>
      <c r="Q428" t="s">
        <v>27</v>
      </c>
      <c r="T428" t="s">
        <v>275</v>
      </c>
      <c r="X428" t="s">
        <v>30</v>
      </c>
      <c r="Y428">
        <v>1495275</v>
      </c>
      <c r="Z428">
        <v>20250731</v>
      </c>
    </row>
    <row r="429" spans="3:26" x14ac:dyDescent="0.25">
      <c r="C429">
        <v>10000001</v>
      </c>
      <c r="D429" t="s">
        <v>378</v>
      </c>
      <c r="F429">
        <v>1495275</v>
      </c>
      <c r="H429" t="s">
        <v>378</v>
      </c>
      <c r="I429">
        <v>40</v>
      </c>
      <c r="J429" s="1">
        <v>286400</v>
      </c>
      <c r="K429" t="s">
        <v>26</v>
      </c>
      <c r="L429" s="1">
        <v>286400</v>
      </c>
      <c r="M429" t="s">
        <v>26</v>
      </c>
      <c r="Q429" t="s">
        <v>27</v>
      </c>
      <c r="T429" t="s">
        <v>163</v>
      </c>
      <c r="X429" t="s">
        <v>30</v>
      </c>
      <c r="Y429">
        <v>1495275</v>
      </c>
      <c r="Z429">
        <v>20250731</v>
      </c>
    </row>
    <row r="430" spans="3:26" x14ac:dyDescent="0.25">
      <c r="C430">
        <v>10000001</v>
      </c>
      <c r="D430" t="s">
        <v>378</v>
      </c>
      <c r="F430">
        <v>1495275</v>
      </c>
      <c r="H430" t="s">
        <v>378</v>
      </c>
      <c r="I430">
        <v>40</v>
      </c>
      <c r="J430" s="1">
        <v>303100</v>
      </c>
      <c r="K430" t="s">
        <v>26</v>
      </c>
      <c r="L430" s="1">
        <v>303100</v>
      </c>
      <c r="M430" t="s">
        <v>26</v>
      </c>
      <c r="Q430" t="s">
        <v>27</v>
      </c>
      <c r="T430" t="s">
        <v>253</v>
      </c>
      <c r="X430" t="s">
        <v>30</v>
      </c>
      <c r="Y430">
        <v>1495275</v>
      </c>
      <c r="Z430">
        <v>20250731</v>
      </c>
    </row>
    <row r="431" spans="3:26" x14ac:dyDescent="0.25">
      <c r="C431">
        <v>10000001</v>
      </c>
      <c r="D431" t="s">
        <v>378</v>
      </c>
      <c r="F431">
        <v>1495275</v>
      </c>
      <c r="H431" t="s">
        <v>378</v>
      </c>
      <c r="I431">
        <v>40</v>
      </c>
      <c r="J431" s="1">
        <v>57800</v>
      </c>
      <c r="K431" t="s">
        <v>26</v>
      </c>
      <c r="L431" s="1">
        <v>57800</v>
      </c>
      <c r="M431" t="s">
        <v>26</v>
      </c>
      <c r="Q431" t="s">
        <v>27</v>
      </c>
      <c r="T431" t="s">
        <v>194</v>
      </c>
      <c r="X431" t="s">
        <v>30</v>
      </c>
      <c r="Y431">
        <v>1495275</v>
      </c>
      <c r="Z431">
        <v>20250731</v>
      </c>
    </row>
    <row r="432" spans="3:26" x14ac:dyDescent="0.25">
      <c r="C432">
        <v>10000001</v>
      </c>
      <c r="D432" t="s">
        <v>378</v>
      </c>
      <c r="F432">
        <v>1495275</v>
      </c>
      <c r="H432" t="s">
        <v>378</v>
      </c>
      <c r="I432">
        <v>40</v>
      </c>
      <c r="J432" s="1">
        <v>345000</v>
      </c>
      <c r="K432" t="s">
        <v>26</v>
      </c>
      <c r="L432" s="1">
        <v>345000</v>
      </c>
      <c r="M432" t="s">
        <v>26</v>
      </c>
      <c r="Q432" t="s">
        <v>27</v>
      </c>
      <c r="T432" t="s">
        <v>374</v>
      </c>
      <c r="X432" t="s">
        <v>30</v>
      </c>
      <c r="Y432">
        <v>1495275</v>
      </c>
      <c r="Z432">
        <v>20250731</v>
      </c>
    </row>
    <row r="433" spans="3:26" x14ac:dyDescent="0.25">
      <c r="C433">
        <v>10000001</v>
      </c>
      <c r="D433" t="s">
        <v>378</v>
      </c>
      <c r="F433">
        <v>1495275</v>
      </c>
      <c r="H433" t="s">
        <v>378</v>
      </c>
      <c r="I433">
        <v>40</v>
      </c>
      <c r="J433" s="1">
        <v>980000</v>
      </c>
      <c r="K433" t="s">
        <v>26</v>
      </c>
      <c r="L433" s="1">
        <v>980000</v>
      </c>
      <c r="M433" t="s">
        <v>26</v>
      </c>
      <c r="Q433" t="s">
        <v>27</v>
      </c>
      <c r="T433" t="s">
        <v>71</v>
      </c>
      <c r="X433" t="s">
        <v>30</v>
      </c>
      <c r="Y433">
        <v>1495275</v>
      </c>
      <c r="Z433">
        <v>20250731</v>
      </c>
    </row>
    <row r="434" spans="3:26" x14ac:dyDescent="0.25">
      <c r="C434">
        <v>10000001</v>
      </c>
      <c r="D434" t="s">
        <v>378</v>
      </c>
      <c r="F434">
        <v>1495275</v>
      </c>
      <c r="H434" t="s">
        <v>378</v>
      </c>
      <c r="I434">
        <v>40</v>
      </c>
      <c r="J434" s="1">
        <v>940000</v>
      </c>
      <c r="K434" t="s">
        <v>26</v>
      </c>
      <c r="L434" s="1">
        <v>940000</v>
      </c>
      <c r="M434" t="s">
        <v>26</v>
      </c>
      <c r="Q434" t="s">
        <v>27</v>
      </c>
      <c r="T434" t="s">
        <v>58</v>
      </c>
      <c r="X434" t="s">
        <v>30</v>
      </c>
      <c r="Y434">
        <v>1495275</v>
      </c>
      <c r="Z434">
        <v>20250731</v>
      </c>
    </row>
    <row r="435" spans="3:26" x14ac:dyDescent="0.25">
      <c r="C435">
        <v>10000001</v>
      </c>
      <c r="D435" t="s">
        <v>378</v>
      </c>
      <c r="F435">
        <v>1495275</v>
      </c>
      <c r="H435" t="s">
        <v>378</v>
      </c>
      <c r="I435">
        <v>40</v>
      </c>
      <c r="J435" s="1">
        <v>243910</v>
      </c>
      <c r="K435" t="s">
        <v>26</v>
      </c>
      <c r="L435" s="1">
        <v>243910</v>
      </c>
      <c r="M435" t="s">
        <v>26</v>
      </c>
      <c r="Q435" t="s">
        <v>27</v>
      </c>
      <c r="T435" t="s">
        <v>73</v>
      </c>
      <c r="X435" t="s">
        <v>30</v>
      </c>
      <c r="Y435">
        <v>1495275</v>
      </c>
      <c r="Z435">
        <v>20250731</v>
      </c>
    </row>
    <row r="436" spans="3:26" x14ac:dyDescent="0.25">
      <c r="C436">
        <v>10000001</v>
      </c>
      <c r="D436" t="s">
        <v>378</v>
      </c>
      <c r="F436">
        <v>1495275</v>
      </c>
      <c r="H436" t="s">
        <v>378</v>
      </c>
      <c r="I436">
        <v>40</v>
      </c>
      <c r="J436" s="1">
        <v>72000</v>
      </c>
      <c r="K436" t="s">
        <v>26</v>
      </c>
      <c r="L436" s="1">
        <v>72000</v>
      </c>
      <c r="M436" t="s">
        <v>26</v>
      </c>
      <c r="Q436" t="s">
        <v>27</v>
      </c>
      <c r="T436" t="s">
        <v>65</v>
      </c>
      <c r="X436" t="s">
        <v>30</v>
      </c>
      <c r="Y436">
        <v>1495275</v>
      </c>
      <c r="Z436">
        <v>20250731</v>
      </c>
    </row>
    <row r="437" spans="3:26" x14ac:dyDescent="0.25">
      <c r="C437">
        <v>10000001</v>
      </c>
      <c r="D437" t="s">
        <v>378</v>
      </c>
      <c r="F437">
        <v>1495275</v>
      </c>
      <c r="H437" t="s">
        <v>378</v>
      </c>
      <c r="I437">
        <v>40</v>
      </c>
      <c r="J437" s="1">
        <v>110008</v>
      </c>
      <c r="K437" t="s">
        <v>26</v>
      </c>
      <c r="L437" s="1">
        <v>110008</v>
      </c>
      <c r="M437" t="s">
        <v>26</v>
      </c>
      <c r="Q437" t="s">
        <v>27</v>
      </c>
      <c r="T437" t="s">
        <v>62</v>
      </c>
      <c r="X437" t="s">
        <v>30</v>
      </c>
      <c r="Y437">
        <v>1495275</v>
      </c>
      <c r="Z437">
        <v>20250731</v>
      </c>
    </row>
    <row r="438" spans="3:26" x14ac:dyDescent="0.25">
      <c r="C438">
        <v>10000001</v>
      </c>
      <c r="D438" t="s">
        <v>378</v>
      </c>
      <c r="F438">
        <v>1495275</v>
      </c>
      <c r="H438" t="s">
        <v>378</v>
      </c>
      <c r="I438">
        <v>40</v>
      </c>
      <c r="J438" s="1">
        <v>50000</v>
      </c>
      <c r="K438" t="s">
        <v>26</v>
      </c>
      <c r="L438" s="1">
        <v>50000</v>
      </c>
      <c r="M438" t="s">
        <v>26</v>
      </c>
      <c r="Q438" t="s">
        <v>27</v>
      </c>
      <c r="T438" t="s">
        <v>60</v>
      </c>
      <c r="X438" t="s">
        <v>30</v>
      </c>
      <c r="Y438">
        <v>1495275</v>
      </c>
      <c r="Z438">
        <v>20250731</v>
      </c>
    </row>
    <row r="439" spans="3:26" x14ac:dyDescent="0.25">
      <c r="C439">
        <v>10000001</v>
      </c>
      <c r="D439" t="s">
        <v>378</v>
      </c>
      <c r="F439">
        <v>1495275</v>
      </c>
      <c r="H439" t="s">
        <v>378</v>
      </c>
      <c r="I439">
        <v>40</v>
      </c>
      <c r="J439" s="1">
        <v>421000</v>
      </c>
      <c r="K439" t="s">
        <v>26</v>
      </c>
      <c r="L439" s="1">
        <v>421000</v>
      </c>
      <c r="M439" t="s">
        <v>26</v>
      </c>
      <c r="Q439" t="s">
        <v>27</v>
      </c>
      <c r="T439" t="s">
        <v>372</v>
      </c>
      <c r="X439" t="s">
        <v>30</v>
      </c>
      <c r="Y439">
        <v>1495275</v>
      </c>
      <c r="Z439">
        <v>20250731</v>
      </c>
    </row>
    <row r="440" spans="3:26" x14ac:dyDescent="0.25">
      <c r="C440">
        <v>10000001</v>
      </c>
      <c r="D440" t="s">
        <v>378</v>
      </c>
      <c r="F440">
        <v>1495275</v>
      </c>
      <c r="H440" t="s">
        <v>378</v>
      </c>
      <c r="I440">
        <v>40</v>
      </c>
      <c r="J440" s="1">
        <v>328000</v>
      </c>
      <c r="K440" t="s">
        <v>26</v>
      </c>
      <c r="L440" s="1">
        <v>328000</v>
      </c>
      <c r="M440" t="s">
        <v>26</v>
      </c>
      <c r="Q440" t="s">
        <v>27</v>
      </c>
      <c r="T440" t="s">
        <v>181</v>
      </c>
      <c r="X440" t="s">
        <v>30</v>
      </c>
      <c r="Y440">
        <v>1495275</v>
      </c>
      <c r="Z440">
        <v>20250731</v>
      </c>
    </row>
    <row r="441" spans="3:26" x14ac:dyDescent="0.25">
      <c r="C441">
        <v>10000001</v>
      </c>
      <c r="D441" t="s">
        <v>378</v>
      </c>
      <c r="F441">
        <v>1495275</v>
      </c>
      <c r="H441" t="s">
        <v>378</v>
      </c>
      <c r="I441">
        <v>40</v>
      </c>
      <c r="J441" s="1">
        <v>420000</v>
      </c>
      <c r="K441" t="s">
        <v>26</v>
      </c>
      <c r="L441" s="1">
        <v>420000</v>
      </c>
      <c r="M441" t="s">
        <v>26</v>
      </c>
      <c r="Q441" t="s">
        <v>27</v>
      </c>
      <c r="T441" t="s">
        <v>179</v>
      </c>
      <c r="X441" t="s">
        <v>30</v>
      </c>
      <c r="Y441">
        <v>1495275</v>
      </c>
      <c r="Z441">
        <v>20250731</v>
      </c>
    </row>
    <row r="442" spans="3:26" x14ac:dyDescent="0.25">
      <c r="C442">
        <v>10000001</v>
      </c>
      <c r="D442" t="s">
        <v>378</v>
      </c>
      <c r="F442">
        <v>1495275</v>
      </c>
      <c r="H442" t="s">
        <v>378</v>
      </c>
      <c r="I442">
        <v>40</v>
      </c>
      <c r="J442" s="1">
        <v>186599</v>
      </c>
      <c r="K442" t="s">
        <v>26</v>
      </c>
      <c r="L442" s="1">
        <v>186599</v>
      </c>
      <c r="M442" t="s">
        <v>26</v>
      </c>
      <c r="Q442" t="s">
        <v>27</v>
      </c>
      <c r="T442" t="s">
        <v>138</v>
      </c>
      <c r="X442" t="s">
        <v>30</v>
      </c>
      <c r="Y442">
        <v>1495275</v>
      </c>
      <c r="Z442">
        <v>20250731</v>
      </c>
    </row>
    <row r="443" spans="3:26" x14ac:dyDescent="0.25">
      <c r="C443">
        <v>10000001</v>
      </c>
      <c r="D443" t="s">
        <v>378</v>
      </c>
      <c r="F443">
        <v>1495275</v>
      </c>
      <c r="H443" t="s">
        <v>378</v>
      </c>
      <c r="I443">
        <v>40</v>
      </c>
      <c r="J443" s="1">
        <v>301000</v>
      </c>
      <c r="K443" t="s">
        <v>26</v>
      </c>
      <c r="L443" s="1">
        <v>301000</v>
      </c>
      <c r="M443" t="s">
        <v>26</v>
      </c>
      <c r="Q443" t="s">
        <v>27</v>
      </c>
      <c r="T443" t="s">
        <v>295</v>
      </c>
      <c r="X443" t="s">
        <v>30</v>
      </c>
      <c r="Y443">
        <v>1495275</v>
      </c>
      <c r="Z443">
        <v>20250731</v>
      </c>
    </row>
    <row r="444" spans="3:26" x14ac:dyDescent="0.25">
      <c r="C444">
        <v>10000001</v>
      </c>
      <c r="D444" t="s">
        <v>378</v>
      </c>
      <c r="F444">
        <v>1495275</v>
      </c>
      <c r="H444" t="s">
        <v>378</v>
      </c>
      <c r="I444">
        <v>40</v>
      </c>
      <c r="J444" s="1">
        <v>57000</v>
      </c>
      <c r="K444" t="s">
        <v>26</v>
      </c>
      <c r="L444" s="1">
        <v>57000</v>
      </c>
      <c r="M444" t="s">
        <v>26</v>
      </c>
      <c r="Q444" t="s">
        <v>27</v>
      </c>
      <c r="T444" t="s">
        <v>305</v>
      </c>
      <c r="X444" t="s">
        <v>30</v>
      </c>
      <c r="Y444">
        <v>1495275</v>
      </c>
      <c r="Z444">
        <v>20250731</v>
      </c>
    </row>
    <row r="445" spans="3:26" x14ac:dyDescent="0.25">
      <c r="C445">
        <v>10000001</v>
      </c>
      <c r="D445" t="s">
        <v>378</v>
      </c>
      <c r="F445">
        <v>1495275</v>
      </c>
      <c r="H445" t="s">
        <v>378</v>
      </c>
      <c r="I445">
        <v>40</v>
      </c>
      <c r="J445" s="1">
        <v>331500</v>
      </c>
      <c r="K445" t="s">
        <v>26</v>
      </c>
      <c r="L445" s="1">
        <v>331500</v>
      </c>
      <c r="M445" t="s">
        <v>26</v>
      </c>
      <c r="Q445" t="s">
        <v>27</v>
      </c>
      <c r="T445" t="s">
        <v>258</v>
      </c>
      <c r="X445" t="s">
        <v>30</v>
      </c>
      <c r="Y445">
        <v>1495275</v>
      </c>
      <c r="Z445">
        <v>20250731</v>
      </c>
    </row>
    <row r="446" spans="3:26" x14ac:dyDescent="0.25">
      <c r="C446">
        <v>10000001</v>
      </c>
      <c r="D446" t="s">
        <v>378</v>
      </c>
      <c r="F446">
        <v>1495275</v>
      </c>
      <c r="H446" t="s">
        <v>378</v>
      </c>
      <c r="I446">
        <v>40</v>
      </c>
      <c r="J446" s="1">
        <v>286200</v>
      </c>
      <c r="K446" t="s">
        <v>26</v>
      </c>
      <c r="L446" s="1">
        <v>286200</v>
      </c>
      <c r="M446" t="s">
        <v>26</v>
      </c>
      <c r="Q446" t="s">
        <v>27</v>
      </c>
      <c r="T446" t="s">
        <v>337</v>
      </c>
      <c r="X446" t="s">
        <v>30</v>
      </c>
      <c r="Y446">
        <v>1495275</v>
      </c>
      <c r="Z446">
        <v>20250731</v>
      </c>
    </row>
    <row r="447" spans="3:26" x14ac:dyDescent="0.25">
      <c r="C447">
        <v>10000001</v>
      </c>
      <c r="D447" t="s">
        <v>378</v>
      </c>
      <c r="F447">
        <v>1495275</v>
      </c>
      <c r="H447" t="s">
        <v>378</v>
      </c>
      <c r="I447">
        <v>40</v>
      </c>
      <c r="J447" s="1">
        <v>500000</v>
      </c>
      <c r="K447" t="s">
        <v>26</v>
      </c>
      <c r="L447" s="1">
        <v>500000</v>
      </c>
      <c r="M447" t="s">
        <v>26</v>
      </c>
      <c r="Q447" t="s">
        <v>27</v>
      </c>
      <c r="T447" t="s">
        <v>191</v>
      </c>
      <c r="X447" t="s">
        <v>30</v>
      </c>
      <c r="Y447">
        <v>1495275</v>
      </c>
      <c r="Z447">
        <v>20250731</v>
      </c>
    </row>
    <row r="448" spans="3:26" x14ac:dyDescent="0.25">
      <c r="C448">
        <v>10000001</v>
      </c>
      <c r="D448" t="s">
        <v>378</v>
      </c>
      <c r="F448">
        <v>1495275</v>
      </c>
      <c r="H448" t="s">
        <v>378</v>
      </c>
      <c r="I448">
        <v>40</v>
      </c>
      <c r="J448" s="1">
        <v>770000</v>
      </c>
      <c r="K448" t="s">
        <v>26</v>
      </c>
      <c r="L448" s="1">
        <v>770000</v>
      </c>
      <c r="M448" t="s">
        <v>26</v>
      </c>
      <c r="Q448" t="s">
        <v>27</v>
      </c>
      <c r="T448" t="s">
        <v>198</v>
      </c>
      <c r="X448" t="s">
        <v>30</v>
      </c>
      <c r="Y448">
        <v>1495275</v>
      </c>
      <c r="Z448">
        <v>20250731</v>
      </c>
    </row>
    <row r="449" spans="3:26" x14ac:dyDescent="0.25">
      <c r="C449">
        <v>10000001</v>
      </c>
      <c r="D449" t="s">
        <v>378</v>
      </c>
      <c r="F449">
        <v>1495275</v>
      </c>
      <c r="H449" t="s">
        <v>378</v>
      </c>
      <c r="I449">
        <v>40</v>
      </c>
      <c r="J449" s="1">
        <v>300000</v>
      </c>
      <c r="K449" t="s">
        <v>26</v>
      </c>
      <c r="L449" s="1">
        <v>300000</v>
      </c>
      <c r="M449" t="s">
        <v>26</v>
      </c>
      <c r="Q449" t="s">
        <v>27</v>
      </c>
      <c r="T449" t="s">
        <v>205</v>
      </c>
      <c r="X449" t="s">
        <v>30</v>
      </c>
      <c r="Y449">
        <v>1495275</v>
      </c>
      <c r="Z449">
        <v>20250731</v>
      </c>
    </row>
    <row r="450" spans="3:26" x14ac:dyDescent="0.25">
      <c r="C450">
        <v>10000001</v>
      </c>
      <c r="D450" t="s">
        <v>378</v>
      </c>
      <c r="F450">
        <v>1495275</v>
      </c>
      <c r="H450" t="s">
        <v>378</v>
      </c>
      <c r="I450">
        <v>40</v>
      </c>
      <c r="J450" s="1">
        <v>580000</v>
      </c>
      <c r="K450" t="s">
        <v>26</v>
      </c>
      <c r="L450" s="1">
        <v>580000</v>
      </c>
      <c r="M450" t="s">
        <v>26</v>
      </c>
      <c r="Q450" t="s">
        <v>27</v>
      </c>
      <c r="T450" t="s">
        <v>220</v>
      </c>
      <c r="X450" t="s">
        <v>30</v>
      </c>
      <c r="Y450">
        <v>1495275</v>
      </c>
      <c r="Z450">
        <v>20250731</v>
      </c>
    </row>
    <row r="451" spans="3:26" x14ac:dyDescent="0.25">
      <c r="C451">
        <v>10000001</v>
      </c>
      <c r="D451" t="s">
        <v>378</v>
      </c>
      <c r="F451">
        <v>1495275</v>
      </c>
      <c r="H451" t="s">
        <v>378</v>
      </c>
      <c r="I451">
        <v>40</v>
      </c>
      <c r="J451" s="1">
        <v>770000</v>
      </c>
      <c r="K451" t="s">
        <v>26</v>
      </c>
      <c r="L451" s="1">
        <v>770000</v>
      </c>
      <c r="M451" t="s">
        <v>26</v>
      </c>
      <c r="Q451" t="s">
        <v>27</v>
      </c>
      <c r="T451" t="s">
        <v>267</v>
      </c>
      <c r="X451" t="s">
        <v>30</v>
      </c>
      <c r="Y451">
        <v>1495275</v>
      </c>
      <c r="Z451">
        <v>20250731</v>
      </c>
    </row>
    <row r="452" spans="3:26" x14ac:dyDescent="0.25">
      <c r="C452">
        <v>10000001</v>
      </c>
      <c r="D452" t="s">
        <v>378</v>
      </c>
      <c r="F452">
        <v>1495275</v>
      </c>
      <c r="H452" t="s">
        <v>378</v>
      </c>
      <c r="I452">
        <v>40</v>
      </c>
      <c r="J452" s="1">
        <v>590000</v>
      </c>
      <c r="K452" t="s">
        <v>26</v>
      </c>
      <c r="L452" s="1">
        <v>590000</v>
      </c>
      <c r="M452" t="s">
        <v>26</v>
      </c>
      <c r="Q452" t="s">
        <v>27</v>
      </c>
      <c r="T452" t="s">
        <v>276</v>
      </c>
      <c r="X452" t="s">
        <v>30</v>
      </c>
      <c r="Y452">
        <v>1495275</v>
      </c>
      <c r="Z452">
        <v>20250731</v>
      </c>
    </row>
    <row r="453" spans="3:26" x14ac:dyDescent="0.25">
      <c r="C453">
        <v>10000001</v>
      </c>
      <c r="D453" t="s">
        <v>378</v>
      </c>
      <c r="F453">
        <v>1495275</v>
      </c>
      <c r="H453" t="s">
        <v>378</v>
      </c>
      <c r="I453">
        <v>40</v>
      </c>
      <c r="J453" s="1">
        <v>710000</v>
      </c>
      <c r="K453" t="s">
        <v>26</v>
      </c>
      <c r="L453" s="1">
        <v>710000</v>
      </c>
      <c r="M453" t="s">
        <v>26</v>
      </c>
      <c r="Q453" t="s">
        <v>27</v>
      </c>
      <c r="T453" t="s">
        <v>317</v>
      </c>
      <c r="X453" t="s">
        <v>30</v>
      </c>
      <c r="Y453">
        <v>1495275</v>
      </c>
      <c r="Z453">
        <v>20250731</v>
      </c>
    </row>
    <row r="454" spans="3:26" x14ac:dyDescent="0.25">
      <c r="C454">
        <v>10000001</v>
      </c>
      <c r="D454" t="s">
        <v>378</v>
      </c>
      <c r="F454">
        <v>1495275</v>
      </c>
      <c r="H454" t="s">
        <v>378</v>
      </c>
      <c r="I454">
        <v>40</v>
      </c>
      <c r="J454" s="1">
        <v>790000</v>
      </c>
      <c r="K454" t="s">
        <v>26</v>
      </c>
      <c r="L454" s="1">
        <v>790000</v>
      </c>
      <c r="M454" t="s">
        <v>26</v>
      </c>
      <c r="Q454" t="s">
        <v>27</v>
      </c>
      <c r="T454" t="s">
        <v>350</v>
      </c>
      <c r="X454" t="s">
        <v>30</v>
      </c>
      <c r="Y454">
        <v>1495275</v>
      </c>
      <c r="Z454">
        <v>20250731</v>
      </c>
    </row>
    <row r="455" spans="3:26" x14ac:dyDescent="0.25">
      <c r="C455">
        <v>10000001</v>
      </c>
      <c r="D455" t="s">
        <v>378</v>
      </c>
      <c r="F455">
        <v>1495275</v>
      </c>
      <c r="H455" t="s">
        <v>378</v>
      </c>
      <c r="I455">
        <v>40</v>
      </c>
      <c r="J455" s="1">
        <v>630000</v>
      </c>
      <c r="K455" t="s">
        <v>26</v>
      </c>
      <c r="L455" s="1">
        <v>630000</v>
      </c>
      <c r="M455" t="s">
        <v>26</v>
      </c>
      <c r="Q455" t="s">
        <v>27</v>
      </c>
      <c r="T455" t="s">
        <v>97</v>
      </c>
      <c r="X455" t="s">
        <v>30</v>
      </c>
      <c r="Y455">
        <v>1495275</v>
      </c>
      <c r="Z455">
        <v>20250731</v>
      </c>
    </row>
    <row r="456" spans="3:26" x14ac:dyDescent="0.25">
      <c r="C456">
        <v>10000001</v>
      </c>
      <c r="D456" t="s">
        <v>378</v>
      </c>
      <c r="F456">
        <v>1495275</v>
      </c>
      <c r="H456" t="s">
        <v>378</v>
      </c>
      <c r="I456">
        <v>40</v>
      </c>
      <c r="J456" s="1">
        <v>420000</v>
      </c>
      <c r="K456" t="s">
        <v>26</v>
      </c>
      <c r="L456" s="1">
        <v>420000</v>
      </c>
      <c r="M456" t="s">
        <v>26</v>
      </c>
      <c r="Q456" t="s">
        <v>27</v>
      </c>
      <c r="T456" t="s">
        <v>361</v>
      </c>
      <c r="X456" t="s">
        <v>30</v>
      </c>
      <c r="Y456">
        <v>1495275</v>
      </c>
      <c r="Z456">
        <v>20250731</v>
      </c>
    </row>
    <row r="457" spans="3:26" x14ac:dyDescent="0.25">
      <c r="C457">
        <v>10000001</v>
      </c>
      <c r="D457" t="s">
        <v>378</v>
      </c>
      <c r="F457">
        <v>1495275</v>
      </c>
      <c r="H457" t="s">
        <v>378</v>
      </c>
      <c r="I457">
        <v>40</v>
      </c>
      <c r="J457" s="1">
        <v>830000</v>
      </c>
      <c r="K457" t="s">
        <v>26</v>
      </c>
      <c r="L457" s="1">
        <v>830000</v>
      </c>
      <c r="M457" t="s">
        <v>26</v>
      </c>
      <c r="Q457" t="s">
        <v>27</v>
      </c>
      <c r="T457" t="s">
        <v>168</v>
      </c>
      <c r="X457" t="s">
        <v>30</v>
      </c>
      <c r="Y457">
        <v>1495275</v>
      </c>
      <c r="Z457">
        <v>20250731</v>
      </c>
    </row>
    <row r="458" spans="3:26" x14ac:dyDescent="0.25">
      <c r="C458">
        <v>10000001</v>
      </c>
      <c r="D458" t="s">
        <v>378</v>
      </c>
      <c r="F458">
        <v>1495275</v>
      </c>
      <c r="H458" t="s">
        <v>378</v>
      </c>
      <c r="I458">
        <v>40</v>
      </c>
      <c r="J458" s="1">
        <v>4103300</v>
      </c>
      <c r="K458" t="s">
        <v>26</v>
      </c>
      <c r="L458" s="1">
        <v>4103300</v>
      </c>
      <c r="M458" t="s">
        <v>26</v>
      </c>
      <c r="Q458" t="s">
        <v>27</v>
      </c>
      <c r="T458" t="s">
        <v>98</v>
      </c>
      <c r="X458" t="s">
        <v>30</v>
      </c>
      <c r="Y458">
        <v>1495275</v>
      </c>
      <c r="Z458">
        <v>20250731</v>
      </c>
    </row>
    <row r="459" spans="3:26" x14ac:dyDescent="0.25">
      <c r="C459">
        <v>10000001</v>
      </c>
      <c r="D459" t="s">
        <v>378</v>
      </c>
      <c r="F459">
        <v>1495275</v>
      </c>
      <c r="H459" t="s">
        <v>378</v>
      </c>
      <c r="I459">
        <v>50</v>
      </c>
      <c r="J459" s="1">
        <v>-32056775</v>
      </c>
      <c r="K459" t="s">
        <v>26</v>
      </c>
      <c r="L459" s="1">
        <v>-32056775</v>
      </c>
      <c r="M459" t="s">
        <v>26</v>
      </c>
      <c r="Q459" t="s">
        <v>27</v>
      </c>
      <c r="T459" t="s">
        <v>250</v>
      </c>
      <c r="X459" t="s">
        <v>30</v>
      </c>
      <c r="Y459">
        <v>1495275</v>
      </c>
      <c r="Z459">
        <v>20250731</v>
      </c>
    </row>
    <row r="460" spans="3:26" x14ac:dyDescent="0.25">
      <c r="C460">
        <v>10000001</v>
      </c>
      <c r="D460" t="s">
        <v>378</v>
      </c>
      <c r="F460">
        <v>1495275</v>
      </c>
      <c r="H460" t="s">
        <v>378</v>
      </c>
      <c r="I460">
        <v>50</v>
      </c>
      <c r="J460" s="1">
        <v>-26532388</v>
      </c>
      <c r="K460" t="s">
        <v>26</v>
      </c>
      <c r="L460" s="1">
        <v>-26532388</v>
      </c>
      <c r="M460" t="s">
        <v>26</v>
      </c>
      <c r="Q460" t="s">
        <v>27</v>
      </c>
      <c r="T460" t="s">
        <v>377</v>
      </c>
      <c r="X460" t="s">
        <v>30</v>
      </c>
      <c r="Y460">
        <v>1495275</v>
      </c>
      <c r="Z460">
        <v>20250731</v>
      </c>
    </row>
    <row r="461" spans="3:26" x14ac:dyDescent="0.25">
      <c r="C461">
        <v>10000001</v>
      </c>
      <c r="D461" t="s">
        <v>378</v>
      </c>
      <c r="F461">
        <v>1502258</v>
      </c>
      <c r="H461" t="s">
        <v>378</v>
      </c>
      <c r="I461">
        <v>50</v>
      </c>
      <c r="J461">
        <v>0</v>
      </c>
      <c r="K461" t="s">
        <v>26</v>
      </c>
      <c r="L461">
        <v>0</v>
      </c>
      <c r="M461" t="s">
        <v>26</v>
      </c>
      <c r="Q461" t="s">
        <v>27</v>
      </c>
      <c r="S461" t="s">
        <v>28</v>
      </c>
      <c r="T461" t="s">
        <v>379</v>
      </c>
      <c r="X461" t="s">
        <v>30</v>
      </c>
      <c r="Y461">
        <v>1505626</v>
      </c>
      <c r="Z461">
        <v>20250731</v>
      </c>
    </row>
    <row r="462" spans="3:26" x14ac:dyDescent="0.25">
      <c r="C462">
        <v>10000001</v>
      </c>
      <c r="D462" t="s">
        <v>378</v>
      </c>
      <c r="F462">
        <v>1502259</v>
      </c>
      <c r="H462" t="s">
        <v>380</v>
      </c>
      <c r="I462">
        <v>40</v>
      </c>
      <c r="J462">
        <v>0</v>
      </c>
      <c r="K462" t="s">
        <v>26</v>
      </c>
      <c r="L462">
        <v>0</v>
      </c>
      <c r="M462" t="s">
        <v>26</v>
      </c>
      <c r="Q462" t="s">
        <v>27</v>
      </c>
      <c r="S462" t="s">
        <v>33</v>
      </c>
      <c r="T462" t="s">
        <v>381</v>
      </c>
      <c r="X462" t="s">
        <v>30</v>
      </c>
      <c r="Y462">
        <v>1505626</v>
      </c>
      <c r="Z462">
        <v>20250801</v>
      </c>
    </row>
    <row r="463" spans="3:26" x14ac:dyDescent="0.25">
      <c r="C463">
        <v>10000001</v>
      </c>
      <c r="D463" t="s">
        <v>382</v>
      </c>
      <c r="F463">
        <v>1505626</v>
      </c>
      <c r="H463" t="s">
        <v>382</v>
      </c>
      <c r="I463">
        <v>40</v>
      </c>
      <c r="J463">
        <v>0</v>
      </c>
      <c r="K463" t="s">
        <v>26</v>
      </c>
      <c r="L463">
        <v>0</v>
      </c>
      <c r="M463" t="s">
        <v>26</v>
      </c>
      <c r="Q463" t="s">
        <v>27</v>
      </c>
      <c r="S463" t="s">
        <v>36</v>
      </c>
      <c r="T463" t="s">
        <v>379</v>
      </c>
      <c r="X463" t="s">
        <v>38</v>
      </c>
      <c r="Y463">
        <v>1505626</v>
      </c>
      <c r="Z463">
        <v>20250805</v>
      </c>
    </row>
    <row r="464" spans="3:26" x14ac:dyDescent="0.25">
      <c r="C464">
        <v>10000001</v>
      </c>
      <c r="D464" t="s">
        <v>382</v>
      </c>
      <c r="F464">
        <v>1505626</v>
      </c>
      <c r="H464" t="s">
        <v>382</v>
      </c>
      <c r="I464">
        <v>50</v>
      </c>
      <c r="J464">
        <v>0</v>
      </c>
      <c r="K464" t="s">
        <v>26</v>
      </c>
      <c r="L464">
        <v>0</v>
      </c>
      <c r="M464" t="s">
        <v>26</v>
      </c>
      <c r="Q464" t="s">
        <v>27</v>
      </c>
      <c r="S464" t="s">
        <v>36</v>
      </c>
      <c r="T464" t="s">
        <v>381</v>
      </c>
      <c r="X464" t="s">
        <v>38</v>
      </c>
      <c r="Y464">
        <v>1505626</v>
      </c>
      <c r="Z464">
        <v>20250805</v>
      </c>
    </row>
    <row r="465" spans="3:26" x14ac:dyDescent="0.25">
      <c r="C465">
        <v>10000001</v>
      </c>
      <c r="D465" t="s">
        <v>383</v>
      </c>
      <c r="F465">
        <v>12006510</v>
      </c>
      <c r="H465" t="s">
        <v>383</v>
      </c>
      <c r="I465">
        <v>50</v>
      </c>
      <c r="J465" s="1">
        <v>-800000</v>
      </c>
      <c r="K465" t="s">
        <v>26</v>
      </c>
      <c r="L465" s="1">
        <v>-800000</v>
      </c>
      <c r="M465" t="s">
        <v>26</v>
      </c>
      <c r="Q465" t="s">
        <v>27</v>
      </c>
      <c r="R465" t="s">
        <v>384</v>
      </c>
      <c r="S465" t="s">
        <v>254</v>
      </c>
      <c r="T465" t="s">
        <v>385</v>
      </c>
      <c r="X465" t="s">
        <v>43</v>
      </c>
      <c r="Y465">
        <v>1557224</v>
      </c>
      <c r="Z465">
        <v>20250804</v>
      </c>
    </row>
    <row r="466" spans="3:26" x14ac:dyDescent="0.25">
      <c r="C466">
        <v>10000001</v>
      </c>
      <c r="D466" t="s">
        <v>383</v>
      </c>
      <c r="F466">
        <v>12006511</v>
      </c>
      <c r="H466" t="s">
        <v>383</v>
      </c>
      <c r="I466">
        <v>50</v>
      </c>
      <c r="J466" s="1">
        <v>-50000</v>
      </c>
      <c r="K466" t="s">
        <v>26</v>
      </c>
      <c r="L466" s="1">
        <v>-50000</v>
      </c>
      <c r="M466" t="s">
        <v>26</v>
      </c>
      <c r="Q466" t="s">
        <v>27</v>
      </c>
      <c r="R466" t="s">
        <v>386</v>
      </c>
      <c r="S466" t="s">
        <v>45</v>
      </c>
      <c r="T466" t="s">
        <v>387</v>
      </c>
      <c r="X466" t="s">
        <v>43</v>
      </c>
      <c r="Y466">
        <v>1557224</v>
      </c>
      <c r="Z466">
        <v>20250804</v>
      </c>
    </row>
    <row r="467" spans="3:26" x14ac:dyDescent="0.25">
      <c r="C467">
        <v>10000001</v>
      </c>
      <c r="D467" t="s">
        <v>383</v>
      </c>
      <c r="F467">
        <v>12006512</v>
      </c>
      <c r="H467" t="s">
        <v>383</v>
      </c>
      <c r="I467">
        <v>50</v>
      </c>
      <c r="J467" s="1">
        <v>-50000</v>
      </c>
      <c r="K467" t="s">
        <v>26</v>
      </c>
      <c r="L467" s="1">
        <v>-50000</v>
      </c>
      <c r="M467" t="s">
        <v>26</v>
      </c>
      <c r="Q467" t="s">
        <v>27</v>
      </c>
      <c r="R467" t="s">
        <v>386</v>
      </c>
      <c r="S467" t="s">
        <v>45</v>
      </c>
      <c r="T467" t="s">
        <v>388</v>
      </c>
      <c r="X467" t="s">
        <v>43</v>
      </c>
      <c r="Y467">
        <v>1557224</v>
      </c>
      <c r="Z467">
        <v>20250804</v>
      </c>
    </row>
    <row r="468" spans="3:26" x14ac:dyDescent="0.25">
      <c r="C468">
        <v>10000001</v>
      </c>
      <c r="D468" t="s">
        <v>383</v>
      </c>
      <c r="F468">
        <v>12006513</v>
      </c>
      <c r="H468" t="s">
        <v>383</v>
      </c>
      <c r="I468">
        <v>50</v>
      </c>
      <c r="J468" s="1">
        <v>-50000</v>
      </c>
      <c r="K468" t="s">
        <v>26</v>
      </c>
      <c r="L468" s="1">
        <v>-50000</v>
      </c>
      <c r="M468" t="s">
        <v>26</v>
      </c>
      <c r="Q468" t="s">
        <v>27</v>
      </c>
      <c r="R468" t="s">
        <v>386</v>
      </c>
      <c r="S468" t="s">
        <v>45</v>
      </c>
      <c r="T468" t="s">
        <v>389</v>
      </c>
      <c r="X468" t="s">
        <v>43</v>
      </c>
      <c r="Y468">
        <v>1557224</v>
      </c>
      <c r="Z468">
        <v>20250804</v>
      </c>
    </row>
    <row r="469" spans="3:26" x14ac:dyDescent="0.25">
      <c r="C469">
        <v>10000001</v>
      </c>
      <c r="D469" t="s">
        <v>383</v>
      </c>
      <c r="F469">
        <v>12006514</v>
      </c>
      <c r="H469" t="s">
        <v>383</v>
      </c>
      <c r="I469">
        <v>50</v>
      </c>
      <c r="J469" s="1">
        <v>-50000</v>
      </c>
      <c r="K469" t="s">
        <v>26</v>
      </c>
      <c r="L469" s="1">
        <v>-50000</v>
      </c>
      <c r="M469" t="s">
        <v>26</v>
      </c>
      <c r="Q469" t="s">
        <v>27</v>
      </c>
      <c r="R469" t="s">
        <v>386</v>
      </c>
      <c r="S469" t="s">
        <v>45</v>
      </c>
      <c r="T469" t="s">
        <v>390</v>
      </c>
      <c r="X469" t="s">
        <v>43</v>
      </c>
      <c r="Y469">
        <v>1557224</v>
      </c>
      <c r="Z469">
        <v>20250804</v>
      </c>
    </row>
    <row r="470" spans="3:26" x14ac:dyDescent="0.25">
      <c r="C470">
        <v>10000001</v>
      </c>
      <c r="D470" t="s">
        <v>383</v>
      </c>
      <c r="F470">
        <v>12006515</v>
      </c>
      <c r="H470" t="s">
        <v>383</v>
      </c>
      <c r="I470">
        <v>50</v>
      </c>
      <c r="J470" s="1">
        <v>-50000</v>
      </c>
      <c r="K470" t="s">
        <v>26</v>
      </c>
      <c r="L470" s="1">
        <v>-50000</v>
      </c>
      <c r="M470" t="s">
        <v>26</v>
      </c>
      <c r="Q470" t="s">
        <v>27</v>
      </c>
      <c r="R470" t="s">
        <v>386</v>
      </c>
      <c r="S470" t="s">
        <v>45</v>
      </c>
      <c r="T470" t="s">
        <v>391</v>
      </c>
      <c r="X470" t="s">
        <v>43</v>
      </c>
      <c r="Y470">
        <v>1557224</v>
      </c>
      <c r="Z470">
        <v>20250804</v>
      </c>
    </row>
    <row r="471" spans="3:26" x14ac:dyDescent="0.25">
      <c r="C471">
        <v>10000001</v>
      </c>
      <c r="D471" t="s">
        <v>383</v>
      </c>
      <c r="F471">
        <v>12006516</v>
      </c>
      <c r="H471" t="s">
        <v>383</v>
      </c>
      <c r="I471">
        <v>50</v>
      </c>
      <c r="J471" s="1">
        <v>-50000</v>
      </c>
      <c r="K471" t="s">
        <v>26</v>
      </c>
      <c r="L471" s="1">
        <v>-50000</v>
      </c>
      <c r="M471" t="s">
        <v>26</v>
      </c>
      <c r="Q471" t="s">
        <v>27</v>
      </c>
      <c r="R471" t="s">
        <v>386</v>
      </c>
      <c r="S471" t="s">
        <v>45</v>
      </c>
      <c r="T471" t="s">
        <v>392</v>
      </c>
      <c r="X471" t="s">
        <v>43</v>
      </c>
      <c r="Y471">
        <v>1557224</v>
      </c>
      <c r="Z471">
        <v>20250804</v>
      </c>
    </row>
    <row r="472" spans="3:26" x14ac:dyDescent="0.25">
      <c r="C472">
        <v>10000001</v>
      </c>
      <c r="D472" t="s">
        <v>383</v>
      </c>
      <c r="F472">
        <v>12006517</v>
      </c>
      <c r="H472" t="s">
        <v>383</v>
      </c>
      <c r="I472">
        <v>50</v>
      </c>
      <c r="J472" s="1">
        <v>-50000</v>
      </c>
      <c r="K472" t="s">
        <v>26</v>
      </c>
      <c r="L472" s="1">
        <v>-50000</v>
      </c>
      <c r="M472" t="s">
        <v>26</v>
      </c>
      <c r="Q472" t="s">
        <v>27</v>
      </c>
      <c r="R472" t="s">
        <v>386</v>
      </c>
      <c r="S472" t="s">
        <v>45</v>
      </c>
      <c r="T472" t="s">
        <v>393</v>
      </c>
      <c r="X472" t="s">
        <v>43</v>
      </c>
      <c r="Y472">
        <v>1557224</v>
      </c>
      <c r="Z472">
        <v>20250804</v>
      </c>
    </row>
    <row r="473" spans="3:26" x14ac:dyDescent="0.25">
      <c r="C473">
        <v>10000001</v>
      </c>
      <c r="D473" t="s">
        <v>383</v>
      </c>
      <c r="F473">
        <v>12006518</v>
      </c>
      <c r="H473" t="s">
        <v>383</v>
      </c>
      <c r="I473">
        <v>50</v>
      </c>
      <c r="J473" s="1">
        <v>-50000</v>
      </c>
      <c r="K473" t="s">
        <v>26</v>
      </c>
      <c r="L473" s="1">
        <v>-50000</v>
      </c>
      <c r="M473" t="s">
        <v>26</v>
      </c>
      <c r="Q473" t="s">
        <v>27</v>
      </c>
      <c r="R473" t="s">
        <v>386</v>
      </c>
      <c r="S473" t="s">
        <v>45</v>
      </c>
      <c r="T473" t="s">
        <v>394</v>
      </c>
      <c r="X473" t="s">
        <v>43</v>
      </c>
      <c r="Y473">
        <v>1557224</v>
      </c>
      <c r="Z473">
        <v>20250804</v>
      </c>
    </row>
    <row r="474" spans="3:26" x14ac:dyDescent="0.25">
      <c r="C474">
        <v>10000001</v>
      </c>
      <c r="D474" t="s">
        <v>383</v>
      </c>
      <c r="F474">
        <v>12006519</v>
      </c>
      <c r="H474" t="s">
        <v>383</v>
      </c>
      <c r="I474">
        <v>50</v>
      </c>
      <c r="J474" s="1">
        <v>-50000</v>
      </c>
      <c r="K474" t="s">
        <v>26</v>
      </c>
      <c r="L474" s="1">
        <v>-50000</v>
      </c>
      <c r="M474" t="s">
        <v>26</v>
      </c>
      <c r="Q474" t="s">
        <v>27</v>
      </c>
      <c r="R474" t="s">
        <v>386</v>
      </c>
      <c r="S474" t="s">
        <v>45</v>
      </c>
      <c r="T474" t="s">
        <v>395</v>
      </c>
      <c r="X474" t="s">
        <v>43</v>
      </c>
      <c r="Y474">
        <v>1557224</v>
      </c>
      <c r="Z474">
        <v>20250804</v>
      </c>
    </row>
    <row r="475" spans="3:26" x14ac:dyDescent="0.25">
      <c r="C475">
        <v>10000001</v>
      </c>
      <c r="D475" t="s">
        <v>383</v>
      </c>
      <c r="F475">
        <v>12006520</v>
      </c>
      <c r="H475" t="s">
        <v>383</v>
      </c>
      <c r="I475">
        <v>50</v>
      </c>
      <c r="J475" s="1">
        <v>-50000</v>
      </c>
      <c r="K475" t="s">
        <v>26</v>
      </c>
      <c r="L475" s="1">
        <v>-50000</v>
      </c>
      <c r="M475" t="s">
        <v>26</v>
      </c>
      <c r="Q475" t="s">
        <v>27</v>
      </c>
      <c r="R475" t="s">
        <v>386</v>
      </c>
      <c r="S475" t="s">
        <v>45</v>
      </c>
      <c r="T475" t="s">
        <v>396</v>
      </c>
      <c r="X475" t="s">
        <v>43</v>
      </c>
      <c r="Y475">
        <v>1557224</v>
      </c>
      <c r="Z475">
        <v>20250804</v>
      </c>
    </row>
    <row r="476" spans="3:26" x14ac:dyDescent="0.25">
      <c r="C476">
        <v>10000001</v>
      </c>
      <c r="D476" t="s">
        <v>383</v>
      </c>
      <c r="F476">
        <v>12006521</v>
      </c>
      <c r="H476" t="s">
        <v>383</v>
      </c>
      <c r="I476">
        <v>50</v>
      </c>
      <c r="J476" s="1">
        <v>-369000</v>
      </c>
      <c r="K476" t="s">
        <v>26</v>
      </c>
      <c r="L476" s="1">
        <v>-369000</v>
      </c>
      <c r="M476" t="s">
        <v>26</v>
      </c>
      <c r="Q476" t="s">
        <v>27</v>
      </c>
      <c r="R476" t="s">
        <v>397</v>
      </c>
      <c r="S476" t="s">
        <v>67</v>
      </c>
      <c r="T476" t="s">
        <v>398</v>
      </c>
      <c r="X476" t="s">
        <v>43</v>
      </c>
      <c r="Y476">
        <v>1557224</v>
      </c>
      <c r="Z476">
        <v>20250804</v>
      </c>
    </row>
    <row r="477" spans="3:26" x14ac:dyDescent="0.25">
      <c r="C477">
        <v>10000001</v>
      </c>
      <c r="D477" t="s">
        <v>383</v>
      </c>
      <c r="F477">
        <v>12006522</v>
      </c>
      <c r="H477" t="s">
        <v>383</v>
      </c>
      <c r="I477">
        <v>50</v>
      </c>
      <c r="J477" s="1">
        <v>-630000</v>
      </c>
      <c r="K477" t="s">
        <v>26</v>
      </c>
      <c r="L477" s="1">
        <v>-630000</v>
      </c>
      <c r="M477" t="s">
        <v>26</v>
      </c>
      <c r="Q477" t="s">
        <v>27</v>
      </c>
      <c r="R477" t="s">
        <v>397</v>
      </c>
      <c r="S477" t="s">
        <v>96</v>
      </c>
      <c r="T477" t="s">
        <v>399</v>
      </c>
      <c r="X477" t="s">
        <v>43</v>
      </c>
      <c r="Y477">
        <v>1557224</v>
      </c>
      <c r="Z477">
        <v>20250804</v>
      </c>
    </row>
    <row r="478" spans="3:26" x14ac:dyDescent="0.25">
      <c r="C478">
        <v>10000001</v>
      </c>
      <c r="D478" t="s">
        <v>383</v>
      </c>
      <c r="F478">
        <v>12006523</v>
      </c>
      <c r="H478" t="s">
        <v>383</v>
      </c>
      <c r="I478">
        <v>50</v>
      </c>
      <c r="J478" s="1">
        <v>-75000</v>
      </c>
      <c r="K478" t="s">
        <v>26</v>
      </c>
      <c r="L478" s="1">
        <v>-75000</v>
      </c>
      <c r="M478" t="s">
        <v>26</v>
      </c>
      <c r="Q478" t="s">
        <v>27</v>
      </c>
      <c r="R478" t="s">
        <v>400</v>
      </c>
      <c r="S478" t="s">
        <v>126</v>
      </c>
      <c r="T478" t="s">
        <v>401</v>
      </c>
      <c r="X478" t="s">
        <v>43</v>
      </c>
      <c r="Y478">
        <v>1557224</v>
      </c>
      <c r="Z478">
        <v>20250804</v>
      </c>
    </row>
    <row r="479" spans="3:26" x14ac:dyDescent="0.25">
      <c r="C479">
        <v>10000001</v>
      </c>
      <c r="D479" t="s">
        <v>383</v>
      </c>
      <c r="F479">
        <v>12006524</v>
      </c>
      <c r="H479" t="s">
        <v>383</v>
      </c>
      <c r="I479">
        <v>50</v>
      </c>
      <c r="J479" s="1">
        <v>-202000</v>
      </c>
      <c r="K479" t="s">
        <v>26</v>
      </c>
      <c r="L479" s="1">
        <v>-202000</v>
      </c>
      <c r="M479" t="s">
        <v>26</v>
      </c>
      <c r="Q479" t="s">
        <v>27</v>
      </c>
      <c r="R479" t="s">
        <v>402</v>
      </c>
      <c r="S479" t="s">
        <v>67</v>
      </c>
      <c r="T479" t="s">
        <v>403</v>
      </c>
      <c r="X479" t="s">
        <v>43</v>
      </c>
      <c r="Y479">
        <v>1557224</v>
      </c>
      <c r="Z479">
        <v>20250804</v>
      </c>
    </row>
    <row r="480" spans="3:26" x14ac:dyDescent="0.25">
      <c r="C480">
        <v>10000001</v>
      </c>
      <c r="D480" t="s">
        <v>383</v>
      </c>
      <c r="F480">
        <v>12006525</v>
      </c>
      <c r="H480" t="s">
        <v>383</v>
      </c>
      <c r="I480">
        <v>50</v>
      </c>
      <c r="J480" s="1">
        <v>-23000</v>
      </c>
      <c r="K480" t="s">
        <v>26</v>
      </c>
      <c r="L480" s="1">
        <v>-23000</v>
      </c>
      <c r="M480" t="s">
        <v>26</v>
      </c>
      <c r="Q480" t="s">
        <v>27</v>
      </c>
      <c r="R480" t="s">
        <v>402</v>
      </c>
      <c r="S480" t="s">
        <v>64</v>
      </c>
      <c r="T480" t="s">
        <v>404</v>
      </c>
      <c r="X480" t="s">
        <v>43</v>
      </c>
      <c r="Y480">
        <v>1557224</v>
      </c>
      <c r="Z480">
        <v>20250804</v>
      </c>
    </row>
    <row r="481" spans="3:26" x14ac:dyDescent="0.25">
      <c r="C481">
        <v>10000001</v>
      </c>
      <c r="D481" t="s">
        <v>383</v>
      </c>
      <c r="F481">
        <v>12006526</v>
      </c>
      <c r="H481" t="s">
        <v>383</v>
      </c>
      <c r="I481">
        <v>50</v>
      </c>
      <c r="J481" s="1">
        <v>-180000</v>
      </c>
      <c r="K481" t="s">
        <v>26</v>
      </c>
      <c r="L481" s="1">
        <v>-180000</v>
      </c>
      <c r="M481" t="s">
        <v>26</v>
      </c>
      <c r="Q481" t="s">
        <v>27</v>
      </c>
      <c r="R481" t="s">
        <v>405</v>
      </c>
      <c r="S481" t="s">
        <v>67</v>
      </c>
      <c r="T481" t="s">
        <v>406</v>
      </c>
      <c r="X481" t="s">
        <v>43</v>
      </c>
      <c r="Y481">
        <v>1557224</v>
      </c>
      <c r="Z481">
        <v>20250804</v>
      </c>
    </row>
    <row r="482" spans="3:26" x14ac:dyDescent="0.25">
      <c r="C482">
        <v>10000001</v>
      </c>
      <c r="D482" t="s">
        <v>383</v>
      </c>
      <c r="F482">
        <v>12006527</v>
      </c>
      <c r="H482" t="s">
        <v>383</v>
      </c>
      <c r="I482">
        <v>50</v>
      </c>
      <c r="J482" s="1">
        <v>-961000</v>
      </c>
      <c r="K482" t="s">
        <v>26</v>
      </c>
      <c r="L482" s="1">
        <v>-961000</v>
      </c>
      <c r="M482" t="s">
        <v>26</v>
      </c>
      <c r="Q482" t="s">
        <v>27</v>
      </c>
      <c r="R482" t="s">
        <v>407</v>
      </c>
      <c r="S482" t="s">
        <v>274</v>
      </c>
      <c r="T482" t="s">
        <v>408</v>
      </c>
      <c r="X482" t="s">
        <v>43</v>
      </c>
      <c r="Y482">
        <v>1557224</v>
      </c>
      <c r="Z482">
        <v>20250804</v>
      </c>
    </row>
    <row r="483" spans="3:26" x14ac:dyDescent="0.25">
      <c r="C483">
        <v>10000001</v>
      </c>
      <c r="D483" t="s">
        <v>383</v>
      </c>
      <c r="F483">
        <v>12006528</v>
      </c>
      <c r="H483" t="s">
        <v>383</v>
      </c>
      <c r="I483">
        <v>50</v>
      </c>
      <c r="J483" s="1">
        <v>-150000</v>
      </c>
      <c r="K483" t="s">
        <v>26</v>
      </c>
      <c r="L483" s="1">
        <v>-150000</v>
      </c>
      <c r="M483" t="s">
        <v>26</v>
      </c>
      <c r="Q483" t="s">
        <v>27</v>
      </c>
      <c r="R483" t="s">
        <v>409</v>
      </c>
      <c r="S483" t="s">
        <v>45</v>
      </c>
      <c r="T483" t="s">
        <v>410</v>
      </c>
      <c r="X483" t="s">
        <v>43</v>
      </c>
      <c r="Y483">
        <v>1557224</v>
      </c>
      <c r="Z483">
        <v>20250804</v>
      </c>
    </row>
    <row r="484" spans="3:26" x14ac:dyDescent="0.25">
      <c r="C484">
        <v>10000001</v>
      </c>
      <c r="D484" t="s">
        <v>383</v>
      </c>
      <c r="F484">
        <v>12006529</v>
      </c>
      <c r="H484" t="s">
        <v>383</v>
      </c>
      <c r="I484">
        <v>50</v>
      </c>
      <c r="J484" s="1">
        <v>-100000</v>
      </c>
      <c r="K484" t="s">
        <v>26</v>
      </c>
      <c r="L484" s="1">
        <v>-100000</v>
      </c>
      <c r="M484" t="s">
        <v>26</v>
      </c>
      <c r="Q484" t="s">
        <v>27</v>
      </c>
      <c r="R484" t="s">
        <v>409</v>
      </c>
      <c r="S484" t="s">
        <v>45</v>
      </c>
      <c r="T484" t="s">
        <v>411</v>
      </c>
      <c r="X484" t="s">
        <v>43</v>
      </c>
      <c r="Y484">
        <v>1557224</v>
      </c>
      <c r="Z484">
        <v>20250804</v>
      </c>
    </row>
    <row r="485" spans="3:26" x14ac:dyDescent="0.25">
      <c r="C485">
        <v>10000001</v>
      </c>
      <c r="D485" t="s">
        <v>383</v>
      </c>
      <c r="F485">
        <v>12006530</v>
      </c>
      <c r="H485" t="s">
        <v>383</v>
      </c>
      <c r="I485">
        <v>50</v>
      </c>
      <c r="J485" s="1">
        <v>-100000</v>
      </c>
      <c r="K485" t="s">
        <v>26</v>
      </c>
      <c r="L485" s="1">
        <v>-100000</v>
      </c>
      <c r="M485" t="s">
        <v>26</v>
      </c>
      <c r="Q485" t="s">
        <v>27</v>
      </c>
      <c r="R485" t="s">
        <v>409</v>
      </c>
      <c r="S485" t="s">
        <v>45</v>
      </c>
      <c r="T485" t="s">
        <v>412</v>
      </c>
      <c r="X485" t="s">
        <v>43</v>
      </c>
      <c r="Y485">
        <v>1557224</v>
      </c>
      <c r="Z485">
        <v>20250804</v>
      </c>
    </row>
    <row r="486" spans="3:26" x14ac:dyDescent="0.25">
      <c r="C486">
        <v>10000001</v>
      </c>
      <c r="D486" t="s">
        <v>383</v>
      </c>
      <c r="F486">
        <v>12006531</v>
      </c>
      <c r="H486" t="s">
        <v>383</v>
      </c>
      <c r="I486">
        <v>50</v>
      </c>
      <c r="J486" s="1">
        <v>-150000</v>
      </c>
      <c r="K486" t="s">
        <v>26</v>
      </c>
      <c r="L486" s="1">
        <v>-150000</v>
      </c>
      <c r="M486" t="s">
        <v>26</v>
      </c>
      <c r="Q486" t="s">
        <v>27</v>
      </c>
      <c r="R486" t="s">
        <v>409</v>
      </c>
      <c r="S486" t="s">
        <v>45</v>
      </c>
      <c r="T486" t="s">
        <v>413</v>
      </c>
      <c r="X486" t="s">
        <v>43</v>
      </c>
      <c r="Y486">
        <v>1557224</v>
      </c>
      <c r="Z486">
        <v>20250804</v>
      </c>
    </row>
    <row r="487" spans="3:26" x14ac:dyDescent="0.25">
      <c r="C487">
        <v>10000001</v>
      </c>
      <c r="D487" t="s">
        <v>383</v>
      </c>
      <c r="F487">
        <v>12006532</v>
      </c>
      <c r="H487" t="s">
        <v>383</v>
      </c>
      <c r="I487">
        <v>50</v>
      </c>
      <c r="J487" s="1">
        <v>-100000</v>
      </c>
      <c r="K487" t="s">
        <v>26</v>
      </c>
      <c r="L487" s="1">
        <v>-100000</v>
      </c>
      <c r="M487" t="s">
        <v>26</v>
      </c>
      <c r="Q487" t="s">
        <v>27</v>
      </c>
      <c r="R487" t="s">
        <v>409</v>
      </c>
      <c r="S487" t="s">
        <v>45</v>
      </c>
      <c r="T487" t="s">
        <v>414</v>
      </c>
      <c r="X487" t="s">
        <v>43</v>
      </c>
      <c r="Y487">
        <v>1557224</v>
      </c>
      <c r="Z487">
        <v>20250804</v>
      </c>
    </row>
    <row r="488" spans="3:26" x14ac:dyDescent="0.25">
      <c r="C488">
        <v>10000001</v>
      </c>
      <c r="D488" t="s">
        <v>383</v>
      </c>
      <c r="F488">
        <v>12006533</v>
      </c>
      <c r="H488" t="s">
        <v>383</v>
      </c>
      <c r="I488">
        <v>50</v>
      </c>
      <c r="J488" s="1">
        <v>-100000</v>
      </c>
      <c r="K488" t="s">
        <v>26</v>
      </c>
      <c r="L488" s="1">
        <v>-100000</v>
      </c>
      <c r="M488" t="s">
        <v>26</v>
      </c>
      <c r="Q488" t="s">
        <v>27</v>
      </c>
      <c r="R488" t="s">
        <v>409</v>
      </c>
      <c r="S488" t="s">
        <v>45</v>
      </c>
      <c r="T488" t="s">
        <v>415</v>
      </c>
      <c r="X488" t="s">
        <v>43</v>
      </c>
      <c r="Y488">
        <v>1557224</v>
      </c>
      <c r="Z488">
        <v>20250804</v>
      </c>
    </row>
    <row r="489" spans="3:26" x14ac:dyDescent="0.25">
      <c r="C489">
        <v>10000001</v>
      </c>
      <c r="D489" t="s">
        <v>383</v>
      </c>
      <c r="F489">
        <v>12006534</v>
      </c>
      <c r="H489" t="s">
        <v>383</v>
      </c>
      <c r="I489">
        <v>50</v>
      </c>
      <c r="J489" s="1">
        <v>-50000</v>
      </c>
      <c r="K489" t="s">
        <v>26</v>
      </c>
      <c r="L489" s="1">
        <v>-50000</v>
      </c>
      <c r="M489" t="s">
        <v>26</v>
      </c>
      <c r="Q489" t="s">
        <v>27</v>
      </c>
      <c r="R489" t="s">
        <v>409</v>
      </c>
      <c r="S489" t="s">
        <v>45</v>
      </c>
      <c r="T489" t="s">
        <v>416</v>
      </c>
      <c r="X489" t="s">
        <v>43</v>
      </c>
      <c r="Y489">
        <v>1557224</v>
      </c>
      <c r="Z489">
        <v>20250804</v>
      </c>
    </row>
    <row r="490" spans="3:26" x14ac:dyDescent="0.25">
      <c r="C490">
        <v>10000001</v>
      </c>
      <c r="D490" t="s">
        <v>383</v>
      </c>
      <c r="F490">
        <v>12006535</v>
      </c>
      <c r="H490" t="s">
        <v>383</v>
      </c>
      <c r="I490">
        <v>50</v>
      </c>
      <c r="J490" s="1">
        <v>-50000</v>
      </c>
      <c r="K490" t="s">
        <v>26</v>
      </c>
      <c r="L490" s="1">
        <v>-50000</v>
      </c>
      <c r="M490" t="s">
        <v>26</v>
      </c>
      <c r="Q490" t="s">
        <v>27</v>
      </c>
      <c r="R490" t="s">
        <v>409</v>
      </c>
      <c r="S490" t="s">
        <v>45</v>
      </c>
      <c r="T490" t="s">
        <v>417</v>
      </c>
      <c r="X490" t="s">
        <v>43</v>
      </c>
      <c r="Y490">
        <v>1557224</v>
      </c>
      <c r="Z490">
        <v>20250804</v>
      </c>
    </row>
    <row r="491" spans="3:26" x14ac:dyDescent="0.25">
      <c r="C491">
        <v>10000001</v>
      </c>
      <c r="D491" t="s">
        <v>383</v>
      </c>
      <c r="F491">
        <v>12006536</v>
      </c>
      <c r="H491" t="s">
        <v>383</v>
      </c>
      <c r="I491">
        <v>50</v>
      </c>
      <c r="J491" s="1">
        <v>-50000</v>
      </c>
      <c r="K491" t="s">
        <v>26</v>
      </c>
      <c r="L491" s="1">
        <v>-50000</v>
      </c>
      <c r="M491" t="s">
        <v>26</v>
      </c>
      <c r="Q491" t="s">
        <v>27</v>
      </c>
      <c r="R491" t="s">
        <v>409</v>
      </c>
      <c r="S491" t="s">
        <v>45</v>
      </c>
      <c r="T491" t="s">
        <v>418</v>
      </c>
      <c r="X491" t="s">
        <v>43</v>
      </c>
      <c r="Y491">
        <v>1557224</v>
      </c>
      <c r="Z491">
        <v>20250804</v>
      </c>
    </row>
    <row r="492" spans="3:26" x14ac:dyDescent="0.25">
      <c r="C492">
        <v>10000001</v>
      </c>
      <c r="D492" t="s">
        <v>383</v>
      </c>
      <c r="F492">
        <v>12006537</v>
      </c>
      <c r="H492" t="s">
        <v>383</v>
      </c>
      <c r="I492">
        <v>50</v>
      </c>
      <c r="J492" s="1">
        <v>-50000</v>
      </c>
      <c r="K492" t="s">
        <v>26</v>
      </c>
      <c r="L492" s="1">
        <v>-50000</v>
      </c>
      <c r="M492" t="s">
        <v>26</v>
      </c>
      <c r="Q492" t="s">
        <v>27</v>
      </c>
      <c r="R492" t="s">
        <v>409</v>
      </c>
      <c r="S492" t="s">
        <v>45</v>
      </c>
      <c r="T492" t="s">
        <v>419</v>
      </c>
      <c r="X492" t="s">
        <v>43</v>
      </c>
      <c r="Y492">
        <v>1557224</v>
      </c>
      <c r="Z492">
        <v>20250804</v>
      </c>
    </row>
    <row r="493" spans="3:26" x14ac:dyDescent="0.25">
      <c r="C493">
        <v>10000001</v>
      </c>
      <c r="D493" t="s">
        <v>383</v>
      </c>
      <c r="F493">
        <v>12006538</v>
      </c>
      <c r="H493" t="s">
        <v>383</v>
      </c>
      <c r="I493">
        <v>50</v>
      </c>
      <c r="J493" s="1">
        <v>-50000</v>
      </c>
      <c r="K493" t="s">
        <v>26</v>
      </c>
      <c r="L493" s="1">
        <v>-50000</v>
      </c>
      <c r="M493" t="s">
        <v>26</v>
      </c>
      <c r="Q493" t="s">
        <v>27</v>
      </c>
      <c r="R493" t="s">
        <v>409</v>
      </c>
      <c r="S493" t="s">
        <v>45</v>
      </c>
      <c r="T493" t="s">
        <v>420</v>
      </c>
      <c r="X493" t="s">
        <v>43</v>
      </c>
      <c r="Y493">
        <v>1557224</v>
      </c>
      <c r="Z493">
        <v>20250804</v>
      </c>
    </row>
    <row r="494" spans="3:26" x14ac:dyDescent="0.25">
      <c r="C494">
        <v>10000001</v>
      </c>
      <c r="D494" t="s">
        <v>383</v>
      </c>
      <c r="F494">
        <v>12006539</v>
      </c>
      <c r="H494" t="s">
        <v>383</v>
      </c>
      <c r="I494">
        <v>50</v>
      </c>
      <c r="J494" s="1">
        <v>-50000</v>
      </c>
      <c r="K494" t="s">
        <v>26</v>
      </c>
      <c r="L494" s="1">
        <v>-50000</v>
      </c>
      <c r="M494" t="s">
        <v>26</v>
      </c>
      <c r="Q494" t="s">
        <v>27</v>
      </c>
      <c r="R494" t="s">
        <v>409</v>
      </c>
      <c r="S494" t="s">
        <v>45</v>
      </c>
      <c r="T494" t="s">
        <v>421</v>
      </c>
      <c r="X494" t="s">
        <v>43</v>
      </c>
      <c r="Y494">
        <v>1557224</v>
      </c>
      <c r="Z494">
        <v>20250804</v>
      </c>
    </row>
    <row r="495" spans="3:26" x14ac:dyDescent="0.25">
      <c r="C495">
        <v>10000001</v>
      </c>
      <c r="D495" t="s">
        <v>383</v>
      </c>
      <c r="F495">
        <v>12006540</v>
      </c>
      <c r="H495" t="s">
        <v>383</v>
      </c>
      <c r="I495">
        <v>50</v>
      </c>
      <c r="J495" s="1">
        <v>-50000</v>
      </c>
      <c r="K495" t="s">
        <v>26</v>
      </c>
      <c r="L495" s="1">
        <v>-50000</v>
      </c>
      <c r="M495" t="s">
        <v>26</v>
      </c>
      <c r="Q495" t="s">
        <v>27</v>
      </c>
      <c r="R495" t="s">
        <v>386</v>
      </c>
      <c r="S495" t="s">
        <v>45</v>
      </c>
      <c r="T495" t="s">
        <v>422</v>
      </c>
      <c r="X495" t="s">
        <v>43</v>
      </c>
      <c r="Y495">
        <v>1557224</v>
      </c>
      <c r="Z495">
        <v>20250804</v>
      </c>
    </row>
    <row r="496" spans="3:26" x14ac:dyDescent="0.25">
      <c r="C496">
        <v>10000001</v>
      </c>
      <c r="D496" t="s">
        <v>383</v>
      </c>
      <c r="F496">
        <v>12006541</v>
      </c>
      <c r="H496" t="s">
        <v>383</v>
      </c>
      <c r="I496">
        <v>50</v>
      </c>
      <c r="J496" s="1">
        <v>-50000</v>
      </c>
      <c r="K496" t="s">
        <v>26</v>
      </c>
      <c r="L496" s="1">
        <v>-50000</v>
      </c>
      <c r="M496" t="s">
        <v>26</v>
      </c>
      <c r="Q496" t="s">
        <v>27</v>
      </c>
      <c r="R496" t="s">
        <v>386</v>
      </c>
      <c r="S496" t="s">
        <v>45</v>
      </c>
      <c r="T496" t="s">
        <v>422</v>
      </c>
      <c r="X496" t="s">
        <v>43</v>
      </c>
      <c r="Y496">
        <v>1557224</v>
      </c>
      <c r="Z496">
        <v>20250804</v>
      </c>
    </row>
    <row r="497" spans="3:26" x14ac:dyDescent="0.25">
      <c r="C497">
        <v>10000001</v>
      </c>
      <c r="D497" t="s">
        <v>383</v>
      </c>
      <c r="F497">
        <v>12006542</v>
      </c>
      <c r="H497" t="s">
        <v>383</v>
      </c>
      <c r="I497">
        <v>50</v>
      </c>
      <c r="J497" s="1">
        <v>-50000</v>
      </c>
      <c r="K497" t="s">
        <v>26</v>
      </c>
      <c r="L497" s="1">
        <v>-50000</v>
      </c>
      <c r="M497" t="s">
        <v>26</v>
      </c>
      <c r="Q497" t="s">
        <v>27</v>
      </c>
      <c r="R497" t="s">
        <v>423</v>
      </c>
      <c r="S497" t="s">
        <v>45</v>
      </c>
      <c r="T497" t="s">
        <v>424</v>
      </c>
      <c r="X497" t="s">
        <v>43</v>
      </c>
      <c r="Y497">
        <v>1557224</v>
      </c>
      <c r="Z497">
        <v>20250804</v>
      </c>
    </row>
    <row r="498" spans="3:26" x14ac:dyDescent="0.25">
      <c r="C498">
        <v>10000001</v>
      </c>
      <c r="D498" t="s">
        <v>383</v>
      </c>
      <c r="F498">
        <v>12006543</v>
      </c>
      <c r="H498" t="s">
        <v>383</v>
      </c>
      <c r="I498">
        <v>50</v>
      </c>
      <c r="J498" s="1">
        <v>-50000</v>
      </c>
      <c r="K498" t="s">
        <v>26</v>
      </c>
      <c r="L498" s="1">
        <v>-50000</v>
      </c>
      <c r="M498" t="s">
        <v>26</v>
      </c>
      <c r="Q498" t="s">
        <v>27</v>
      </c>
      <c r="R498" t="s">
        <v>423</v>
      </c>
      <c r="S498" t="s">
        <v>45</v>
      </c>
      <c r="T498" t="s">
        <v>425</v>
      </c>
      <c r="X498" t="s">
        <v>43</v>
      </c>
      <c r="Y498">
        <v>1557224</v>
      </c>
      <c r="Z498">
        <v>20250804</v>
      </c>
    </row>
    <row r="499" spans="3:26" x14ac:dyDescent="0.25">
      <c r="C499">
        <v>10000001</v>
      </c>
      <c r="D499" t="s">
        <v>383</v>
      </c>
      <c r="F499">
        <v>12006544</v>
      </c>
      <c r="H499" t="s">
        <v>383</v>
      </c>
      <c r="I499">
        <v>50</v>
      </c>
      <c r="J499" s="1">
        <v>-50000</v>
      </c>
      <c r="K499" t="s">
        <v>26</v>
      </c>
      <c r="L499" s="1">
        <v>-50000</v>
      </c>
      <c r="M499" t="s">
        <v>26</v>
      </c>
      <c r="Q499" t="s">
        <v>27</v>
      </c>
      <c r="R499" t="s">
        <v>423</v>
      </c>
      <c r="S499" t="s">
        <v>45</v>
      </c>
      <c r="T499" t="s">
        <v>426</v>
      </c>
      <c r="X499" t="s">
        <v>43</v>
      </c>
      <c r="Y499">
        <v>1557224</v>
      </c>
      <c r="Z499">
        <v>20250804</v>
      </c>
    </row>
    <row r="500" spans="3:26" x14ac:dyDescent="0.25">
      <c r="C500">
        <v>10000001</v>
      </c>
      <c r="D500" t="s">
        <v>383</v>
      </c>
      <c r="F500">
        <v>12006545</v>
      </c>
      <c r="H500" t="s">
        <v>383</v>
      </c>
      <c r="I500">
        <v>50</v>
      </c>
      <c r="J500" s="1">
        <v>-50000</v>
      </c>
      <c r="K500" t="s">
        <v>26</v>
      </c>
      <c r="L500" s="1">
        <v>-50000</v>
      </c>
      <c r="M500" t="s">
        <v>26</v>
      </c>
      <c r="Q500" t="s">
        <v>27</v>
      </c>
      <c r="R500" t="s">
        <v>423</v>
      </c>
      <c r="S500" t="s">
        <v>45</v>
      </c>
      <c r="T500" t="s">
        <v>427</v>
      </c>
      <c r="X500" t="s">
        <v>43</v>
      </c>
      <c r="Y500">
        <v>1557224</v>
      </c>
      <c r="Z500">
        <v>20250804</v>
      </c>
    </row>
    <row r="501" spans="3:26" x14ac:dyDescent="0.25">
      <c r="C501">
        <v>10000001</v>
      </c>
      <c r="D501" t="s">
        <v>383</v>
      </c>
      <c r="F501">
        <v>12006546</v>
      </c>
      <c r="H501" t="s">
        <v>383</v>
      </c>
      <c r="I501">
        <v>50</v>
      </c>
      <c r="J501" s="1">
        <v>-50000</v>
      </c>
      <c r="K501" t="s">
        <v>26</v>
      </c>
      <c r="L501" s="1">
        <v>-50000</v>
      </c>
      <c r="M501" t="s">
        <v>26</v>
      </c>
      <c r="Q501" t="s">
        <v>27</v>
      </c>
      <c r="R501" t="s">
        <v>428</v>
      </c>
      <c r="S501" t="s">
        <v>45</v>
      </c>
      <c r="T501" t="s">
        <v>429</v>
      </c>
      <c r="X501" t="s">
        <v>43</v>
      </c>
      <c r="Y501">
        <v>1557224</v>
      </c>
      <c r="Z501">
        <v>20250804</v>
      </c>
    </row>
    <row r="502" spans="3:26" x14ac:dyDescent="0.25">
      <c r="C502">
        <v>10000001</v>
      </c>
      <c r="D502" t="s">
        <v>383</v>
      </c>
      <c r="F502">
        <v>12006547</v>
      </c>
      <c r="H502" t="s">
        <v>383</v>
      </c>
      <c r="I502">
        <v>50</v>
      </c>
      <c r="J502" s="1">
        <v>-50000</v>
      </c>
      <c r="K502" t="s">
        <v>26</v>
      </c>
      <c r="L502" s="1">
        <v>-50000</v>
      </c>
      <c r="M502" t="s">
        <v>26</v>
      </c>
      <c r="Q502" t="s">
        <v>27</v>
      </c>
      <c r="R502" t="s">
        <v>428</v>
      </c>
      <c r="S502" t="s">
        <v>45</v>
      </c>
      <c r="T502" t="s">
        <v>430</v>
      </c>
      <c r="X502" t="s">
        <v>43</v>
      </c>
      <c r="Y502">
        <v>1557224</v>
      </c>
      <c r="Z502">
        <v>20250804</v>
      </c>
    </row>
    <row r="503" spans="3:26" x14ac:dyDescent="0.25">
      <c r="C503">
        <v>10000001</v>
      </c>
      <c r="D503" t="s">
        <v>383</v>
      </c>
      <c r="F503">
        <v>12006548</v>
      </c>
      <c r="H503" t="s">
        <v>383</v>
      </c>
      <c r="I503">
        <v>50</v>
      </c>
      <c r="J503" s="1">
        <v>-50000</v>
      </c>
      <c r="K503" t="s">
        <v>26</v>
      </c>
      <c r="L503" s="1">
        <v>-50000</v>
      </c>
      <c r="M503" t="s">
        <v>26</v>
      </c>
      <c r="Q503" t="s">
        <v>27</v>
      </c>
      <c r="R503" t="s">
        <v>431</v>
      </c>
      <c r="S503" t="s">
        <v>45</v>
      </c>
      <c r="T503" t="s">
        <v>432</v>
      </c>
      <c r="X503" t="s">
        <v>43</v>
      </c>
      <c r="Y503">
        <v>1557224</v>
      </c>
      <c r="Z503">
        <v>20250804</v>
      </c>
    </row>
    <row r="504" spans="3:26" x14ac:dyDescent="0.25">
      <c r="C504">
        <v>10000001</v>
      </c>
      <c r="D504" t="s">
        <v>383</v>
      </c>
      <c r="F504">
        <v>12006549</v>
      </c>
      <c r="H504" t="s">
        <v>383</v>
      </c>
      <c r="I504">
        <v>50</v>
      </c>
      <c r="J504" s="1">
        <v>-50000</v>
      </c>
      <c r="K504" t="s">
        <v>26</v>
      </c>
      <c r="L504" s="1">
        <v>-50000</v>
      </c>
      <c r="M504" t="s">
        <v>26</v>
      </c>
      <c r="Q504" t="s">
        <v>27</v>
      </c>
      <c r="R504" t="s">
        <v>431</v>
      </c>
      <c r="S504" t="s">
        <v>45</v>
      </c>
      <c r="T504" t="s">
        <v>433</v>
      </c>
      <c r="X504" t="s">
        <v>43</v>
      </c>
      <c r="Y504">
        <v>1557224</v>
      </c>
      <c r="Z504">
        <v>20250804</v>
      </c>
    </row>
    <row r="505" spans="3:26" x14ac:dyDescent="0.25">
      <c r="C505">
        <v>10000001</v>
      </c>
      <c r="D505" t="s">
        <v>383</v>
      </c>
      <c r="F505">
        <v>12006550</v>
      </c>
      <c r="H505" t="s">
        <v>383</v>
      </c>
      <c r="I505">
        <v>50</v>
      </c>
      <c r="J505" s="1">
        <v>-150000</v>
      </c>
      <c r="K505" t="s">
        <v>26</v>
      </c>
      <c r="L505" s="1">
        <v>-150000</v>
      </c>
      <c r="M505" t="s">
        <v>26</v>
      </c>
      <c r="Q505" t="s">
        <v>27</v>
      </c>
      <c r="R505" t="s">
        <v>434</v>
      </c>
      <c r="S505" t="s">
        <v>126</v>
      </c>
      <c r="T505" t="s">
        <v>435</v>
      </c>
      <c r="X505" t="s">
        <v>43</v>
      </c>
      <c r="Y505">
        <v>1557224</v>
      </c>
      <c r="Z505">
        <v>20250804</v>
      </c>
    </row>
    <row r="506" spans="3:26" x14ac:dyDescent="0.25">
      <c r="C506">
        <v>10000001</v>
      </c>
      <c r="D506" t="s">
        <v>383</v>
      </c>
      <c r="F506">
        <v>12006551</v>
      </c>
      <c r="H506" t="s">
        <v>383</v>
      </c>
      <c r="I506">
        <v>50</v>
      </c>
      <c r="J506" s="1">
        <v>-45000</v>
      </c>
      <c r="K506" t="s">
        <v>26</v>
      </c>
      <c r="L506" s="1">
        <v>-45000</v>
      </c>
      <c r="M506" t="s">
        <v>26</v>
      </c>
      <c r="Q506" t="s">
        <v>27</v>
      </c>
      <c r="R506" t="s">
        <v>436</v>
      </c>
      <c r="S506" t="s">
        <v>59</v>
      </c>
      <c r="T506" t="s">
        <v>437</v>
      </c>
      <c r="X506" t="s">
        <v>43</v>
      </c>
      <c r="Y506">
        <v>1557224</v>
      </c>
      <c r="Z506">
        <v>20250804</v>
      </c>
    </row>
    <row r="507" spans="3:26" x14ac:dyDescent="0.25">
      <c r="C507">
        <v>10000001</v>
      </c>
      <c r="D507" t="s">
        <v>383</v>
      </c>
      <c r="F507">
        <v>12006552</v>
      </c>
      <c r="H507" t="s">
        <v>383</v>
      </c>
      <c r="I507">
        <v>50</v>
      </c>
      <c r="J507" s="1">
        <v>-600000</v>
      </c>
      <c r="K507" t="s">
        <v>26</v>
      </c>
      <c r="L507" s="1">
        <v>-600000</v>
      </c>
      <c r="M507" t="s">
        <v>26</v>
      </c>
      <c r="Q507" t="s">
        <v>27</v>
      </c>
      <c r="R507" t="s">
        <v>438</v>
      </c>
      <c r="S507" t="s">
        <v>439</v>
      </c>
      <c r="T507" t="s">
        <v>440</v>
      </c>
      <c r="X507" t="s">
        <v>43</v>
      </c>
      <c r="Y507">
        <v>1557224</v>
      </c>
      <c r="Z507">
        <v>20250804</v>
      </c>
    </row>
    <row r="508" spans="3:26" x14ac:dyDescent="0.25">
      <c r="C508">
        <v>10000001</v>
      </c>
      <c r="D508" t="s">
        <v>383</v>
      </c>
      <c r="F508">
        <v>12006553</v>
      </c>
      <c r="H508" t="s">
        <v>383</v>
      </c>
      <c r="I508">
        <v>50</v>
      </c>
      <c r="J508" s="1">
        <v>-600000</v>
      </c>
      <c r="K508" t="s">
        <v>26</v>
      </c>
      <c r="L508" s="1">
        <v>-600000</v>
      </c>
      <c r="M508" t="s">
        <v>26</v>
      </c>
      <c r="Q508" t="s">
        <v>27</v>
      </c>
      <c r="R508" t="s">
        <v>441</v>
      </c>
      <c r="S508" t="s">
        <v>96</v>
      </c>
      <c r="T508" t="s">
        <v>442</v>
      </c>
      <c r="X508" t="s">
        <v>43</v>
      </c>
      <c r="Y508">
        <v>1557224</v>
      </c>
      <c r="Z508">
        <v>20250804</v>
      </c>
    </row>
    <row r="509" spans="3:26" x14ac:dyDescent="0.25">
      <c r="C509">
        <v>10000001</v>
      </c>
      <c r="D509" t="s">
        <v>383</v>
      </c>
      <c r="F509">
        <v>12006554</v>
      </c>
      <c r="H509" t="s">
        <v>383</v>
      </c>
      <c r="I509">
        <v>50</v>
      </c>
      <c r="J509" s="1">
        <v>-399000</v>
      </c>
      <c r="K509" t="s">
        <v>26</v>
      </c>
      <c r="L509" s="1">
        <v>-399000</v>
      </c>
      <c r="M509" t="s">
        <v>26</v>
      </c>
      <c r="Q509" t="s">
        <v>27</v>
      </c>
      <c r="R509" t="s">
        <v>441</v>
      </c>
      <c r="S509" t="s">
        <v>67</v>
      </c>
      <c r="T509" t="s">
        <v>443</v>
      </c>
      <c r="X509" t="s">
        <v>43</v>
      </c>
      <c r="Y509">
        <v>1557224</v>
      </c>
      <c r="Z509">
        <v>20250804</v>
      </c>
    </row>
    <row r="510" spans="3:26" x14ac:dyDescent="0.25">
      <c r="C510">
        <v>10000001</v>
      </c>
      <c r="D510" t="s">
        <v>383</v>
      </c>
      <c r="F510">
        <v>12006555</v>
      </c>
      <c r="H510" t="s">
        <v>383</v>
      </c>
      <c r="I510">
        <v>50</v>
      </c>
      <c r="J510" s="1">
        <v>-269000</v>
      </c>
      <c r="K510" t="s">
        <v>26</v>
      </c>
      <c r="L510" s="1">
        <v>-269000</v>
      </c>
      <c r="M510" t="s">
        <v>26</v>
      </c>
      <c r="Q510" t="s">
        <v>27</v>
      </c>
      <c r="R510" t="s">
        <v>444</v>
      </c>
      <c r="S510" t="s">
        <v>57</v>
      </c>
      <c r="T510" t="s">
        <v>445</v>
      </c>
      <c r="X510" t="s">
        <v>43</v>
      </c>
      <c r="Y510">
        <v>1557224</v>
      </c>
      <c r="Z510">
        <v>20250804</v>
      </c>
    </row>
    <row r="511" spans="3:26" x14ac:dyDescent="0.25">
      <c r="C511">
        <v>10000001</v>
      </c>
      <c r="D511" t="s">
        <v>383</v>
      </c>
      <c r="F511">
        <v>12006556</v>
      </c>
      <c r="H511" t="s">
        <v>383</v>
      </c>
      <c r="I511">
        <v>50</v>
      </c>
      <c r="J511" s="1">
        <v>-25000</v>
      </c>
      <c r="K511" t="s">
        <v>26</v>
      </c>
      <c r="L511" s="1">
        <v>-25000</v>
      </c>
      <c r="M511" t="s">
        <v>26</v>
      </c>
      <c r="Q511" t="s">
        <v>27</v>
      </c>
      <c r="R511" t="s">
        <v>446</v>
      </c>
      <c r="S511" t="s">
        <v>126</v>
      </c>
      <c r="T511" t="s">
        <v>447</v>
      </c>
      <c r="X511" t="s">
        <v>43</v>
      </c>
      <c r="Y511">
        <v>1557224</v>
      </c>
      <c r="Z511">
        <v>20250804</v>
      </c>
    </row>
    <row r="512" spans="3:26" x14ac:dyDescent="0.25">
      <c r="C512">
        <v>10000001</v>
      </c>
      <c r="D512" t="s">
        <v>383</v>
      </c>
      <c r="F512">
        <v>12006557</v>
      </c>
      <c r="H512" t="s">
        <v>383</v>
      </c>
      <c r="I512">
        <v>50</v>
      </c>
      <c r="J512" s="1">
        <v>-988500</v>
      </c>
      <c r="K512" t="s">
        <v>26</v>
      </c>
      <c r="L512" s="1">
        <v>-988500</v>
      </c>
      <c r="M512" t="s">
        <v>26</v>
      </c>
      <c r="Q512" t="s">
        <v>27</v>
      </c>
      <c r="R512" t="s">
        <v>448</v>
      </c>
      <c r="S512" t="s">
        <v>59</v>
      </c>
      <c r="T512" t="s">
        <v>449</v>
      </c>
      <c r="X512" t="s">
        <v>43</v>
      </c>
      <c r="Y512">
        <v>1557224</v>
      </c>
      <c r="Z512">
        <v>20250804</v>
      </c>
    </row>
    <row r="513" spans="3:26" x14ac:dyDescent="0.25">
      <c r="C513">
        <v>10000001</v>
      </c>
      <c r="D513" t="s">
        <v>382</v>
      </c>
      <c r="F513">
        <v>12006558</v>
      </c>
      <c r="H513" t="s">
        <v>382</v>
      </c>
      <c r="I513">
        <v>50</v>
      </c>
      <c r="J513" s="1">
        <v>-166300</v>
      </c>
      <c r="K513" t="s">
        <v>26</v>
      </c>
      <c r="L513" s="1">
        <v>-166300</v>
      </c>
      <c r="M513" t="s">
        <v>26</v>
      </c>
      <c r="Q513" t="s">
        <v>27</v>
      </c>
      <c r="R513" t="s">
        <v>450</v>
      </c>
      <c r="S513" t="s">
        <v>129</v>
      </c>
      <c r="T513" t="s">
        <v>451</v>
      </c>
      <c r="X513" t="s">
        <v>43</v>
      </c>
      <c r="Y513">
        <v>1557224</v>
      </c>
      <c r="Z513">
        <v>20250805</v>
      </c>
    </row>
    <row r="514" spans="3:26" x14ac:dyDescent="0.25">
      <c r="C514">
        <v>10000001</v>
      </c>
      <c r="D514" t="s">
        <v>382</v>
      </c>
      <c r="F514">
        <v>12006559</v>
      </c>
      <c r="H514" t="s">
        <v>382</v>
      </c>
      <c r="I514">
        <v>50</v>
      </c>
      <c r="J514" s="1">
        <v>-220000</v>
      </c>
      <c r="K514" t="s">
        <v>26</v>
      </c>
      <c r="L514" s="1">
        <v>-220000</v>
      </c>
      <c r="M514" t="s">
        <v>26</v>
      </c>
      <c r="Q514" t="s">
        <v>27</v>
      </c>
      <c r="R514" t="s">
        <v>450</v>
      </c>
      <c r="S514" t="s">
        <v>59</v>
      </c>
      <c r="T514" t="s">
        <v>452</v>
      </c>
      <c r="X514" t="s">
        <v>43</v>
      </c>
      <c r="Y514">
        <v>1557224</v>
      </c>
      <c r="Z514">
        <v>20250805</v>
      </c>
    </row>
    <row r="515" spans="3:26" x14ac:dyDescent="0.25">
      <c r="C515">
        <v>10000001</v>
      </c>
      <c r="D515" t="s">
        <v>453</v>
      </c>
      <c r="F515">
        <v>12006560</v>
      </c>
      <c r="H515" t="s">
        <v>453</v>
      </c>
      <c r="I515">
        <v>50</v>
      </c>
      <c r="J515" s="1">
        <v>-50000</v>
      </c>
      <c r="K515" t="s">
        <v>26</v>
      </c>
      <c r="L515" s="1">
        <v>-50000</v>
      </c>
      <c r="M515" t="s">
        <v>26</v>
      </c>
      <c r="Q515" t="s">
        <v>27</v>
      </c>
      <c r="R515" t="s">
        <v>454</v>
      </c>
      <c r="S515" t="s">
        <v>45</v>
      </c>
      <c r="T515" t="s">
        <v>455</v>
      </c>
      <c r="X515" t="s">
        <v>43</v>
      </c>
      <c r="Y515">
        <v>1557224</v>
      </c>
      <c r="Z515">
        <v>20250806</v>
      </c>
    </row>
    <row r="516" spans="3:26" x14ac:dyDescent="0.25">
      <c r="C516">
        <v>10000001</v>
      </c>
      <c r="D516" t="s">
        <v>453</v>
      </c>
      <c r="F516">
        <v>12006561</v>
      </c>
      <c r="H516" t="s">
        <v>453</v>
      </c>
      <c r="I516">
        <v>50</v>
      </c>
      <c r="J516" s="1">
        <v>-50000</v>
      </c>
      <c r="K516" t="s">
        <v>26</v>
      </c>
      <c r="L516" s="1">
        <v>-50000</v>
      </c>
      <c r="M516" t="s">
        <v>26</v>
      </c>
      <c r="Q516" t="s">
        <v>27</v>
      </c>
      <c r="R516" t="s">
        <v>454</v>
      </c>
      <c r="S516" t="s">
        <v>45</v>
      </c>
      <c r="T516" t="s">
        <v>456</v>
      </c>
      <c r="X516" t="s">
        <v>43</v>
      </c>
      <c r="Y516">
        <v>1557224</v>
      </c>
      <c r="Z516">
        <v>20250806</v>
      </c>
    </row>
    <row r="517" spans="3:26" x14ac:dyDescent="0.25">
      <c r="C517">
        <v>10000001</v>
      </c>
      <c r="D517" t="s">
        <v>453</v>
      </c>
      <c r="F517">
        <v>12006562</v>
      </c>
      <c r="H517" t="s">
        <v>453</v>
      </c>
      <c r="I517">
        <v>50</v>
      </c>
      <c r="J517" s="1">
        <v>-2000</v>
      </c>
      <c r="K517" t="s">
        <v>26</v>
      </c>
      <c r="L517" s="1">
        <v>-2000</v>
      </c>
      <c r="M517" t="s">
        <v>26</v>
      </c>
      <c r="Q517" t="s">
        <v>27</v>
      </c>
      <c r="R517" t="s">
        <v>454</v>
      </c>
      <c r="S517" t="s">
        <v>334</v>
      </c>
      <c r="T517" t="s">
        <v>457</v>
      </c>
      <c r="X517" t="s">
        <v>43</v>
      </c>
      <c r="Y517">
        <v>1557224</v>
      </c>
      <c r="Z517">
        <v>20250806</v>
      </c>
    </row>
    <row r="518" spans="3:26" x14ac:dyDescent="0.25">
      <c r="C518">
        <v>10000001</v>
      </c>
      <c r="D518" t="s">
        <v>453</v>
      </c>
      <c r="F518">
        <v>12006563</v>
      </c>
      <c r="H518" t="s">
        <v>453</v>
      </c>
      <c r="I518">
        <v>50</v>
      </c>
      <c r="J518" s="1">
        <v>-3000</v>
      </c>
      <c r="K518" t="s">
        <v>26</v>
      </c>
      <c r="L518" s="1">
        <v>-3000</v>
      </c>
      <c r="M518" t="s">
        <v>26</v>
      </c>
      <c r="Q518" t="s">
        <v>27</v>
      </c>
      <c r="R518" t="s">
        <v>454</v>
      </c>
      <c r="S518" t="s">
        <v>334</v>
      </c>
      <c r="T518" t="s">
        <v>458</v>
      </c>
      <c r="X518" t="s">
        <v>43</v>
      </c>
      <c r="Y518">
        <v>1557224</v>
      </c>
      <c r="Z518">
        <v>20250806</v>
      </c>
    </row>
    <row r="519" spans="3:26" x14ac:dyDescent="0.25">
      <c r="C519">
        <v>10000001</v>
      </c>
      <c r="D519" t="s">
        <v>453</v>
      </c>
      <c r="F519">
        <v>12006564</v>
      </c>
      <c r="H519" t="s">
        <v>453</v>
      </c>
      <c r="I519">
        <v>50</v>
      </c>
      <c r="J519" s="1">
        <v>-500000</v>
      </c>
      <c r="K519" t="s">
        <v>26</v>
      </c>
      <c r="L519" s="1">
        <v>-500000</v>
      </c>
      <c r="M519" t="s">
        <v>26</v>
      </c>
      <c r="Q519" t="s">
        <v>27</v>
      </c>
      <c r="R519" t="s">
        <v>459</v>
      </c>
      <c r="S519" t="s">
        <v>41</v>
      </c>
      <c r="T519" t="s">
        <v>460</v>
      </c>
      <c r="X519" t="s">
        <v>43</v>
      </c>
      <c r="Y519">
        <v>1557224</v>
      </c>
      <c r="Z519">
        <v>20250806</v>
      </c>
    </row>
    <row r="520" spans="3:26" x14ac:dyDescent="0.25">
      <c r="C520">
        <v>10000001</v>
      </c>
      <c r="D520" t="s">
        <v>453</v>
      </c>
      <c r="F520">
        <v>12006565</v>
      </c>
      <c r="H520" t="s">
        <v>453</v>
      </c>
      <c r="I520">
        <v>50</v>
      </c>
      <c r="J520" s="1">
        <v>-50000</v>
      </c>
      <c r="K520" t="s">
        <v>26</v>
      </c>
      <c r="L520" s="1">
        <v>-50000</v>
      </c>
      <c r="M520" t="s">
        <v>26</v>
      </c>
      <c r="Q520" t="s">
        <v>27</v>
      </c>
      <c r="R520" t="s">
        <v>461</v>
      </c>
      <c r="S520" t="s">
        <v>45</v>
      </c>
      <c r="T520" t="s">
        <v>462</v>
      </c>
      <c r="X520" t="s">
        <v>43</v>
      </c>
      <c r="Y520">
        <v>1557224</v>
      </c>
      <c r="Z520">
        <v>20250806</v>
      </c>
    </row>
    <row r="521" spans="3:26" x14ac:dyDescent="0.25">
      <c r="C521">
        <v>10000001</v>
      </c>
      <c r="D521" t="s">
        <v>453</v>
      </c>
      <c r="F521">
        <v>12006566</v>
      </c>
      <c r="H521" t="s">
        <v>453</v>
      </c>
      <c r="I521">
        <v>50</v>
      </c>
      <c r="J521" s="1">
        <v>-50000</v>
      </c>
      <c r="K521" t="s">
        <v>26</v>
      </c>
      <c r="L521" s="1">
        <v>-50000</v>
      </c>
      <c r="M521" t="s">
        <v>26</v>
      </c>
      <c r="Q521" t="s">
        <v>27</v>
      </c>
      <c r="R521" t="s">
        <v>461</v>
      </c>
      <c r="S521" t="s">
        <v>45</v>
      </c>
      <c r="T521" t="s">
        <v>463</v>
      </c>
      <c r="X521" t="s">
        <v>43</v>
      </c>
      <c r="Y521">
        <v>1557224</v>
      </c>
      <c r="Z521">
        <v>20250806</v>
      </c>
    </row>
    <row r="522" spans="3:26" x14ac:dyDescent="0.25">
      <c r="C522">
        <v>10000001</v>
      </c>
      <c r="D522" t="s">
        <v>453</v>
      </c>
      <c r="F522">
        <v>12006567</v>
      </c>
      <c r="H522" t="s">
        <v>453</v>
      </c>
      <c r="I522">
        <v>50</v>
      </c>
      <c r="J522" s="1">
        <v>-50000</v>
      </c>
      <c r="K522" t="s">
        <v>26</v>
      </c>
      <c r="L522" s="1">
        <v>-50000</v>
      </c>
      <c r="M522" t="s">
        <v>26</v>
      </c>
      <c r="Q522" t="s">
        <v>27</v>
      </c>
      <c r="R522" t="s">
        <v>461</v>
      </c>
      <c r="S522" t="s">
        <v>45</v>
      </c>
      <c r="T522" t="s">
        <v>464</v>
      </c>
      <c r="X522" t="s">
        <v>43</v>
      </c>
      <c r="Y522">
        <v>1557224</v>
      </c>
      <c r="Z522">
        <v>20250806</v>
      </c>
    </row>
    <row r="523" spans="3:26" x14ac:dyDescent="0.25">
      <c r="C523">
        <v>10000001</v>
      </c>
      <c r="D523" t="s">
        <v>453</v>
      </c>
      <c r="F523">
        <v>12006568</v>
      </c>
      <c r="H523" t="s">
        <v>453</v>
      </c>
      <c r="I523">
        <v>50</v>
      </c>
      <c r="J523" s="1">
        <v>-50000</v>
      </c>
      <c r="K523" t="s">
        <v>26</v>
      </c>
      <c r="L523" s="1">
        <v>-50000</v>
      </c>
      <c r="M523" t="s">
        <v>26</v>
      </c>
      <c r="Q523" t="s">
        <v>27</v>
      </c>
      <c r="R523" t="s">
        <v>461</v>
      </c>
      <c r="S523" t="s">
        <v>45</v>
      </c>
      <c r="T523" t="s">
        <v>465</v>
      </c>
      <c r="X523" t="s">
        <v>43</v>
      </c>
      <c r="Y523">
        <v>1557224</v>
      </c>
      <c r="Z523">
        <v>20250806</v>
      </c>
    </row>
    <row r="524" spans="3:26" x14ac:dyDescent="0.25">
      <c r="C524">
        <v>10000001</v>
      </c>
      <c r="D524" t="s">
        <v>453</v>
      </c>
      <c r="F524">
        <v>12006569</v>
      </c>
      <c r="H524" t="s">
        <v>453</v>
      </c>
      <c r="I524">
        <v>50</v>
      </c>
      <c r="J524" s="1">
        <v>-50000</v>
      </c>
      <c r="K524" t="s">
        <v>26</v>
      </c>
      <c r="L524" s="1">
        <v>-50000</v>
      </c>
      <c r="M524" t="s">
        <v>26</v>
      </c>
      <c r="Q524" t="s">
        <v>27</v>
      </c>
      <c r="R524" t="s">
        <v>461</v>
      </c>
      <c r="S524" t="s">
        <v>45</v>
      </c>
      <c r="T524" t="s">
        <v>466</v>
      </c>
      <c r="X524" t="s">
        <v>43</v>
      </c>
      <c r="Y524">
        <v>1557224</v>
      </c>
      <c r="Z524">
        <v>20250806</v>
      </c>
    </row>
    <row r="525" spans="3:26" x14ac:dyDescent="0.25">
      <c r="C525">
        <v>10000001</v>
      </c>
      <c r="D525" t="s">
        <v>453</v>
      </c>
      <c r="F525">
        <v>12006570</v>
      </c>
      <c r="H525" t="s">
        <v>453</v>
      </c>
      <c r="I525">
        <v>50</v>
      </c>
      <c r="J525" s="1">
        <v>-50000</v>
      </c>
      <c r="K525" t="s">
        <v>26</v>
      </c>
      <c r="L525" s="1">
        <v>-50000</v>
      </c>
      <c r="M525" t="s">
        <v>26</v>
      </c>
      <c r="Q525" t="s">
        <v>27</v>
      </c>
      <c r="R525" t="s">
        <v>461</v>
      </c>
      <c r="S525" t="s">
        <v>45</v>
      </c>
      <c r="T525" t="s">
        <v>467</v>
      </c>
      <c r="X525" t="s">
        <v>43</v>
      </c>
      <c r="Y525">
        <v>1557224</v>
      </c>
      <c r="Z525">
        <v>20250806</v>
      </c>
    </row>
    <row r="526" spans="3:26" x14ac:dyDescent="0.25">
      <c r="C526">
        <v>10000001</v>
      </c>
      <c r="D526" t="s">
        <v>453</v>
      </c>
      <c r="F526">
        <v>12006571</v>
      </c>
      <c r="H526" t="s">
        <v>453</v>
      </c>
      <c r="I526">
        <v>50</v>
      </c>
      <c r="J526" s="1">
        <v>-50000</v>
      </c>
      <c r="K526" t="s">
        <v>26</v>
      </c>
      <c r="L526" s="1">
        <v>-50000</v>
      </c>
      <c r="M526" t="s">
        <v>26</v>
      </c>
      <c r="Q526" t="s">
        <v>27</v>
      </c>
      <c r="R526" t="s">
        <v>461</v>
      </c>
      <c r="S526" t="s">
        <v>45</v>
      </c>
      <c r="T526" t="s">
        <v>468</v>
      </c>
      <c r="X526" t="s">
        <v>43</v>
      </c>
      <c r="Y526">
        <v>1557224</v>
      </c>
      <c r="Z526">
        <v>20250806</v>
      </c>
    </row>
    <row r="527" spans="3:26" x14ac:dyDescent="0.25">
      <c r="C527">
        <v>10000001</v>
      </c>
      <c r="D527" t="s">
        <v>453</v>
      </c>
      <c r="F527">
        <v>12006572</v>
      </c>
      <c r="H527" t="s">
        <v>453</v>
      </c>
      <c r="I527">
        <v>50</v>
      </c>
      <c r="J527" s="1">
        <v>-890000</v>
      </c>
      <c r="K527" t="s">
        <v>26</v>
      </c>
      <c r="L527" s="1">
        <v>-890000</v>
      </c>
      <c r="M527" t="s">
        <v>26</v>
      </c>
      <c r="Q527" t="s">
        <v>27</v>
      </c>
      <c r="R527" t="s">
        <v>469</v>
      </c>
      <c r="S527" t="s">
        <v>59</v>
      </c>
      <c r="T527" t="s">
        <v>470</v>
      </c>
      <c r="X527" t="s">
        <v>43</v>
      </c>
      <c r="Y527">
        <v>1557224</v>
      </c>
      <c r="Z527">
        <v>20250806</v>
      </c>
    </row>
    <row r="528" spans="3:26" x14ac:dyDescent="0.25">
      <c r="C528">
        <v>10000001</v>
      </c>
      <c r="D528" t="s">
        <v>453</v>
      </c>
      <c r="F528">
        <v>12006573</v>
      </c>
      <c r="H528" t="s">
        <v>453</v>
      </c>
      <c r="I528">
        <v>50</v>
      </c>
      <c r="J528" s="1">
        <v>-580000</v>
      </c>
      <c r="K528" t="s">
        <v>26</v>
      </c>
      <c r="L528" s="1">
        <v>-580000</v>
      </c>
      <c r="M528" t="s">
        <v>26</v>
      </c>
      <c r="Q528" t="s">
        <v>27</v>
      </c>
      <c r="R528" t="s">
        <v>471</v>
      </c>
      <c r="S528" t="s">
        <v>96</v>
      </c>
      <c r="T528" t="s">
        <v>472</v>
      </c>
      <c r="X528" t="s">
        <v>43</v>
      </c>
      <c r="Y528">
        <v>1557224</v>
      </c>
      <c r="Z528">
        <v>20250806</v>
      </c>
    </row>
    <row r="529" spans="3:26" x14ac:dyDescent="0.25">
      <c r="C529">
        <v>10000001</v>
      </c>
      <c r="D529" t="s">
        <v>453</v>
      </c>
      <c r="F529">
        <v>12006574</v>
      </c>
      <c r="H529" t="s">
        <v>453</v>
      </c>
      <c r="I529">
        <v>50</v>
      </c>
      <c r="J529" s="1">
        <v>-415000</v>
      </c>
      <c r="K529" t="s">
        <v>26</v>
      </c>
      <c r="L529" s="1">
        <v>-415000</v>
      </c>
      <c r="M529" t="s">
        <v>26</v>
      </c>
      <c r="Q529" t="s">
        <v>27</v>
      </c>
      <c r="R529" t="s">
        <v>471</v>
      </c>
      <c r="S529" t="s">
        <v>67</v>
      </c>
      <c r="T529" t="s">
        <v>473</v>
      </c>
      <c r="X529" t="s">
        <v>43</v>
      </c>
      <c r="Y529">
        <v>1557224</v>
      </c>
      <c r="Z529">
        <v>20250806</v>
      </c>
    </row>
    <row r="530" spans="3:26" x14ac:dyDescent="0.25">
      <c r="C530">
        <v>10000001</v>
      </c>
      <c r="D530" t="s">
        <v>453</v>
      </c>
      <c r="F530">
        <v>12006575</v>
      </c>
      <c r="H530" t="s">
        <v>453</v>
      </c>
      <c r="I530">
        <v>50</v>
      </c>
      <c r="J530" s="1">
        <v>-57800</v>
      </c>
      <c r="K530" t="s">
        <v>26</v>
      </c>
      <c r="L530" s="1">
        <v>-57800</v>
      </c>
      <c r="M530" t="s">
        <v>26</v>
      </c>
      <c r="Q530" t="s">
        <v>27</v>
      </c>
      <c r="R530" t="s">
        <v>474</v>
      </c>
      <c r="S530" t="s">
        <v>193</v>
      </c>
      <c r="T530" t="s">
        <v>475</v>
      </c>
      <c r="X530" t="s">
        <v>43</v>
      </c>
      <c r="Y530">
        <v>1557224</v>
      </c>
      <c r="Z530">
        <v>20250806</v>
      </c>
    </row>
    <row r="531" spans="3:26" x14ac:dyDescent="0.25">
      <c r="C531">
        <v>10000001</v>
      </c>
      <c r="D531" t="s">
        <v>476</v>
      </c>
      <c r="F531">
        <v>12006576</v>
      </c>
      <c r="H531" t="s">
        <v>476</v>
      </c>
      <c r="I531">
        <v>50</v>
      </c>
      <c r="J531" s="1">
        <v>-50000</v>
      </c>
      <c r="K531" t="s">
        <v>26</v>
      </c>
      <c r="L531" s="1">
        <v>-50000</v>
      </c>
      <c r="M531" t="s">
        <v>26</v>
      </c>
      <c r="Q531" t="s">
        <v>27</v>
      </c>
      <c r="R531" t="s">
        <v>477</v>
      </c>
      <c r="S531" t="s">
        <v>45</v>
      </c>
      <c r="T531" t="s">
        <v>478</v>
      </c>
      <c r="X531" t="s">
        <v>43</v>
      </c>
      <c r="Y531">
        <v>1557224</v>
      </c>
      <c r="Z531">
        <v>20250813</v>
      </c>
    </row>
    <row r="532" spans="3:26" x14ac:dyDescent="0.25">
      <c r="C532">
        <v>10000001</v>
      </c>
      <c r="D532" t="s">
        <v>476</v>
      </c>
      <c r="F532">
        <v>12006577</v>
      </c>
      <c r="H532" t="s">
        <v>476</v>
      </c>
      <c r="I532">
        <v>50</v>
      </c>
      <c r="J532" s="1">
        <v>-50000</v>
      </c>
      <c r="K532" t="s">
        <v>26</v>
      </c>
      <c r="L532" s="1">
        <v>-50000</v>
      </c>
      <c r="M532" t="s">
        <v>26</v>
      </c>
      <c r="Q532" t="s">
        <v>27</v>
      </c>
      <c r="R532" t="s">
        <v>477</v>
      </c>
      <c r="S532" t="s">
        <v>45</v>
      </c>
      <c r="T532" t="s">
        <v>479</v>
      </c>
      <c r="X532" t="s">
        <v>43</v>
      </c>
      <c r="Y532">
        <v>1557224</v>
      </c>
      <c r="Z532">
        <v>20250813</v>
      </c>
    </row>
    <row r="533" spans="3:26" x14ac:dyDescent="0.25">
      <c r="C533">
        <v>10000001</v>
      </c>
      <c r="D533" t="s">
        <v>476</v>
      </c>
      <c r="F533">
        <v>12006578</v>
      </c>
      <c r="H533" t="s">
        <v>476</v>
      </c>
      <c r="I533">
        <v>50</v>
      </c>
      <c r="J533" s="1">
        <v>-50000</v>
      </c>
      <c r="K533" t="s">
        <v>26</v>
      </c>
      <c r="L533" s="1">
        <v>-50000</v>
      </c>
      <c r="M533" t="s">
        <v>26</v>
      </c>
      <c r="Q533" t="s">
        <v>27</v>
      </c>
      <c r="R533" t="s">
        <v>477</v>
      </c>
      <c r="S533" t="s">
        <v>45</v>
      </c>
      <c r="T533" t="s">
        <v>480</v>
      </c>
      <c r="X533" t="s">
        <v>43</v>
      </c>
      <c r="Y533">
        <v>1557224</v>
      </c>
      <c r="Z533">
        <v>20250813</v>
      </c>
    </row>
    <row r="534" spans="3:26" x14ac:dyDescent="0.25">
      <c r="C534">
        <v>10000001</v>
      </c>
      <c r="D534" t="s">
        <v>476</v>
      </c>
      <c r="F534">
        <v>12006579</v>
      </c>
      <c r="H534" t="s">
        <v>476</v>
      </c>
      <c r="I534">
        <v>50</v>
      </c>
      <c r="J534" s="1">
        <v>-50000</v>
      </c>
      <c r="K534" t="s">
        <v>26</v>
      </c>
      <c r="L534" s="1">
        <v>-50000</v>
      </c>
      <c r="M534" t="s">
        <v>26</v>
      </c>
      <c r="Q534" t="s">
        <v>27</v>
      </c>
      <c r="R534" t="s">
        <v>477</v>
      </c>
      <c r="S534" t="s">
        <v>45</v>
      </c>
      <c r="T534" t="s">
        <v>481</v>
      </c>
      <c r="X534" t="s">
        <v>43</v>
      </c>
      <c r="Y534">
        <v>1557224</v>
      </c>
      <c r="Z534">
        <v>20250813</v>
      </c>
    </row>
    <row r="535" spans="3:26" x14ac:dyDescent="0.25">
      <c r="C535">
        <v>10000001</v>
      </c>
      <c r="D535" t="s">
        <v>476</v>
      </c>
      <c r="F535">
        <v>12006580</v>
      </c>
      <c r="H535" t="s">
        <v>476</v>
      </c>
      <c r="I535">
        <v>50</v>
      </c>
      <c r="J535" s="1">
        <v>-50000</v>
      </c>
      <c r="K535" t="s">
        <v>26</v>
      </c>
      <c r="L535" s="1">
        <v>-50000</v>
      </c>
      <c r="M535" t="s">
        <v>26</v>
      </c>
      <c r="Q535" t="s">
        <v>27</v>
      </c>
      <c r="R535" t="s">
        <v>477</v>
      </c>
      <c r="S535" t="s">
        <v>45</v>
      </c>
      <c r="T535" t="s">
        <v>482</v>
      </c>
      <c r="X535" t="s">
        <v>43</v>
      </c>
      <c r="Y535">
        <v>1557224</v>
      </c>
      <c r="Z535">
        <v>20250813</v>
      </c>
    </row>
    <row r="536" spans="3:26" x14ac:dyDescent="0.25">
      <c r="C536">
        <v>10000001</v>
      </c>
      <c r="D536" t="s">
        <v>476</v>
      </c>
      <c r="F536">
        <v>12006581</v>
      </c>
      <c r="H536" t="s">
        <v>476</v>
      </c>
      <c r="I536">
        <v>50</v>
      </c>
      <c r="J536" s="1">
        <v>-50000</v>
      </c>
      <c r="K536" t="s">
        <v>26</v>
      </c>
      <c r="L536" s="1">
        <v>-50000</v>
      </c>
      <c r="M536" t="s">
        <v>26</v>
      </c>
      <c r="Q536" t="s">
        <v>27</v>
      </c>
      <c r="R536" t="s">
        <v>477</v>
      </c>
      <c r="S536" t="s">
        <v>45</v>
      </c>
      <c r="T536" t="s">
        <v>483</v>
      </c>
      <c r="X536" t="s">
        <v>43</v>
      </c>
      <c r="Y536">
        <v>1557224</v>
      </c>
      <c r="Z536">
        <v>20250813</v>
      </c>
    </row>
    <row r="537" spans="3:26" x14ac:dyDescent="0.25">
      <c r="C537">
        <v>10000001</v>
      </c>
      <c r="D537" t="s">
        <v>476</v>
      </c>
      <c r="F537">
        <v>12006582</v>
      </c>
      <c r="H537" t="s">
        <v>476</v>
      </c>
      <c r="I537">
        <v>50</v>
      </c>
      <c r="J537" s="1">
        <v>-50000</v>
      </c>
      <c r="K537" t="s">
        <v>26</v>
      </c>
      <c r="L537" s="1">
        <v>-50000</v>
      </c>
      <c r="M537" t="s">
        <v>26</v>
      </c>
      <c r="Q537" t="s">
        <v>27</v>
      </c>
      <c r="R537" t="s">
        <v>477</v>
      </c>
      <c r="S537" t="s">
        <v>45</v>
      </c>
      <c r="T537" t="s">
        <v>484</v>
      </c>
      <c r="X537" t="s">
        <v>43</v>
      </c>
      <c r="Y537">
        <v>1557224</v>
      </c>
      <c r="Z537">
        <v>20250813</v>
      </c>
    </row>
    <row r="538" spans="3:26" x14ac:dyDescent="0.25">
      <c r="C538">
        <v>10000001</v>
      </c>
      <c r="D538" t="s">
        <v>476</v>
      </c>
      <c r="F538">
        <v>12006583</v>
      </c>
      <c r="H538" t="s">
        <v>476</v>
      </c>
      <c r="I538">
        <v>50</v>
      </c>
      <c r="J538" s="1">
        <v>-520000</v>
      </c>
      <c r="K538" t="s">
        <v>26</v>
      </c>
      <c r="L538" s="1">
        <v>-520000</v>
      </c>
      <c r="M538" t="s">
        <v>26</v>
      </c>
      <c r="Q538" t="s">
        <v>27</v>
      </c>
      <c r="R538" t="s">
        <v>485</v>
      </c>
      <c r="S538" t="s">
        <v>57</v>
      </c>
      <c r="T538" t="s">
        <v>179</v>
      </c>
      <c r="X538" t="s">
        <v>43</v>
      </c>
      <c r="Y538">
        <v>1557224</v>
      </c>
      <c r="Z538">
        <v>20250813</v>
      </c>
    </row>
    <row r="539" spans="3:26" x14ac:dyDescent="0.25">
      <c r="C539">
        <v>10000001</v>
      </c>
      <c r="D539" t="s">
        <v>476</v>
      </c>
      <c r="F539">
        <v>12006584</v>
      </c>
      <c r="H539" t="s">
        <v>476</v>
      </c>
      <c r="I539">
        <v>50</v>
      </c>
      <c r="J539" s="1">
        <v>-321000</v>
      </c>
      <c r="K539" t="s">
        <v>26</v>
      </c>
      <c r="L539" s="1">
        <v>-321000</v>
      </c>
      <c r="M539" t="s">
        <v>26</v>
      </c>
      <c r="Q539" t="s">
        <v>27</v>
      </c>
      <c r="R539" t="s">
        <v>486</v>
      </c>
      <c r="S539" t="s">
        <v>57</v>
      </c>
      <c r="T539" t="s">
        <v>181</v>
      </c>
      <c r="X539" t="s">
        <v>43</v>
      </c>
      <c r="Y539">
        <v>1557224</v>
      </c>
      <c r="Z539">
        <v>20250813</v>
      </c>
    </row>
    <row r="540" spans="3:26" x14ac:dyDescent="0.25">
      <c r="C540">
        <v>10000001</v>
      </c>
      <c r="D540" t="s">
        <v>476</v>
      </c>
      <c r="F540">
        <v>12006585</v>
      </c>
      <c r="H540" t="s">
        <v>476</v>
      </c>
      <c r="I540">
        <v>50</v>
      </c>
      <c r="J540" s="1">
        <v>-50000</v>
      </c>
      <c r="K540" t="s">
        <v>26</v>
      </c>
      <c r="L540" s="1">
        <v>-50000</v>
      </c>
      <c r="M540" t="s">
        <v>26</v>
      </c>
      <c r="Q540" t="s">
        <v>27</v>
      </c>
      <c r="R540" t="s">
        <v>487</v>
      </c>
      <c r="S540" t="s">
        <v>45</v>
      </c>
      <c r="T540" t="s">
        <v>488</v>
      </c>
      <c r="X540" t="s">
        <v>43</v>
      </c>
      <c r="Y540">
        <v>1557224</v>
      </c>
      <c r="Z540">
        <v>20250813</v>
      </c>
    </row>
    <row r="541" spans="3:26" x14ac:dyDescent="0.25">
      <c r="C541">
        <v>10000001</v>
      </c>
      <c r="D541" t="s">
        <v>476</v>
      </c>
      <c r="F541">
        <v>12006586</v>
      </c>
      <c r="H541" t="s">
        <v>476</v>
      </c>
      <c r="I541">
        <v>50</v>
      </c>
      <c r="J541" s="1">
        <v>-50000</v>
      </c>
      <c r="K541" t="s">
        <v>26</v>
      </c>
      <c r="L541" s="1">
        <v>-50000</v>
      </c>
      <c r="M541" t="s">
        <v>26</v>
      </c>
      <c r="Q541" t="s">
        <v>27</v>
      </c>
      <c r="R541" t="s">
        <v>487</v>
      </c>
      <c r="S541" t="s">
        <v>45</v>
      </c>
      <c r="T541" t="s">
        <v>489</v>
      </c>
      <c r="X541" t="s">
        <v>43</v>
      </c>
      <c r="Y541">
        <v>1557224</v>
      </c>
      <c r="Z541">
        <v>20250813</v>
      </c>
    </row>
    <row r="542" spans="3:26" x14ac:dyDescent="0.25">
      <c r="C542">
        <v>10000001</v>
      </c>
      <c r="D542" t="s">
        <v>476</v>
      </c>
      <c r="F542">
        <v>12006587</v>
      </c>
      <c r="H542" t="s">
        <v>476</v>
      </c>
      <c r="I542">
        <v>50</v>
      </c>
      <c r="J542" s="1">
        <v>-50000</v>
      </c>
      <c r="K542" t="s">
        <v>26</v>
      </c>
      <c r="L542" s="1">
        <v>-50000</v>
      </c>
      <c r="M542" t="s">
        <v>26</v>
      </c>
      <c r="Q542" t="s">
        <v>27</v>
      </c>
      <c r="R542" t="s">
        <v>487</v>
      </c>
      <c r="S542" t="s">
        <v>45</v>
      </c>
      <c r="T542" t="s">
        <v>490</v>
      </c>
      <c r="X542" t="s">
        <v>43</v>
      </c>
      <c r="Y542">
        <v>1557224</v>
      </c>
      <c r="Z542">
        <v>20250813</v>
      </c>
    </row>
    <row r="543" spans="3:26" x14ac:dyDescent="0.25">
      <c r="C543">
        <v>10000001</v>
      </c>
      <c r="D543" t="s">
        <v>476</v>
      </c>
      <c r="F543">
        <v>12006588</v>
      </c>
      <c r="H543" t="s">
        <v>476</v>
      </c>
      <c r="I543">
        <v>50</v>
      </c>
      <c r="J543" s="1">
        <v>-601500</v>
      </c>
      <c r="K543" t="s">
        <v>26</v>
      </c>
      <c r="L543" s="1">
        <v>-601500</v>
      </c>
      <c r="M543" t="s">
        <v>26</v>
      </c>
      <c r="Q543" t="s">
        <v>27</v>
      </c>
      <c r="R543" t="s">
        <v>491</v>
      </c>
      <c r="S543" t="s">
        <v>126</v>
      </c>
      <c r="T543" t="s">
        <v>492</v>
      </c>
      <c r="X543" t="s">
        <v>43</v>
      </c>
      <c r="Y543">
        <v>1557224</v>
      </c>
      <c r="Z543">
        <v>20250813</v>
      </c>
    </row>
    <row r="544" spans="3:26" x14ac:dyDescent="0.25">
      <c r="C544">
        <v>10000001</v>
      </c>
      <c r="D544" t="s">
        <v>476</v>
      </c>
      <c r="F544">
        <v>12006589</v>
      </c>
      <c r="H544" t="s">
        <v>476</v>
      </c>
      <c r="I544">
        <v>50</v>
      </c>
      <c r="J544" s="1">
        <v>-347000</v>
      </c>
      <c r="K544" t="s">
        <v>26</v>
      </c>
      <c r="L544" s="1">
        <v>-347000</v>
      </c>
      <c r="M544" t="s">
        <v>26</v>
      </c>
      <c r="Q544" t="s">
        <v>27</v>
      </c>
      <c r="R544" t="s">
        <v>493</v>
      </c>
      <c r="S544" t="s">
        <v>64</v>
      </c>
      <c r="T544" t="s">
        <v>494</v>
      </c>
      <c r="X544" t="s">
        <v>43</v>
      </c>
      <c r="Y544">
        <v>1557224</v>
      </c>
      <c r="Z544">
        <v>20250813</v>
      </c>
    </row>
    <row r="545" spans="3:26" x14ac:dyDescent="0.25">
      <c r="C545">
        <v>10000001</v>
      </c>
      <c r="D545" t="s">
        <v>476</v>
      </c>
      <c r="F545">
        <v>12006590</v>
      </c>
      <c r="H545" t="s">
        <v>476</v>
      </c>
      <c r="I545">
        <v>50</v>
      </c>
      <c r="J545" s="1">
        <v>-165000</v>
      </c>
      <c r="K545" t="s">
        <v>26</v>
      </c>
      <c r="L545" s="1">
        <v>-165000</v>
      </c>
      <c r="M545" t="s">
        <v>26</v>
      </c>
      <c r="Q545" t="s">
        <v>27</v>
      </c>
      <c r="R545" t="s">
        <v>493</v>
      </c>
      <c r="S545" t="s">
        <v>126</v>
      </c>
      <c r="T545" t="s">
        <v>164</v>
      </c>
      <c r="X545" t="s">
        <v>43</v>
      </c>
      <c r="Y545">
        <v>1557224</v>
      </c>
      <c r="Z545">
        <v>20250813</v>
      </c>
    </row>
    <row r="546" spans="3:26" x14ac:dyDescent="0.25">
      <c r="C546">
        <v>10000001</v>
      </c>
      <c r="D546" t="s">
        <v>476</v>
      </c>
      <c r="F546">
        <v>12006591</v>
      </c>
      <c r="H546" t="s">
        <v>476</v>
      </c>
      <c r="I546">
        <v>50</v>
      </c>
      <c r="J546" s="1">
        <v>-50000</v>
      </c>
      <c r="K546" t="s">
        <v>26</v>
      </c>
      <c r="L546" s="1">
        <v>-50000</v>
      </c>
      <c r="M546" t="s">
        <v>26</v>
      </c>
      <c r="Q546" t="s">
        <v>27</v>
      </c>
      <c r="R546" t="s">
        <v>495</v>
      </c>
      <c r="S546" t="s">
        <v>45</v>
      </c>
      <c r="T546" t="s">
        <v>496</v>
      </c>
      <c r="X546" t="s">
        <v>43</v>
      </c>
      <c r="Y546">
        <v>1557224</v>
      </c>
      <c r="Z546">
        <v>20250813</v>
      </c>
    </row>
    <row r="547" spans="3:26" x14ac:dyDescent="0.25">
      <c r="C547">
        <v>10000001</v>
      </c>
      <c r="D547" t="s">
        <v>476</v>
      </c>
      <c r="F547">
        <v>12006592</v>
      </c>
      <c r="H547" t="s">
        <v>476</v>
      </c>
      <c r="I547">
        <v>50</v>
      </c>
      <c r="J547" s="1">
        <v>-50000</v>
      </c>
      <c r="K547" t="s">
        <v>26</v>
      </c>
      <c r="L547" s="1">
        <v>-50000</v>
      </c>
      <c r="M547" t="s">
        <v>26</v>
      </c>
      <c r="Q547" t="s">
        <v>27</v>
      </c>
      <c r="R547" t="s">
        <v>495</v>
      </c>
      <c r="S547" t="s">
        <v>45</v>
      </c>
      <c r="T547" t="s">
        <v>497</v>
      </c>
      <c r="X547" t="s">
        <v>43</v>
      </c>
      <c r="Y547">
        <v>1557224</v>
      </c>
      <c r="Z547">
        <v>20250813</v>
      </c>
    </row>
    <row r="548" spans="3:26" x14ac:dyDescent="0.25">
      <c r="C548">
        <v>10000001</v>
      </c>
      <c r="D548" t="s">
        <v>476</v>
      </c>
      <c r="F548">
        <v>12006593</v>
      </c>
      <c r="H548" t="s">
        <v>476</v>
      </c>
      <c r="I548">
        <v>50</v>
      </c>
      <c r="J548" s="1">
        <v>-145000</v>
      </c>
      <c r="K548" t="s">
        <v>26</v>
      </c>
      <c r="L548" s="1">
        <v>-145000</v>
      </c>
      <c r="M548" t="s">
        <v>26</v>
      </c>
      <c r="Q548" t="s">
        <v>27</v>
      </c>
      <c r="R548" t="s">
        <v>498</v>
      </c>
      <c r="S548" t="s">
        <v>59</v>
      </c>
      <c r="T548" t="s">
        <v>499</v>
      </c>
      <c r="X548" t="s">
        <v>43</v>
      </c>
      <c r="Y548">
        <v>1557224</v>
      </c>
      <c r="Z548">
        <v>20250813</v>
      </c>
    </row>
    <row r="549" spans="3:26" x14ac:dyDescent="0.25">
      <c r="C549">
        <v>10000001</v>
      </c>
      <c r="D549" t="s">
        <v>476</v>
      </c>
      <c r="F549">
        <v>12006594</v>
      </c>
      <c r="H549" t="s">
        <v>476</v>
      </c>
      <c r="I549">
        <v>50</v>
      </c>
      <c r="J549" s="1">
        <v>-560000</v>
      </c>
      <c r="K549" t="s">
        <v>26</v>
      </c>
      <c r="L549" s="1">
        <v>-560000</v>
      </c>
      <c r="M549" t="s">
        <v>26</v>
      </c>
      <c r="Q549" t="s">
        <v>27</v>
      </c>
      <c r="R549" t="s">
        <v>500</v>
      </c>
      <c r="S549" t="s">
        <v>96</v>
      </c>
      <c r="T549" t="s">
        <v>501</v>
      </c>
      <c r="X549" t="s">
        <v>43</v>
      </c>
      <c r="Y549">
        <v>1557224</v>
      </c>
      <c r="Z549">
        <v>20250813</v>
      </c>
    </row>
    <row r="550" spans="3:26" x14ac:dyDescent="0.25">
      <c r="C550">
        <v>10000001</v>
      </c>
      <c r="D550" t="s">
        <v>476</v>
      </c>
      <c r="F550">
        <v>12006595</v>
      </c>
      <c r="H550" t="s">
        <v>476</v>
      </c>
      <c r="I550">
        <v>50</v>
      </c>
      <c r="J550" s="1">
        <v>-440000</v>
      </c>
      <c r="K550" t="s">
        <v>26</v>
      </c>
      <c r="L550" s="1">
        <v>-440000</v>
      </c>
      <c r="M550" t="s">
        <v>26</v>
      </c>
      <c r="Q550" t="s">
        <v>27</v>
      </c>
      <c r="R550" t="s">
        <v>500</v>
      </c>
      <c r="S550" t="s">
        <v>67</v>
      </c>
      <c r="T550" t="s">
        <v>98</v>
      </c>
      <c r="X550" t="s">
        <v>43</v>
      </c>
      <c r="Y550">
        <v>1557224</v>
      </c>
      <c r="Z550">
        <v>20250813</v>
      </c>
    </row>
    <row r="551" spans="3:26" x14ac:dyDescent="0.25">
      <c r="C551">
        <v>10000001</v>
      </c>
      <c r="D551" t="s">
        <v>476</v>
      </c>
      <c r="F551">
        <v>12006596</v>
      </c>
      <c r="H551" t="s">
        <v>476</v>
      </c>
      <c r="I551">
        <v>50</v>
      </c>
      <c r="J551" s="1">
        <v>-50000</v>
      </c>
      <c r="K551" t="s">
        <v>26</v>
      </c>
      <c r="L551" s="1">
        <v>-50000</v>
      </c>
      <c r="M551" t="s">
        <v>26</v>
      </c>
      <c r="Q551" t="s">
        <v>27</v>
      </c>
      <c r="R551" t="s">
        <v>502</v>
      </c>
      <c r="S551" t="s">
        <v>45</v>
      </c>
      <c r="T551" t="s">
        <v>503</v>
      </c>
      <c r="X551" t="s">
        <v>43</v>
      </c>
      <c r="Y551">
        <v>1557224</v>
      </c>
      <c r="Z551">
        <v>20250813</v>
      </c>
    </row>
    <row r="552" spans="3:26" x14ac:dyDescent="0.25">
      <c r="C552">
        <v>10000001</v>
      </c>
      <c r="D552" t="s">
        <v>476</v>
      </c>
      <c r="F552">
        <v>12006597</v>
      </c>
      <c r="H552" t="s">
        <v>476</v>
      </c>
      <c r="I552">
        <v>50</v>
      </c>
      <c r="J552" s="1">
        <v>-50000</v>
      </c>
      <c r="K552" t="s">
        <v>26</v>
      </c>
      <c r="L552" s="1">
        <v>-50000</v>
      </c>
      <c r="M552" t="s">
        <v>26</v>
      </c>
      <c r="Q552" t="s">
        <v>27</v>
      </c>
      <c r="R552" t="s">
        <v>502</v>
      </c>
      <c r="S552" t="s">
        <v>45</v>
      </c>
      <c r="T552" t="s">
        <v>504</v>
      </c>
      <c r="X552" t="s">
        <v>43</v>
      </c>
      <c r="Y552">
        <v>1557224</v>
      </c>
      <c r="Z552">
        <v>20250813</v>
      </c>
    </row>
    <row r="553" spans="3:26" x14ac:dyDescent="0.25">
      <c r="C553">
        <v>10000001</v>
      </c>
      <c r="D553" t="s">
        <v>476</v>
      </c>
      <c r="F553">
        <v>12006598</v>
      </c>
      <c r="H553" t="s">
        <v>476</v>
      </c>
      <c r="I553">
        <v>50</v>
      </c>
      <c r="J553" s="1">
        <v>-50000</v>
      </c>
      <c r="K553" t="s">
        <v>26</v>
      </c>
      <c r="L553" s="1">
        <v>-50000</v>
      </c>
      <c r="M553" t="s">
        <v>26</v>
      </c>
      <c r="Q553" t="s">
        <v>27</v>
      </c>
      <c r="R553" t="s">
        <v>502</v>
      </c>
      <c r="S553" t="s">
        <v>45</v>
      </c>
      <c r="T553" t="s">
        <v>505</v>
      </c>
      <c r="X553" t="s">
        <v>43</v>
      </c>
      <c r="Y553">
        <v>1557224</v>
      </c>
      <c r="Z553">
        <v>20250813</v>
      </c>
    </row>
    <row r="554" spans="3:26" x14ac:dyDescent="0.25">
      <c r="C554">
        <v>10000001</v>
      </c>
      <c r="D554" t="s">
        <v>476</v>
      </c>
      <c r="F554">
        <v>12006599</v>
      </c>
      <c r="H554" t="s">
        <v>476</v>
      </c>
      <c r="I554">
        <v>50</v>
      </c>
      <c r="J554" s="1">
        <v>-500000</v>
      </c>
      <c r="K554" t="s">
        <v>26</v>
      </c>
      <c r="L554" s="1">
        <v>-500000</v>
      </c>
      <c r="M554" t="s">
        <v>26</v>
      </c>
      <c r="Q554" t="s">
        <v>27</v>
      </c>
      <c r="R554" t="s">
        <v>506</v>
      </c>
      <c r="S554" t="s">
        <v>41</v>
      </c>
      <c r="T554" t="s">
        <v>507</v>
      </c>
      <c r="X554" t="s">
        <v>43</v>
      </c>
      <c r="Y554">
        <v>1557224</v>
      </c>
      <c r="Z554">
        <v>20250813</v>
      </c>
    </row>
    <row r="555" spans="3:26" x14ac:dyDescent="0.25">
      <c r="C555">
        <v>10000001</v>
      </c>
      <c r="D555" t="s">
        <v>476</v>
      </c>
      <c r="F555">
        <v>12006600</v>
      </c>
      <c r="H555" t="s">
        <v>476</v>
      </c>
      <c r="I555">
        <v>50</v>
      </c>
      <c r="J555" s="1">
        <v>-50000</v>
      </c>
      <c r="K555" t="s">
        <v>26</v>
      </c>
      <c r="L555" s="1">
        <v>-50000</v>
      </c>
      <c r="M555" t="s">
        <v>26</v>
      </c>
      <c r="Q555" t="s">
        <v>27</v>
      </c>
      <c r="R555" t="s">
        <v>508</v>
      </c>
      <c r="S555" t="s">
        <v>45</v>
      </c>
      <c r="T555" t="s">
        <v>509</v>
      </c>
      <c r="X555" t="s">
        <v>43</v>
      </c>
      <c r="Y555">
        <v>1557224</v>
      </c>
      <c r="Z555">
        <v>20250813</v>
      </c>
    </row>
    <row r="556" spans="3:26" x14ac:dyDescent="0.25">
      <c r="C556">
        <v>10000001</v>
      </c>
      <c r="D556" t="s">
        <v>476</v>
      </c>
      <c r="F556">
        <v>12006601</v>
      </c>
      <c r="H556" t="s">
        <v>476</v>
      </c>
      <c r="I556">
        <v>50</v>
      </c>
      <c r="J556" s="1">
        <v>-50000</v>
      </c>
      <c r="K556" t="s">
        <v>26</v>
      </c>
      <c r="L556" s="1">
        <v>-50000</v>
      </c>
      <c r="M556" t="s">
        <v>26</v>
      </c>
      <c r="Q556" t="s">
        <v>27</v>
      </c>
      <c r="R556" t="s">
        <v>508</v>
      </c>
      <c r="S556" t="s">
        <v>45</v>
      </c>
      <c r="T556" t="s">
        <v>509</v>
      </c>
      <c r="X556" t="s">
        <v>43</v>
      </c>
      <c r="Y556">
        <v>1557224</v>
      </c>
      <c r="Z556">
        <v>20250813</v>
      </c>
    </row>
    <row r="557" spans="3:26" x14ac:dyDescent="0.25">
      <c r="C557">
        <v>10000001</v>
      </c>
      <c r="D557" t="s">
        <v>476</v>
      </c>
      <c r="F557">
        <v>12006602</v>
      </c>
      <c r="H557" t="s">
        <v>476</v>
      </c>
      <c r="I557">
        <v>50</v>
      </c>
      <c r="J557" s="1">
        <v>-50000</v>
      </c>
      <c r="K557" t="s">
        <v>26</v>
      </c>
      <c r="L557" s="1">
        <v>-50000</v>
      </c>
      <c r="M557" t="s">
        <v>26</v>
      </c>
      <c r="Q557" t="s">
        <v>27</v>
      </c>
      <c r="R557" t="s">
        <v>508</v>
      </c>
      <c r="S557" t="s">
        <v>45</v>
      </c>
      <c r="T557" t="s">
        <v>510</v>
      </c>
      <c r="X557" t="s">
        <v>43</v>
      </c>
      <c r="Y557">
        <v>1557224</v>
      </c>
      <c r="Z557">
        <v>20250813</v>
      </c>
    </row>
    <row r="558" spans="3:26" x14ac:dyDescent="0.25">
      <c r="C558">
        <v>10000001</v>
      </c>
      <c r="D558" t="s">
        <v>476</v>
      </c>
      <c r="F558">
        <v>12006603</v>
      </c>
      <c r="H558" t="s">
        <v>476</v>
      </c>
      <c r="I558">
        <v>50</v>
      </c>
      <c r="J558" s="1">
        <v>-860000</v>
      </c>
      <c r="K558" t="s">
        <v>26</v>
      </c>
      <c r="L558" s="1">
        <v>-860000</v>
      </c>
      <c r="M558" t="s">
        <v>26</v>
      </c>
      <c r="Q558" t="s">
        <v>27</v>
      </c>
      <c r="R558" t="s">
        <v>511</v>
      </c>
      <c r="S558" t="s">
        <v>146</v>
      </c>
      <c r="T558" t="s">
        <v>512</v>
      </c>
      <c r="X558" t="s">
        <v>43</v>
      </c>
      <c r="Y558">
        <v>1557224</v>
      </c>
      <c r="Z558">
        <v>20250813</v>
      </c>
    </row>
    <row r="559" spans="3:26" x14ac:dyDescent="0.25">
      <c r="C559">
        <v>10000001</v>
      </c>
      <c r="D559" t="s">
        <v>476</v>
      </c>
      <c r="F559">
        <v>12006604</v>
      </c>
      <c r="H559" t="s">
        <v>476</v>
      </c>
      <c r="I559">
        <v>50</v>
      </c>
      <c r="J559" s="1">
        <v>-789000</v>
      </c>
      <c r="K559" t="s">
        <v>26</v>
      </c>
      <c r="L559" s="1">
        <v>-789000</v>
      </c>
      <c r="M559" t="s">
        <v>26</v>
      </c>
      <c r="Q559" t="s">
        <v>27</v>
      </c>
      <c r="R559" t="s">
        <v>513</v>
      </c>
      <c r="S559" t="s">
        <v>146</v>
      </c>
      <c r="T559" t="s">
        <v>514</v>
      </c>
      <c r="X559" t="s">
        <v>43</v>
      </c>
      <c r="Y559">
        <v>1557224</v>
      </c>
      <c r="Z559">
        <v>20250813</v>
      </c>
    </row>
    <row r="560" spans="3:26" x14ac:dyDescent="0.25">
      <c r="C560">
        <v>10000001</v>
      </c>
      <c r="D560" t="s">
        <v>476</v>
      </c>
      <c r="F560">
        <v>12006605</v>
      </c>
      <c r="H560" t="s">
        <v>476</v>
      </c>
      <c r="I560">
        <v>50</v>
      </c>
      <c r="J560" s="1">
        <v>-800000</v>
      </c>
      <c r="K560" t="s">
        <v>26</v>
      </c>
      <c r="L560" s="1">
        <v>-800000</v>
      </c>
      <c r="M560" t="s">
        <v>26</v>
      </c>
      <c r="Q560" t="s">
        <v>27</v>
      </c>
      <c r="R560" t="s">
        <v>515</v>
      </c>
      <c r="S560" t="s">
        <v>146</v>
      </c>
      <c r="T560" t="s">
        <v>516</v>
      </c>
      <c r="X560" t="s">
        <v>43</v>
      </c>
      <c r="Y560">
        <v>1557224</v>
      </c>
      <c r="Z560">
        <v>20250813</v>
      </c>
    </row>
    <row r="561" spans="3:26" x14ac:dyDescent="0.25">
      <c r="C561">
        <v>10000001</v>
      </c>
      <c r="D561" t="s">
        <v>476</v>
      </c>
      <c r="F561">
        <v>12006606</v>
      </c>
      <c r="H561" t="s">
        <v>476</v>
      </c>
      <c r="I561">
        <v>50</v>
      </c>
      <c r="J561" s="1">
        <v>-525000</v>
      </c>
      <c r="K561" t="s">
        <v>26</v>
      </c>
      <c r="L561" s="1">
        <v>-525000</v>
      </c>
      <c r="M561" t="s">
        <v>26</v>
      </c>
      <c r="Q561" t="s">
        <v>27</v>
      </c>
      <c r="R561" t="s">
        <v>517</v>
      </c>
      <c r="S561" t="s">
        <v>146</v>
      </c>
      <c r="T561" t="s">
        <v>295</v>
      </c>
      <c r="X561" t="s">
        <v>43</v>
      </c>
      <c r="Y561">
        <v>1557224</v>
      </c>
      <c r="Z561">
        <v>20250813</v>
      </c>
    </row>
    <row r="562" spans="3:26" x14ac:dyDescent="0.25">
      <c r="C562">
        <v>10000001</v>
      </c>
      <c r="D562" t="s">
        <v>476</v>
      </c>
      <c r="F562">
        <v>12006607</v>
      </c>
      <c r="H562" t="s">
        <v>476</v>
      </c>
      <c r="I562">
        <v>50</v>
      </c>
      <c r="J562" s="1">
        <v>-90900</v>
      </c>
      <c r="K562" t="s">
        <v>26</v>
      </c>
      <c r="L562" s="1">
        <v>-90900</v>
      </c>
      <c r="M562" t="s">
        <v>26</v>
      </c>
      <c r="Q562" t="s">
        <v>27</v>
      </c>
      <c r="R562" t="s">
        <v>517</v>
      </c>
      <c r="S562" t="s">
        <v>518</v>
      </c>
      <c r="T562" t="s">
        <v>519</v>
      </c>
      <c r="X562" t="s">
        <v>43</v>
      </c>
      <c r="Y562">
        <v>1557224</v>
      </c>
      <c r="Z562">
        <v>20250813</v>
      </c>
    </row>
    <row r="563" spans="3:26" x14ac:dyDescent="0.25">
      <c r="C563">
        <v>10000001</v>
      </c>
      <c r="D563" t="s">
        <v>476</v>
      </c>
      <c r="F563">
        <v>12006608</v>
      </c>
      <c r="H563" t="s">
        <v>476</v>
      </c>
      <c r="I563">
        <v>50</v>
      </c>
      <c r="J563" s="1">
        <v>-120000</v>
      </c>
      <c r="K563" t="s">
        <v>26</v>
      </c>
      <c r="L563" s="1">
        <v>-120000</v>
      </c>
      <c r="M563" t="s">
        <v>26</v>
      </c>
      <c r="Q563" t="s">
        <v>27</v>
      </c>
      <c r="R563" t="s">
        <v>517</v>
      </c>
      <c r="S563" t="s">
        <v>126</v>
      </c>
      <c r="T563" t="s">
        <v>520</v>
      </c>
      <c r="X563" t="s">
        <v>43</v>
      </c>
      <c r="Y563">
        <v>1557224</v>
      </c>
      <c r="Z563">
        <v>20250813</v>
      </c>
    </row>
    <row r="564" spans="3:26" x14ac:dyDescent="0.25">
      <c r="C564">
        <v>10000001</v>
      </c>
      <c r="D564" t="s">
        <v>476</v>
      </c>
      <c r="F564">
        <v>12006609</v>
      </c>
      <c r="H564" t="s">
        <v>476</v>
      </c>
      <c r="I564">
        <v>50</v>
      </c>
      <c r="J564" s="1">
        <v>-87976</v>
      </c>
      <c r="K564" t="s">
        <v>26</v>
      </c>
      <c r="L564" s="1">
        <v>-87976</v>
      </c>
      <c r="M564" t="s">
        <v>26</v>
      </c>
      <c r="Q564" t="s">
        <v>27</v>
      </c>
      <c r="R564" t="s">
        <v>517</v>
      </c>
      <c r="S564" t="s">
        <v>59</v>
      </c>
      <c r="T564" t="s">
        <v>521</v>
      </c>
      <c r="X564" t="s">
        <v>43</v>
      </c>
      <c r="Y564">
        <v>1557224</v>
      </c>
      <c r="Z564">
        <v>20250813</v>
      </c>
    </row>
    <row r="565" spans="3:26" x14ac:dyDescent="0.25">
      <c r="C565">
        <v>10000001</v>
      </c>
      <c r="D565" t="s">
        <v>476</v>
      </c>
      <c r="F565">
        <v>12006610</v>
      </c>
      <c r="H565" t="s">
        <v>476</v>
      </c>
      <c r="I565">
        <v>50</v>
      </c>
      <c r="J565" s="1">
        <v>-800000</v>
      </c>
      <c r="K565" t="s">
        <v>26</v>
      </c>
      <c r="L565" s="1">
        <v>-800000</v>
      </c>
      <c r="M565" t="s">
        <v>26</v>
      </c>
      <c r="Q565" t="s">
        <v>27</v>
      </c>
      <c r="R565" t="s">
        <v>522</v>
      </c>
      <c r="S565" t="s">
        <v>146</v>
      </c>
      <c r="T565" t="s">
        <v>516</v>
      </c>
      <c r="X565" t="s">
        <v>43</v>
      </c>
      <c r="Y565">
        <v>1557224</v>
      </c>
      <c r="Z565">
        <v>20250813</v>
      </c>
    </row>
    <row r="566" spans="3:26" x14ac:dyDescent="0.25">
      <c r="C566">
        <v>10000001</v>
      </c>
      <c r="D566" t="s">
        <v>476</v>
      </c>
      <c r="F566">
        <v>12006611</v>
      </c>
      <c r="H566" t="s">
        <v>476</v>
      </c>
      <c r="I566">
        <v>50</v>
      </c>
      <c r="J566" s="1">
        <v>-960000</v>
      </c>
      <c r="K566" t="s">
        <v>26</v>
      </c>
      <c r="L566" s="1">
        <v>-960000</v>
      </c>
      <c r="M566" t="s">
        <v>26</v>
      </c>
      <c r="Q566" t="s">
        <v>27</v>
      </c>
      <c r="R566" t="s">
        <v>523</v>
      </c>
      <c r="S566" t="s">
        <v>146</v>
      </c>
      <c r="T566" t="s">
        <v>516</v>
      </c>
      <c r="X566" t="s">
        <v>43</v>
      </c>
      <c r="Y566">
        <v>1557224</v>
      </c>
      <c r="Z566">
        <v>20250813</v>
      </c>
    </row>
    <row r="567" spans="3:26" x14ac:dyDescent="0.25">
      <c r="C567">
        <v>10000001</v>
      </c>
      <c r="D567" t="s">
        <v>476</v>
      </c>
      <c r="F567">
        <v>12006612</v>
      </c>
      <c r="H567" t="s">
        <v>476</v>
      </c>
      <c r="I567">
        <v>50</v>
      </c>
      <c r="J567" s="1">
        <v>-513514</v>
      </c>
      <c r="K567" t="s">
        <v>26</v>
      </c>
      <c r="L567" s="1">
        <v>-513514</v>
      </c>
      <c r="M567" t="s">
        <v>26</v>
      </c>
      <c r="Q567" t="s">
        <v>27</v>
      </c>
      <c r="R567" t="s">
        <v>524</v>
      </c>
      <c r="S567" t="s">
        <v>59</v>
      </c>
      <c r="T567" t="s">
        <v>525</v>
      </c>
      <c r="X567" t="s">
        <v>43</v>
      </c>
      <c r="Y567">
        <v>1557224</v>
      </c>
      <c r="Z567">
        <v>20250813</v>
      </c>
    </row>
    <row r="568" spans="3:26" x14ac:dyDescent="0.25">
      <c r="C568">
        <v>10000001</v>
      </c>
      <c r="D568" t="s">
        <v>476</v>
      </c>
      <c r="F568">
        <v>12006613</v>
      </c>
      <c r="H568" t="s">
        <v>476</v>
      </c>
      <c r="I568">
        <v>50</v>
      </c>
      <c r="J568" s="1">
        <v>-850000</v>
      </c>
      <c r="K568" t="s">
        <v>26</v>
      </c>
      <c r="L568" s="1">
        <v>-850000</v>
      </c>
      <c r="M568" t="s">
        <v>26</v>
      </c>
      <c r="Q568" t="s">
        <v>27</v>
      </c>
      <c r="R568" t="s">
        <v>526</v>
      </c>
      <c r="S568" t="s">
        <v>96</v>
      </c>
      <c r="T568" t="s">
        <v>527</v>
      </c>
      <c r="X568" t="s">
        <v>43</v>
      </c>
      <c r="Y568">
        <v>1557224</v>
      </c>
      <c r="Z568">
        <v>20250813</v>
      </c>
    </row>
    <row r="569" spans="3:26" x14ac:dyDescent="0.25">
      <c r="C569">
        <v>10000001</v>
      </c>
      <c r="D569" t="s">
        <v>476</v>
      </c>
      <c r="F569">
        <v>12006614</v>
      </c>
      <c r="H569" t="s">
        <v>476</v>
      </c>
      <c r="I569">
        <v>50</v>
      </c>
      <c r="J569" s="1">
        <v>-148500</v>
      </c>
      <c r="K569" t="s">
        <v>26</v>
      </c>
      <c r="L569" s="1">
        <v>-148500</v>
      </c>
      <c r="M569" t="s">
        <v>26</v>
      </c>
      <c r="Q569" t="s">
        <v>27</v>
      </c>
      <c r="R569" t="s">
        <v>526</v>
      </c>
      <c r="S569" t="s">
        <v>67</v>
      </c>
      <c r="T569" t="s">
        <v>98</v>
      </c>
      <c r="X569" t="s">
        <v>43</v>
      </c>
      <c r="Y569">
        <v>1557224</v>
      </c>
      <c r="Z569">
        <v>20250813</v>
      </c>
    </row>
    <row r="570" spans="3:26" x14ac:dyDescent="0.25">
      <c r="C570">
        <v>10000001</v>
      </c>
      <c r="D570" t="s">
        <v>476</v>
      </c>
      <c r="F570">
        <v>12006615</v>
      </c>
      <c r="H570" t="s">
        <v>476</v>
      </c>
      <c r="I570">
        <v>50</v>
      </c>
      <c r="J570" s="1">
        <v>-290500</v>
      </c>
      <c r="K570" t="s">
        <v>26</v>
      </c>
      <c r="L570" s="1">
        <v>-290500</v>
      </c>
      <c r="M570" t="s">
        <v>26</v>
      </c>
      <c r="Q570" t="s">
        <v>27</v>
      </c>
      <c r="R570" t="s">
        <v>528</v>
      </c>
      <c r="S570" t="s">
        <v>254</v>
      </c>
      <c r="T570" t="s">
        <v>529</v>
      </c>
      <c r="X570" t="s">
        <v>43</v>
      </c>
      <c r="Y570">
        <v>1557224</v>
      </c>
      <c r="Z570">
        <v>20250813</v>
      </c>
    </row>
    <row r="571" spans="3:26" x14ac:dyDescent="0.25">
      <c r="C571">
        <v>10000001</v>
      </c>
      <c r="D571" t="s">
        <v>476</v>
      </c>
      <c r="F571">
        <v>12006616</v>
      </c>
      <c r="H571" t="s">
        <v>476</v>
      </c>
      <c r="I571">
        <v>50</v>
      </c>
      <c r="J571" s="1">
        <v>-868100</v>
      </c>
      <c r="K571" t="s">
        <v>26</v>
      </c>
      <c r="L571" s="1">
        <v>-868100</v>
      </c>
      <c r="M571" t="s">
        <v>26</v>
      </c>
      <c r="Q571" t="s">
        <v>27</v>
      </c>
      <c r="R571" t="s">
        <v>530</v>
      </c>
      <c r="S571" t="s">
        <v>334</v>
      </c>
      <c r="T571" t="s">
        <v>531</v>
      </c>
      <c r="X571" t="s">
        <v>43</v>
      </c>
      <c r="Y571">
        <v>1557224</v>
      </c>
      <c r="Z571">
        <v>20250813</v>
      </c>
    </row>
    <row r="572" spans="3:26" x14ac:dyDescent="0.25">
      <c r="C572">
        <v>10000001</v>
      </c>
      <c r="D572" t="s">
        <v>476</v>
      </c>
      <c r="F572">
        <v>12006617</v>
      </c>
      <c r="H572" t="s">
        <v>476</v>
      </c>
      <c r="I572">
        <v>50</v>
      </c>
      <c r="J572" s="1">
        <v>-50000</v>
      </c>
      <c r="K572" t="s">
        <v>26</v>
      </c>
      <c r="L572" s="1">
        <v>-50000</v>
      </c>
      <c r="M572" t="s">
        <v>26</v>
      </c>
      <c r="Q572" t="s">
        <v>27</v>
      </c>
      <c r="R572" t="s">
        <v>532</v>
      </c>
      <c r="S572" t="s">
        <v>45</v>
      </c>
      <c r="T572" t="s">
        <v>533</v>
      </c>
      <c r="X572" t="s">
        <v>43</v>
      </c>
      <c r="Y572">
        <v>1557224</v>
      </c>
      <c r="Z572">
        <v>20250813</v>
      </c>
    </row>
    <row r="573" spans="3:26" x14ac:dyDescent="0.25">
      <c r="C573">
        <v>10000001</v>
      </c>
      <c r="D573" t="s">
        <v>476</v>
      </c>
      <c r="F573">
        <v>12006618</v>
      </c>
      <c r="H573" t="s">
        <v>476</v>
      </c>
      <c r="I573">
        <v>50</v>
      </c>
      <c r="J573" s="1">
        <v>-50000</v>
      </c>
      <c r="K573" t="s">
        <v>26</v>
      </c>
      <c r="L573" s="1">
        <v>-50000</v>
      </c>
      <c r="M573" t="s">
        <v>26</v>
      </c>
      <c r="Q573" t="s">
        <v>27</v>
      </c>
      <c r="R573" t="s">
        <v>534</v>
      </c>
      <c r="S573" t="s">
        <v>45</v>
      </c>
      <c r="T573" t="s">
        <v>535</v>
      </c>
      <c r="X573" t="s">
        <v>43</v>
      </c>
      <c r="Y573">
        <v>1557224</v>
      </c>
      <c r="Z573">
        <v>20250813</v>
      </c>
    </row>
    <row r="574" spans="3:26" x14ac:dyDescent="0.25">
      <c r="C574">
        <v>10000001</v>
      </c>
      <c r="D574" t="s">
        <v>476</v>
      </c>
      <c r="F574">
        <v>12006619</v>
      </c>
      <c r="H574" t="s">
        <v>476</v>
      </c>
      <c r="I574">
        <v>50</v>
      </c>
      <c r="J574" s="1">
        <v>-50000</v>
      </c>
      <c r="K574" t="s">
        <v>26</v>
      </c>
      <c r="L574" s="1">
        <v>-50000</v>
      </c>
      <c r="M574" t="s">
        <v>26</v>
      </c>
      <c r="Q574" t="s">
        <v>27</v>
      </c>
      <c r="R574" t="s">
        <v>534</v>
      </c>
      <c r="S574" t="s">
        <v>45</v>
      </c>
      <c r="T574" t="s">
        <v>536</v>
      </c>
      <c r="X574" t="s">
        <v>43</v>
      </c>
      <c r="Y574">
        <v>1557224</v>
      </c>
      <c r="Z574">
        <v>20250813</v>
      </c>
    </row>
    <row r="575" spans="3:26" x14ac:dyDescent="0.25">
      <c r="C575">
        <v>10000001</v>
      </c>
      <c r="D575" t="s">
        <v>476</v>
      </c>
      <c r="F575">
        <v>12006620</v>
      </c>
      <c r="H575" t="s">
        <v>476</v>
      </c>
      <c r="I575">
        <v>50</v>
      </c>
      <c r="J575" s="1">
        <v>-50000</v>
      </c>
      <c r="K575" t="s">
        <v>26</v>
      </c>
      <c r="L575" s="1">
        <v>-50000</v>
      </c>
      <c r="M575" t="s">
        <v>26</v>
      </c>
      <c r="Q575" t="s">
        <v>27</v>
      </c>
      <c r="R575" t="s">
        <v>534</v>
      </c>
      <c r="S575" t="s">
        <v>45</v>
      </c>
      <c r="T575" t="s">
        <v>537</v>
      </c>
      <c r="X575" t="s">
        <v>43</v>
      </c>
      <c r="Y575">
        <v>1557224</v>
      </c>
      <c r="Z575">
        <v>20250813</v>
      </c>
    </row>
    <row r="576" spans="3:26" x14ac:dyDescent="0.25">
      <c r="C576">
        <v>10000001</v>
      </c>
      <c r="D576" t="s">
        <v>476</v>
      </c>
      <c r="F576">
        <v>12006621</v>
      </c>
      <c r="H576" t="s">
        <v>476</v>
      </c>
      <c r="I576">
        <v>50</v>
      </c>
      <c r="J576" s="1">
        <v>-50000</v>
      </c>
      <c r="K576" t="s">
        <v>26</v>
      </c>
      <c r="L576" s="1">
        <v>-50000</v>
      </c>
      <c r="M576" t="s">
        <v>26</v>
      </c>
      <c r="Q576" t="s">
        <v>27</v>
      </c>
      <c r="R576" t="s">
        <v>534</v>
      </c>
      <c r="S576" t="s">
        <v>45</v>
      </c>
      <c r="T576" t="s">
        <v>538</v>
      </c>
      <c r="X576" t="s">
        <v>43</v>
      </c>
      <c r="Y576">
        <v>1557224</v>
      </c>
      <c r="Z576">
        <v>20250813</v>
      </c>
    </row>
    <row r="577" spans="3:26" x14ac:dyDescent="0.25">
      <c r="C577">
        <v>10000001</v>
      </c>
      <c r="D577" t="s">
        <v>476</v>
      </c>
      <c r="F577">
        <v>12006622</v>
      </c>
      <c r="H577" t="s">
        <v>476</v>
      </c>
      <c r="I577">
        <v>50</v>
      </c>
      <c r="J577" s="1">
        <v>-50000</v>
      </c>
      <c r="K577" t="s">
        <v>26</v>
      </c>
      <c r="L577" s="1">
        <v>-50000</v>
      </c>
      <c r="M577" t="s">
        <v>26</v>
      </c>
      <c r="Q577" t="s">
        <v>27</v>
      </c>
      <c r="R577" t="s">
        <v>534</v>
      </c>
      <c r="S577" t="s">
        <v>45</v>
      </c>
      <c r="T577" t="s">
        <v>539</v>
      </c>
      <c r="X577" t="s">
        <v>43</v>
      </c>
      <c r="Y577">
        <v>1557224</v>
      </c>
      <c r="Z577">
        <v>20250813</v>
      </c>
    </row>
    <row r="578" spans="3:26" x14ac:dyDescent="0.25">
      <c r="C578">
        <v>10000001</v>
      </c>
      <c r="D578" t="s">
        <v>476</v>
      </c>
      <c r="F578">
        <v>12006623</v>
      </c>
      <c r="H578" t="s">
        <v>476</v>
      </c>
      <c r="I578">
        <v>50</v>
      </c>
      <c r="J578" s="1">
        <v>-50000</v>
      </c>
      <c r="K578" t="s">
        <v>26</v>
      </c>
      <c r="L578" s="1">
        <v>-50000</v>
      </c>
      <c r="M578" t="s">
        <v>26</v>
      </c>
      <c r="Q578" t="s">
        <v>27</v>
      </c>
      <c r="R578" t="s">
        <v>534</v>
      </c>
      <c r="S578" t="s">
        <v>45</v>
      </c>
      <c r="T578" t="s">
        <v>540</v>
      </c>
      <c r="X578" t="s">
        <v>43</v>
      </c>
      <c r="Y578">
        <v>1557224</v>
      </c>
      <c r="Z578">
        <v>20250813</v>
      </c>
    </row>
    <row r="579" spans="3:26" x14ac:dyDescent="0.25">
      <c r="C579">
        <v>10000001</v>
      </c>
      <c r="D579" t="s">
        <v>476</v>
      </c>
      <c r="F579">
        <v>12006624</v>
      </c>
      <c r="H579" t="s">
        <v>476</v>
      </c>
      <c r="I579">
        <v>50</v>
      </c>
      <c r="J579" s="1">
        <v>-310000</v>
      </c>
      <c r="K579" t="s">
        <v>26</v>
      </c>
      <c r="L579" s="1">
        <v>-310000</v>
      </c>
      <c r="M579" t="s">
        <v>26</v>
      </c>
      <c r="Q579" t="s">
        <v>27</v>
      </c>
      <c r="R579" t="s">
        <v>541</v>
      </c>
      <c r="S579" t="s">
        <v>57</v>
      </c>
      <c r="T579" t="s">
        <v>542</v>
      </c>
      <c r="X579" t="s">
        <v>43</v>
      </c>
      <c r="Y579">
        <v>1557224</v>
      </c>
      <c r="Z579">
        <v>20250813</v>
      </c>
    </row>
    <row r="580" spans="3:26" x14ac:dyDescent="0.25">
      <c r="C580">
        <v>10000001</v>
      </c>
      <c r="D580" t="s">
        <v>543</v>
      </c>
      <c r="F580">
        <v>12006625</v>
      </c>
      <c r="H580" t="s">
        <v>543</v>
      </c>
      <c r="I580">
        <v>50</v>
      </c>
      <c r="J580" s="1">
        <v>-50000</v>
      </c>
      <c r="K580" t="s">
        <v>26</v>
      </c>
      <c r="L580" s="1">
        <v>-50000</v>
      </c>
      <c r="M580" t="s">
        <v>26</v>
      </c>
      <c r="Q580" t="s">
        <v>27</v>
      </c>
      <c r="R580" t="s">
        <v>544</v>
      </c>
      <c r="S580" t="s">
        <v>45</v>
      </c>
      <c r="T580" t="s">
        <v>545</v>
      </c>
      <c r="X580" t="s">
        <v>43</v>
      </c>
      <c r="Y580">
        <v>1557224</v>
      </c>
      <c r="Z580">
        <v>20250814</v>
      </c>
    </row>
    <row r="581" spans="3:26" x14ac:dyDescent="0.25">
      <c r="C581">
        <v>10000001</v>
      </c>
      <c r="D581" t="s">
        <v>543</v>
      </c>
      <c r="F581">
        <v>12006626</v>
      </c>
      <c r="H581" t="s">
        <v>543</v>
      </c>
      <c r="I581">
        <v>50</v>
      </c>
      <c r="J581" s="1">
        <v>-50000</v>
      </c>
      <c r="K581" t="s">
        <v>26</v>
      </c>
      <c r="L581" s="1">
        <v>-50000</v>
      </c>
      <c r="M581" t="s">
        <v>26</v>
      </c>
      <c r="Q581" t="s">
        <v>27</v>
      </c>
      <c r="R581" t="s">
        <v>544</v>
      </c>
      <c r="S581" t="s">
        <v>45</v>
      </c>
      <c r="T581" t="s">
        <v>546</v>
      </c>
      <c r="X581" t="s">
        <v>43</v>
      </c>
      <c r="Y581">
        <v>1557224</v>
      </c>
      <c r="Z581">
        <v>20250814</v>
      </c>
    </row>
    <row r="582" spans="3:26" x14ac:dyDescent="0.25">
      <c r="C582">
        <v>10000001</v>
      </c>
      <c r="D582" t="s">
        <v>543</v>
      </c>
      <c r="F582">
        <v>12006627</v>
      </c>
      <c r="H582" t="s">
        <v>543</v>
      </c>
      <c r="I582">
        <v>50</v>
      </c>
      <c r="J582" s="1">
        <v>-50000</v>
      </c>
      <c r="K582" t="s">
        <v>26</v>
      </c>
      <c r="L582" s="1">
        <v>-50000</v>
      </c>
      <c r="M582" t="s">
        <v>26</v>
      </c>
      <c r="Q582" t="s">
        <v>27</v>
      </c>
      <c r="R582" t="s">
        <v>544</v>
      </c>
      <c r="S582" t="s">
        <v>45</v>
      </c>
      <c r="T582" t="s">
        <v>547</v>
      </c>
      <c r="X582" t="s">
        <v>43</v>
      </c>
      <c r="Y582">
        <v>1557224</v>
      </c>
      <c r="Z582">
        <v>20250814</v>
      </c>
    </row>
    <row r="583" spans="3:26" x14ac:dyDescent="0.25">
      <c r="C583">
        <v>10000001</v>
      </c>
      <c r="D583" t="s">
        <v>543</v>
      </c>
      <c r="F583">
        <v>12006628</v>
      </c>
      <c r="H583" t="s">
        <v>543</v>
      </c>
      <c r="I583">
        <v>50</v>
      </c>
      <c r="J583" s="1">
        <v>-50000</v>
      </c>
      <c r="K583" t="s">
        <v>26</v>
      </c>
      <c r="L583" s="1">
        <v>-50000</v>
      </c>
      <c r="M583" t="s">
        <v>26</v>
      </c>
      <c r="Q583" t="s">
        <v>27</v>
      </c>
      <c r="R583" t="s">
        <v>544</v>
      </c>
      <c r="S583" t="s">
        <v>45</v>
      </c>
      <c r="T583" t="s">
        <v>548</v>
      </c>
      <c r="X583" t="s">
        <v>43</v>
      </c>
      <c r="Y583">
        <v>1557224</v>
      </c>
      <c r="Z583">
        <v>20250814</v>
      </c>
    </row>
    <row r="584" spans="3:26" x14ac:dyDescent="0.25">
      <c r="C584">
        <v>10000001</v>
      </c>
      <c r="D584" t="s">
        <v>543</v>
      </c>
      <c r="F584">
        <v>12006629</v>
      </c>
      <c r="H584" t="s">
        <v>543</v>
      </c>
      <c r="I584">
        <v>50</v>
      </c>
      <c r="J584" s="1">
        <v>-50000</v>
      </c>
      <c r="K584" t="s">
        <v>26</v>
      </c>
      <c r="L584" s="1">
        <v>-50000</v>
      </c>
      <c r="M584" t="s">
        <v>26</v>
      </c>
      <c r="Q584" t="s">
        <v>27</v>
      </c>
      <c r="R584" t="s">
        <v>544</v>
      </c>
      <c r="S584" t="s">
        <v>45</v>
      </c>
      <c r="T584" t="s">
        <v>549</v>
      </c>
      <c r="X584" t="s">
        <v>43</v>
      </c>
      <c r="Y584">
        <v>1557224</v>
      </c>
      <c r="Z584">
        <v>20250814</v>
      </c>
    </row>
    <row r="585" spans="3:26" x14ac:dyDescent="0.25">
      <c r="C585">
        <v>10000001</v>
      </c>
      <c r="D585" t="s">
        <v>543</v>
      </c>
      <c r="F585">
        <v>12006630</v>
      </c>
      <c r="H585" t="s">
        <v>543</v>
      </c>
      <c r="I585">
        <v>50</v>
      </c>
      <c r="J585" s="1">
        <v>-50000</v>
      </c>
      <c r="K585" t="s">
        <v>26</v>
      </c>
      <c r="L585" s="1">
        <v>-50000</v>
      </c>
      <c r="M585" t="s">
        <v>26</v>
      </c>
      <c r="Q585" t="s">
        <v>27</v>
      </c>
      <c r="R585" t="s">
        <v>544</v>
      </c>
      <c r="S585" t="s">
        <v>45</v>
      </c>
      <c r="T585" t="s">
        <v>550</v>
      </c>
      <c r="X585" t="s">
        <v>43</v>
      </c>
      <c r="Y585">
        <v>1557224</v>
      </c>
      <c r="Z585">
        <v>20250814</v>
      </c>
    </row>
    <row r="586" spans="3:26" x14ac:dyDescent="0.25">
      <c r="C586">
        <v>10000001</v>
      </c>
      <c r="D586" t="s">
        <v>543</v>
      </c>
      <c r="F586">
        <v>12006631</v>
      </c>
      <c r="H586" t="s">
        <v>543</v>
      </c>
      <c r="I586">
        <v>50</v>
      </c>
      <c r="J586" s="1">
        <v>-50000</v>
      </c>
      <c r="K586" t="s">
        <v>26</v>
      </c>
      <c r="L586" s="1">
        <v>-50000</v>
      </c>
      <c r="M586" t="s">
        <v>26</v>
      </c>
      <c r="Q586" t="s">
        <v>27</v>
      </c>
      <c r="R586" t="s">
        <v>544</v>
      </c>
      <c r="S586" t="s">
        <v>45</v>
      </c>
      <c r="T586" t="s">
        <v>551</v>
      </c>
      <c r="X586" t="s">
        <v>43</v>
      </c>
      <c r="Y586">
        <v>1557224</v>
      </c>
      <c r="Z586">
        <v>20250814</v>
      </c>
    </row>
    <row r="587" spans="3:26" x14ac:dyDescent="0.25">
      <c r="C587">
        <v>10000001</v>
      </c>
      <c r="D587" t="s">
        <v>543</v>
      </c>
      <c r="F587">
        <v>12006632</v>
      </c>
      <c r="H587" t="s">
        <v>543</v>
      </c>
      <c r="I587">
        <v>50</v>
      </c>
      <c r="J587" s="1">
        <v>-50000</v>
      </c>
      <c r="K587" t="s">
        <v>26</v>
      </c>
      <c r="L587" s="1">
        <v>-50000</v>
      </c>
      <c r="M587" t="s">
        <v>26</v>
      </c>
      <c r="Q587" t="s">
        <v>27</v>
      </c>
      <c r="R587" t="s">
        <v>544</v>
      </c>
      <c r="S587" t="s">
        <v>45</v>
      </c>
      <c r="T587" t="s">
        <v>552</v>
      </c>
      <c r="X587" t="s">
        <v>43</v>
      </c>
      <c r="Y587">
        <v>1557224</v>
      </c>
      <c r="Z587">
        <v>20250814</v>
      </c>
    </row>
    <row r="588" spans="3:26" x14ac:dyDescent="0.25">
      <c r="C588">
        <v>10000001</v>
      </c>
      <c r="D588" t="s">
        <v>543</v>
      </c>
      <c r="F588">
        <v>12006633</v>
      </c>
      <c r="H588" t="s">
        <v>543</v>
      </c>
      <c r="I588">
        <v>50</v>
      </c>
      <c r="J588" s="1">
        <v>-50000</v>
      </c>
      <c r="K588" t="s">
        <v>26</v>
      </c>
      <c r="L588" s="1">
        <v>-50000</v>
      </c>
      <c r="M588" t="s">
        <v>26</v>
      </c>
      <c r="Q588" t="s">
        <v>27</v>
      </c>
      <c r="R588" t="s">
        <v>544</v>
      </c>
      <c r="S588" t="s">
        <v>45</v>
      </c>
      <c r="T588" t="s">
        <v>553</v>
      </c>
      <c r="X588" t="s">
        <v>43</v>
      </c>
      <c r="Y588">
        <v>1557224</v>
      </c>
      <c r="Z588">
        <v>20250814</v>
      </c>
    </row>
    <row r="589" spans="3:26" x14ac:dyDescent="0.25">
      <c r="C589">
        <v>10000001</v>
      </c>
      <c r="D589" t="s">
        <v>543</v>
      </c>
      <c r="F589">
        <v>12006634</v>
      </c>
      <c r="H589" t="s">
        <v>543</v>
      </c>
      <c r="I589">
        <v>50</v>
      </c>
      <c r="J589" s="1">
        <v>-50000</v>
      </c>
      <c r="K589" t="s">
        <v>26</v>
      </c>
      <c r="L589" s="1">
        <v>-50000</v>
      </c>
      <c r="M589" t="s">
        <v>26</v>
      </c>
      <c r="Q589" t="s">
        <v>27</v>
      </c>
      <c r="R589" t="s">
        <v>544</v>
      </c>
      <c r="S589" t="s">
        <v>45</v>
      </c>
      <c r="T589" t="s">
        <v>554</v>
      </c>
      <c r="X589" t="s">
        <v>43</v>
      </c>
      <c r="Y589">
        <v>1557224</v>
      </c>
      <c r="Z589">
        <v>20250814</v>
      </c>
    </row>
    <row r="590" spans="3:26" x14ac:dyDescent="0.25">
      <c r="C590">
        <v>10000001</v>
      </c>
      <c r="D590" t="s">
        <v>543</v>
      </c>
      <c r="F590">
        <v>12006635</v>
      </c>
      <c r="H590" t="s">
        <v>543</v>
      </c>
      <c r="I590">
        <v>50</v>
      </c>
      <c r="J590" s="1">
        <v>-50000</v>
      </c>
      <c r="K590" t="s">
        <v>26</v>
      </c>
      <c r="L590" s="1">
        <v>-50000</v>
      </c>
      <c r="M590" t="s">
        <v>26</v>
      </c>
      <c r="Q590" t="s">
        <v>27</v>
      </c>
      <c r="R590" t="s">
        <v>544</v>
      </c>
      <c r="S590" t="s">
        <v>45</v>
      </c>
      <c r="T590" t="s">
        <v>555</v>
      </c>
      <c r="X590" t="s">
        <v>43</v>
      </c>
      <c r="Y590">
        <v>1557224</v>
      </c>
      <c r="Z590">
        <v>20250814</v>
      </c>
    </row>
    <row r="591" spans="3:26" x14ac:dyDescent="0.25">
      <c r="C591">
        <v>10000001</v>
      </c>
      <c r="D591" t="s">
        <v>543</v>
      </c>
      <c r="F591">
        <v>12006636</v>
      </c>
      <c r="H591" t="s">
        <v>543</v>
      </c>
      <c r="I591">
        <v>50</v>
      </c>
      <c r="J591" s="1">
        <v>-50000</v>
      </c>
      <c r="K591" t="s">
        <v>26</v>
      </c>
      <c r="L591" s="1">
        <v>-50000</v>
      </c>
      <c r="M591" t="s">
        <v>26</v>
      </c>
      <c r="Q591" t="s">
        <v>27</v>
      </c>
      <c r="R591" t="s">
        <v>544</v>
      </c>
      <c r="S591" t="s">
        <v>259</v>
      </c>
      <c r="T591" t="s">
        <v>556</v>
      </c>
      <c r="X591" t="s">
        <v>43</v>
      </c>
      <c r="Y591">
        <v>1557224</v>
      </c>
      <c r="Z591">
        <v>20250814</v>
      </c>
    </row>
    <row r="592" spans="3:26" x14ac:dyDescent="0.25">
      <c r="C592">
        <v>10000001</v>
      </c>
      <c r="D592" t="s">
        <v>543</v>
      </c>
      <c r="F592">
        <v>12006637</v>
      </c>
      <c r="H592" t="s">
        <v>543</v>
      </c>
      <c r="I592">
        <v>50</v>
      </c>
      <c r="J592" s="1">
        <v>-13000</v>
      </c>
      <c r="K592" t="s">
        <v>26</v>
      </c>
      <c r="L592" s="1">
        <v>-13000</v>
      </c>
      <c r="M592" t="s">
        <v>26</v>
      </c>
      <c r="Q592" t="s">
        <v>27</v>
      </c>
      <c r="R592" t="s">
        <v>544</v>
      </c>
      <c r="S592" t="s">
        <v>334</v>
      </c>
      <c r="T592" t="s">
        <v>557</v>
      </c>
      <c r="X592" t="s">
        <v>43</v>
      </c>
      <c r="Y592">
        <v>1557224</v>
      </c>
      <c r="Z592">
        <v>20250814</v>
      </c>
    </row>
    <row r="593" spans="3:26" x14ac:dyDescent="0.25">
      <c r="C593">
        <v>10000001</v>
      </c>
      <c r="D593" t="s">
        <v>543</v>
      </c>
      <c r="F593">
        <v>12006638</v>
      </c>
      <c r="H593" t="s">
        <v>543</v>
      </c>
      <c r="I593">
        <v>50</v>
      </c>
      <c r="J593" s="1">
        <v>-298088</v>
      </c>
      <c r="K593" t="s">
        <v>26</v>
      </c>
      <c r="L593" s="1">
        <v>-298088</v>
      </c>
      <c r="M593" t="s">
        <v>26</v>
      </c>
      <c r="Q593" t="s">
        <v>27</v>
      </c>
      <c r="R593" t="s">
        <v>558</v>
      </c>
      <c r="S593" t="s">
        <v>59</v>
      </c>
      <c r="T593" t="s">
        <v>559</v>
      </c>
      <c r="X593" t="s">
        <v>43</v>
      </c>
      <c r="Y593">
        <v>1557224</v>
      </c>
      <c r="Z593">
        <v>20250814</v>
      </c>
    </row>
    <row r="594" spans="3:26" x14ac:dyDescent="0.25">
      <c r="C594">
        <v>10000001</v>
      </c>
      <c r="D594" t="s">
        <v>543</v>
      </c>
      <c r="F594">
        <v>12006639</v>
      </c>
      <c r="H594" t="s">
        <v>543</v>
      </c>
      <c r="I594">
        <v>50</v>
      </c>
      <c r="J594" s="1">
        <v>-50000</v>
      </c>
      <c r="K594" t="s">
        <v>26</v>
      </c>
      <c r="L594" s="1">
        <v>-50000</v>
      </c>
      <c r="M594" t="s">
        <v>26</v>
      </c>
      <c r="Q594" t="s">
        <v>27</v>
      </c>
      <c r="R594" t="s">
        <v>560</v>
      </c>
      <c r="S594" t="s">
        <v>45</v>
      </c>
      <c r="T594" t="s">
        <v>561</v>
      </c>
      <c r="X594" t="s">
        <v>43</v>
      </c>
      <c r="Y594">
        <v>1557224</v>
      </c>
      <c r="Z594">
        <v>20250814</v>
      </c>
    </row>
    <row r="595" spans="3:26" x14ac:dyDescent="0.25">
      <c r="C595">
        <v>10000001</v>
      </c>
      <c r="D595" t="s">
        <v>543</v>
      </c>
      <c r="F595">
        <v>12006640</v>
      </c>
      <c r="H595" t="s">
        <v>543</v>
      </c>
      <c r="I595">
        <v>50</v>
      </c>
      <c r="J595" s="1">
        <v>-50000</v>
      </c>
      <c r="K595" t="s">
        <v>26</v>
      </c>
      <c r="L595" s="1">
        <v>-50000</v>
      </c>
      <c r="M595" t="s">
        <v>26</v>
      </c>
      <c r="Q595" t="s">
        <v>27</v>
      </c>
      <c r="R595" t="s">
        <v>560</v>
      </c>
      <c r="S595" t="s">
        <v>45</v>
      </c>
      <c r="T595" t="s">
        <v>562</v>
      </c>
      <c r="X595" t="s">
        <v>43</v>
      </c>
      <c r="Y595">
        <v>1557224</v>
      </c>
      <c r="Z595">
        <v>20250814</v>
      </c>
    </row>
    <row r="596" spans="3:26" x14ac:dyDescent="0.25">
      <c r="C596">
        <v>10000001</v>
      </c>
      <c r="D596" t="s">
        <v>543</v>
      </c>
      <c r="F596">
        <v>12006641</v>
      </c>
      <c r="H596" t="s">
        <v>543</v>
      </c>
      <c r="I596">
        <v>50</v>
      </c>
      <c r="J596" s="1">
        <v>-50000</v>
      </c>
      <c r="K596" t="s">
        <v>26</v>
      </c>
      <c r="L596" s="1">
        <v>-50000</v>
      </c>
      <c r="M596" t="s">
        <v>26</v>
      </c>
      <c r="Q596" t="s">
        <v>27</v>
      </c>
      <c r="R596" t="s">
        <v>560</v>
      </c>
      <c r="S596" t="s">
        <v>45</v>
      </c>
      <c r="T596" t="s">
        <v>563</v>
      </c>
      <c r="X596" t="s">
        <v>43</v>
      </c>
      <c r="Y596">
        <v>1557224</v>
      </c>
      <c r="Z596">
        <v>20250814</v>
      </c>
    </row>
    <row r="597" spans="3:26" x14ac:dyDescent="0.25">
      <c r="C597">
        <v>10000001</v>
      </c>
      <c r="D597" t="s">
        <v>543</v>
      </c>
      <c r="F597">
        <v>12006642</v>
      </c>
      <c r="H597" t="s">
        <v>543</v>
      </c>
      <c r="I597">
        <v>50</v>
      </c>
      <c r="J597" s="1">
        <v>-50000</v>
      </c>
      <c r="K597" t="s">
        <v>26</v>
      </c>
      <c r="L597" s="1">
        <v>-50000</v>
      </c>
      <c r="M597" t="s">
        <v>26</v>
      </c>
      <c r="Q597" t="s">
        <v>27</v>
      </c>
      <c r="R597" t="s">
        <v>560</v>
      </c>
      <c r="S597" t="s">
        <v>45</v>
      </c>
      <c r="T597" t="s">
        <v>564</v>
      </c>
      <c r="X597" t="s">
        <v>43</v>
      </c>
      <c r="Y597">
        <v>1557224</v>
      </c>
      <c r="Z597">
        <v>20250814</v>
      </c>
    </row>
    <row r="598" spans="3:26" x14ac:dyDescent="0.25">
      <c r="C598">
        <v>10000001</v>
      </c>
      <c r="D598" t="s">
        <v>565</v>
      </c>
      <c r="F598">
        <v>12006643</v>
      </c>
      <c r="H598" t="s">
        <v>565</v>
      </c>
      <c r="I598">
        <v>50</v>
      </c>
      <c r="J598" s="1">
        <v>-816000</v>
      </c>
      <c r="K598" t="s">
        <v>26</v>
      </c>
      <c r="L598" s="1">
        <v>-816000</v>
      </c>
      <c r="M598" t="s">
        <v>26</v>
      </c>
      <c r="Q598" t="s">
        <v>27</v>
      </c>
      <c r="R598" t="s">
        <v>566</v>
      </c>
      <c r="S598" t="s">
        <v>59</v>
      </c>
      <c r="T598" t="s">
        <v>567</v>
      </c>
      <c r="X598" t="s">
        <v>43</v>
      </c>
      <c r="Y598">
        <v>1557224</v>
      </c>
      <c r="Z598">
        <v>20250815</v>
      </c>
    </row>
    <row r="599" spans="3:26" x14ac:dyDescent="0.25">
      <c r="C599">
        <v>10000001</v>
      </c>
      <c r="D599" t="s">
        <v>565</v>
      </c>
      <c r="F599">
        <v>12006644</v>
      </c>
      <c r="H599" t="s">
        <v>565</v>
      </c>
      <c r="I599">
        <v>50</v>
      </c>
      <c r="J599" s="1">
        <v>-740000</v>
      </c>
      <c r="K599" t="s">
        <v>26</v>
      </c>
      <c r="L599" s="1">
        <v>-740000</v>
      </c>
      <c r="M599" t="s">
        <v>26</v>
      </c>
      <c r="Q599" t="s">
        <v>27</v>
      </c>
      <c r="R599" t="s">
        <v>568</v>
      </c>
      <c r="S599" t="s">
        <v>96</v>
      </c>
      <c r="T599" t="s">
        <v>569</v>
      </c>
      <c r="X599" t="s">
        <v>43</v>
      </c>
      <c r="Y599">
        <v>1557224</v>
      </c>
      <c r="Z599">
        <v>20250815</v>
      </c>
    </row>
    <row r="600" spans="3:26" x14ac:dyDescent="0.25">
      <c r="C600">
        <v>10000001</v>
      </c>
      <c r="D600" t="s">
        <v>565</v>
      </c>
      <c r="F600">
        <v>12006645</v>
      </c>
      <c r="H600" t="s">
        <v>565</v>
      </c>
      <c r="I600">
        <v>50</v>
      </c>
      <c r="J600" s="1">
        <v>-260000</v>
      </c>
      <c r="K600" t="s">
        <v>26</v>
      </c>
      <c r="L600" s="1">
        <v>-260000</v>
      </c>
      <c r="M600" t="s">
        <v>26</v>
      </c>
      <c r="Q600" t="s">
        <v>27</v>
      </c>
      <c r="R600" t="s">
        <v>568</v>
      </c>
      <c r="S600" t="s">
        <v>67</v>
      </c>
      <c r="T600" t="s">
        <v>98</v>
      </c>
      <c r="X600" t="s">
        <v>43</v>
      </c>
      <c r="Y600">
        <v>1557224</v>
      </c>
      <c r="Z600">
        <v>20250815</v>
      </c>
    </row>
    <row r="601" spans="3:26" x14ac:dyDescent="0.25">
      <c r="C601">
        <v>10000001</v>
      </c>
      <c r="D601" t="s">
        <v>565</v>
      </c>
      <c r="F601">
        <v>12006646</v>
      </c>
      <c r="H601" t="s">
        <v>565</v>
      </c>
      <c r="I601">
        <v>50</v>
      </c>
      <c r="J601" s="1">
        <v>-250000</v>
      </c>
      <c r="K601" t="s">
        <v>26</v>
      </c>
      <c r="L601" s="1">
        <v>-250000</v>
      </c>
      <c r="M601" t="s">
        <v>26</v>
      </c>
      <c r="Q601" t="s">
        <v>27</v>
      </c>
      <c r="R601" t="s">
        <v>570</v>
      </c>
      <c r="S601" t="s">
        <v>45</v>
      </c>
      <c r="T601" t="s">
        <v>571</v>
      </c>
      <c r="X601" t="s">
        <v>43</v>
      </c>
      <c r="Y601">
        <v>1557224</v>
      </c>
      <c r="Z601">
        <v>20250815</v>
      </c>
    </row>
    <row r="602" spans="3:26" x14ac:dyDescent="0.25">
      <c r="C602">
        <v>10000001</v>
      </c>
      <c r="D602" t="s">
        <v>565</v>
      </c>
      <c r="F602">
        <v>12006647</v>
      </c>
      <c r="H602" t="s">
        <v>565</v>
      </c>
      <c r="I602">
        <v>50</v>
      </c>
      <c r="J602" s="1">
        <v>-250000</v>
      </c>
      <c r="K602" t="s">
        <v>26</v>
      </c>
      <c r="L602" s="1">
        <v>-250000</v>
      </c>
      <c r="M602" t="s">
        <v>26</v>
      </c>
      <c r="Q602" t="s">
        <v>27</v>
      </c>
      <c r="R602" t="s">
        <v>570</v>
      </c>
      <c r="S602" t="s">
        <v>45</v>
      </c>
      <c r="T602" t="s">
        <v>572</v>
      </c>
      <c r="X602" t="s">
        <v>43</v>
      </c>
      <c r="Y602">
        <v>1557224</v>
      </c>
      <c r="Z602">
        <v>20250815</v>
      </c>
    </row>
    <row r="603" spans="3:26" x14ac:dyDescent="0.25">
      <c r="C603">
        <v>10000001</v>
      </c>
      <c r="D603" t="s">
        <v>565</v>
      </c>
      <c r="F603">
        <v>12006648</v>
      </c>
      <c r="H603" t="s">
        <v>565</v>
      </c>
      <c r="I603">
        <v>50</v>
      </c>
      <c r="J603" s="1">
        <v>-150000</v>
      </c>
      <c r="K603" t="s">
        <v>26</v>
      </c>
      <c r="L603" s="1">
        <v>-150000</v>
      </c>
      <c r="M603" t="s">
        <v>26</v>
      </c>
      <c r="Q603" t="s">
        <v>27</v>
      </c>
      <c r="R603" t="s">
        <v>570</v>
      </c>
      <c r="S603" t="s">
        <v>45</v>
      </c>
      <c r="T603" t="s">
        <v>573</v>
      </c>
      <c r="X603" t="s">
        <v>43</v>
      </c>
      <c r="Y603">
        <v>1557224</v>
      </c>
      <c r="Z603">
        <v>20250815</v>
      </c>
    </row>
    <row r="604" spans="3:26" x14ac:dyDescent="0.25">
      <c r="C604">
        <v>10000001</v>
      </c>
      <c r="D604" t="s">
        <v>565</v>
      </c>
      <c r="F604">
        <v>12006649</v>
      </c>
      <c r="H604" t="s">
        <v>565</v>
      </c>
      <c r="I604">
        <v>50</v>
      </c>
      <c r="J604" s="1">
        <v>-200000</v>
      </c>
      <c r="K604" t="s">
        <v>26</v>
      </c>
      <c r="L604" s="1">
        <v>-200000</v>
      </c>
      <c r="M604" t="s">
        <v>26</v>
      </c>
      <c r="Q604" t="s">
        <v>27</v>
      </c>
      <c r="R604" t="s">
        <v>570</v>
      </c>
      <c r="S604" t="s">
        <v>45</v>
      </c>
      <c r="T604" t="s">
        <v>573</v>
      </c>
      <c r="X604" t="s">
        <v>43</v>
      </c>
      <c r="Y604">
        <v>1557224</v>
      </c>
      <c r="Z604">
        <v>20250815</v>
      </c>
    </row>
    <row r="605" spans="3:26" x14ac:dyDescent="0.25">
      <c r="C605">
        <v>10000001</v>
      </c>
      <c r="D605" t="s">
        <v>565</v>
      </c>
      <c r="F605">
        <v>12006650</v>
      </c>
      <c r="H605" t="s">
        <v>565</v>
      </c>
      <c r="I605">
        <v>50</v>
      </c>
      <c r="J605" s="1">
        <v>-150000</v>
      </c>
      <c r="K605" t="s">
        <v>26</v>
      </c>
      <c r="L605" s="1">
        <v>-150000</v>
      </c>
      <c r="M605" t="s">
        <v>26</v>
      </c>
      <c r="Q605" t="s">
        <v>27</v>
      </c>
      <c r="R605" t="s">
        <v>570</v>
      </c>
      <c r="S605" t="s">
        <v>45</v>
      </c>
      <c r="T605" t="s">
        <v>573</v>
      </c>
      <c r="X605" t="s">
        <v>43</v>
      </c>
      <c r="Y605">
        <v>1557224</v>
      </c>
      <c r="Z605">
        <v>20250815</v>
      </c>
    </row>
    <row r="606" spans="3:26" x14ac:dyDescent="0.25">
      <c r="C606">
        <v>10000001</v>
      </c>
      <c r="D606" t="s">
        <v>565</v>
      </c>
      <c r="F606">
        <v>12006651</v>
      </c>
      <c r="H606" t="s">
        <v>565</v>
      </c>
      <c r="I606">
        <v>50</v>
      </c>
      <c r="J606" s="1">
        <v>-972000</v>
      </c>
      <c r="K606" t="s">
        <v>26</v>
      </c>
      <c r="L606" s="1">
        <v>-972000</v>
      </c>
      <c r="M606" t="s">
        <v>26</v>
      </c>
      <c r="Q606" t="s">
        <v>27</v>
      </c>
      <c r="R606" t="s">
        <v>574</v>
      </c>
      <c r="S606" t="s">
        <v>129</v>
      </c>
      <c r="T606" t="s">
        <v>575</v>
      </c>
      <c r="X606" t="s">
        <v>43</v>
      </c>
      <c r="Y606">
        <v>1557224</v>
      </c>
      <c r="Z606">
        <v>20250815</v>
      </c>
    </row>
    <row r="607" spans="3:26" x14ac:dyDescent="0.25">
      <c r="C607">
        <v>10000001</v>
      </c>
      <c r="D607" t="s">
        <v>565</v>
      </c>
      <c r="F607">
        <v>12006652</v>
      </c>
      <c r="H607" t="s">
        <v>565</v>
      </c>
      <c r="I607">
        <v>50</v>
      </c>
      <c r="J607" s="1">
        <v>-50000</v>
      </c>
      <c r="K607" t="s">
        <v>26</v>
      </c>
      <c r="L607" s="1">
        <v>-50000</v>
      </c>
      <c r="M607" t="s">
        <v>26</v>
      </c>
      <c r="Q607" t="s">
        <v>27</v>
      </c>
      <c r="R607" t="s">
        <v>576</v>
      </c>
      <c r="S607" t="s">
        <v>45</v>
      </c>
      <c r="T607" t="s">
        <v>577</v>
      </c>
      <c r="X607" t="s">
        <v>43</v>
      </c>
      <c r="Y607">
        <v>1557224</v>
      </c>
      <c r="Z607">
        <v>20250815</v>
      </c>
    </row>
    <row r="608" spans="3:26" x14ac:dyDescent="0.25">
      <c r="C608">
        <v>10000001</v>
      </c>
      <c r="D608" t="s">
        <v>565</v>
      </c>
      <c r="F608">
        <v>12006653</v>
      </c>
      <c r="H608" t="s">
        <v>565</v>
      </c>
      <c r="I608">
        <v>50</v>
      </c>
      <c r="J608" s="1">
        <v>-50000</v>
      </c>
      <c r="K608" t="s">
        <v>26</v>
      </c>
      <c r="L608" s="1">
        <v>-50000</v>
      </c>
      <c r="M608" t="s">
        <v>26</v>
      </c>
      <c r="Q608" t="s">
        <v>27</v>
      </c>
      <c r="R608" t="s">
        <v>576</v>
      </c>
      <c r="S608" t="s">
        <v>45</v>
      </c>
      <c r="T608" t="s">
        <v>578</v>
      </c>
      <c r="X608" t="s">
        <v>43</v>
      </c>
      <c r="Y608">
        <v>1557224</v>
      </c>
      <c r="Z608">
        <v>20250815</v>
      </c>
    </row>
    <row r="609" spans="3:26" x14ac:dyDescent="0.25">
      <c r="C609">
        <v>10000001</v>
      </c>
      <c r="D609" t="s">
        <v>565</v>
      </c>
      <c r="F609">
        <v>12006654</v>
      </c>
      <c r="H609" t="s">
        <v>565</v>
      </c>
      <c r="I609">
        <v>50</v>
      </c>
      <c r="J609" s="1">
        <v>-50000</v>
      </c>
      <c r="K609" t="s">
        <v>26</v>
      </c>
      <c r="L609" s="1">
        <v>-50000</v>
      </c>
      <c r="M609" t="s">
        <v>26</v>
      </c>
      <c r="Q609" t="s">
        <v>27</v>
      </c>
      <c r="R609" t="s">
        <v>576</v>
      </c>
      <c r="S609" t="s">
        <v>45</v>
      </c>
      <c r="T609" t="s">
        <v>579</v>
      </c>
      <c r="X609" t="s">
        <v>43</v>
      </c>
      <c r="Y609">
        <v>1557224</v>
      </c>
      <c r="Z609">
        <v>20250815</v>
      </c>
    </row>
    <row r="610" spans="3:26" x14ac:dyDescent="0.25">
      <c r="C610">
        <v>10000001</v>
      </c>
      <c r="D610" t="s">
        <v>565</v>
      </c>
      <c r="F610">
        <v>12006655</v>
      </c>
      <c r="H610" t="s">
        <v>565</v>
      </c>
      <c r="I610">
        <v>50</v>
      </c>
      <c r="J610" s="1">
        <v>-800000</v>
      </c>
      <c r="K610" t="s">
        <v>26</v>
      </c>
      <c r="L610" s="1">
        <v>-800000</v>
      </c>
      <c r="M610" t="s">
        <v>26</v>
      </c>
      <c r="Q610" t="s">
        <v>27</v>
      </c>
      <c r="R610" t="s">
        <v>580</v>
      </c>
      <c r="S610" t="s">
        <v>254</v>
      </c>
      <c r="T610" t="s">
        <v>581</v>
      </c>
      <c r="X610" t="s">
        <v>43</v>
      </c>
      <c r="Y610">
        <v>1557224</v>
      </c>
      <c r="Z610">
        <v>20250815</v>
      </c>
    </row>
    <row r="611" spans="3:26" x14ac:dyDescent="0.25">
      <c r="C611">
        <v>10000001</v>
      </c>
      <c r="D611" t="s">
        <v>582</v>
      </c>
      <c r="F611">
        <v>12006656</v>
      </c>
      <c r="H611" t="s">
        <v>582</v>
      </c>
      <c r="I611">
        <v>50</v>
      </c>
      <c r="J611" s="1">
        <v>-750000</v>
      </c>
      <c r="K611" t="s">
        <v>26</v>
      </c>
      <c r="L611" s="1">
        <v>-750000</v>
      </c>
      <c r="M611" t="s">
        <v>26</v>
      </c>
      <c r="Q611" t="s">
        <v>27</v>
      </c>
      <c r="R611" t="s">
        <v>583</v>
      </c>
      <c r="S611" t="s">
        <v>96</v>
      </c>
      <c r="T611" t="s">
        <v>584</v>
      </c>
      <c r="X611" t="s">
        <v>43</v>
      </c>
      <c r="Y611">
        <v>1557224</v>
      </c>
      <c r="Z611">
        <v>20250819</v>
      </c>
    </row>
    <row r="612" spans="3:26" x14ac:dyDescent="0.25">
      <c r="C612">
        <v>10000001</v>
      </c>
      <c r="D612" t="s">
        <v>582</v>
      </c>
      <c r="F612">
        <v>12006657</v>
      </c>
      <c r="H612" t="s">
        <v>582</v>
      </c>
      <c r="I612">
        <v>50</v>
      </c>
      <c r="J612" s="1">
        <v>-248500</v>
      </c>
      <c r="K612" t="s">
        <v>26</v>
      </c>
      <c r="L612" s="1">
        <v>-248500</v>
      </c>
      <c r="M612" t="s">
        <v>26</v>
      </c>
      <c r="Q612" t="s">
        <v>27</v>
      </c>
      <c r="R612" t="s">
        <v>583</v>
      </c>
      <c r="S612" t="s">
        <v>67</v>
      </c>
      <c r="T612" t="s">
        <v>98</v>
      </c>
      <c r="X612" t="s">
        <v>43</v>
      </c>
      <c r="Y612">
        <v>1557224</v>
      </c>
      <c r="Z612">
        <v>20250819</v>
      </c>
    </row>
    <row r="613" spans="3:26" x14ac:dyDescent="0.25">
      <c r="C613">
        <v>10000001</v>
      </c>
      <c r="D613" t="s">
        <v>582</v>
      </c>
      <c r="F613">
        <v>12006658</v>
      </c>
      <c r="H613" t="s">
        <v>582</v>
      </c>
      <c r="I613">
        <v>50</v>
      </c>
      <c r="J613" s="1">
        <v>-428500</v>
      </c>
      <c r="K613" t="s">
        <v>26</v>
      </c>
      <c r="L613" s="1">
        <v>-428500</v>
      </c>
      <c r="M613" t="s">
        <v>26</v>
      </c>
      <c r="Q613" t="s">
        <v>27</v>
      </c>
      <c r="R613" t="s">
        <v>585</v>
      </c>
      <c r="S613" t="s">
        <v>57</v>
      </c>
      <c r="T613" t="s">
        <v>586</v>
      </c>
      <c r="X613" t="s">
        <v>43</v>
      </c>
      <c r="Y613">
        <v>1557224</v>
      </c>
      <c r="Z613">
        <v>20250819</v>
      </c>
    </row>
    <row r="614" spans="3:26" x14ac:dyDescent="0.25">
      <c r="C614">
        <v>10000001</v>
      </c>
      <c r="D614" t="s">
        <v>582</v>
      </c>
      <c r="F614">
        <v>12006659</v>
      </c>
      <c r="H614" t="s">
        <v>582</v>
      </c>
      <c r="I614">
        <v>50</v>
      </c>
      <c r="J614" s="1">
        <v>-71400</v>
      </c>
      <c r="K614" t="s">
        <v>26</v>
      </c>
      <c r="L614" s="1">
        <v>-71400</v>
      </c>
      <c r="M614" t="s">
        <v>26</v>
      </c>
      <c r="Q614" t="s">
        <v>27</v>
      </c>
      <c r="R614" t="s">
        <v>587</v>
      </c>
      <c r="S614" t="s">
        <v>64</v>
      </c>
      <c r="T614" t="s">
        <v>588</v>
      </c>
      <c r="X614" t="s">
        <v>43</v>
      </c>
      <c r="Y614">
        <v>1557224</v>
      </c>
      <c r="Z614">
        <v>20250819</v>
      </c>
    </row>
    <row r="615" spans="3:26" x14ac:dyDescent="0.25">
      <c r="C615">
        <v>10000001</v>
      </c>
      <c r="D615" t="s">
        <v>589</v>
      </c>
      <c r="F615">
        <v>12006660</v>
      </c>
      <c r="H615" t="s">
        <v>589</v>
      </c>
      <c r="I615">
        <v>50</v>
      </c>
      <c r="J615" s="1">
        <v>-440000</v>
      </c>
      <c r="K615" t="s">
        <v>26</v>
      </c>
      <c r="L615" s="1">
        <v>-440000</v>
      </c>
      <c r="M615" t="s">
        <v>26</v>
      </c>
      <c r="Q615" t="s">
        <v>27</v>
      </c>
      <c r="R615" t="s">
        <v>590</v>
      </c>
      <c r="S615" t="s">
        <v>96</v>
      </c>
      <c r="T615" t="s">
        <v>591</v>
      </c>
      <c r="X615" t="s">
        <v>43</v>
      </c>
      <c r="Y615">
        <v>1557224</v>
      </c>
      <c r="Z615">
        <v>20250820</v>
      </c>
    </row>
    <row r="616" spans="3:26" x14ac:dyDescent="0.25">
      <c r="C616">
        <v>10000001</v>
      </c>
      <c r="D616" t="s">
        <v>589</v>
      </c>
      <c r="F616">
        <v>12006661</v>
      </c>
      <c r="H616" t="s">
        <v>589</v>
      </c>
      <c r="I616">
        <v>50</v>
      </c>
      <c r="J616" s="1">
        <v>-558000</v>
      </c>
      <c r="K616" t="s">
        <v>26</v>
      </c>
      <c r="L616" s="1">
        <v>-558000</v>
      </c>
      <c r="M616" t="s">
        <v>26</v>
      </c>
      <c r="Q616" t="s">
        <v>27</v>
      </c>
      <c r="R616" t="s">
        <v>590</v>
      </c>
      <c r="S616" t="s">
        <v>67</v>
      </c>
      <c r="T616" t="s">
        <v>98</v>
      </c>
      <c r="X616" t="s">
        <v>43</v>
      </c>
      <c r="Y616">
        <v>1557224</v>
      </c>
      <c r="Z616">
        <v>20250820</v>
      </c>
    </row>
    <row r="617" spans="3:26" x14ac:dyDescent="0.25">
      <c r="C617">
        <v>10000001</v>
      </c>
      <c r="D617" t="s">
        <v>589</v>
      </c>
      <c r="F617">
        <v>12006662</v>
      </c>
      <c r="H617" t="s">
        <v>589</v>
      </c>
      <c r="I617">
        <v>50</v>
      </c>
      <c r="J617" s="1">
        <v>-95000</v>
      </c>
      <c r="K617" t="s">
        <v>26</v>
      </c>
      <c r="L617" s="1">
        <v>-95000</v>
      </c>
      <c r="M617" t="s">
        <v>26</v>
      </c>
      <c r="Q617" t="s">
        <v>27</v>
      </c>
      <c r="R617" t="s">
        <v>592</v>
      </c>
      <c r="S617" t="s">
        <v>126</v>
      </c>
      <c r="T617" t="s">
        <v>593</v>
      </c>
      <c r="X617" t="s">
        <v>43</v>
      </c>
      <c r="Y617">
        <v>1557224</v>
      </c>
      <c r="Z617">
        <v>20250820</v>
      </c>
    </row>
    <row r="618" spans="3:26" x14ac:dyDescent="0.25">
      <c r="C618">
        <v>10000001</v>
      </c>
      <c r="D618" t="s">
        <v>589</v>
      </c>
      <c r="F618">
        <v>12006663</v>
      </c>
      <c r="H618" t="s">
        <v>589</v>
      </c>
      <c r="I618">
        <v>50</v>
      </c>
      <c r="J618" s="1">
        <v>-604000</v>
      </c>
      <c r="K618" t="s">
        <v>26</v>
      </c>
      <c r="L618" s="1">
        <v>-604000</v>
      </c>
      <c r="M618" t="s">
        <v>26</v>
      </c>
      <c r="Q618" t="s">
        <v>27</v>
      </c>
      <c r="R618" t="s">
        <v>594</v>
      </c>
      <c r="S618" t="s">
        <v>57</v>
      </c>
      <c r="T618" t="s">
        <v>595</v>
      </c>
      <c r="X618" t="s">
        <v>43</v>
      </c>
      <c r="Y618">
        <v>1557224</v>
      </c>
      <c r="Z618">
        <v>20250820</v>
      </c>
    </row>
    <row r="619" spans="3:26" x14ac:dyDescent="0.25">
      <c r="C619">
        <v>10000001</v>
      </c>
      <c r="D619" t="s">
        <v>589</v>
      </c>
      <c r="F619">
        <v>12006664</v>
      </c>
      <c r="H619" t="s">
        <v>589</v>
      </c>
      <c r="I619">
        <v>50</v>
      </c>
      <c r="J619" s="1">
        <v>-280000</v>
      </c>
      <c r="K619" t="s">
        <v>26</v>
      </c>
      <c r="L619" s="1">
        <v>-280000</v>
      </c>
      <c r="M619" t="s">
        <v>26</v>
      </c>
      <c r="Q619" t="s">
        <v>27</v>
      </c>
      <c r="R619" t="s">
        <v>594</v>
      </c>
      <c r="S619" t="s">
        <v>375</v>
      </c>
      <c r="T619" t="s">
        <v>596</v>
      </c>
      <c r="X619" t="s">
        <v>43</v>
      </c>
      <c r="Y619">
        <v>1557224</v>
      </c>
      <c r="Z619">
        <v>20250820</v>
      </c>
    </row>
    <row r="620" spans="3:26" x14ac:dyDescent="0.25">
      <c r="C620">
        <v>10000001</v>
      </c>
      <c r="D620" t="s">
        <v>589</v>
      </c>
      <c r="F620">
        <v>12006665</v>
      </c>
      <c r="H620" t="s">
        <v>589</v>
      </c>
      <c r="I620">
        <v>50</v>
      </c>
      <c r="J620" s="1">
        <v>-650000</v>
      </c>
      <c r="K620" t="s">
        <v>26</v>
      </c>
      <c r="L620" s="1">
        <v>-650000</v>
      </c>
      <c r="M620" t="s">
        <v>26</v>
      </c>
      <c r="Q620" t="s">
        <v>27</v>
      </c>
      <c r="R620" t="s">
        <v>597</v>
      </c>
      <c r="S620" t="s">
        <v>375</v>
      </c>
      <c r="T620" t="s">
        <v>598</v>
      </c>
      <c r="X620" t="s">
        <v>43</v>
      </c>
      <c r="Y620">
        <v>1557224</v>
      </c>
      <c r="Z620">
        <v>20250820</v>
      </c>
    </row>
    <row r="621" spans="3:26" x14ac:dyDescent="0.25">
      <c r="C621">
        <v>10000001</v>
      </c>
      <c r="D621" t="s">
        <v>589</v>
      </c>
      <c r="F621">
        <v>12006666</v>
      </c>
      <c r="H621" t="s">
        <v>589</v>
      </c>
      <c r="I621">
        <v>40</v>
      </c>
      <c r="J621" s="1">
        <v>34438078</v>
      </c>
      <c r="K621" t="s">
        <v>26</v>
      </c>
      <c r="L621" s="1">
        <v>34438078</v>
      </c>
      <c r="M621" t="s">
        <v>26</v>
      </c>
      <c r="Q621" t="s">
        <v>27</v>
      </c>
      <c r="S621" t="s">
        <v>249</v>
      </c>
      <c r="T621" t="s">
        <v>599</v>
      </c>
      <c r="X621" t="s">
        <v>43</v>
      </c>
      <c r="Y621">
        <v>1557224</v>
      </c>
      <c r="Z621">
        <v>20250820</v>
      </c>
    </row>
    <row r="622" spans="3:26" x14ac:dyDescent="0.25">
      <c r="C622">
        <v>10000001</v>
      </c>
      <c r="D622" t="s">
        <v>600</v>
      </c>
      <c r="F622">
        <v>1557224</v>
      </c>
      <c r="H622" t="s">
        <v>600</v>
      </c>
      <c r="I622">
        <v>40</v>
      </c>
      <c r="J622" s="1">
        <v>868100</v>
      </c>
      <c r="K622" t="s">
        <v>26</v>
      </c>
      <c r="L622" s="1">
        <v>868100</v>
      </c>
      <c r="M622" t="s">
        <v>26</v>
      </c>
      <c r="Q622" t="s">
        <v>27</v>
      </c>
      <c r="T622" t="s">
        <v>531</v>
      </c>
      <c r="X622" t="s">
        <v>30</v>
      </c>
      <c r="Y622">
        <v>1557224</v>
      </c>
      <c r="Z622">
        <v>20250831</v>
      </c>
    </row>
    <row r="623" spans="3:26" x14ac:dyDescent="0.25">
      <c r="C623">
        <v>10000001</v>
      </c>
      <c r="D623" t="s">
        <v>600</v>
      </c>
      <c r="F623">
        <v>1557224</v>
      </c>
      <c r="H623" t="s">
        <v>600</v>
      </c>
      <c r="I623">
        <v>40</v>
      </c>
      <c r="J623" s="1">
        <v>600000</v>
      </c>
      <c r="K623" t="s">
        <v>26</v>
      </c>
      <c r="L623" s="1">
        <v>600000</v>
      </c>
      <c r="M623" t="s">
        <v>26</v>
      </c>
      <c r="Q623" t="s">
        <v>27</v>
      </c>
      <c r="T623" t="s">
        <v>442</v>
      </c>
      <c r="X623" t="s">
        <v>30</v>
      </c>
      <c r="Y623">
        <v>1557224</v>
      </c>
      <c r="Z623">
        <v>20250831</v>
      </c>
    </row>
    <row r="624" spans="3:26" x14ac:dyDescent="0.25">
      <c r="C624">
        <v>10000001</v>
      </c>
      <c r="D624" t="s">
        <v>600</v>
      </c>
      <c r="F624">
        <v>1557224</v>
      </c>
      <c r="H624" t="s">
        <v>600</v>
      </c>
      <c r="I624">
        <v>40</v>
      </c>
      <c r="J624" s="1">
        <v>580000</v>
      </c>
      <c r="K624" t="s">
        <v>26</v>
      </c>
      <c r="L624" s="1">
        <v>580000</v>
      </c>
      <c r="M624" t="s">
        <v>26</v>
      </c>
      <c r="Q624" t="s">
        <v>27</v>
      </c>
      <c r="T624" t="s">
        <v>472</v>
      </c>
      <c r="X624" t="s">
        <v>30</v>
      </c>
      <c r="Y624">
        <v>1557224</v>
      </c>
      <c r="Z624">
        <v>20250831</v>
      </c>
    </row>
    <row r="625" spans="3:26" x14ac:dyDescent="0.25">
      <c r="C625">
        <v>10000001</v>
      </c>
      <c r="D625" t="s">
        <v>600</v>
      </c>
      <c r="F625">
        <v>1557224</v>
      </c>
      <c r="H625" t="s">
        <v>600</v>
      </c>
      <c r="I625">
        <v>40</v>
      </c>
      <c r="J625" s="1">
        <v>630000</v>
      </c>
      <c r="K625" t="s">
        <v>26</v>
      </c>
      <c r="L625" s="1">
        <v>630000</v>
      </c>
      <c r="M625" t="s">
        <v>26</v>
      </c>
      <c r="Q625" t="s">
        <v>27</v>
      </c>
      <c r="T625" t="s">
        <v>399</v>
      </c>
      <c r="X625" t="s">
        <v>30</v>
      </c>
      <c r="Y625">
        <v>1557224</v>
      </c>
      <c r="Z625">
        <v>20250831</v>
      </c>
    </row>
    <row r="626" spans="3:26" x14ac:dyDescent="0.25">
      <c r="C626">
        <v>10000001</v>
      </c>
      <c r="D626" t="s">
        <v>600</v>
      </c>
      <c r="F626">
        <v>1557224</v>
      </c>
      <c r="H626" t="s">
        <v>600</v>
      </c>
      <c r="I626">
        <v>40</v>
      </c>
      <c r="J626" s="1">
        <v>3000</v>
      </c>
      <c r="K626" t="s">
        <v>26</v>
      </c>
      <c r="L626" s="1">
        <v>3000</v>
      </c>
      <c r="M626" t="s">
        <v>26</v>
      </c>
      <c r="Q626" t="s">
        <v>27</v>
      </c>
      <c r="T626" t="s">
        <v>458</v>
      </c>
      <c r="X626" t="s">
        <v>30</v>
      </c>
      <c r="Y626">
        <v>1557224</v>
      </c>
      <c r="Z626">
        <v>20250831</v>
      </c>
    </row>
    <row r="627" spans="3:26" x14ac:dyDescent="0.25">
      <c r="C627">
        <v>10000001</v>
      </c>
      <c r="D627" t="s">
        <v>600</v>
      </c>
      <c r="F627">
        <v>1557224</v>
      </c>
      <c r="H627" t="s">
        <v>600</v>
      </c>
      <c r="I627">
        <v>40</v>
      </c>
      <c r="J627" s="1">
        <v>2000</v>
      </c>
      <c r="K627" t="s">
        <v>26</v>
      </c>
      <c r="L627" s="1">
        <v>2000</v>
      </c>
      <c r="M627" t="s">
        <v>26</v>
      </c>
      <c r="Q627" t="s">
        <v>27</v>
      </c>
      <c r="T627" t="s">
        <v>457</v>
      </c>
      <c r="X627" t="s">
        <v>30</v>
      </c>
      <c r="Y627">
        <v>1557224</v>
      </c>
      <c r="Z627">
        <v>20250831</v>
      </c>
    </row>
    <row r="628" spans="3:26" x14ac:dyDescent="0.25">
      <c r="C628">
        <v>10000001</v>
      </c>
      <c r="D628" t="s">
        <v>600</v>
      </c>
      <c r="F628">
        <v>1557224</v>
      </c>
      <c r="H628" t="s">
        <v>600</v>
      </c>
      <c r="I628">
        <v>40</v>
      </c>
      <c r="J628" s="1">
        <v>220000</v>
      </c>
      <c r="K628" t="s">
        <v>26</v>
      </c>
      <c r="L628" s="1">
        <v>220000</v>
      </c>
      <c r="M628" t="s">
        <v>26</v>
      </c>
      <c r="Q628" t="s">
        <v>27</v>
      </c>
      <c r="T628" t="s">
        <v>452</v>
      </c>
      <c r="X628" t="s">
        <v>30</v>
      </c>
      <c r="Y628">
        <v>1557224</v>
      </c>
      <c r="Z628">
        <v>20250831</v>
      </c>
    </row>
    <row r="629" spans="3:26" x14ac:dyDescent="0.25">
      <c r="C629">
        <v>10000001</v>
      </c>
      <c r="D629" t="s">
        <v>600</v>
      </c>
      <c r="F629">
        <v>1557224</v>
      </c>
      <c r="H629" t="s">
        <v>600</v>
      </c>
      <c r="I629">
        <v>40</v>
      </c>
      <c r="J629" s="1">
        <v>71400</v>
      </c>
      <c r="K629" t="s">
        <v>26</v>
      </c>
      <c r="L629" s="1">
        <v>71400</v>
      </c>
      <c r="M629" t="s">
        <v>26</v>
      </c>
      <c r="Q629" t="s">
        <v>27</v>
      </c>
      <c r="T629" t="s">
        <v>588</v>
      </c>
      <c r="X629" t="s">
        <v>30</v>
      </c>
      <c r="Y629">
        <v>1557224</v>
      </c>
      <c r="Z629">
        <v>20250831</v>
      </c>
    </row>
    <row r="630" spans="3:26" x14ac:dyDescent="0.25">
      <c r="C630">
        <v>10000001</v>
      </c>
      <c r="D630" t="s">
        <v>600</v>
      </c>
      <c r="F630">
        <v>1557224</v>
      </c>
      <c r="H630" t="s">
        <v>600</v>
      </c>
      <c r="I630">
        <v>40</v>
      </c>
      <c r="J630" s="1">
        <v>650000</v>
      </c>
      <c r="K630" t="s">
        <v>26</v>
      </c>
      <c r="L630" s="1">
        <v>650000</v>
      </c>
      <c r="M630" t="s">
        <v>26</v>
      </c>
      <c r="Q630" t="s">
        <v>27</v>
      </c>
      <c r="T630" t="s">
        <v>598</v>
      </c>
      <c r="X630" t="s">
        <v>30</v>
      </c>
      <c r="Y630">
        <v>1557224</v>
      </c>
      <c r="Z630">
        <v>20250831</v>
      </c>
    </row>
    <row r="631" spans="3:26" x14ac:dyDescent="0.25">
      <c r="C631">
        <v>10000001</v>
      </c>
      <c r="D631" t="s">
        <v>600</v>
      </c>
      <c r="F631">
        <v>1557224</v>
      </c>
      <c r="H631" t="s">
        <v>600</v>
      </c>
      <c r="I631">
        <v>40</v>
      </c>
      <c r="J631" s="1">
        <v>250000</v>
      </c>
      <c r="K631" t="s">
        <v>26</v>
      </c>
      <c r="L631" s="1">
        <v>250000</v>
      </c>
      <c r="M631" t="s">
        <v>26</v>
      </c>
      <c r="Q631" t="s">
        <v>27</v>
      </c>
      <c r="T631" t="s">
        <v>572</v>
      </c>
      <c r="X631" t="s">
        <v>30</v>
      </c>
      <c r="Y631">
        <v>1557224</v>
      </c>
      <c r="Z631">
        <v>20250831</v>
      </c>
    </row>
    <row r="632" spans="3:26" x14ac:dyDescent="0.25">
      <c r="C632">
        <v>10000001</v>
      </c>
      <c r="D632" t="s">
        <v>600</v>
      </c>
      <c r="F632">
        <v>1557224</v>
      </c>
      <c r="H632" t="s">
        <v>600</v>
      </c>
      <c r="I632">
        <v>40</v>
      </c>
      <c r="J632" s="1">
        <v>500000</v>
      </c>
      <c r="K632" t="s">
        <v>26</v>
      </c>
      <c r="L632" s="1">
        <v>500000</v>
      </c>
      <c r="M632" t="s">
        <v>26</v>
      </c>
      <c r="Q632" t="s">
        <v>27</v>
      </c>
      <c r="T632" t="s">
        <v>573</v>
      </c>
      <c r="X632" t="s">
        <v>30</v>
      </c>
      <c r="Y632">
        <v>1557224</v>
      </c>
      <c r="Z632">
        <v>20250831</v>
      </c>
    </row>
    <row r="633" spans="3:26" x14ac:dyDescent="0.25">
      <c r="C633">
        <v>10000001</v>
      </c>
      <c r="D633" t="s">
        <v>600</v>
      </c>
      <c r="F633">
        <v>1557224</v>
      </c>
      <c r="H633" t="s">
        <v>600</v>
      </c>
      <c r="I633">
        <v>40</v>
      </c>
      <c r="J633" s="1">
        <v>250000</v>
      </c>
      <c r="K633" t="s">
        <v>26</v>
      </c>
      <c r="L633" s="1">
        <v>250000</v>
      </c>
      <c r="M633" t="s">
        <v>26</v>
      </c>
      <c r="Q633" t="s">
        <v>27</v>
      </c>
      <c r="T633" t="s">
        <v>571</v>
      </c>
      <c r="X633" t="s">
        <v>30</v>
      </c>
      <c r="Y633">
        <v>1557224</v>
      </c>
      <c r="Z633">
        <v>20250831</v>
      </c>
    </row>
    <row r="634" spans="3:26" x14ac:dyDescent="0.25">
      <c r="C634">
        <v>10000001</v>
      </c>
      <c r="D634" t="s">
        <v>600</v>
      </c>
      <c r="F634">
        <v>1557224</v>
      </c>
      <c r="H634" t="s">
        <v>600</v>
      </c>
      <c r="I634">
        <v>40</v>
      </c>
      <c r="J634" s="1">
        <v>150000</v>
      </c>
      <c r="K634" t="s">
        <v>26</v>
      </c>
      <c r="L634" s="1">
        <v>150000</v>
      </c>
      <c r="M634" t="s">
        <v>26</v>
      </c>
      <c r="Q634" t="s">
        <v>27</v>
      </c>
      <c r="T634" t="s">
        <v>410</v>
      </c>
      <c r="X634" t="s">
        <v>30</v>
      </c>
      <c r="Y634">
        <v>1557224</v>
      </c>
      <c r="Z634">
        <v>20250831</v>
      </c>
    </row>
    <row r="635" spans="3:26" x14ac:dyDescent="0.25">
      <c r="C635">
        <v>10000001</v>
      </c>
      <c r="D635" t="s">
        <v>600</v>
      </c>
      <c r="F635">
        <v>1557224</v>
      </c>
      <c r="H635" t="s">
        <v>600</v>
      </c>
      <c r="I635">
        <v>40</v>
      </c>
      <c r="J635" s="1">
        <v>100000</v>
      </c>
      <c r="K635" t="s">
        <v>26</v>
      </c>
      <c r="L635" s="1">
        <v>100000</v>
      </c>
      <c r="M635" t="s">
        <v>26</v>
      </c>
      <c r="Q635" t="s">
        <v>27</v>
      </c>
      <c r="T635" t="s">
        <v>411</v>
      </c>
      <c r="X635" t="s">
        <v>30</v>
      </c>
      <c r="Y635">
        <v>1557224</v>
      </c>
      <c r="Z635">
        <v>20250831</v>
      </c>
    </row>
    <row r="636" spans="3:26" x14ac:dyDescent="0.25">
      <c r="C636">
        <v>10000001</v>
      </c>
      <c r="D636" t="s">
        <v>600</v>
      </c>
      <c r="F636">
        <v>1557224</v>
      </c>
      <c r="H636" t="s">
        <v>600</v>
      </c>
      <c r="I636">
        <v>40</v>
      </c>
      <c r="J636" s="1">
        <v>100000</v>
      </c>
      <c r="K636" t="s">
        <v>26</v>
      </c>
      <c r="L636" s="1">
        <v>100000</v>
      </c>
      <c r="M636" t="s">
        <v>26</v>
      </c>
      <c r="Q636" t="s">
        <v>27</v>
      </c>
      <c r="T636" t="s">
        <v>412</v>
      </c>
      <c r="X636" t="s">
        <v>30</v>
      </c>
      <c r="Y636">
        <v>1557224</v>
      </c>
      <c r="Z636">
        <v>20250831</v>
      </c>
    </row>
    <row r="637" spans="3:26" x14ac:dyDescent="0.25">
      <c r="C637">
        <v>10000001</v>
      </c>
      <c r="D637" t="s">
        <v>600</v>
      </c>
      <c r="F637">
        <v>1557224</v>
      </c>
      <c r="H637" t="s">
        <v>600</v>
      </c>
      <c r="I637">
        <v>40</v>
      </c>
      <c r="J637" s="1">
        <v>150000</v>
      </c>
      <c r="K637" t="s">
        <v>26</v>
      </c>
      <c r="L637" s="1">
        <v>150000</v>
      </c>
      <c r="M637" t="s">
        <v>26</v>
      </c>
      <c r="Q637" t="s">
        <v>27</v>
      </c>
      <c r="T637" t="s">
        <v>413</v>
      </c>
      <c r="X637" t="s">
        <v>30</v>
      </c>
      <c r="Y637">
        <v>1557224</v>
      </c>
      <c r="Z637">
        <v>20250831</v>
      </c>
    </row>
    <row r="638" spans="3:26" x14ac:dyDescent="0.25">
      <c r="C638">
        <v>10000001</v>
      </c>
      <c r="D638" t="s">
        <v>600</v>
      </c>
      <c r="F638">
        <v>1557224</v>
      </c>
      <c r="H638" t="s">
        <v>600</v>
      </c>
      <c r="I638">
        <v>40</v>
      </c>
      <c r="J638" s="1">
        <v>100000</v>
      </c>
      <c r="K638" t="s">
        <v>26</v>
      </c>
      <c r="L638" s="1">
        <v>100000</v>
      </c>
      <c r="M638" t="s">
        <v>26</v>
      </c>
      <c r="Q638" t="s">
        <v>27</v>
      </c>
      <c r="T638" t="s">
        <v>414</v>
      </c>
      <c r="X638" t="s">
        <v>30</v>
      </c>
      <c r="Y638">
        <v>1557224</v>
      </c>
      <c r="Z638">
        <v>20250831</v>
      </c>
    </row>
    <row r="639" spans="3:26" x14ac:dyDescent="0.25">
      <c r="C639">
        <v>10000001</v>
      </c>
      <c r="D639" t="s">
        <v>600</v>
      </c>
      <c r="F639">
        <v>1557224</v>
      </c>
      <c r="H639" t="s">
        <v>600</v>
      </c>
      <c r="I639">
        <v>40</v>
      </c>
      <c r="J639" s="1">
        <v>100000</v>
      </c>
      <c r="K639" t="s">
        <v>26</v>
      </c>
      <c r="L639" s="1">
        <v>100000</v>
      </c>
      <c r="M639" t="s">
        <v>26</v>
      </c>
      <c r="Q639" t="s">
        <v>27</v>
      </c>
      <c r="T639" t="s">
        <v>415</v>
      </c>
      <c r="X639" t="s">
        <v>30</v>
      </c>
      <c r="Y639">
        <v>1557224</v>
      </c>
      <c r="Z639">
        <v>20250831</v>
      </c>
    </row>
    <row r="640" spans="3:26" x14ac:dyDescent="0.25">
      <c r="C640">
        <v>10000001</v>
      </c>
      <c r="D640" t="s">
        <v>600</v>
      </c>
      <c r="F640">
        <v>1557224</v>
      </c>
      <c r="H640" t="s">
        <v>600</v>
      </c>
      <c r="I640">
        <v>40</v>
      </c>
      <c r="J640" s="1">
        <v>347000</v>
      </c>
      <c r="K640" t="s">
        <v>26</v>
      </c>
      <c r="L640" s="1">
        <v>347000</v>
      </c>
      <c r="M640" t="s">
        <v>26</v>
      </c>
      <c r="Q640" t="s">
        <v>27</v>
      </c>
      <c r="T640" t="s">
        <v>494</v>
      </c>
      <c r="X640" t="s">
        <v>30</v>
      </c>
      <c r="Y640">
        <v>1557224</v>
      </c>
      <c r="Z640">
        <v>20250831</v>
      </c>
    </row>
    <row r="641" spans="3:26" x14ac:dyDescent="0.25">
      <c r="C641">
        <v>10000001</v>
      </c>
      <c r="D641" t="s">
        <v>600</v>
      </c>
      <c r="F641">
        <v>1557224</v>
      </c>
      <c r="H641" t="s">
        <v>600</v>
      </c>
      <c r="I641">
        <v>40</v>
      </c>
      <c r="J641" s="1">
        <v>23000</v>
      </c>
      <c r="K641" t="s">
        <v>26</v>
      </c>
      <c r="L641" s="1">
        <v>23000</v>
      </c>
      <c r="M641" t="s">
        <v>26</v>
      </c>
      <c r="Q641" t="s">
        <v>27</v>
      </c>
      <c r="T641" t="s">
        <v>404</v>
      </c>
      <c r="X641" t="s">
        <v>30</v>
      </c>
      <c r="Y641">
        <v>1557224</v>
      </c>
      <c r="Z641">
        <v>20250831</v>
      </c>
    </row>
    <row r="642" spans="3:26" x14ac:dyDescent="0.25">
      <c r="C642">
        <v>10000001</v>
      </c>
      <c r="D642" t="s">
        <v>600</v>
      </c>
      <c r="F642">
        <v>1557224</v>
      </c>
      <c r="H642" t="s">
        <v>600</v>
      </c>
      <c r="I642">
        <v>40</v>
      </c>
      <c r="J642" s="1">
        <v>50000</v>
      </c>
      <c r="K642" t="s">
        <v>26</v>
      </c>
      <c r="L642" s="1">
        <v>50000</v>
      </c>
      <c r="M642" t="s">
        <v>26</v>
      </c>
      <c r="Q642" t="s">
        <v>27</v>
      </c>
      <c r="T642" t="s">
        <v>478</v>
      </c>
      <c r="X642" t="s">
        <v>30</v>
      </c>
      <c r="Y642">
        <v>1557224</v>
      </c>
      <c r="Z642">
        <v>20250831</v>
      </c>
    </row>
    <row r="643" spans="3:26" x14ac:dyDescent="0.25">
      <c r="C643">
        <v>10000001</v>
      </c>
      <c r="D643" t="s">
        <v>600</v>
      </c>
      <c r="F643">
        <v>1557224</v>
      </c>
      <c r="H643" t="s">
        <v>600</v>
      </c>
      <c r="I643">
        <v>40</v>
      </c>
      <c r="J643" s="1">
        <v>50000</v>
      </c>
      <c r="K643" t="s">
        <v>26</v>
      </c>
      <c r="L643" s="1">
        <v>50000</v>
      </c>
      <c r="M643" t="s">
        <v>26</v>
      </c>
      <c r="Q643" t="s">
        <v>27</v>
      </c>
      <c r="T643" t="s">
        <v>426</v>
      </c>
      <c r="X643" t="s">
        <v>30</v>
      </c>
      <c r="Y643">
        <v>1557224</v>
      </c>
      <c r="Z643">
        <v>20250831</v>
      </c>
    </row>
    <row r="644" spans="3:26" x14ac:dyDescent="0.25">
      <c r="C644">
        <v>10000001</v>
      </c>
      <c r="D644" t="s">
        <v>600</v>
      </c>
      <c r="F644">
        <v>1557224</v>
      </c>
      <c r="H644" t="s">
        <v>600</v>
      </c>
      <c r="I644">
        <v>40</v>
      </c>
      <c r="J644" s="1">
        <v>50000</v>
      </c>
      <c r="K644" t="s">
        <v>26</v>
      </c>
      <c r="L644" s="1">
        <v>50000</v>
      </c>
      <c r="M644" t="s">
        <v>26</v>
      </c>
      <c r="Q644" t="s">
        <v>27</v>
      </c>
      <c r="T644" t="s">
        <v>424</v>
      </c>
      <c r="X644" t="s">
        <v>30</v>
      </c>
      <c r="Y644">
        <v>1557224</v>
      </c>
      <c r="Z644">
        <v>20250831</v>
      </c>
    </row>
    <row r="645" spans="3:26" x14ac:dyDescent="0.25">
      <c r="C645">
        <v>10000001</v>
      </c>
      <c r="D645" t="s">
        <v>600</v>
      </c>
      <c r="F645">
        <v>1557224</v>
      </c>
      <c r="H645" t="s">
        <v>600</v>
      </c>
      <c r="I645">
        <v>40</v>
      </c>
      <c r="J645" s="1">
        <v>50000</v>
      </c>
      <c r="K645" t="s">
        <v>26</v>
      </c>
      <c r="L645" s="1">
        <v>50000</v>
      </c>
      <c r="M645" t="s">
        <v>26</v>
      </c>
      <c r="Q645" t="s">
        <v>27</v>
      </c>
      <c r="T645" t="s">
        <v>425</v>
      </c>
      <c r="X645" t="s">
        <v>30</v>
      </c>
      <c r="Y645">
        <v>1557224</v>
      </c>
      <c r="Z645">
        <v>20250831</v>
      </c>
    </row>
    <row r="646" spans="3:26" x14ac:dyDescent="0.25">
      <c r="C646">
        <v>10000001</v>
      </c>
      <c r="D646" t="s">
        <v>600</v>
      </c>
      <c r="F646">
        <v>1557224</v>
      </c>
      <c r="H646" t="s">
        <v>600</v>
      </c>
      <c r="I646">
        <v>40</v>
      </c>
      <c r="J646" s="1">
        <v>50000</v>
      </c>
      <c r="K646" t="s">
        <v>26</v>
      </c>
      <c r="L646" s="1">
        <v>50000</v>
      </c>
      <c r="M646" t="s">
        <v>26</v>
      </c>
      <c r="Q646" t="s">
        <v>27</v>
      </c>
      <c r="T646" t="s">
        <v>427</v>
      </c>
      <c r="X646" t="s">
        <v>30</v>
      </c>
      <c r="Y646">
        <v>1557224</v>
      </c>
      <c r="Z646">
        <v>20250831</v>
      </c>
    </row>
    <row r="647" spans="3:26" x14ac:dyDescent="0.25">
      <c r="C647">
        <v>10000001</v>
      </c>
      <c r="D647" t="s">
        <v>600</v>
      </c>
      <c r="F647">
        <v>1557224</v>
      </c>
      <c r="H647" t="s">
        <v>600</v>
      </c>
      <c r="I647">
        <v>40</v>
      </c>
      <c r="J647" s="1">
        <v>50000</v>
      </c>
      <c r="K647" t="s">
        <v>26</v>
      </c>
      <c r="L647" s="1">
        <v>50000</v>
      </c>
      <c r="M647" t="s">
        <v>26</v>
      </c>
      <c r="Q647" t="s">
        <v>27</v>
      </c>
      <c r="T647" t="s">
        <v>416</v>
      </c>
      <c r="X647" t="s">
        <v>30</v>
      </c>
      <c r="Y647">
        <v>1557224</v>
      </c>
      <c r="Z647">
        <v>20250831</v>
      </c>
    </row>
    <row r="648" spans="3:26" x14ac:dyDescent="0.25">
      <c r="C648">
        <v>10000001</v>
      </c>
      <c r="D648" t="s">
        <v>600</v>
      </c>
      <c r="F648">
        <v>1557224</v>
      </c>
      <c r="H648" t="s">
        <v>600</v>
      </c>
      <c r="I648">
        <v>40</v>
      </c>
      <c r="J648" s="1">
        <v>50000</v>
      </c>
      <c r="K648" t="s">
        <v>26</v>
      </c>
      <c r="L648" s="1">
        <v>50000</v>
      </c>
      <c r="M648" t="s">
        <v>26</v>
      </c>
      <c r="Q648" t="s">
        <v>27</v>
      </c>
      <c r="T648" t="s">
        <v>417</v>
      </c>
      <c r="X648" t="s">
        <v>30</v>
      </c>
      <c r="Y648">
        <v>1557224</v>
      </c>
      <c r="Z648">
        <v>20250831</v>
      </c>
    </row>
    <row r="649" spans="3:26" x14ac:dyDescent="0.25">
      <c r="C649">
        <v>10000001</v>
      </c>
      <c r="D649" t="s">
        <v>600</v>
      </c>
      <c r="F649">
        <v>1557224</v>
      </c>
      <c r="H649" t="s">
        <v>600</v>
      </c>
      <c r="I649">
        <v>40</v>
      </c>
      <c r="J649" s="1">
        <v>50000</v>
      </c>
      <c r="K649" t="s">
        <v>26</v>
      </c>
      <c r="L649" s="1">
        <v>50000</v>
      </c>
      <c r="M649" t="s">
        <v>26</v>
      </c>
      <c r="Q649" t="s">
        <v>27</v>
      </c>
      <c r="T649" t="s">
        <v>418</v>
      </c>
      <c r="X649" t="s">
        <v>30</v>
      </c>
      <c r="Y649">
        <v>1557224</v>
      </c>
      <c r="Z649">
        <v>20250831</v>
      </c>
    </row>
    <row r="650" spans="3:26" x14ac:dyDescent="0.25">
      <c r="C650">
        <v>10000001</v>
      </c>
      <c r="D650" t="s">
        <v>600</v>
      </c>
      <c r="F650">
        <v>1557224</v>
      </c>
      <c r="H650" t="s">
        <v>600</v>
      </c>
      <c r="I650">
        <v>40</v>
      </c>
      <c r="J650" s="1">
        <v>50000</v>
      </c>
      <c r="K650" t="s">
        <v>26</v>
      </c>
      <c r="L650" s="1">
        <v>50000</v>
      </c>
      <c r="M650" t="s">
        <v>26</v>
      </c>
      <c r="Q650" t="s">
        <v>27</v>
      </c>
      <c r="T650" t="s">
        <v>419</v>
      </c>
      <c r="X650" t="s">
        <v>30</v>
      </c>
      <c r="Y650">
        <v>1557224</v>
      </c>
      <c r="Z650">
        <v>20250831</v>
      </c>
    </row>
    <row r="651" spans="3:26" x14ac:dyDescent="0.25">
      <c r="C651">
        <v>10000001</v>
      </c>
      <c r="D651" t="s">
        <v>600</v>
      </c>
      <c r="F651">
        <v>1557224</v>
      </c>
      <c r="H651" t="s">
        <v>600</v>
      </c>
      <c r="I651">
        <v>40</v>
      </c>
      <c r="J651" s="1">
        <v>50000</v>
      </c>
      <c r="K651" t="s">
        <v>26</v>
      </c>
      <c r="L651" s="1">
        <v>50000</v>
      </c>
      <c r="M651" t="s">
        <v>26</v>
      </c>
      <c r="Q651" t="s">
        <v>27</v>
      </c>
      <c r="T651" t="s">
        <v>420</v>
      </c>
      <c r="X651" t="s">
        <v>30</v>
      </c>
      <c r="Y651">
        <v>1557224</v>
      </c>
      <c r="Z651">
        <v>20250831</v>
      </c>
    </row>
    <row r="652" spans="3:26" x14ac:dyDescent="0.25">
      <c r="C652">
        <v>10000001</v>
      </c>
      <c r="D652" t="s">
        <v>600</v>
      </c>
      <c r="F652">
        <v>1557224</v>
      </c>
      <c r="H652" t="s">
        <v>600</v>
      </c>
      <c r="I652">
        <v>40</v>
      </c>
      <c r="J652" s="1">
        <v>50000</v>
      </c>
      <c r="K652" t="s">
        <v>26</v>
      </c>
      <c r="L652" s="1">
        <v>50000</v>
      </c>
      <c r="M652" t="s">
        <v>26</v>
      </c>
      <c r="Q652" t="s">
        <v>27</v>
      </c>
      <c r="T652" t="s">
        <v>421</v>
      </c>
      <c r="X652" t="s">
        <v>30</v>
      </c>
      <c r="Y652">
        <v>1557224</v>
      </c>
      <c r="Z652">
        <v>20250831</v>
      </c>
    </row>
    <row r="653" spans="3:26" x14ac:dyDescent="0.25">
      <c r="C653">
        <v>10000001</v>
      </c>
      <c r="D653" t="s">
        <v>600</v>
      </c>
      <c r="F653">
        <v>1557224</v>
      </c>
      <c r="H653" t="s">
        <v>600</v>
      </c>
      <c r="I653">
        <v>40</v>
      </c>
      <c r="J653" s="1">
        <v>50000</v>
      </c>
      <c r="K653" t="s">
        <v>26</v>
      </c>
      <c r="L653" s="1">
        <v>50000</v>
      </c>
      <c r="M653" t="s">
        <v>26</v>
      </c>
      <c r="Q653" t="s">
        <v>27</v>
      </c>
      <c r="T653" t="s">
        <v>463</v>
      </c>
      <c r="X653" t="s">
        <v>30</v>
      </c>
      <c r="Y653">
        <v>1557224</v>
      </c>
      <c r="Z653">
        <v>20250831</v>
      </c>
    </row>
    <row r="654" spans="3:26" x14ac:dyDescent="0.25">
      <c r="C654">
        <v>10000001</v>
      </c>
      <c r="D654" t="s">
        <v>600</v>
      </c>
      <c r="F654">
        <v>1557224</v>
      </c>
      <c r="H654" t="s">
        <v>600</v>
      </c>
      <c r="I654">
        <v>40</v>
      </c>
      <c r="J654" s="1">
        <v>50000</v>
      </c>
      <c r="K654" t="s">
        <v>26</v>
      </c>
      <c r="L654" s="1">
        <v>50000</v>
      </c>
      <c r="M654" t="s">
        <v>26</v>
      </c>
      <c r="Q654" t="s">
        <v>27</v>
      </c>
      <c r="T654" t="s">
        <v>462</v>
      </c>
      <c r="X654" t="s">
        <v>30</v>
      </c>
      <c r="Y654">
        <v>1557224</v>
      </c>
      <c r="Z654">
        <v>20250831</v>
      </c>
    </row>
    <row r="655" spans="3:26" x14ac:dyDescent="0.25">
      <c r="C655">
        <v>10000001</v>
      </c>
      <c r="D655" t="s">
        <v>600</v>
      </c>
      <c r="F655">
        <v>1557224</v>
      </c>
      <c r="H655" t="s">
        <v>600</v>
      </c>
      <c r="I655">
        <v>40</v>
      </c>
      <c r="J655" s="1">
        <v>50000</v>
      </c>
      <c r="K655" t="s">
        <v>26</v>
      </c>
      <c r="L655" s="1">
        <v>50000</v>
      </c>
      <c r="M655" t="s">
        <v>26</v>
      </c>
      <c r="Q655" t="s">
        <v>27</v>
      </c>
      <c r="T655" t="s">
        <v>464</v>
      </c>
      <c r="X655" t="s">
        <v>30</v>
      </c>
      <c r="Y655">
        <v>1557224</v>
      </c>
      <c r="Z655">
        <v>20250831</v>
      </c>
    </row>
    <row r="656" spans="3:26" x14ac:dyDescent="0.25">
      <c r="C656">
        <v>10000001</v>
      </c>
      <c r="D656" t="s">
        <v>600</v>
      </c>
      <c r="F656">
        <v>1557224</v>
      </c>
      <c r="H656" t="s">
        <v>600</v>
      </c>
      <c r="I656">
        <v>40</v>
      </c>
      <c r="J656" s="1">
        <v>50000</v>
      </c>
      <c r="K656" t="s">
        <v>26</v>
      </c>
      <c r="L656" s="1">
        <v>50000</v>
      </c>
      <c r="M656" t="s">
        <v>26</v>
      </c>
      <c r="Q656" t="s">
        <v>27</v>
      </c>
      <c r="T656" t="s">
        <v>465</v>
      </c>
      <c r="X656" t="s">
        <v>30</v>
      </c>
      <c r="Y656">
        <v>1557224</v>
      </c>
      <c r="Z656">
        <v>20250831</v>
      </c>
    </row>
    <row r="657" spans="3:26" x14ac:dyDescent="0.25">
      <c r="C657">
        <v>10000001</v>
      </c>
      <c r="D657" t="s">
        <v>600</v>
      </c>
      <c r="F657">
        <v>1557224</v>
      </c>
      <c r="H657" t="s">
        <v>600</v>
      </c>
      <c r="I657">
        <v>40</v>
      </c>
      <c r="J657" s="1">
        <v>50000</v>
      </c>
      <c r="K657" t="s">
        <v>26</v>
      </c>
      <c r="L657" s="1">
        <v>50000</v>
      </c>
      <c r="M657" t="s">
        <v>26</v>
      </c>
      <c r="Q657" t="s">
        <v>27</v>
      </c>
      <c r="T657" t="s">
        <v>430</v>
      </c>
      <c r="X657" t="s">
        <v>30</v>
      </c>
      <c r="Y657">
        <v>1557224</v>
      </c>
      <c r="Z657">
        <v>20250831</v>
      </c>
    </row>
    <row r="658" spans="3:26" x14ac:dyDescent="0.25">
      <c r="C658">
        <v>10000001</v>
      </c>
      <c r="D658" t="s">
        <v>600</v>
      </c>
      <c r="F658">
        <v>1557224</v>
      </c>
      <c r="H658" t="s">
        <v>600</v>
      </c>
      <c r="I658">
        <v>40</v>
      </c>
      <c r="J658" s="1">
        <v>50000</v>
      </c>
      <c r="K658" t="s">
        <v>26</v>
      </c>
      <c r="L658" s="1">
        <v>50000</v>
      </c>
      <c r="M658" t="s">
        <v>26</v>
      </c>
      <c r="Q658" t="s">
        <v>27</v>
      </c>
      <c r="T658" t="s">
        <v>429</v>
      </c>
      <c r="X658" t="s">
        <v>30</v>
      </c>
      <c r="Y658">
        <v>1557224</v>
      </c>
      <c r="Z658">
        <v>20250831</v>
      </c>
    </row>
    <row r="659" spans="3:26" x14ac:dyDescent="0.25">
      <c r="C659">
        <v>10000001</v>
      </c>
      <c r="D659" t="s">
        <v>600</v>
      </c>
      <c r="F659">
        <v>1557224</v>
      </c>
      <c r="H659" t="s">
        <v>600</v>
      </c>
      <c r="I659">
        <v>40</v>
      </c>
      <c r="J659" s="1">
        <v>100000</v>
      </c>
      <c r="K659" t="s">
        <v>26</v>
      </c>
      <c r="L659" s="1">
        <v>100000</v>
      </c>
      <c r="M659" t="s">
        <v>26</v>
      </c>
      <c r="Q659" t="s">
        <v>27</v>
      </c>
      <c r="T659" t="s">
        <v>422</v>
      </c>
      <c r="X659" t="s">
        <v>30</v>
      </c>
      <c r="Y659">
        <v>1557224</v>
      </c>
      <c r="Z659">
        <v>20250831</v>
      </c>
    </row>
    <row r="660" spans="3:26" x14ac:dyDescent="0.25">
      <c r="C660">
        <v>10000001</v>
      </c>
      <c r="D660" t="s">
        <v>600</v>
      </c>
      <c r="F660">
        <v>1557224</v>
      </c>
      <c r="H660" t="s">
        <v>600</v>
      </c>
      <c r="I660">
        <v>40</v>
      </c>
      <c r="J660" s="1">
        <v>50000</v>
      </c>
      <c r="K660" t="s">
        <v>26</v>
      </c>
      <c r="L660" s="1">
        <v>50000</v>
      </c>
      <c r="M660" t="s">
        <v>26</v>
      </c>
      <c r="Q660" t="s">
        <v>27</v>
      </c>
      <c r="T660" t="s">
        <v>467</v>
      </c>
      <c r="X660" t="s">
        <v>30</v>
      </c>
      <c r="Y660">
        <v>1557224</v>
      </c>
      <c r="Z660">
        <v>20250831</v>
      </c>
    </row>
    <row r="661" spans="3:26" x14ac:dyDescent="0.25">
      <c r="C661">
        <v>10000001</v>
      </c>
      <c r="D661" t="s">
        <v>600</v>
      </c>
      <c r="F661">
        <v>1557224</v>
      </c>
      <c r="H661" t="s">
        <v>600</v>
      </c>
      <c r="I661">
        <v>40</v>
      </c>
      <c r="J661" s="1">
        <v>50000</v>
      </c>
      <c r="K661" t="s">
        <v>26</v>
      </c>
      <c r="L661" s="1">
        <v>50000</v>
      </c>
      <c r="M661" t="s">
        <v>26</v>
      </c>
      <c r="Q661" t="s">
        <v>27</v>
      </c>
      <c r="T661" t="s">
        <v>468</v>
      </c>
      <c r="X661" t="s">
        <v>30</v>
      </c>
      <c r="Y661">
        <v>1557224</v>
      </c>
      <c r="Z661">
        <v>20250831</v>
      </c>
    </row>
    <row r="662" spans="3:26" x14ac:dyDescent="0.25">
      <c r="C662">
        <v>10000001</v>
      </c>
      <c r="D662" t="s">
        <v>600</v>
      </c>
      <c r="F662">
        <v>1557224</v>
      </c>
      <c r="H662" t="s">
        <v>600</v>
      </c>
      <c r="I662">
        <v>40</v>
      </c>
      <c r="J662" s="1">
        <v>50000</v>
      </c>
      <c r="K662" t="s">
        <v>26</v>
      </c>
      <c r="L662" s="1">
        <v>50000</v>
      </c>
      <c r="M662" t="s">
        <v>26</v>
      </c>
      <c r="Q662" t="s">
        <v>27</v>
      </c>
      <c r="T662" t="s">
        <v>466</v>
      </c>
      <c r="X662" t="s">
        <v>30</v>
      </c>
      <c r="Y662">
        <v>1557224</v>
      </c>
      <c r="Z662">
        <v>20250831</v>
      </c>
    </row>
    <row r="663" spans="3:26" x14ac:dyDescent="0.25">
      <c r="C663">
        <v>10000001</v>
      </c>
      <c r="D663" t="s">
        <v>600</v>
      </c>
      <c r="F663">
        <v>1557224</v>
      </c>
      <c r="H663" t="s">
        <v>600</v>
      </c>
      <c r="I663">
        <v>40</v>
      </c>
      <c r="J663" s="1">
        <v>50000</v>
      </c>
      <c r="K663" t="s">
        <v>26</v>
      </c>
      <c r="L663" s="1">
        <v>50000</v>
      </c>
      <c r="M663" t="s">
        <v>26</v>
      </c>
      <c r="Q663" t="s">
        <v>27</v>
      </c>
      <c r="T663" t="s">
        <v>432</v>
      </c>
      <c r="X663" t="s">
        <v>30</v>
      </c>
      <c r="Y663">
        <v>1557224</v>
      </c>
      <c r="Z663">
        <v>20250831</v>
      </c>
    </row>
    <row r="664" spans="3:26" x14ac:dyDescent="0.25">
      <c r="C664">
        <v>10000001</v>
      </c>
      <c r="D664" t="s">
        <v>600</v>
      </c>
      <c r="F664">
        <v>1557224</v>
      </c>
      <c r="H664" t="s">
        <v>600</v>
      </c>
      <c r="I664">
        <v>40</v>
      </c>
      <c r="J664" s="1">
        <v>50000</v>
      </c>
      <c r="K664" t="s">
        <v>26</v>
      </c>
      <c r="L664" s="1">
        <v>50000</v>
      </c>
      <c r="M664" t="s">
        <v>26</v>
      </c>
      <c r="Q664" t="s">
        <v>27</v>
      </c>
      <c r="T664" t="s">
        <v>433</v>
      </c>
      <c r="X664" t="s">
        <v>30</v>
      </c>
      <c r="Y664">
        <v>1557224</v>
      </c>
      <c r="Z664">
        <v>20250831</v>
      </c>
    </row>
    <row r="665" spans="3:26" x14ac:dyDescent="0.25">
      <c r="C665">
        <v>10000001</v>
      </c>
      <c r="D665" t="s">
        <v>600</v>
      </c>
      <c r="F665">
        <v>1557224</v>
      </c>
      <c r="H665" t="s">
        <v>600</v>
      </c>
      <c r="I665">
        <v>40</v>
      </c>
      <c r="J665" s="1">
        <v>50000</v>
      </c>
      <c r="K665" t="s">
        <v>26</v>
      </c>
      <c r="L665" s="1">
        <v>50000</v>
      </c>
      <c r="M665" t="s">
        <v>26</v>
      </c>
      <c r="Q665" t="s">
        <v>27</v>
      </c>
      <c r="T665" t="s">
        <v>538</v>
      </c>
      <c r="X665" t="s">
        <v>30</v>
      </c>
      <c r="Y665">
        <v>1557224</v>
      </c>
      <c r="Z665">
        <v>20250831</v>
      </c>
    </row>
    <row r="666" spans="3:26" x14ac:dyDescent="0.25">
      <c r="C666">
        <v>10000001</v>
      </c>
      <c r="D666" t="s">
        <v>600</v>
      </c>
      <c r="F666">
        <v>1557224</v>
      </c>
      <c r="H666" t="s">
        <v>600</v>
      </c>
      <c r="I666">
        <v>40</v>
      </c>
      <c r="J666" s="1">
        <v>50000</v>
      </c>
      <c r="K666" t="s">
        <v>26</v>
      </c>
      <c r="L666" s="1">
        <v>50000</v>
      </c>
      <c r="M666" t="s">
        <v>26</v>
      </c>
      <c r="Q666" t="s">
        <v>27</v>
      </c>
      <c r="T666" t="s">
        <v>540</v>
      </c>
      <c r="X666" t="s">
        <v>30</v>
      </c>
      <c r="Y666">
        <v>1557224</v>
      </c>
      <c r="Z666">
        <v>20250831</v>
      </c>
    </row>
    <row r="667" spans="3:26" x14ac:dyDescent="0.25">
      <c r="C667">
        <v>10000001</v>
      </c>
      <c r="D667" t="s">
        <v>600</v>
      </c>
      <c r="F667">
        <v>1557224</v>
      </c>
      <c r="H667" t="s">
        <v>600</v>
      </c>
      <c r="I667">
        <v>40</v>
      </c>
      <c r="J667" s="1">
        <v>50000</v>
      </c>
      <c r="K667" t="s">
        <v>26</v>
      </c>
      <c r="L667" s="1">
        <v>50000</v>
      </c>
      <c r="M667" t="s">
        <v>26</v>
      </c>
      <c r="Q667" t="s">
        <v>27</v>
      </c>
      <c r="T667" t="s">
        <v>539</v>
      </c>
      <c r="X667" t="s">
        <v>30</v>
      </c>
      <c r="Y667">
        <v>1557224</v>
      </c>
      <c r="Z667">
        <v>20250831</v>
      </c>
    </row>
    <row r="668" spans="3:26" x14ac:dyDescent="0.25">
      <c r="C668">
        <v>10000001</v>
      </c>
      <c r="D668" t="s">
        <v>600</v>
      </c>
      <c r="F668">
        <v>1557224</v>
      </c>
      <c r="H668" t="s">
        <v>600</v>
      </c>
      <c r="I668">
        <v>40</v>
      </c>
      <c r="J668" s="1">
        <v>50000</v>
      </c>
      <c r="K668" t="s">
        <v>26</v>
      </c>
      <c r="L668" s="1">
        <v>50000</v>
      </c>
      <c r="M668" t="s">
        <v>26</v>
      </c>
      <c r="Q668" t="s">
        <v>27</v>
      </c>
      <c r="T668" t="s">
        <v>496</v>
      </c>
      <c r="X668" t="s">
        <v>30</v>
      </c>
      <c r="Y668">
        <v>1557224</v>
      </c>
      <c r="Z668">
        <v>20250831</v>
      </c>
    </row>
    <row r="669" spans="3:26" x14ac:dyDescent="0.25">
      <c r="C669">
        <v>10000001</v>
      </c>
      <c r="D669" t="s">
        <v>600</v>
      </c>
      <c r="F669">
        <v>1557224</v>
      </c>
      <c r="H669" t="s">
        <v>600</v>
      </c>
      <c r="I669">
        <v>40</v>
      </c>
      <c r="J669" s="1">
        <v>50000</v>
      </c>
      <c r="K669" t="s">
        <v>26</v>
      </c>
      <c r="L669" s="1">
        <v>50000</v>
      </c>
      <c r="M669" t="s">
        <v>26</v>
      </c>
      <c r="Q669" t="s">
        <v>27</v>
      </c>
      <c r="T669" t="s">
        <v>497</v>
      </c>
      <c r="X669" t="s">
        <v>30</v>
      </c>
      <c r="Y669">
        <v>1557224</v>
      </c>
      <c r="Z669">
        <v>20250831</v>
      </c>
    </row>
    <row r="670" spans="3:26" x14ac:dyDescent="0.25">
      <c r="C670">
        <v>10000001</v>
      </c>
      <c r="D670" t="s">
        <v>600</v>
      </c>
      <c r="F670">
        <v>1557224</v>
      </c>
      <c r="H670" t="s">
        <v>600</v>
      </c>
      <c r="I670">
        <v>40</v>
      </c>
      <c r="J670" s="1">
        <v>50000</v>
      </c>
      <c r="K670" t="s">
        <v>26</v>
      </c>
      <c r="L670" s="1">
        <v>50000</v>
      </c>
      <c r="M670" t="s">
        <v>26</v>
      </c>
      <c r="Q670" t="s">
        <v>27</v>
      </c>
      <c r="T670" t="s">
        <v>479</v>
      </c>
      <c r="X670" t="s">
        <v>30</v>
      </c>
      <c r="Y670">
        <v>1557224</v>
      </c>
      <c r="Z670">
        <v>20250831</v>
      </c>
    </row>
    <row r="671" spans="3:26" x14ac:dyDescent="0.25">
      <c r="C671">
        <v>10000001</v>
      </c>
      <c r="D671" t="s">
        <v>600</v>
      </c>
      <c r="F671">
        <v>1557224</v>
      </c>
      <c r="H671" t="s">
        <v>600</v>
      </c>
      <c r="I671">
        <v>40</v>
      </c>
      <c r="J671" s="1">
        <v>50000</v>
      </c>
      <c r="K671" t="s">
        <v>26</v>
      </c>
      <c r="L671" s="1">
        <v>50000</v>
      </c>
      <c r="M671" t="s">
        <v>26</v>
      </c>
      <c r="Q671" t="s">
        <v>27</v>
      </c>
      <c r="T671" t="s">
        <v>484</v>
      </c>
      <c r="X671" t="s">
        <v>30</v>
      </c>
      <c r="Y671">
        <v>1557224</v>
      </c>
      <c r="Z671">
        <v>20250831</v>
      </c>
    </row>
    <row r="672" spans="3:26" x14ac:dyDescent="0.25">
      <c r="C672">
        <v>10000001</v>
      </c>
      <c r="D672" t="s">
        <v>600</v>
      </c>
      <c r="F672">
        <v>1557224</v>
      </c>
      <c r="H672" t="s">
        <v>600</v>
      </c>
      <c r="I672">
        <v>40</v>
      </c>
      <c r="J672" s="1">
        <v>100000</v>
      </c>
      <c r="K672" t="s">
        <v>26</v>
      </c>
      <c r="L672" s="1">
        <v>100000</v>
      </c>
      <c r="M672" t="s">
        <v>26</v>
      </c>
      <c r="Q672" t="s">
        <v>27</v>
      </c>
      <c r="T672" t="s">
        <v>509</v>
      </c>
      <c r="X672" t="s">
        <v>30</v>
      </c>
      <c r="Y672">
        <v>1557224</v>
      </c>
      <c r="Z672">
        <v>20250831</v>
      </c>
    </row>
    <row r="673" spans="3:26" x14ac:dyDescent="0.25">
      <c r="C673">
        <v>10000001</v>
      </c>
      <c r="D673" t="s">
        <v>600</v>
      </c>
      <c r="F673">
        <v>1557224</v>
      </c>
      <c r="H673" t="s">
        <v>600</v>
      </c>
      <c r="I673">
        <v>40</v>
      </c>
      <c r="J673" s="1">
        <v>50000</v>
      </c>
      <c r="K673" t="s">
        <v>26</v>
      </c>
      <c r="L673" s="1">
        <v>50000</v>
      </c>
      <c r="M673" t="s">
        <v>26</v>
      </c>
      <c r="Q673" t="s">
        <v>27</v>
      </c>
      <c r="T673" t="s">
        <v>392</v>
      </c>
      <c r="X673" t="s">
        <v>30</v>
      </c>
      <c r="Y673">
        <v>1557224</v>
      </c>
      <c r="Z673">
        <v>20250831</v>
      </c>
    </row>
    <row r="674" spans="3:26" x14ac:dyDescent="0.25">
      <c r="C674">
        <v>10000001</v>
      </c>
      <c r="D674" t="s">
        <v>600</v>
      </c>
      <c r="F674">
        <v>1557224</v>
      </c>
      <c r="H674" t="s">
        <v>600</v>
      </c>
      <c r="I674">
        <v>40</v>
      </c>
      <c r="J674" s="1">
        <v>50000</v>
      </c>
      <c r="K674" t="s">
        <v>26</v>
      </c>
      <c r="L674" s="1">
        <v>50000</v>
      </c>
      <c r="M674" t="s">
        <v>26</v>
      </c>
      <c r="Q674" t="s">
        <v>27</v>
      </c>
      <c r="T674" t="s">
        <v>391</v>
      </c>
      <c r="X674" t="s">
        <v>30</v>
      </c>
      <c r="Y674">
        <v>1557224</v>
      </c>
      <c r="Z674">
        <v>20250831</v>
      </c>
    </row>
    <row r="675" spans="3:26" x14ac:dyDescent="0.25">
      <c r="C675">
        <v>10000001</v>
      </c>
      <c r="D675" t="s">
        <v>600</v>
      </c>
      <c r="F675">
        <v>1557224</v>
      </c>
      <c r="H675" t="s">
        <v>600</v>
      </c>
      <c r="I675">
        <v>40</v>
      </c>
      <c r="J675" s="1">
        <v>50000</v>
      </c>
      <c r="K675" t="s">
        <v>26</v>
      </c>
      <c r="L675" s="1">
        <v>50000</v>
      </c>
      <c r="M675" t="s">
        <v>26</v>
      </c>
      <c r="Q675" t="s">
        <v>27</v>
      </c>
      <c r="T675" t="s">
        <v>388</v>
      </c>
      <c r="X675" t="s">
        <v>30</v>
      </c>
      <c r="Y675">
        <v>1557224</v>
      </c>
      <c r="Z675">
        <v>20250831</v>
      </c>
    </row>
    <row r="676" spans="3:26" x14ac:dyDescent="0.25">
      <c r="C676">
        <v>10000001</v>
      </c>
      <c r="D676" t="s">
        <v>600</v>
      </c>
      <c r="F676">
        <v>1557224</v>
      </c>
      <c r="H676" t="s">
        <v>600</v>
      </c>
      <c r="I676">
        <v>40</v>
      </c>
      <c r="J676" s="1">
        <v>50000</v>
      </c>
      <c r="K676" t="s">
        <v>26</v>
      </c>
      <c r="L676" s="1">
        <v>50000</v>
      </c>
      <c r="M676" t="s">
        <v>26</v>
      </c>
      <c r="Q676" t="s">
        <v>27</v>
      </c>
      <c r="T676" t="s">
        <v>488</v>
      </c>
      <c r="X676" t="s">
        <v>30</v>
      </c>
      <c r="Y676">
        <v>1557224</v>
      </c>
      <c r="Z676">
        <v>20250831</v>
      </c>
    </row>
    <row r="677" spans="3:26" x14ac:dyDescent="0.25">
      <c r="C677">
        <v>10000001</v>
      </c>
      <c r="D677" t="s">
        <v>600</v>
      </c>
      <c r="F677">
        <v>1557224</v>
      </c>
      <c r="H677" t="s">
        <v>600</v>
      </c>
      <c r="I677">
        <v>40</v>
      </c>
      <c r="J677" s="1">
        <v>50000</v>
      </c>
      <c r="K677" t="s">
        <v>26</v>
      </c>
      <c r="L677" s="1">
        <v>50000</v>
      </c>
      <c r="M677" t="s">
        <v>26</v>
      </c>
      <c r="Q677" t="s">
        <v>27</v>
      </c>
      <c r="T677" t="s">
        <v>503</v>
      </c>
      <c r="X677" t="s">
        <v>30</v>
      </c>
      <c r="Y677">
        <v>1557224</v>
      </c>
      <c r="Z677">
        <v>20250831</v>
      </c>
    </row>
    <row r="678" spans="3:26" x14ac:dyDescent="0.25">
      <c r="C678">
        <v>10000001</v>
      </c>
      <c r="D678" t="s">
        <v>600</v>
      </c>
      <c r="F678">
        <v>1557224</v>
      </c>
      <c r="H678" t="s">
        <v>600</v>
      </c>
      <c r="I678">
        <v>40</v>
      </c>
      <c r="J678" s="1">
        <v>50000</v>
      </c>
      <c r="K678" t="s">
        <v>26</v>
      </c>
      <c r="L678" s="1">
        <v>50000</v>
      </c>
      <c r="M678" t="s">
        <v>26</v>
      </c>
      <c r="Q678" t="s">
        <v>27</v>
      </c>
      <c r="T678" t="s">
        <v>577</v>
      </c>
      <c r="X678" t="s">
        <v>30</v>
      </c>
      <c r="Y678">
        <v>1557224</v>
      </c>
      <c r="Z678">
        <v>20250831</v>
      </c>
    </row>
    <row r="679" spans="3:26" x14ac:dyDescent="0.25">
      <c r="C679">
        <v>10000001</v>
      </c>
      <c r="D679" t="s">
        <v>600</v>
      </c>
      <c r="F679">
        <v>1557224</v>
      </c>
      <c r="H679" t="s">
        <v>600</v>
      </c>
      <c r="I679">
        <v>40</v>
      </c>
      <c r="J679" s="1">
        <v>50000</v>
      </c>
      <c r="K679" t="s">
        <v>26</v>
      </c>
      <c r="L679" s="1">
        <v>50000</v>
      </c>
      <c r="M679" t="s">
        <v>26</v>
      </c>
      <c r="Q679" t="s">
        <v>27</v>
      </c>
      <c r="T679" t="s">
        <v>561</v>
      </c>
      <c r="X679" t="s">
        <v>30</v>
      </c>
      <c r="Y679">
        <v>1557224</v>
      </c>
      <c r="Z679">
        <v>20250831</v>
      </c>
    </row>
    <row r="680" spans="3:26" x14ac:dyDescent="0.25">
      <c r="C680">
        <v>10000001</v>
      </c>
      <c r="D680" t="s">
        <v>600</v>
      </c>
      <c r="F680">
        <v>1557224</v>
      </c>
      <c r="H680" t="s">
        <v>600</v>
      </c>
      <c r="I680">
        <v>40</v>
      </c>
      <c r="J680" s="1">
        <v>50000</v>
      </c>
      <c r="K680" t="s">
        <v>26</v>
      </c>
      <c r="L680" s="1">
        <v>50000</v>
      </c>
      <c r="M680" t="s">
        <v>26</v>
      </c>
      <c r="Q680" t="s">
        <v>27</v>
      </c>
      <c r="T680" t="s">
        <v>489</v>
      </c>
      <c r="X680" t="s">
        <v>30</v>
      </c>
      <c r="Y680">
        <v>1557224</v>
      </c>
      <c r="Z680">
        <v>20250831</v>
      </c>
    </row>
    <row r="681" spans="3:26" x14ac:dyDescent="0.25">
      <c r="C681">
        <v>10000001</v>
      </c>
      <c r="D681" t="s">
        <v>600</v>
      </c>
      <c r="F681">
        <v>1557224</v>
      </c>
      <c r="H681" t="s">
        <v>600</v>
      </c>
      <c r="I681">
        <v>40</v>
      </c>
      <c r="J681" s="1">
        <v>50000</v>
      </c>
      <c r="K681" t="s">
        <v>26</v>
      </c>
      <c r="L681" s="1">
        <v>50000</v>
      </c>
      <c r="M681" t="s">
        <v>26</v>
      </c>
      <c r="Q681" t="s">
        <v>27</v>
      </c>
      <c r="T681" t="s">
        <v>490</v>
      </c>
      <c r="X681" t="s">
        <v>30</v>
      </c>
      <c r="Y681">
        <v>1557224</v>
      </c>
      <c r="Z681">
        <v>20250831</v>
      </c>
    </row>
    <row r="682" spans="3:26" x14ac:dyDescent="0.25">
      <c r="C682">
        <v>10000001</v>
      </c>
      <c r="D682" t="s">
        <v>600</v>
      </c>
      <c r="F682">
        <v>1557224</v>
      </c>
      <c r="H682" t="s">
        <v>600</v>
      </c>
      <c r="I682">
        <v>40</v>
      </c>
      <c r="J682" s="1">
        <v>50000</v>
      </c>
      <c r="K682" t="s">
        <v>26</v>
      </c>
      <c r="L682" s="1">
        <v>50000</v>
      </c>
      <c r="M682" t="s">
        <v>26</v>
      </c>
      <c r="Q682" t="s">
        <v>27</v>
      </c>
      <c r="T682" t="s">
        <v>578</v>
      </c>
      <c r="X682" t="s">
        <v>30</v>
      </c>
      <c r="Y682">
        <v>1557224</v>
      </c>
      <c r="Z682">
        <v>20250831</v>
      </c>
    </row>
    <row r="683" spans="3:26" x14ac:dyDescent="0.25">
      <c r="C683">
        <v>10000001</v>
      </c>
      <c r="D683" t="s">
        <v>600</v>
      </c>
      <c r="F683">
        <v>1557224</v>
      </c>
      <c r="H683" t="s">
        <v>600</v>
      </c>
      <c r="I683">
        <v>40</v>
      </c>
      <c r="J683" s="1">
        <v>50000</v>
      </c>
      <c r="K683" t="s">
        <v>26</v>
      </c>
      <c r="L683" s="1">
        <v>50000</v>
      </c>
      <c r="M683" t="s">
        <v>26</v>
      </c>
      <c r="Q683" t="s">
        <v>27</v>
      </c>
      <c r="T683" t="s">
        <v>579</v>
      </c>
      <c r="X683" t="s">
        <v>30</v>
      </c>
      <c r="Y683">
        <v>1557224</v>
      </c>
      <c r="Z683">
        <v>20250831</v>
      </c>
    </row>
    <row r="684" spans="3:26" x14ac:dyDescent="0.25">
      <c r="C684">
        <v>10000001</v>
      </c>
      <c r="D684" t="s">
        <v>600</v>
      </c>
      <c r="F684">
        <v>1557224</v>
      </c>
      <c r="H684" t="s">
        <v>600</v>
      </c>
      <c r="I684">
        <v>40</v>
      </c>
      <c r="J684" s="1">
        <v>50000</v>
      </c>
      <c r="K684" t="s">
        <v>26</v>
      </c>
      <c r="L684" s="1">
        <v>50000</v>
      </c>
      <c r="M684" t="s">
        <v>26</v>
      </c>
      <c r="Q684" t="s">
        <v>27</v>
      </c>
      <c r="T684" t="s">
        <v>537</v>
      </c>
      <c r="X684" t="s">
        <v>30</v>
      </c>
      <c r="Y684">
        <v>1557224</v>
      </c>
      <c r="Z684">
        <v>20250831</v>
      </c>
    </row>
    <row r="685" spans="3:26" x14ac:dyDescent="0.25">
      <c r="C685">
        <v>10000001</v>
      </c>
      <c r="D685" t="s">
        <v>600</v>
      </c>
      <c r="F685">
        <v>1557224</v>
      </c>
      <c r="H685" t="s">
        <v>600</v>
      </c>
      <c r="I685">
        <v>40</v>
      </c>
      <c r="J685" s="1">
        <v>50000</v>
      </c>
      <c r="K685" t="s">
        <v>26</v>
      </c>
      <c r="L685" s="1">
        <v>50000</v>
      </c>
      <c r="M685" t="s">
        <v>26</v>
      </c>
      <c r="Q685" t="s">
        <v>27</v>
      </c>
      <c r="T685" t="s">
        <v>389</v>
      </c>
      <c r="X685" t="s">
        <v>30</v>
      </c>
      <c r="Y685">
        <v>1557224</v>
      </c>
      <c r="Z685">
        <v>20250831</v>
      </c>
    </row>
    <row r="686" spans="3:26" x14ac:dyDescent="0.25">
      <c r="C686">
        <v>10000001</v>
      </c>
      <c r="D686" t="s">
        <v>600</v>
      </c>
      <c r="F686">
        <v>1557224</v>
      </c>
      <c r="H686" t="s">
        <v>600</v>
      </c>
      <c r="I686">
        <v>40</v>
      </c>
      <c r="J686" s="1">
        <v>50000</v>
      </c>
      <c r="K686" t="s">
        <v>26</v>
      </c>
      <c r="L686" s="1">
        <v>50000</v>
      </c>
      <c r="M686" t="s">
        <v>26</v>
      </c>
      <c r="Q686" t="s">
        <v>27</v>
      </c>
      <c r="T686" t="s">
        <v>390</v>
      </c>
      <c r="X686" t="s">
        <v>30</v>
      </c>
      <c r="Y686">
        <v>1557224</v>
      </c>
      <c r="Z686">
        <v>20250831</v>
      </c>
    </row>
    <row r="687" spans="3:26" x14ac:dyDescent="0.25">
      <c r="C687">
        <v>10000001</v>
      </c>
      <c r="D687" t="s">
        <v>600</v>
      </c>
      <c r="F687">
        <v>1557224</v>
      </c>
      <c r="H687" t="s">
        <v>600</v>
      </c>
      <c r="I687">
        <v>40</v>
      </c>
      <c r="J687" s="1">
        <v>50000</v>
      </c>
      <c r="K687" t="s">
        <v>26</v>
      </c>
      <c r="L687" s="1">
        <v>50000</v>
      </c>
      <c r="M687" t="s">
        <v>26</v>
      </c>
      <c r="Q687" t="s">
        <v>27</v>
      </c>
      <c r="T687" t="s">
        <v>533</v>
      </c>
      <c r="X687" t="s">
        <v>30</v>
      </c>
      <c r="Y687">
        <v>1557224</v>
      </c>
      <c r="Z687">
        <v>20250831</v>
      </c>
    </row>
    <row r="688" spans="3:26" x14ac:dyDescent="0.25">
      <c r="C688">
        <v>10000001</v>
      </c>
      <c r="D688" t="s">
        <v>600</v>
      </c>
      <c r="F688">
        <v>1557224</v>
      </c>
      <c r="H688" t="s">
        <v>600</v>
      </c>
      <c r="I688">
        <v>40</v>
      </c>
      <c r="J688" s="1">
        <v>50000</v>
      </c>
      <c r="K688" t="s">
        <v>26</v>
      </c>
      <c r="L688" s="1">
        <v>50000</v>
      </c>
      <c r="M688" t="s">
        <v>26</v>
      </c>
      <c r="Q688" t="s">
        <v>27</v>
      </c>
      <c r="T688" t="s">
        <v>504</v>
      </c>
      <c r="X688" t="s">
        <v>30</v>
      </c>
      <c r="Y688">
        <v>1557224</v>
      </c>
      <c r="Z688">
        <v>20250831</v>
      </c>
    </row>
    <row r="689" spans="3:26" x14ac:dyDescent="0.25">
      <c r="C689">
        <v>10000001</v>
      </c>
      <c r="D689" t="s">
        <v>600</v>
      </c>
      <c r="F689">
        <v>1557224</v>
      </c>
      <c r="H689" t="s">
        <v>600</v>
      </c>
      <c r="I689">
        <v>40</v>
      </c>
      <c r="J689" s="1">
        <v>50000</v>
      </c>
      <c r="K689" t="s">
        <v>26</v>
      </c>
      <c r="L689" s="1">
        <v>50000</v>
      </c>
      <c r="M689" t="s">
        <v>26</v>
      </c>
      <c r="Q689" t="s">
        <v>27</v>
      </c>
      <c r="T689" t="s">
        <v>505</v>
      </c>
      <c r="X689" t="s">
        <v>30</v>
      </c>
      <c r="Y689">
        <v>1557224</v>
      </c>
      <c r="Z689">
        <v>20250831</v>
      </c>
    </row>
    <row r="690" spans="3:26" x14ac:dyDescent="0.25">
      <c r="C690">
        <v>10000001</v>
      </c>
      <c r="D690" t="s">
        <v>600</v>
      </c>
      <c r="F690">
        <v>1557224</v>
      </c>
      <c r="H690" t="s">
        <v>600</v>
      </c>
      <c r="I690">
        <v>40</v>
      </c>
      <c r="J690" s="1">
        <v>50000</v>
      </c>
      <c r="K690" t="s">
        <v>26</v>
      </c>
      <c r="L690" s="1">
        <v>50000</v>
      </c>
      <c r="M690" t="s">
        <v>26</v>
      </c>
      <c r="Q690" t="s">
        <v>27</v>
      </c>
      <c r="T690" t="s">
        <v>510</v>
      </c>
      <c r="X690" t="s">
        <v>30</v>
      </c>
      <c r="Y690">
        <v>1557224</v>
      </c>
      <c r="Z690">
        <v>20250831</v>
      </c>
    </row>
    <row r="691" spans="3:26" x14ac:dyDescent="0.25">
      <c r="C691">
        <v>10000001</v>
      </c>
      <c r="D691" t="s">
        <v>600</v>
      </c>
      <c r="F691">
        <v>1557224</v>
      </c>
      <c r="H691" t="s">
        <v>600</v>
      </c>
      <c r="I691">
        <v>40</v>
      </c>
      <c r="J691" s="1">
        <v>50000</v>
      </c>
      <c r="K691" t="s">
        <v>26</v>
      </c>
      <c r="L691" s="1">
        <v>50000</v>
      </c>
      <c r="M691" t="s">
        <v>26</v>
      </c>
      <c r="Q691" t="s">
        <v>27</v>
      </c>
      <c r="T691" t="s">
        <v>393</v>
      </c>
      <c r="X691" t="s">
        <v>30</v>
      </c>
      <c r="Y691">
        <v>1557224</v>
      </c>
      <c r="Z691">
        <v>20250831</v>
      </c>
    </row>
    <row r="692" spans="3:26" x14ac:dyDescent="0.25">
      <c r="C692">
        <v>10000001</v>
      </c>
      <c r="D692" t="s">
        <v>600</v>
      </c>
      <c r="F692">
        <v>1557224</v>
      </c>
      <c r="H692" t="s">
        <v>600</v>
      </c>
      <c r="I692">
        <v>40</v>
      </c>
      <c r="J692" s="1">
        <v>50000</v>
      </c>
      <c r="K692" t="s">
        <v>26</v>
      </c>
      <c r="L692" s="1">
        <v>50000</v>
      </c>
      <c r="M692" t="s">
        <v>26</v>
      </c>
      <c r="Q692" t="s">
        <v>27</v>
      </c>
      <c r="T692" t="s">
        <v>394</v>
      </c>
      <c r="X692" t="s">
        <v>30</v>
      </c>
      <c r="Y692">
        <v>1557224</v>
      </c>
      <c r="Z692">
        <v>20250831</v>
      </c>
    </row>
    <row r="693" spans="3:26" x14ac:dyDescent="0.25">
      <c r="C693">
        <v>10000001</v>
      </c>
      <c r="D693" t="s">
        <v>600</v>
      </c>
      <c r="F693">
        <v>1557224</v>
      </c>
      <c r="H693" t="s">
        <v>600</v>
      </c>
      <c r="I693">
        <v>40</v>
      </c>
      <c r="J693" s="1">
        <v>50000</v>
      </c>
      <c r="K693" t="s">
        <v>26</v>
      </c>
      <c r="L693" s="1">
        <v>50000</v>
      </c>
      <c r="M693" t="s">
        <v>26</v>
      </c>
      <c r="Q693" t="s">
        <v>27</v>
      </c>
      <c r="T693" t="s">
        <v>480</v>
      </c>
      <c r="X693" t="s">
        <v>30</v>
      </c>
      <c r="Y693">
        <v>1557224</v>
      </c>
      <c r="Z693">
        <v>20250831</v>
      </c>
    </row>
    <row r="694" spans="3:26" x14ac:dyDescent="0.25">
      <c r="C694">
        <v>10000001</v>
      </c>
      <c r="D694" t="s">
        <v>600</v>
      </c>
      <c r="F694">
        <v>1557224</v>
      </c>
      <c r="H694" t="s">
        <v>600</v>
      </c>
      <c r="I694">
        <v>40</v>
      </c>
      <c r="J694" s="1">
        <v>50000</v>
      </c>
      <c r="K694" t="s">
        <v>26</v>
      </c>
      <c r="L694" s="1">
        <v>50000</v>
      </c>
      <c r="M694" t="s">
        <v>26</v>
      </c>
      <c r="Q694" t="s">
        <v>27</v>
      </c>
      <c r="T694" t="s">
        <v>481</v>
      </c>
      <c r="X694" t="s">
        <v>30</v>
      </c>
      <c r="Y694">
        <v>1557224</v>
      </c>
      <c r="Z694">
        <v>20250831</v>
      </c>
    </row>
    <row r="695" spans="3:26" x14ac:dyDescent="0.25">
      <c r="C695">
        <v>10000001</v>
      </c>
      <c r="D695" t="s">
        <v>600</v>
      </c>
      <c r="F695">
        <v>1557224</v>
      </c>
      <c r="H695" t="s">
        <v>600</v>
      </c>
      <c r="I695">
        <v>40</v>
      </c>
      <c r="J695" s="1">
        <v>50000</v>
      </c>
      <c r="K695" t="s">
        <v>26</v>
      </c>
      <c r="L695" s="1">
        <v>50000</v>
      </c>
      <c r="M695" t="s">
        <v>26</v>
      </c>
      <c r="Q695" t="s">
        <v>27</v>
      </c>
      <c r="T695" t="s">
        <v>482</v>
      </c>
      <c r="X695" t="s">
        <v>30</v>
      </c>
      <c r="Y695">
        <v>1557224</v>
      </c>
      <c r="Z695">
        <v>20250831</v>
      </c>
    </row>
    <row r="696" spans="3:26" x14ac:dyDescent="0.25">
      <c r="C696">
        <v>10000001</v>
      </c>
      <c r="D696" t="s">
        <v>600</v>
      </c>
      <c r="F696">
        <v>1557224</v>
      </c>
      <c r="H696" t="s">
        <v>600</v>
      </c>
      <c r="I696">
        <v>40</v>
      </c>
      <c r="J696" s="1">
        <v>50000</v>
      </c>
      <c r="K696" t="s">
        <v>26</v>
      </c>
      <c r="L696" s="1">
        <v>50000</v>
      </c>
      <c r="M696" t="s">
        <v>26</v>
      </c>
      <c r="Q696" t="s">
        <v>27</v>
      </c>
      <c r="T696" t="s">
        <v>483</v>
      </c>
      <c r="X696" t="s">
        <v>30</v>
      </c>
      <c r="Y696">
        <v>1557224</v>
      </c>
      <c r="Z696">
        <v>20250831</v>
      </c>
    </row>
    <row r="697" spans="3:26" x14ac:dyDescent="0.25">
      <c r="C697">
        <v>10000001</v>
      </c>
      <c r="D697" t="s">
        <v>600</v>
      </c>
      <c r="F697">
        <v>1557224</v>
      </c>
      <c r="H697" t="s">
        <v>600</v>
      </c>
      <c r="I697">
        <v>40</v>
      </c>
      <c r="J697" s="1">
        <v>50000</v>
      </c>
      <c r="K697" t="s">
        <v>26</v>
      </c>
      <c r="L697" s="1">
        <v>50000</v>
      </c>
      <c r="M697" t="s">
        <v>26</v>
      </c>
      <c r="Q697" t="s">
        <v>27</v>
      </c>
      <c r="T697" t="s">
        <v>556</v>
      </c>
      <c r="X697" t="s">
        <v>30</v>
      </c>
      <c r="Y697">
        <v>1557224</v>
      </c>
      <c r="Z697">
        <v>20250831</v>
      </c>
    </row>
    <row r="698" spans="3:26" x14ac:dyDescent="0.25">
      <c r="C698">
        <v>10000001</v>
      </c>
      <c r="D698" t="s">
        <v>600</v>
      </c>
      <c r="F698">
        <v>1557224</v>
      </c>
      <c r="H698" t="s">
        <v>600</v>
      </c>
      <c r="I698">
        <v>40</v>
      </c>
      <c r="J698" s="1">
        <v>50000</v>
      </c>
      <c r="K698" t="s">
        <v>26</v>
      </c>
      <c r="L698" s="1">
        <v>50000</v>
      </c>
      <c r="M698" t="s">
        <v>26</v>
      </c>
      <c r="Q698" t="s">
        <v>27</v>
      </c>
      <c r="T698" t="s">
        <v>555</v>
      </c>
      <c r="X698" t="s">
        <v>30</v>
      </c>
      <c r="Y698">
        <v>1557224</v>
      </c>
      <c r="Z698">
        <v>20250831</v>
      </c>
    </row>
    <row r="699" spans="3:26" x14ac:dyDescent="0.25">
      <c r="C699">
        <v>10000001</v>
      </c>
      <c r="D699" t="s">
        <v>600</v>
      </c>
      <c r="F699">
        <v>1557224</v>
      </c>
      <c r="H699" t="s">
        <v>600</v>
      </c>
      <c r="I699">
        <v>40</v>
      </c>
      <c r="J699" s="1">
        <v>50000</v>
      </c>
      <c r="K699" t="s">
        <v>26</v>
      </c>
      <c r="L699" s="1">
        <v>50000</v>
      </c>
      <c r="M699" t="s">
        <v>26</v>
      </c>
      <c r="Q699" t="s">
        <v>27</v>
      </c>
      <c r="T699" t="s">
        <v>550</v>
      </c>
      <c r="X699" t="s">
        <v>30</v>
      </c>
      <c r="Y699">
        <v>1557224</v>
      </c>
      <c r="Z699">
        <v>20250831</v>
      </c>
    </row>
    <row r="700" spans="3:26" x14ac:dyDescent="0.25">
      <c r="C700">
        <v>10000001</v>
      </c>
      <c r="D700" t="s">
        <v>600</v>
      </c>
      <c r="F700">
        <v>1557224</v>
      </c>
      <c r="H700" t="s">
        <v>600</v>
      </c>
      <c r="I700">
        <v>40</v>
      </c>
      <c r="J700" s="1">
        <v>50000</v>
      </c>
      <c r="K700" t="s">
        <v>26</v>
      </c>
      <c r="L700" s="1">
        <v>50000</v>
      </c>
      <c r="M700" t="s">
        <v>26</v>
      </c>
      <c r="Q700" t="s">
        <v>27</v>
      </c>
      <c r="T700" t="s">
        <v>554</v>
      </c>
      <c r="X700" t="s">
        <v>30</v>
      </c>
      <c r="Y700">
        <v>1557224</v>
      </c>
      <c r="Z700">
        <v>20250831</v>
      </c>
    </row>
    <row r="701" spans="3:26" x14ac:dyDescent="0.25">
      <c r="C701">
        <v>10000001</v>
      </c>
      <c r="D701" t="s">
        <v>600</v>
      </c>
      <c r="F701">
        <v>1557224</v>
      </c>
      <c r="H701" t="s">
        <v>600</v>
      </c>
      <c r="I701">
        <v>40</v>
      </c>
      <c r="J701" s="1">
        <v>50000</v>
      </c>
      <c r="K701" t="s">
        <v>26</v>
      </c>
      <c r="L701" s="1">
        <v>50000</v>
      </c>
      <c r="M701" t="s">
        <v>26</v>
      </c>
      <c r="Q701" t="s">
        <v>27</v>
      </c>
      <c r="T701" t="s">
        <v>545</v>
      </c>
      <c r="X701" t="s">
        <v>30</v>
      </c>
      <c r="Y701">
        <v>1557224</v>
      </c>
      <c r="Z701">
        <v>20250831</v>
      </c>
    </row>
    <row r="702" spans="3:26" x14ac:dyDescent="0.25">
      <c r="C702">
        <v>10000001</v>
      </c>
      <c r="D702" t="s">
        <v>600</v>
      </c>
      <c r="F702">
        <v>1557224</v>
      </c>
      <c r="H702" t="s">
        <v>600</v>
      </c>
      <c r="I702">
        <v>40</v>
      </c>
      <c r="J702" s="1">
        <v>50000</v>
      </c>
      <c r="K702" t="s">
        <v>26</v>
      </c>
      <c r="L702" s="1">
        <v>50000</v>
      </c>
      <c r="M702" t="s">
        <v>26</v>
      </c>
      <c r="Q702" t="s">
        <v>27</v>
      </c>
      <c r="T702" t="s">
        <v>553</v>
      </c>
      <c r="X702" t="s">
        <v>30</v>
      </c>
      <c r="Y702">
        <v>1557224</v>
      </c>
      <c r="Z702">
        <v>20250831</v>
      </c>
    </row>
    <row r="703" spans="3:26" x14ac:dyDescent="0.25">
      <c r="C703">
        <v>10000001</v>
      </c>
      <c r="D703" t="s">
        <v>600</v>
      </c>
      <c r="F703">
        <v>1557224</v>
      </c>
      <c r="H703" t="s">
        <v>600</v>
      </c>
      <c r="I703">
        <v>40</v>
      </c>
      <c r="J703" s="1">
        <v>50000</v>
      </c>
      <c r="K703" t="s">
        <v>26</v>
      </c>
      <c r="L703" s="1">
        <v>50000</v>
      </c>
      <c r="M703" t="s">
        <v>26</v>
      </c>
      <c r="Q703" t="s">
        <v>27</v>
      </c>
      <c r="T703" t="s">
        <v>551</v>
      </c>
      <c r="X703" t="s">
        <v>30</v>
      </c>
      <c r="Y703">
        <v>1557224</v>
      </c>
      <c r="Z703">
        <v>20250831</v>
      </c>
    </row>
    <row r="704" spans="3:26" x14ac:dyDescent="0.25">
      <c r="C704">
        <v>10000001</v>
      </c>
      <c r="D704" t="s">
        <v>600</v>
      </c>
      <c r="F704">
        <v>1557224</v>
      </c>
      <c r="H704" t="s">
        <v>600</v>
      </c>
      <c r="I704">
        <v>40</v>
      </c>
      <c r="J704" s="1">
        <v>50000</v>
      </c>
      <c r="K704" t="s">
        <v>26</v>
      </c>
      <c r="L704" s="1">
        <v>50000</v>
      </c>
      <c r="M704" t="s">
        <v>26</v>
      </c>
      <c r="Q704" t="s">
        <v>27</v>
      </c>
      <c r="T704" t="s">
        <v>547</v>
      </c>
      <c r="X704" t="s">
        <v>30</v>
      </c>
      <c r="Y704">
        <v>1557224</v>
      </c>
      <c r="Z704">
        <v>20250831</v>
      </c>
    </row>
    <row r="705" spans="3:26" x14ac:dyDescent="0.25">
      <c r="C705">
        <v>10000001</v>
      </c>
      <c r="D705" t="s">
        <v>600</v>
      </c>
      <c r="F705">
        <v>1557224</v>
      </c>
      <c r="H705" t="s">
        <v>600</v>
      </c>
      <c r="I705">
        <v>40</v>
      </c>
      <c r="J705" s="1">
        <v>50000</v>
      </c>
      <c r="K705" t="s">
        <v>26</v>
      </c>
      <c r="L705" s="1">
        <v>50000</v>
      </c>
      <c r="M705" t="s">
        <v>26</v>
      </c>
      <c r="Q705" t="s">
        <v>27</v>
      </c>
      <c r="T705" t="s">
        <v>546</v>
      </c>
      <c r="X705" t="s">
        <v>30</v>
      </c>
      <c r="Y705">
        <v>1557224</v>
      </c>
      <c r="Z705">
        <v>20250831</v>
      </c>
    </row>
    <row r="706" spans="3:26" x14ac:dyDescent="0.25">
      <c r="C706">
        <v>10000001</v>
      </c>
      <c r="D706" t="s">
        <v>600</v>
      </c>
      <c r="F706">
        <v>1557224</v>
      </c>
      <c r="H706" t="s">
        <v>600</v>
      </c>
      <c r="I706">
        <v>40</v>
      </c>
      <c r="J706" s="1">
        <v>50000</v>
      </c>
      <c r="K706" t="s">
        <v>26</v>
      </c>
      <c r="L706" s="1">
        <v>50000</v>
      </c>
      <c r="M706" t="s">
        <v>26</v>
      </c>
      <c r="Q706" t="s">
        <v>27</v>
      </c>
      <c r="T706" t="s">
        <v>548</v>
      </c>
      <c r="X706" t="s">
        <v>30</v>
      </c>
      <c r="Y706">
        <v>1557224</v>
      </c>
      <c r="Z706">
        <v>20250831</v>
      </c>
    </row>
    <row r="707" spans="3:26" x14ac:dyDescent="0.25">
      <c r="C707">
        <v>10000001</v>
      </c>
      <c r="D707" t="s">
        <v>600</v>
      </c>
      <c r="F707">
        <v>1557224</v>
      </c>
      <c r="H707" t="s">
        <v>600</v>
      </c>
      <c r="I707">
        <v>40</v>
      </c>
      <c r="J707" s="1">
        <v>50000</v>
      </c>
      <c r="K707" t="s">
        <v>26</v>
      </c>
      <c r="L707" s="1">
        <v>50000</v>
      </c>
      <c r="M707" t="s">
        <v>26</v>
      </c>
      <c r="Q707" t="s">
        <v>27</v>
      </c>
      <c r="T707" t="s">
        <v>536</v>
      </c>
      <c r="X707" t="s">
        <v>30</v>
      </c>
      <c r="Y707">
        <v>1557224</v>
      </c>
      <c r="Z707">
        <v>20250831</v>
      </c>
    </row>
    <row r="708" spans="3:26" x14ac:dyDescent="0.25">
      <c r="C708">
        <v>10000001</v>
      </c>
      <c r="D708" t="s">
        <v>600</v>
      </c>
      <c r="F708">
        <v>1557224</v>
      </c>
      <c r="H708" t="s">
        <v>600</v>
      </c>
      <c r="I708">
        <v>40</v>
      </c>
      <c r="J708" s="1">
        <v>50000</v>
      </c>
      <c r="K708" t="s">
        <v>26</v>
      </c>
      <c r="L708" s="1">
        <v>50000</v>
      </c>
      <c r="M708" t="s">
        <v>26</v>
      </c>
      <c r="Q708" t="s">
        <v>27</v>
      </c>
      <c r="T708" t="s">
        <v>562</v>
      </c>
      <c r="X708" t="s">
        <v>30</v>
      </c>
      <c r="Y708">
        <v>1557224</v>
      </c>
      <c r="Z708">
        <v>20250831</v>
      </c>
    </row>
    <row r="709" spans="3:26" x14ac:dyDescent="0.25">
      <c r="C709">
        <v>10000001</v>
      </c>
      <c r="D709" t="s">
        <v>600</v>
      </c>
      <c r="F709">
        <v>1557224</v>
      </c>
      <c r="H709" t="s">
        <v>600</v>
      </c>
      <c r="I709">
        <v>40</v>
      </c>
      <c r="J709" s="1">
        <v>50000</v>
      </c>
      <c r="K709" t="s">
        <v>26</v>
      </c>
      <c r="L709" s="1">
        <v>50000</v>
      </c>
      <c r="M709" t="s">
        <v>26</v>
      </c>
      <c r="Q709" t="s">
        <v>27</v>
      </c>
      <c r="T709" t="s">
        <v>563</v>
      </c>
      <c r="X709" t="s">
        <v>30</v>
      </c>
      <c r="Y709">
        <v>1557224</v>
      </c>
      <c r="Z709">
        <v>20250831</v>
      </c>
    </row>
    <row r="710" spans="3:26" x14ac:dyDescent="0.25">
      <c r="C710">
        <v>10000001</v>
      </c>
      <c r="D710" t="s">
        <v>600</v>
      </c>
      <c r="F710">
        <v>1557224</v>
      </c>
      <c r="H710" t="s">
        <v>600</v>
      </c>
      <c r="I710">
        <v>40</v>
      </c>
      <c r="J710" s="1">
        <v>50000</v>
      </c>
      <c r="K710" t="s">
        <v>26</v>
      </c>
      <c r="L710" s="1">
        <v>50000</v>
      </c>
      <c r="M710" t="s">
        <v>26</v>
      </c>
      <c r="Q710" t="s">
        <v>27</v>
      </c>
      <c r="T710" t="s">
        <v>564</v>
      </c>
      <c r="X710" t="s">
        <v>30</v>
      </c>
      <c r="Y710">
        <v>1557224</v>
      </c>
      <c r="Z710">
        <v>20250831</v>
      </c>
    </row>
    <row r="711" spans="3:26" x14ac:dyDescent="0.25">
      <c r="C711">
        <v>10000001</v>
      </c>
      <c r="D711" t="s">
        <v>600</v>
      </c>
      <c r="F711">
        <v>1557224</v>
      </c>
      <c r="H711" t="s">
        <v>600</v>
      </c>
      <c r="I711">
        <v>40</v>
      </c>
      <c r="J711" s="1">
        <v>50000</v>
      </c>
      <c r="K711" t="s">
        <v>26</v>
      </c>
      <c r="L711" s="1">
        <v>50000</v>
      </c>
      <c r="M711" t="s">
        <v>26</v>
      </c>
      <c r="Q711" t="s">
        <v>27</v>
      </c>
      <c r="T711" t="s">
        <v>387</v>
      </c>
      <c r="X711" t="s">
        <v>30</v>
      </c>
      <c r="Y711">
        <v>1557224</v>
      </c>
      <c r="Z711">
        <v>20250831</v>
      </c>
    </row>
    <row r="712" spans="3:26" x14ac:dyDescent="0.25">
      <c r="C712">
        <v>10000001</v>
      </c>
      <c r="D712" t="s">
        <v>600</v>
      </c>
      <c r="F712">
        <v>1557224</v>
      </c>
      <c r="H712" t="s">
        <v>600</v>
      </c>
      <c r="I712">
        <v>40</v>
      </c>
      <c r="J712" s="1">
        <v>50000</v>
      </c>
      <c r="K712" t="s">
        <v>26</v>
      </c>
      <c r="L712" s="1">
        <v>50000</v>
      </c>
      <c r="M712" t="s">
        <v>26</v>
      </c>
      <c r="Q712" t="s">
        <v>27</v>
      </c>
      <c r="T712" t="s">
        <v>549</v>
      </c>
      <c r="X712" t="s">
        <v>30</v>
      </c>
      <c r="Y712">
        <v>1557224</v>
      </c>
      <c r="Z712">
        <v>20250831</v>
      </c>
    </row>
    <row r="713" spans="3:26" x14ac:dyDescent="0.25">
      <c r="C713">
        <v>10000001</v>
      </c>
      <c r="D713" t="s">
        <v>600</v>
      </c>
      <c r="F713">
        <v>1557224</v>
      </c>
      <c r="H713" t="s">
        <v>600</v>
      </c>
      <c r="I713">
        <v>40</v>
      </c>
      <c r="J713" s="1">
        <v>50000</v>
      </c>
      <c r="K713" t="s">
        <v>26</v>
      </c>
      <c r="L713" s="1">
        <v>50000</v>
      </c>
      <c r="M713" t="s">
        <v>26</v>
      </c>
      <c r="Q713" t="s">
        <v>27</v>
      </c>
      <c r="T713" t="s">
        <v>552</v>
      </c>
      <c r="X713" t="s">
        <v>30</v>
      </c>
      <c r="Y713">
        <v>1557224</v>
      </c>
      <c r="Z713">
        <v>20250831</v>
      </c>
    </row>
    <row r="714" spans="3:26" x14ac:dyDescent="0.25">
      <c r="C714">
        <v>10000001</v>
      </c>
      <c r="D714" t="s">
        <v>600</v>
      </c>
      <c r="F714">
        <v>1557224</v>
      </c>
      <c r="H714" t="s">
        <v>600</v>
      </c>
      <c r="I714">
        <v>40</v>
      </c>
      <c r="J714" s="1">
        <v>50000</v>
      </c>
      <c r="K714" t="s">
        <v>26</v>
      </c>
      <c r="L714" s="1">
        <v>50000</v>
      </c>
      <c r="M714" t="s">
        <v>26</v>
      </c>
      <c r="Q714" t="s">
        <v>27</v>
      </c>
      <c r="T714" t="s">
        <v>396</v>
      </c>
      <c r="X714" t="s">
        <v>30</v>
      </c>
      <c r="Y714">
        <v>1557224</v>
      </c>
      <c r="Z714">
        <v>20250831</v>
      </c>
    </row>
    <row r="715" spans="3:26" x14ac:dyDescent="0.25">
      <c r="C715">
        <v>10000001</v>
      </c>
      <c r="D715" t="s">
        <v>600</v>
      </c>
      <c r="F715">
        <v>1557224</v>
      </c>
      <c r="H715" t="s">
        <v>600</v>
      </c>
      <c r="I715">
        <v>40</v>
      </c>
      <c r="J715" s="1">
        <v>50000</v>
      </c>
      <c r="K715" t="s">
        <v>26</v>
      </c>
      <c r="L715" s="1">
        <v>50000</v>
      </c>
      <c r="M715" t="s">
        <v>26</v>
      </c>
      <c r="Q715" t="s">
        <v>27</v>
      </c>
      <c r="T715" t="s">
        <v>535</v>
      </c>
      <c r="X715" t="s">
        <v>30</v>
      </c>
      <c r="Y715">
        <v>1557224</v>
      </c>
      <c r="Z715">
        <v>20250831</v>
      </c>
    </row>
    <row r="716" spans="3:26" x14ac:dyDescent="0.25">
      <c r="C716">
        <v>10000001</v>
      </c>
      <c r="D716" t="s">
        <v>600</v>
      </c>
      <c r="F716">
        <v>1557224</v>
      </c>
      <c r="H716" t="s">
        <v>600</v>
      </c>
      <c r="I716">
        <v>40</v>
      </c>
      <c r="J716" s="1">
        <v>800000</v>
      </c>
      <c r="K716" t="s">
        <v>26</v>
      </c>
      <c r="L716" s="1">
        <v>800000</v>
      </c>
      <c r="M716" t="s">
        <v>26</v>
      </c>
      <c r="Q716" t="s">
        <v>27</v>
      </c>
      <c r="T716" t="s">
        <v>385</v>
      </c>
      <c r="X716" t="s">
        <v>30</v>
      </c>
      <c r="Y716">
        <v>1557224</v>
      </c>
      <c r="Z716">
        <v>20250831</v>
      </c>
    </row>
    <row r="717" spans="3:26" x14ac:dyDescent="0.25">
      <c r="C717">
        <v>10000001</v>
      </c>
      <c r="D717" t="s">
        <v>600</v>
      </c>
      <c r="F717">
        <v>1557224</v>
      </c>
      <c r="H717" t="s">
        <v>600</v>
      </c>
      <c r="I717">
        <v>40</v>
      </c>
      <c r="J717" s="1">
        <v>800000</v>
      </c>
      <c r="K717" t="s">
        <v>26</v>
      </c>
      <c r="L717" s="1">
        <v>800000</v>
      </c>
      <c r="M717" t="s">
        <v>26</v>
      </c>
      <c r="Q717" t="s">
        <v>27</v>
      </c>
      <c r="T717" t="s">
        <v>581</v>
      </c>
      <c r="X717" t="s">
        <v>30</v>
      </c>
      <c r="Y717">
        <v>1557224</v>
      </c>
      <c r="Z717">
        <v>20250831</v>
      </c>
    </row>
    <row r="718" spans="3:26" x14ac:dyDescent="0.25">
      <c r="C718">
        <v>10000001</v>
      </c>
      <c r="D718" t="s">
        <v>600</v>
      </c>
      <c r="F718">
        <v>1557224</v>
      </c>
      <c r="H718" t="s">
        <v>600</v>
      </c>
      <c r="I718">
        <v>40</v>
      </c>
      <c r="J718" s="1">
        <v>95000</v>
      </c>
      <c r="K718" t="s">
        <v>26</v>
      </c>
      <c r="L718" s="1">
        <v>95000</v>
      </c>
      <c r="M718" t="s">
        <v>26</v>
      </c>
      <c r="Q718" t="s">
        <v>27</v>
      </c>
      <c r="T718" t="s">
        <v>593</v>
      </c>
      <c r="X718" t="s">
        <v>30</v>
      </c>
      <c r="Y718">
        <v>1557224</v>
      </c>
      <c r="Z718">
        <v>20250831</v>
      </c>
    </row>
    <row r="719" spans="3:26" x14ac:dyDescent="0.25">
      <c r="C719">
        <v>10000001</v>
      </c>
      <c r="D719" t="s">
        <v>600</v>
      </c>
      <c r="F719">
        <v>1557224</v>
      </c>
      <c r="H719" t="s">
        <v>600</v>
      </c>
      <c r="I719">
        <v>40</v>
      </c>
      <c r="J719" s="1">
        <v>601500</v>
      </c>
      <c r="K719" t="s">
        <v>26</v>
      </c>
      <c r="L719" s="1">
        <v>601500</v>
      </c>
      <c r="M719" t="s">
        <v>26</v>
      </c>
      <c r="Q719" t="s">
        <v>27</v>
      </c>
      <c r="T719" t="s">
        <v>492</v>
      </c>
      <c r="X719" t="s">
        <v>30</v>
      </c>
      <c r="Y719">
        <v>1557224</v>
      </c>
      <c r="Z719">
        <v>20250831</v>
      </c>
    </row>
    <row r="720" spans="3:26" x14ac:dyDescent="0.25">
      <c r="C720">
        <v>10000001</v>
      </c>
      <c r="D720" t="s">
        <v>600</v>
      </c>
      <c r="F720">
        <v>1557224</v>
      </c>
      <c r="H720" t="s">
        <v>600</v>
      </c>
      <c r="I720">
        <v>40</v>
      </c>
      <c r="J720" s="1">
        <v>165000</v>
      </c>
      <c r="K720" t="s">
        <v>26</v>
      </c>
      <c r="L720" s="1">
        <v>165000</v>
      </c>
      <c r="M720" t="s">
        <v>26</v>
      </c>
      <c r="Q720" t="s">
        <v>27</v>
      </c>
      <c r="T720" t="s">
        <v>164</v>
      </c>
      <c r="X720" t="s">
        <v>30</v>
      </c>
      <c r="Y720">
        <v>1557224</v>
      </c>
      <c r="Z720">
        <v>20250831</v>
      </c>
    </row>
    <row r="721" spans="3:26" x14ac:dyDescent="0.25">
      <c r="C721">
        <v>10000001</v>
      </c>
      <c r="D721" t="s">
        <v>600</v>
      </c>
      <c r="F721">
        <v>1557224</v>
      </c>
      <c r="H721" t="s">
        <v>600</v>
      </c>
      <c r="I721">
        <v>40</v>
      </c>
      <c r="J721" s="1">
        <v>13000</v>
      </c>
      <c r="K721" t="s">
        <v>26</v>
      </c>
      <c r="L721" s="1">
        <v>13000</v>
      </c>
      <c r="M721" t="s">
        <v>26</v>
      </c>
      <c r="Q721" t="s">
        <v>27</v>
      </c>
      <c r="T721" t="s">
        <v>557</v>
      </c>
      <c r="X721" t="s">
        <v>30</v>
      </c>
      <c r="Y721">
        <v>1557224</v>
      </c>
      <c r="Z721">
        <v>20250831</v>
      </c>
    </row>
    <row r="722" spans="3:26" x14ac:dyDescent="0.25">
      <c r="C722">
        <v>10000001</v>
      </c>
      <c r="D722" t="s">
        <v>600</v>
      </c>
      <c r="F722">
        <v>1557224</v>
      </c>
      <c r="H722" t="s">
        <v>600</v>
      </c>
      <c r="I722">
        <v>40</v>
      </c>
      <c r="J722" s="1">
        <v>75000</v>
      </c>
      <c r="K722" t="s">
        <v>26</v>
      </c>
      <c r="L722" s="1">
        <v>75000</v>
      </c>
      <c r="M722" t="s">
        <v>26</v>
      </c>
      <c r="Q722" t="s">
        <v>27</v>
      </c>
      <c r="T722" t="s">
        <v>401</v>
      </c>
      <c r="X722" t="s">
        <v>30</v>
      </c>
      <c r="Y722">
        <v>1557224</v>
      </c>
      <c r="Z722">
        <v>20250831</v>
      </c>
    </row>
    <row r="723" spans="3:26" x14ac:dyDescent="0.25">
      <c r="C723">
        <v>10000001</v>
      </c>
      <c r="D723" t="s">
        <v>600</v>
      </c>
      <c r="F723">
        <v>1557224</v>
      </c>
      <c r="H723" t="s">
        <v>600</v>
      </c>
      <c r="I723">
        <v>40</v>
      </c>
      <c r="J723" s="1">
        <v>25000</v>
      </c>
      <c r="K723" t="s">
        <v>26</v>
      </c>
      <c r="L723" s="1">
        <v>25000</v>
      </c>
      <c r="M723" t="s">
        <v>26</v>
      </c>
      <c r="Q723" t="s">
        <v>27</v>
      </c>
      <c r="T723" t="s">
        <v>447</v>
      </c>
      <c r="X723" t="s">
        <v>30</v>
      </c>
      <c r="Y723">
        <v>1557224</v>
      </c>
      <c r="Z723">
        <v>20250831</v>
      </c>
    </row>
    <row r="724" spans="3:26" x14ac:dyDescent="0.25">
      <c r="C724">
        <v>10000001</v>
      </c>
      <c r="D724" t="s">
        <v>600</v>
      </c>
      <c r="F724">
        <v>1557224</v>
      </c>
      <c r="H724" t="s">
        <v>600</v>
      </c>
      <c r="I724">
        <v>40</v>
      </c>
      <c r="J724" s="1">
        <v>120000</v>
      </c>
      <c r="K724" t="s">
        <v>26</v>
      </c>
      <c r="L724" s="1">
        <v>120000</v>
      </c>
      <c r="M724" t="s">
        <v>26</v>
      </c>
      <c r="Q724" t="s">
        <v>27</v>
      </c>
      <c r="T724" t="s">
        <v>520</v>
      </c>
      <c r="X724" t="s">
        <v>30</v>
      </c>
      <c r="Y724">
        <v>1557224</v>
      </c>
      <c r="Z724">
        <v>20250831</v>
      </c>
    </row>
    <row r="725" spans="3:26" x14ac:dyDescent="0.25">
      <c r="C725">
        <v>10000001</v>
      </c>
      <c r="D725" t="s">
        <v>600</v>
      </c>
      <c r="F725">
        <v>1557224</v>
      </c>
      <c r="H725" t="s">
        <v>600</v>
      </c>
      <c r="I725">
        <v>40</v>
      </c>
      <c r="J725" s="1">
        <v>500000</v>
      </c>
      <c r="K725" t="s">
        <v>26</v>
      </c>
      <c r="L725" s="1">
        <v>500000</v>
      </c>
      <c r="M725" t="s">
        <v>26</v>
      </c>
      <c r="Q725" t="s">
        <v>27</v>
      </c>
      <c r="T725" t="s">
        <v>507</v>
      </c>
      <c r="X725" t="s">
        <v>30</v>
      </c>
      <c r="Y725">
        <v>1557224</v>
      </c>
      <c r="Z725">
        <v>20250831</v>
      </c>
    </row>
    <row r="726" spans="3:26" x14ac:dyDescent="0.25">
      <c r="C726">
        <v>10000001</v>
      </c>
      <c r="D726" t="s">
        <v>600</v>
      </c>
      <c r="F726">
        <v>1557224</v>
      </c>
      <c r="H726" t="s">
        <v>600</v>
      </c>
      <c r="I726">
        <v>40</v>
      </c>
      <c r="J726" s="1">
        <v>500000</v>
      </c>
      <c r="K726" t="s">
        <v>26</v>
      </c>
      <c r="L726" s="1">
        <v>500000</v>
      </c>
      <c r="M726" t="s">
        <v>26</v>
      </c>
      <c r="Q726" t="s">
        <v>27</v>
      </c>
      <c r="T726" t="s">
        <v>460</v>
      </c>
      <c r="X726" t="s">
        <v>30</v>
      </c>
      <c r="Y726">
        <v>1557224</v>
      </c>
      <c r="Z726">
        <v>20250831</v>
      </c>
    </row>
    <row r="727" spans="3:26" x14ac:dyDescent="0.25">
      <c r="C727">
        <v>10000001</v>
      </c>
      <c r="D727" t="s">
        <v>600</v>
      </c>
      <c r="F727">
        <v>1557224</v>
      </c>
      <c r="H727" t="s">
        <v>600</v>
      </c>
      <c r="I727">
        <v>40</v>
      </c>
      <c r="J727" s="1">
        <v>90900</v>
      </c>
      <c r="K727" t="s">
        <v>26</v>
      </c>
      <c r="L727" s="1">
        <v>90900</v>
      </c>
      <c r="M727" t="s">
        <v>26</v>
      </c>
      <c r="Q727" t="s">
        <v>27</v>
      </c>
      <c r="T727" t="s">
        <v>519</v>
      </c>
      <c r="X727" t="s">
        <v>30</v>
      </c>
      <c r="Y727">
        <v>1557224</v>
      </c>
      <c r="Z727">
        <v>20250831</v>
      </c>
    </row>
    <row r="728" spans="3:26" x14ac:dyDescent="0.25">
      <c r="C728">
        <v>10000001</v>
      </c>
      <c r="D728" t="s">
        <v>600</v>
      </c>
      <c r="F728">
        <v>1557224</v>
      </c>
      <c r="H728" t="s">
        <v>600</v>
      </c>
      <c r="I728">
        <v>40</v>
      </c>
      <c r="J728" s="1">
        <v>290500</v>
      </c>
      <c r="K728" t="s">
        <v>26</v>
      </c>
      <c r="L728" s="1">
        <v>290500</v>
      </c>
      <c r="M728" t="s">
        <v>26</v>
      </c>
      <c r="Q728" t="s">
        <v>27</v>
      </c>
      <c r="T728" t="s">
        <v>529</v>
      </c>
      <c r="X728" t="s">
        <v>30</v>
      </c>
      <c r="Y728">
        <v>1557224</v>
      </c>
      <c r="Z728">
        <v>20250831</v>
      </c>
    </row>
    <row r="729" spans="3:26" x14ac:dyDescent="0.25">
      <c r="C729">
        <v>10000001</v>
      </c>
      <c r="D729" t="s">
        <v>600</v>
      </c>
      <c r="F729">
        <v>1557224</v>
      </c>
      <c r="H729" t="s">
        <v>600</v>
      </c>
      <c r="I729">
        <v>40</v>
      </c>
      <c r="J729" s="1">
        <v>860000</v>
      </c>
      <c r="K729" t="s">
        <v>26</v>
      </c>
      <c r="L729" s="1">
        <v>860000</v>
      </c>
      <c r="M729" t="s">
        <v>26</v>
      </c>
      <c r="Q729" t="s">
        <v>27</v>
      </c>
      <c r="T729" t="s">
        <v>512</v>
      </c>
      <c r="X729" t="s">
        <v>30</v>
      </c>
      <c r="Y729">
        <v>1557224</v>
      </c>
      <c r="Z729">
        <v>20250831</v>
      </c>
    </row>
    <row r="730" spans="3:26" x14ac:dyDescent="0.25">
      <c r="C730">
        <v>10000001</v>
      </c>
      <c r="D730" t="s">
        <v>600</v>
      </c>
      <c r="F730">
        <v>1557224</v>
      </c>
      <c r="H730" t="s">
        <v>600</v>
      </c>
      <c r="I730">
        <v>40</v>
      </c>
      <c r="J730" s="1">
        <v>2560000</v>
      </c>
      <c r="K730" t="s">
        <v>26</v>
      </c>
      <c r="L730" s="1">
        <v>2560000</v>
      </c>
      <c r="M730" t="s">
        <v>26</v>
      </c>
      <c r="Q730" t="s">
        <v>27</v>
      </c>
      <c r="T730" t="s">
        <v>516</v>
      </c>
      <c r="X730" t="s">
        <v>30</v>
      </c>
      <c r="Y730">
        <v>1557224</v>
      </c>
      <c r="Z730">
        <v>20250831</v>
      </c>
    </row>
    <row r="731" spans="3:26" x14ac:dyDescent="0.25">
      <c r="C731">
        <v>10000001</v>
      </c>
      <c r="D731" t="s">
        <v>600</v>
      </c>
      <c r="F731">
        <v>1557224</v>
      </c>
      <c r="H731" t="s">
        <v>600</v>
      </c>
      <c r="I731">
        <v>40</v>
      </c>
      <c r="J731" s="1">
        <v>789000</v>
      </c>
      <c r="K731" t="s">
        <v>26</v>
      </c>
      <c r="L731" s="1">
        <v>789000</v>
      </c>
      <c r="M731" t="s">
        <v>26</v>
      </c>
      <c r="Q731" t="s">
        <v>27</v>
      </c>
      <c r="T731" t="s">
        <v>514</v>
      </c>
      <c r="X731" t="s">
        <v>30</v>
      </c>
      <c r="Y731">
        <v>1557224</v>
      </c>
      <c r="Z731">
        <v>20250831</v>
      </c>
    </row>
    <row r="732" spans="3:26" x14ac:dyDescent="0.25">
      <c r="C732">
        <v>10000001</v>
      </c>
      <c r="D732" t="s">
        <v>600</v>
      </c>
      <c r="F732">
        <v>1557224</v>
      </c>
      <c r="H732" t="s">
        <v>600</v>
      </c>
      <c r="I732">
        <v>40</v>
      </c>
      <c r="J732" s="1">
        <v>513514</v>
      </c>
      <c r="K732" t="s">
        <v>26</v>
      </c>
      <c r="L732" s="1">
        <v>513514</v>
      </c>
      <c r="M732" t="s">
        <v>26</v>
      </c>
      <c r="Q732" t="s">
        <v>27</v>
      </c>
      <c r="T732" t="s">
        <v>525</v>
      </c>
      <c r="X732" t="s">
        <v>30</v>
      </c>
      <c r="Y732">
        <v>1557224</v>
      </c>
      <c r="Z732">
        <v>20250831</v>
      </c>
    </row>
    <row r="733" spans="3:26" x14ac:dyDescent="0.25">
      <c r="C733">
        <v>10000001</v>
      </c>
      <c r="D733" t="s">
        <v>600</v>
      </c>
      <c r="F733">
        <v>1557224</v>
      </c>
      <c r="H733" t="s">
        <v>600</v>
      </c>
      <c r="I733">
        <v>40</v>
      </c>
      <c r="J733" s="1">
        <v>145000</v>
      </c>
      <c r="K733" t="s">
        <v>26</v>
      </c>
      <c r="L733" s="1">
        <v>145000</v>
      </c>
      <c r="M733" t="s">
        <v>26</v>
      </c>
      <c r="Q733" t="s">
        <v>27</v>
      </c>
      <c r="T733" t="s">
        <v>499</v>
      </c>
      <c r="X733" t="s">
        <v>30</v>
      </c>
      <c r="Y733">
        <v>1557224</v>
      </c>
      <c r="Z733">
        <v>20250831</v>
      </c>
    </row>
    <row r="734" spans="3:26" x14ac:dyDescent="0.25">
      <c r="C734">
        <v>10000001</v>
      </c>
      <c r="D734" t="s">
        <v>600</v>
      </c>
      <c r="F734">
        <v>1557224</v>
      </c>
      <c r="H734" t="s">
        <v>600</v>
      </c>
      <c r="I734">
        <v>40</v>
      </c>
      <c r="J734" s="1">
        <v>298088</v>
      </c>
      <c r="K734" t="s">
        <v>26</v>
      </c>
      <c r="L734" s="1">
        <v>298088</v>
      </c>
      <c r="M734" t="s">
        <v>26</v>
      </c>
      <c r="Q734" t="s">
        <v>27</v>
      </c>
      <c r="T734" t="s">
        <v>559</v>
      </c>
      <c r="X734" t="s">
        <v>30</v>
      </c>
      <c r="Y734">
        <v>1557224</v>
      </c>
      <c r="Z734">
        <v>20250831</v>
      </c>
    </row>
    <row r="735" spans="3:26" x14ac:dyDescent="0.25">
      <c r="C735">
        <v>10000001</v>
      </c>
      <c r="D735" t="s">
        <v>600</v>
      </c>
      <c r="F735">
        <v>1557224</v>
      </c>
      <c r="H735" t="s">
        <v>600</v>
      </c>
      <c r="I735">
        <v>40</v>
      </c>
      <c r="J735" s="1">
        <v>428500</v>
      </c>
      <c r="K735" t="s">
        <v>26</v>
      </c>
      <c r="L735" s="1">
        <v>428500</v>
      </c>
      <c r="M735" t="s">
        <v>26</v>
      </c>
      <c r="Q735" t="s">
        <v>27</v>
      </c>
      <c r="T735" t="s">
        <v>586</v>
      </c>
      <c r="X735" t="s">
        <v>30</v>
      </c>
      <c r="Y735">
        <v>1557224</v>
      </c>
      <c r="Z735">
        <v>20250831</v>
      </c>
    </row>
    <row r="736" spans="3:26" x14ac:dyDescent="0.25">
      <c r="C736">
        <v>10000001</v>
      </c>
      <c r="D736" t="s">
        <v>600</v>
      </c>
      <c r="F736">
        <v>1557224</v>
      </c>
      <c r="H736" t="s">
        <v>600</v>
      </c>
      <c r="I736">
        <v>40</v>
      </c>
      <c r="J736" s="1">
        <v>972000</v>
      </c>
      <c r="K736" t="s">
        <v>26</v>
      </c>
      <c r="L736" s="1">
        <v>972000</v>
      </c>
      <c r="M736" t="s">
        <v>26</v>
      </c>
      <c r="Q736" t="s">
        <v>27</v>
      </c>
      <c r="T736" t="s">
        <v>575</v>
      </c>
      <c r="X736" t="s">
        <v>30</v>
      </c>
      <c r="Y736">
        <v>1557224</v>
      </c>
      <c r="Z736">
        <v>20250831</v>
      </c>
    </row>
    <row r="737" spans="3:26" x14ac:dyDescent="0.25">
      <c r="C737">
        <v>10000001</v>
      </c>
      <c r="D737" t="s">
        <v>600</v>
      </c>
      <c r="F737">
        <v>1557224</v>
      </c>
      <c r="H737" t="s">
        <v>600</v>
      </c>
      <c r="I737">
        <v>40</v>
      </c>
      <c r="J737" s="1">
        <v>87976</v>
      </c>
      <c r="K737" t="s">
        <v>26</v>
      </c>
      <c r="L737" s="1">
        <v>87976</v>
      </c>
      <c r="M737" t="s">
        <v>26</v>
      </c>
      <c r="Q737" t="s">
        <v>27</v>
      </c>
      <c r="T737" t="s">
        <v>521</v>
      </c>
      <c r="X737" t="s">
        <v>30</v>
      </c>
      <c r="Y737">
        <v>1557224</v>
      </c>
      <c r="Z737">
        <v>20250831</v>
      </c>
    </row>
    <row r="738" spans="3:26" x14ac:dyDescent="0.25">
      <c r="C738">
        <v>10000001</v>
      </c>
      <c r="D738" t="s">
        <v>600</v>
      </c>
      <c r="F738">
        <v>1557224</v>
      </c>
      <c r="H738" t="s">
        <v>600</v>
      </c>
      <c r="I738">
        <v>40</v>
      </c>
      <c r="J738" s="1">
        <v>604000</v>
      </c>
      <c r="K738" t="s">
        <v>26</v>
      </c>
      <c r="L738" s="1">
        <v>604000</v>
      </c>
      <c r="M738" t="s">
        <v>26</v>
      </c>
      <c r="Q738" t="s">
        <v>27</v>
      </c>
      <c r="T738" t="s">
        <v>595</v>
      </c>
      <c r="X738" t="s">
        <v>30</v>
      </c>
      <c r="Y738">
        <v>1557224</v>
      </c>
      <c r="Z738">
        <v>20250831</v>
      </c>
    </row>
    <row r="739" spans="3:26" x14ac:dyDescent="0.25">
      <c r="C739">
        <v>10000001</v>
      </c>
      <c r="D739" t="s">
        <v>600</v>
      </c>
      <c r="F739">
        <v>1557224</v>
      </c>
      <c r="H739" t="s">
        <v>600</v>
      </c>
      <c r="I739">
        <v>40</v>
      </c>
      <c r="J739" s="1">
        <v>310000</v>
      </c>
      <c r="K739" t="s">
        <v>26</v>
      </c>
      <c r="L739" s="1">
        <v>310000</v>
      </c>
      <c r="M739" t="s">
        <v>26</v>
      </c>
      <c r="Q739" t="s">
        <v>27</v>
      </c>
      <c r="T739" t="s">
        <v>542</v>
      </c>
      <c r="X739" t="s">
        <v>30</v>
      </c>
      <c r="Y739">
        <v>1557224</v>
      </c>
      <c r="Z739">
        <v>20250831</v>
      </c>
    </row>
    <row r="740" spans="3:26" x14ac:dyDescent="0.25">
      <c r="C740">
        <v>10000001</v>
      </c>
      <c r="D740" t="s">
        <v>600</v>
      </c>
      <c r="F740">
        <v>1557224</v>
      </c>
      <c r="H740" t="s">
        <v>600</v>
      </c>
      <c r="I740">
        <v>40</v>
      </c>
      <c r="J740" s="1">
        <v>988500</v>
      </c>
      <c r="K740" t="s">
        <v>26</v>
      </c>
      <c r="L740" s="1">
        <v>988500</v>
      </c>
      <c r="M740" t="s">
        <v>26</v>
      </c>
      <c r="Q740" t="s">
        <v>27</v>
      </c>
      <c r="T740" t="s">
        <v>449</v>
      </c>
      <c r="X740" t="s">
        <v>30</v>
      </c>
      <c r="Y740">
        <v>1557224</v>
      </c>
      <c r="Z740">
        <v>20250831</v>
      </c>
    </row>
    <row r="741" spans="3:26" x14ac:dyDescent="0.25">
      <c r="C741">
        <v>10000001</v>
      </c>
      <c r="D741" t="s">
        <v>600</v>
      </c>
      <c r="F741">
        <v>1557224</v>
      </c>
      <c r="H741" t="s">
        <v>600</v>
      </c>
      <c r="I741">
        <v>40</v>
      </c>
      <c r="J741" s="1">
        <v>150000</v>
      </c>
      <c r="K741" t="s">
        <v>26</v>
      </c>
      <c r="L741" s="1">
        <v>150000</v>
      </c>
      <c r="M741" t="s">
        <v>26</v>
      </c>
      <c r="Q741" t="s">
        <v>27</v>
      </c>
      <c r="T741" t="s">
        <v>435</v>
      </c>
      <c r="X741" t="s">
        <v>30</v>
      </c>
      <c r="Y741">
        <v>1557224</v>
      </c>
      <c r="Z741">
        <v>20250831</v>
      </c>
    </row>
    <row r="742" spans="3:26" x14ac:dyDescent="0.25">
      <c r="C742">
        <v>10000001</v>
      </c>
      <c r="D742" t="s">
        <v>600</v>
      </c>
      <c r="F742">
        <v>1557224</v>
      </c>
      <c r="H742" t="s">
        <v>600</v>
      </c>
      <c r="I742">
        <v>40</v>
      </c>
      <c r="J742" s="1">
        <v>890000</v>
      </c>
      <c r="K742" t="s">
        <v>26</v>
      </c>
      <c r="L742" s="1">
        <v>890000</v>
      </c>
      <c r="M742" t="s">
        <v>26</v>
      </c>
      <c r="Q742" t="s">
        <v>27</v>
      </c>
      <c r="T742" t="s">
        <v>470</v>
      </c>
      <c r="X742" t="s">
        <v>30</v>
      </c>
      <c r="Y742">
        <v>1557224</v>
      </c>
      <c r="Z742">
        <v>20250831</v>
      </c>
    </row>
    <row r="743" spans="3:26" x14ac:dyDescent="0.25">
      <c r="C743">
        <v>10000001</v>
      </c>
      <c r="D743" t="s">
        <v>600</v>
      </c>
      <c r="F743">
        <v>1557224</v>
      </c>
      <c r="H743" t="s">
        <v>600</v>
      </c>
      <c r="I743">
        <v>40</v>
      </c>
      <c r="J743" s="1">
        <v>961000</v>
      </c>
      <c r="K743" t="s">
        <v>26</v>
      </c>
      <c r="L743" s="1">
        <v>961000</v>
      </c>
      <c r="M743" t="s">
        <v>26</v>
      </c>
      <c r="Q743" t="s">
        <v>27</v>
      </c>
      <c r="T743" t="s">
        <v>408</v>
      </c>
      <c r="X743" t="s">
        <v>30</v>
      </c>
      <c r="Y743">
        <v>1557224</v>
      </c>
      <c r="Z743">
        <v>20250831</v>
      </c>
    </row>
    <row r="744" spans="3:26" x14ac:dyDescent="0.25">
      <c r="C744">
        <v>10000001</v>
      </c>
      <c r="D744" t="s">
        <v>600</v>
      </c>
      <c r="F744">
        <v>1557224</v>
      </c>
      <c r="H744" t="s">
        <v>600</v>
      </c>
      <c r="I744">
        <v>40</v>
      </c>
      <c r="J744" s="1">
        <v>45000</v>
      </c>
      <c r="K744" t="s">
        <v>26</v>
      </c>
      <c r="L744" s="1">
        <v>45000</v>
      </c>
      <c r="M744" t="s">
        <v>26</v>
      </c>
      <c r="Q744" t="s">
        <v>27</v>
      </c>
      <c r="T744" t="s">
        <v>437</v>
      </c>
      <c r="X744" t="s">
        <v>30</v>
      </c>
      <c r="Y744">
        <v>1557224</v>
      </c>
      <c r="Z744">
        <v>20250831</v>
      </c>
    </row>
    <row r="745" spans="3:26" x14ac:dyDescent="0.25">
      <c r="C745">
        <v>10000001</v>
      </c>
      <c r="D745" t="s">
        <v>600</v>
      </c>
      <c r="F745">
        <v>1557224</v>
      </c>
      <c r="H745" t="s">
        <v>600</v>
      </c>
      <c r="I745">
        <v>40</v>
      </c>
      <c r="J745" s="1">
        <v>269000</v>
      </c>
      <c r="K745" t="s">
        <v>26</v>
      </c>
      <c r="L745" s="1">
        <v>269000</v>
      </c>
      <c r="M745" t="s">
        <v>26</v>
      </c>
      <c r="Q745" t="s">
        <v>27</v>
      </c>
      <c r="T745" t="s">
        <v>445</v>
      </c>
      <c r="X745" t="s">
        <v>30</v>
      </c>
      <c r="Y745">
        <v>1557224</v>
      </c>
      <c r="Z745">
        <v>20250831</v>
      </c>
    </row>
    <row r="746" spans="3:26" x14ac:dyDescent="0.25">
      <c r="C746">
        <v>10000001</v>
      </c>
      <c r="D746" t="s">
        <v>600</v>
      </c>
      <c r="F746">
        <v>1557224</v>
      </c>
      <c r="H746" t="s">
        <v>600</v>
      </c>
      <c r="I746">
        <v>40</v>
      </c>
      <c r="J746" s="1">
        <v>321000</v>
      </c>
      <c r="K746" t="s">
        <v>26</v>
      </c>
      <c r="L746" s="1">
        <v>321000</v>
      </c>
      <c r="M746" t="s">
        <v>26</v>
      </c>
      <c r="Q746" t="s">
        <v>27</v>
      </c>
      <c r="T746" t="s">
        <v>181</v>
      </c>
      <c r="X746" t="s">
        <v>30</v>
      </c>
      <c r="Y746">
        <v>1557224</v>
      </c>
      <c r="Z746">
        <v>20250831</v>
      </c>
    </row>
    <row r="747" spans="3:26" x14ac:dyDescent="0.25">
      <c r="C747">
        <v>10000001</v>
      </c>
      <c r="D747" t="s">
        <v>600</v>
      </c>
      <c r="F747">
        <v>1557224</v>
      </c>
      <c r="H747" t="s">
        <v>600</v>
      </c>
      <c r="I747">
        <v>40</v>
      </c>
      <c r="J747" s="1">
        <v>520000</v>
      </c>
      <c r="K747" t="s">
        <v>26</v>
      </c>
      <c r="L747" s="1">
        <v>520000</v>
      </c>
      <c r="M747" t="s">
        <v>26</v>
      </c>
      <c r="Q747" t="s">
        <v>27</v>
      </c>
      <c r="T747" t="s">
        <v>179</v>
      </c>
      <c r="X747" t="s">
        <v>30</v>
      </c>
      <c r="Y747">
        <v>1557224</v>
      </c>
      <c r="Z747">
        <v>20250831</v>
      </c>
    </row>
    <row r="748" spans="3:26" x14ac:dyDescent="0.25">
      <c r="C748">
        <v>10000001</v>
      </c>
      <c r="D748" t="s">
        <v>600</v>
      </c>
      <c r="F748">
        <v>1557224</v>
      </c>
      <c r="H748" t="s">
        <v>600</v>
      </c>
      <c r="I748">
        <v>40</v>
      </c>
      <c r="J748" s="1">
        <v>57800</v>
      </c>
      <c r="K748" t="s">
        <v>26</v>
      </c>
      <c r="L748" s="1">
        <v>57800</v>
      </c>
      <c r="M748" t="s">
        <v>26</v>
      </c>
      <c r="Q748" t="s">
        <v>27</v>
      </c>
      <c r="T748" t="s">
        <v>475</v>
      </c>
      <c r="X748" t="s">
        <v>30</v>
      </c>
      <c r="Y748">
        <v>1557224</v>
      </c>
      <c r="Z748">
        <v>20250831</v>
      </c>
    </row>
    <row r="749" spans="3:26" x14ac:dyDescent="0.25">
      <c r="C749">
        <v>10000001</v>
      </c>
      <c r="D749" t="s">
        <v>600</v>
      </c>
      <c r="F749">
        <v>1557224</v>
      </c>
      <c r="H749" t="s">
        <v>600</v>
      </c>
      <c r="I749">
        <v>40</v>
      </c>
      <c r="J749" s="1">
        <v>166300</v>
      </c>
      <c r="K749" t="s">
        <v>26</v>
      </c>
      <c r="L749" s="1">
        <v>166300</v>
      </c>
      <c r="M749" t="s">
        <v>26</v>
      </c>
      <c r="Q749" t="s">
        <v>27</v>
      </c>
      <c r="T749" t="s">
        <v>451</v>
      </c>
      <c r="X749" t="s">
        <v>30</v>
      </c>
      <c r="Y749">
        <v>1557224</v>
      </c>
      <c r="Z749">
        <v>20250831</v>
      </c>
    </row>
    <row r="750" spans="3:26" x14ac:dyDescent="0.25">
      <c r="C750">
        <v>10000001</v>
      </c>
      <c r="D750" t="s">
        <v>600</v>
      </c>
      <c r="F750">
        <v>1557224</v>
      </c>
      <c r="H750" t="s">
        <v>600</v>
      </c>
      <c r="I750">
        <v>40</v>
      </c>
      <c r="J750" s="1">
        <v>50000</v>
      </c>
      <c r="K750" t="s">
        <v>26</v>
      </c>
      <c r="L750" s="1">
        <v>50000</v>
      </c>
      <c r="M750" t="s">
        <v>26</v>
      </c>
      <c r="Q750" t="s">
        <v>27</v>
      </c>
      <c r="T750" t="s">
        <v>395</v>
      </c>
      <c r="X750" t="s">
        <v>30</v>
      </c>
      <c r="Y750">
        <v>1557224</v>
      </c>
      <c r="Z750">
        <v>20250831</v>
      </c>
    </row>
    <row r="751" spans="3:26" x14ac:dyDescent="0.25">
      <c r="C751">
        <v>10000001</v>
      </c>
      <c r="D751" t="s">
        <v>600</v>
      </c>
      <c r="F751">
        <v>1557224</v>
      </c>
      <c r="H751" t="s">
        <v>600</v>
      </c>
      <c r="I751">
        <v>40</v>
      </c>
      <c r="J751" s="1">
        <v>525000</v>
      </c>
      <c r="K751" t="s">
        <v>26</v>
      </c>
      <c r="L751" s="1">
        <v>525000</v>
      </c>
      <c r="M751" t="s">
        <v>26</v>
      </c>
      <c r="Q751" t="s">
        <v>27</v>
      </c>
      <c r="T751" t="s">
        <v>295</v>
      </c>
      <c r="X751" t="s">
        <v>30</v>
      </c>
      <c r="Y751">
        <v>1557224</v>
      </c>
      <c r="Z751">
        <v>20250831</v>
      </c>
    </row>
    <row r="752" spans="3:26" x14ac:dyDescent="0.25">
      <c r="C752">
        <v>10000001</v>
      </c>
      <c r="D752" t="s">
        <v>600</v>
      </c>
      <c r="F752">
        <v>1557224</v>
      </c>
      <c r="H752" t="s">
        <v>600</v>
      </c>
      <c r="I752">
        <v>40</v>
      </c>
      <c r="J752" s="1">
        <v>280000</v>
      </c>
      <c r="K752" t="s">
        <v>26</v>
      </c>
      <c r="L752" s="1">
        <v>280000</v>
      </c>
      <c r="M752" t="s">
        <v>26</v>
      </c>
      <c r="Q752" t="s">
        <v>27</v>
      </c>
      <c r="T752" t="s">
        <v>596</v>
      </c>
      <c r="X752" t="s">
        <v>30</v>
      </c>
      <c r="Y752">
        <v>1557224</v>
      </c>
      <c r="Z752">
        <v>20250831</v>
      </c>
    </row>
    <row r="753" spans="3:26" x14ac:dyDescent="0.25">
      <c r="C753">
        <v>10000001</v>
      </c>
      <c r="D753" t="s">
        <v>600</v>
      </c>
      <c r="F753">
        <v>1557224</v>
      </c>
      <c r="H753" t="s">
        <v>600</v>
      </c>
      <c r="I753">
        <v>40</v>
      </c>
      <c r="J753" s="1">
        <v>600000</v>
      </c>
      <c r="K753" t="s">
        <v>26</v>
      </c>
      <c r="L753" s="1">
        <v>600000</v>
      </c>
      <c r="M753" t="s">
        <v>26</v>
      </c>
      <c r="Q753" t="s">
        <v>27</v>
      </c>
      <c r="T753" t="s">
        <v>440</v>
      </c>
      <c r="X753" t="s">
        <v>30</v>
      </c>
      <c r="Y753">
        <v>1557224</v>
      </c>
      <c r="Z753">
        <v>20250831</v>
      </c>
    </row>
    <row r="754" spans="3:26" x14ac:dyDescent="0.25">
      <c r="C754">
        <v>10000001</v>
      </c>
      <c r="D754" t="s">
        <v>600</v>
      </c>
      <c r="F754">
        <v>1557224</v>
      </c>
      <c r="H754" t="s">
        <v>600</v>
      </c>
      <c r="I754">
        <v>40</v>
      </c>
      <c r="J754" s="1">
        <v>399000</v>
      </c>
      <c r="K754" t="s">
        <v>26</v>
      </c>
      <c r="L754" s="1">
        <v>399000</v>
      </c>
      <c r="M754" t="s">
        <v>26</v>
      </c>
      <c r="Q754" t="s">
        <v>27</v>
      </c>
      <c r="T754" t="s">
        <v>443</v>
      </c>
      <c r="X754" t="s">
        <v>30</v>
      </c>
      <c r="Y754">
        <v>1557224</v>
      </c>
      <c r="Z754">
        <v>20250831</v>
      </c>
    </row>
    <row r="755" spans="3:26" x14ac:dyDescent="0.25">
      <c r="C755">
        <v>10000001</v>
      </c>
      <c r="D755" t="s">
        <v>600</v>
      </c>
      <c r="F755">
        <v>1557224</v>
      </c>
      <c r="H755" t="s">
        <v>600</v>
      </c>
      <c r="I755">
        <v>40</v>
      </c>
      <c r="J755" s="1">
        <v>415000</v>
      </c>
      <c r="K755" t="s">
        <v>26</v>
      </c>
      <c r="L755" s="1">
        <v>415000</v>
      </c>
      <c r="M755" t="s">
        <v>26</v>
      </c>
      <c r="Q755" t="s">
        <v>27</v>
      </c>
      <c r="T755" t="s">
        <v>473</v>
      </c>
      <c r="X755" t="s">
        <v>30</v>
      </c>
      <c r="Y755">
        <v>1557224</v>
      </c>
      <c r="Z755">
        <v>20250831</v>
      </c>
    </row>
    <row r="756" spans="3:26" x14ac:dyDescent="0.25">
      <c r="C756">
        <v>10000001</v>
      </c>
      <c r="D756" t="s">
        <v>600</v>
      </c>
      <c r="F756">
        <v>1557224</v>
      </c>
      <c r="H756" t="s">
        <v>600</v>
      </c>
      <c r="I756">
        <v>40</v>
      </c>
      <c r="J756" s="1">
        <v>560000</v>
      </c>
      <c r="K756" t="s">
        <v>26</v>
      </c>
      <c r="L756" s="1">
        <v>560000</v>
      </c>
      <c r="M756" t="s">
        <v>26</v>
      </c>
      <c r="Q756" t="s">
        <v>27</v>
      </c>
      <c r="T756" t="s">
        <v>501</v>
      </c>
      <c r="X756" t="s">
        <v>30</v>
      </c>
      <c r="Y756">
        <v>1557224</v>
      </c>
      <c r="Z756">
        <v>20250831</v>
      </c>
    </row>
    <row r="757" spans="3:26" x14ac:dyDescent="0.25">
      <c r="C757">
        <v>10000001</v>
      </c>
      <c r="D757" t="s">
        <v>600</v>
      </c>
      <c r="F757">
        <v>1557224</v>
      </c>
      <c r="H757" t="s">
        <v>600</v>
      </c>
      <c r="I757">
        <v>40</v>
      </c>
      <c r="J757" s="1">
        <v>850000</v>
      </c>
      <c r="K757" t="s">
        <v>26</v>
      </c>
      <c r="L757" s="1">
        <v>850000</v>
      </c>
      <c r="M757" t="s">
        <v>26</v>
      </c>
      <c r="Q757" t="s">
        <v>27</v>
      </c>
      <c r="T757" t="s">
        <v>527</v>
      </c>
      <c r="X757" t="s">
        <v>30</v>
      </c>
      <c r="Y757">
        <v>1557224</v>
      </c>
      <c r="Z757">
        <v>20250831</v>
      </c>
    </row>
    <row r="758" spans="3:26" x14ac:dyDescent="0.25">
      <c r="C758">
        <v>10000001</v>
      </c>
      <c r="D758" t="s">
        <v>600</v>
      </c>
      <c r="F758">
        <v>1557224</v>
      </c>
      <c r="H758" t="s">
        <v>600</v>
      </c>
      <c r="I758">
        <v>40</v>
      </c>
      <c r="J758" s="1">
        <v>740000</v>
      </c>
      <c r="K758" t="s">
        <v>26</v>
      </c>
      <c r="L758" s="1">
        <v>740000</v>
      </c>
      <c r="M758" t="s">
        <v>26</v>
      </c>
      <c r="Q758" t="s">
        <v>27</v>
      </c>
      <c r="T758" t="s">
        <v>569</v>
      </c>
      <c r="X758" t="s">
        <v>30</v>
      </c>
      <c r="Y758">
        <v>1557224</v>
      </c>
      <c r="Z758">
        <v>20250831</v>
      </c>
    </row>
    <row r="759" spans="3:26" x14ac:dyDescent="0.25">
      <c r="C759">
        <v>10000001</v>
      </c>
      <c r="D759" t="s">
        <v>600</v>
      </c>
      <c r="F759">
        <v>1557224</v>
      </c>
      <c r="H759" t="s">
        <v>600</v>
      </c>
      <c r="I759">
        <v>40</v>
      </c>
      <c r="J759" s="1">
        <v>750000</v>
      </c>
      <c r="K759" t="s">
        <v>26</v>
      </c>
      <c r="L759" s="1">
        <v>750000</v>
      </c>
      <c r="M759" t="s">
        <v>26</v>
      </c>
      <c r="Q759" t="s">
        <v>27</v>
      </c>
      <c r="T759" t="s">
        <v>584</v>
      </c>
      <c r="X759" t="s">
        <v>30</v>
      </c>
      <c r="Y759">
        <v>1557224</v>
      </c>
      <c r="Z759">
        <v>20250831</v>
      </c>
    </row>
    <row r="760" spans="3:26" x14ac:dyDescent="0.25">
      <c r="C760">
        <v>10000001</v>
      </c>
      <c r="D760" t="s">
        <v>600</v>
      </c>
      <c r="F760">
        <v>1557224</v>
      </c>
      <c r="H760" t="s">
        <v>600</v>
      </c>
      <c r="I760">
        <v>40</v>
      </c>
      <c r="J760" s="1">
        <v>440000</v>
      </c>
      <c r="K760" t="s">
        <v>26</v>
      </c>
      <c r="L760" s="1">
        <v>440000</v>
      </c>
      <c r="M760" t="s">
        <v>26</v>
      </c>
      <c r="Q760" t="s">
        <v>27</v>
      </c>
      <c r="T760" t="s">
        <v>591</v>
      </c>
      <c r="X760" t="s">
        <v>30</v>
      </c>
      <c r="Y760">
        <v>1557224</v>
      </c>
      <c r="Z760">
        <v>20250831</v>
      </c>
    </row>
    <row r="761" spans="3:26" x14ac:dyDescent="0.25">
      <c r="C761">
        <v>10000001</v>
      </c>
      <c r="D761" t="s">
        <v>600</v>
      </c>
      <c r="F761">
        <v>1557224</v>
      </c>
      <c r="H761" t="s">
        <v>600</v>
      </c>
      <c r="I761">
        <v>40</v>
      </c>
      <c r="J761" s="1">
        <v>180000</v>
      </c>
      <c r="K761" t="s">
        <v>26</v>
      </c>
      <c r="L761" s="1">
        <v>180000</v>
      </c>
      <c r="M761" t="s">
        <v>26</v>
      </c>
      <c r="Q761" t="s">
        <v>27</v>
      </c>
      <c r="T761" t="s">
        <v>406</v>
      </c>
      <c r="X761" t="s">
        <v>30</v>
      </c>
      <c r="Y761">
        <v>1557224</v>
      </c>
      <c r="Z761">
        <v>20250831</v>
      </c>
    </row>
    <row r="762" spans="3:26" x14ac:dyDescent="0.25">
      <c r="C762">
        <v>10000001</v>
      </c>
      <c r="D762" t="s">
        <v>600</v>
      </c>
      <c r="F762">
        <v>1557224</v>
      </c>
      <c r="H762" t="s">
        <v>600</v>
      </c>
      <c r="I762">
        <v>40</v>
      </c>
      <c r="J762" s="1">
        <v>202000</v>
      </c>
      <c r="K762" t="s">
        <v>26</v>
      </c>
      <c r="L762" s="1">
        <v>202000</v>
      </c>
      <c r="M762" t="s">
        <v>26</v>
      </c>
      <c r="Q762" t="s">
        <v>27</v>
      </c>
      <c r="T762" t="s">
        <v>403</v>
      </c>
      <c r="X762" t="s">
        <v>30</v>
      </c>
      <c r="Y762">
        <v>1557224</v>
      </c>
      <c r="Z762">
        <v>20250831</v>
      </c>
    </row>
    <row r="763" spans="3:26" x14ac:dyDescent="0.25">
      <c r="C763">
        <v>10000001</v>
      </c>
      <c r="D763" t="s">
        <v>600</v>
      </c>
      <c r="F763">
        <v>1557224</v>
      </c>
      <c r="H763" t="s">
        <v>600</v>
      </c>
      <c r="I763">
        <v>40</v>
      </c>
      <c r="J763" s="1">
        <v>369000</v>
      </c>
      <c r="K763" t="s">
        <v>26</v>
      </c>
      <c r="L763" s="1">
        <v>369000</v>
      </c>
      <c r="M763" t="s">
        <v>26</v>
      </c>
      <c r="Q763" t="s">
        <v>27</v>
      </c>
      <c r="T763" t="s">
        <v>398</v>
      </c>
      <c r="X763" t="s">
        <v>30</v>
      </c>
      <c r="Y763">
        <v>1557224</v>
      </c>
      <c r="Z763">
        <v>20250831</v>
      </c>
    </row>
    <row r="764" spans="3:26" x14ac:dyDescent="0.25">
      <c r="C764">
        <v>10000001</v>
      </c>
      <c r="D764" t="s">
        <v>600</v>
      </c>
      <c r="F764">
        <v>1557224</v>
      </c>
      <c r="H764" t="s">
        <v>600</v>
      </c>
      <c r="I764">
        <v>40</v>
      </c>
      <c r="J764" s="1">
        <v>1655000</v>
      </c>
      <c r="K764" t="s">
        <v>26</v>
      </c>
      <c r="L764" s="1">
        <v>1655000</v>
      </c>
      <c r="M764" t="s">
        <v>26</v>
      </c>
      <c r="Q764" t="s">
        <v>27</v>
      </c>
      <c r="T764" t="s">
        <v>98</v>
      </c>
      <c r="X764" t="s">
        <v>30</v>
      </c>
      <c r="Y764">
        <v>1557224</v>
      </c>
      <c r="Z764">
        <v>20250831</v>
      </c>
    </row>
    <row r="765" spans="3:26" x14ac:dyDescent="0.25">
      <c r="C765">
        <v>10000001</v>
      </c>
      <c r="D765" t="s">
        <v>600</v>
      </c>
      <c r="F765">
        <v>1557224</v>
      </c>
      <c r="H765" t="s">
        <v>600</v>
      </c>
      <c r="I765">
        <v>40</v>
      </c>
      <c r="J765" s="1">
        <v>816000</v>
      </c>
      <c r="K765" t="s">
        <v>26</v>
      </c>
      <c r="L765" s="1">
        <v>816000</v>
      </c>
      <c r="M765" t="s">
        <v>26</v>
      </c>
      <c r="Q765" t="s">
        <v>27</v>
      </c>
      <c r="T765" t="s">
        <v>567</v>
      </c>
      <c r="X765" t="s">
        <v>30</v>
      </c>
      <c r="Y765">
        <v>1557224</v>
      </c>
      <c r="Z765">
        <v>20250831</v>
      </c>
    </row>
    <row r="766" spans="3:26" x14ac:dyDescent="0.25">
      <c r="C766">
        <v>10000001</v>
      </c>
      <c r="D766" t="s">
        <v>600</v>
      </c>
      <c r="F766">
        <v>1557224</v>
      </c>
      <c r="H766" t="s">
        <v>600</v>
      </c>
      <c r="I766">
        <v>40</v>
      </c>
      <c r="J766" s="1">
        <v>50000</v>
      </c>
      <c r="K766" t="s">
        <v>26</v>
      </c>
      <c r="L766" s="1">
        <v>50000</v>
      </c>
      <c r="M766" t="s">
        <v>26</v>
      </c>
      <c r="Q766" t="s">
        <v>27</v>
      </c>
      <c r="T766" t="s">
        <v>455</v>
      </c>
      <c r="X766" t="s">
        <v>30</v>
      </c>
      <c r="Y766">
        <v>1557224</v>
      </c>
      <c r="Z766">
        <v>20250831</v>
      </c>
    </row>
    <row r="767" spans="3:26" x14ac:dyDescent="0.25">
      <c r="C767">
        <v>10000001</v>
      </c>
      <c r="D767" t="s">
        <v>600</v>
      </c>
      <c r="F767">
        <v>1557224</v>
      </c>
      <c r="H767" t="s">
        <v>600</v>
      </c>
      <c r="I767">
        <v>40</v>
      </c>
      <c r="J767" s="1">
        <v>50000</v>
      </c>
      <c r="K767" t="s">
        <v>26</v>
      </c>
      <c r="L767" s="1">
        <v>50000</v>
      </c>
      <c r="M767" t="s">
        <v>26</v>
      </c>
      <c r="Q767" t="s">
        <v>27</v>
      </c>
      <c r="T767" t="s">
        <v>456</v>
      </c>
      <c r="X767" t="s">
        <v>30</v>
      </c>
      <c r="Y767">
        <v>1557224</v>
      </c>
      <c r="Z767">
        <v>20250831</v>
      </c>
    </row>
    <row r="768" spans="3:26" x14ac:dyDescent="0.25">
      <c r="C768">
        <v>10000001</v>
      </c>
      <c r="D768" t="s">
        <v>600</v>
      </c>
      <c r="F768">
        <v>1557224</v>
      </c>
      <c r="H768" t="s">
        <v>600</v>
      </c>
      <c r="I768">
        <v>50</v>
      </c>
      <c r="J768" s="1">
        <v>-34438078</v>
      </c>
      <c r="K768" t="s">
        <v>26</v>
      </c>
      <c r="L768" s="1">
        <v>-34438078</v>
      </c>
      <c r="M768" t="s">
        <v>26</v>
      </c>
      <c r="Q768" t="s">
        <v>27</v>
      </c>
      <c r="T768" t="s">
        <v>599</v>
      </c>
      <c r="X768" t="s">
        <v>30</v>
      </c>
      <c r="Y768">
        <v>1557224</v>
      </c>
      <c r="Z768">
        <v>20250831</v>
      </c>
    </row>
    <row r="769" spans="3:26" x14ac:dyDescent="0.25">
      <c r="C769">
        <v>10000001</v>
      </c>
      <c r="D769" t="s">
        <v>600</v>
      </c>
      <c r="F769">
        <v>1575270</v>
      </c>
      <c r="H769" t="s">
        <v>600</v>
      </c>
      <c r="I769">
        <v>50</v>
      </c>
      <c r="J769">
        <v>0</v>
      </c>
      <c r="K769" t="s">
        <v>26</v>
      </c>
      <c r="L769">
        <v>0</v>
      </c>
      <c r="M769" t="s">
        <v>26</v>
      </c>
      <c r="Q769" t="s">
        <v>27</v>
      </c>
      <c r="S769" t="s">
        <v>28</v>
      </c>
      <c r="T769" t="s">
        <v>601</v>
      </c>
      <c r="X769" t="s">
        <v>30</v>
      </c>
      <c r="Y769">
        <v>1576930</v>
      </c>
      <c r="Z769">
        <v>20250831</v>
      </c>
    </row>
    <row r="770" spans="3:26" x14ac:dyDescent="0.25">
      <c r="C770">
        <v>10000001</v>
      </c>
      <c r="D770" t="s">
        <v>600</v>
      </c>
      <c r="F770">
        <v>1575271</v>
      </c>
      <c r="H770" t="s">
        <v>602</v>
      </c>
      <c r="I770">
        <v>40</v>
      </c>
      <c r="J770">
        <v>0</v>
      </c>
      <c r="K770" t="s">
        <v>26</v>
      </c>
      <c r="L770">
        <v>0</v>
      </c>
      <c r="M770" t="s">
        <v>26</v>
      </c>
      <c r="Q770" t="s">
        <v>27</v>
      </c>
      <c r="S770" t="s">
        <v>33</v>
      </c>
      <c r="T770" t="s">
        <v>603</v>
      </c>
      <c r="X770" t="s">
        <v>30</v>
      </c>
      <c r="Y770">
        <v>1576930</v>
      </c>
      <c r="Z770">
        <v>20250901</v>
      </c>
    </row>
    <row r="771" spans="3:26" x14ac:dyDescent="0.25">
      <c r="C771">
        <v>10000001</v>
      </c>
      <c r="D771" t="s">
        <v>604</v>
      </c>
      <c r="F771">
        <v>1576930</v>
      </c>
      <c r="H771" t="s">
        <v>604</v>
      </c>
      <c r="I771">
        <v>40</v>
      </c>
      <c r="J771">
        <v>0</v>
      </c>
      <c r="K771" t="s">
        <v>26</v>
      </c>
      <c r="L771">
        <v>0</v>
      </c>
      <c r="M771" t="s">
        <v>26</v>
      </c>
      <c r="Q771" t="s">
        <v>27</v>
      </c>
      <c r="S771" t="s">
        <v>36</v>
      </c>
      <c r="T771" t="s">
        <v>601</v>
      </c>
      <c r="X771" t="s">
        <v>38</v>
      </c>
      <c r="Y771">
        <v>1576930</v>
      </c>
      <c r="Z771">
        <v>20250903</v>
      </c>
    </row>
    <row r="772" spans="3:26" x14ac:dyDescent="0.25">
      <c r="C772">
        <v>10000001</v>
      </c>
      <c r="D772" t="s">
        <v>604</v>
      </c>
      <c r="F772">
        <v>1576930</v>
      </c>
      <c r="H772" t="s">
        <v>604</v>
      </c>
      <c r="I772">
        <v>50</v>
      </c>
      <c r="J772">
        <v>0</v>
      </c>
      <c r="K772" t="s">
        <v>26</v>
      </c>
      <c r="L772">
        <v>0</v>
      </c>
      <c r="M772" t="s">
        <v>26</v>
      </c>
      <c r="Q772" t="s">
        <v>27</v>
      </c>
      <c r="S772" t="s">
        <v>36</v>
      </c>
      <c r="T772" t="s">
        <v>603</v>
      </c>
      <c r="X772" t="s">
        <v>38</v>
      </c>
      <c r="Y772">
        <v>1576930</v>
      </c>
      <c r="Z772">
        <v>20250903</v>
      </c>
    </row>
    <row r="773" spans="3:26" x14ac:dyDescent="0.25">
      <c r="C773">
        <v>10000001</v>
      </c>
      <c r="D773" t="s">
        <v>605</v>
      </c>
      <c r="F773">
        <v>12007299</v>
      </c>
      <c r="H773" t="s">
        <v>605</v>
      </c>
      <c r="I773">
        <v>50</v>
      </c>
      <c r="J773" s="1">
        <v>-500000</v>
      </c>
      <c r="K773" t="s">
        <v>26</v>
      </c>
      <c r="L773" s="1">
        <v>-500000</v>
      </c>
      <c r="M773" t="s">
        <v>26</v>
      </c>
      <c r="Q773" t="s">
        <v>27</v>
      </c>
      <c r="R773" t="s">
        <v>606</v>
      </c>
      <c r="S773" t="s">
        <v>41</v>
      </c>
      <c r="T773" t="s">
        <v>607</v>
      </c>
      <c r="X773" t="s">
        <v>43</v>
      </c>
      <c r="Y773">
        <v>1631293</v>
      </c>
      <c r="Z773">
        <v>20250902</v>
      </c>
    </row>
    <row r="774" spans="3:26" x14ac:dyDescent="0.25">
      <c r="C774">
        <v>10000001</v>
      </c>
      <c r="D774" t="s">
        <v>605</v>
      </c>
      <c r="F774">
        <v>12007300</v>
      </c>
      <c r="H774" t="s">
        <v>605</v>
      </c>
      <c r="I774">
        <v>50</v>
      </c>
      <c r="J774" s="1">
        <v>-50000</v>
      </c>
      <c r="K774" t="s">
        <v>26</v>
      </c>
      <c r="L774" s="1">
        <v>-50000</v>
      </c>
      <c r="M774" t="s">
        <v>26</v>
      </c>
      <c r="Q774" t="s">
        <v>27</v>
      </c>
      <c r="R774" t="s">
        <v>608</v>
      </c>
      <c r="S774" t="s">
        <v>45</v>
      </c>
      <c r="T774" t="s">
        <v>609</v>
      </c>
      <c r="X774" t="s">
        <v>43</v>
      </c>
      <c r="Y774">
        <v>1631293</v>
      </c>
      <c r="Z774">
        <v>20250902</v>
      </c>
    </row>
    <row r="775" spans="3:26" x14ac:dyDescent="0.25">
      <c r="C775">
        <v>10000001</v>
      </c>
      <c r="D775" t="s">
        <v>605</v>
      </c>
      <c r="F775">
        <v>12007301</v>
      </c>
      <c r="H775" t="s">
        <v>605</v>
      </c>
      <c r="I775">
        <v>50</v>
      </c>
      <c r="J775" s="1">
        <v>-50000</v>
      </c>
      <c r="K775" t="s">
        <v>26</v>
      </c>
      <c r="L775" s="1">
        <v>-50000</v>
      </c>
      <c r="M775" t="s">
        <v>26</v>
      </c>
      <c r="Q775" t="s">
        <v>27</v>
      </c>
      <c r="R775" t="s">
        <v>608</v>
      </c>
      <c r="S775" t="s">
        <v>45</v>
      </c>
      <c r="T775" t="s">
        <v>610</v>
      </c>
      <c r="X775" t="s">
        <v>43</v>
      </c>
      <c r="Y775">
        <v>1631293</v>
      </c>
      <c r="Z775">
        <v>20250902</v>
      </c>
    </row>
    <row r="776" spans="3:26" x14ac:dyDescent="0.25">
      <c r="C776">
        <v>10000001</v>
      </c>
      <c r="D776" t="s">
        <v>605</v>
      </c>
      <c r="F776">
        <v>12007302</v>
      </c>
      <c r="H776" t="s">
        <v>605</v>
      </c>
      <c r="I776">
        <v>50</v>
      </c>
      <c r="J776" s="1">
        <v>-50000</v>
      </c>
      <c r="K776" t="s">
        <v>26</v>
      </c>
      <c r="L776" s="1">
        <v>-50000</v>
      </c>
      <c r="M776" t="s">
        <v>26</v>
      </c>
      <c r="Q776" t="s">
        <v>27</v>
      </c>
      <c r="R776" t="s">
        <v>608</v>
      </c>
      <c r="S776" t="s">
        <v>45</v>
      </c>
      <c r="T776" t="s">
        <v>611</v>
      </c>
      <c r="X776" t="s">
        <v>43</v>
      </c>
      <c r="Y776">
        <v>1631293</v>
      </c>
      <c r="Z776">
        <v>20250902</v>
      </c>
    </row>
    <row r="777" spans="3:26" x14ac:dyDescent="0.25">
      <c r="C777">
        <v>10000001</v>
      </c>
      <c r="D777" t="s">
        <v>605</v>
      </c>
      <c r="F777">
        <v>12007303</v>
      </c>
      <c r="H777" t="s">
        <v>605</v>
      </c>
      <c r="I777">
        <v>50</v>
      </c>
      <c r="J777" s="1">
        <v>-50000</v>
      </c>
      <c r="K777" t="s">
        <v>26</v>
      </c>
      <c r="L777" s="1">
        <v>-50000</v>
      </c>
      <c r="M777" t="s">
        <v>26</v>
      </c>
      <c r="Q777" t="s">
        <v>27</v>
      </c>
      <c r="R777" t="s">
        <v>608</v>
      </c>
      <c r="S777" t="s">
        <v>45</v>
      </c>
      <c r="T777" t="s">
        <v>612</v>
      </c>
      <c r="X777" t="s">
        <v>43</v>
      </c>
      <c r="Y777">
        <v>1631293</v>
      </c>
      <c r="Z777">
        <v>20250902</v>
      </c>
    </row>
    <row r="778" spans="3:26" x14ac:dyDescent="0.25">
      <c r="C778">
        <v>10000001</v>
      </c>
      <c r="D778" t="s">
        <v>605</v>
      </c>
      <c r="F778">
        <v>12007304</v>
      </c>
      <c r="H778" t="s">
        <v>605</v>
      </c>
      <c r="I778">
        <v>50</v>
      </c>
      <c r="J778" s="1">
        <v>-50000</v>
      </c>
      <c r="K778" t="s">
        <v>26</v>
      </c>
      <c r="L778" s="1">
        <v>-50000</v>
      </c>
      <c r="M778" t="s">
        <v>26</v>
      </c>
      <c r="Q778" t="s">
        <v>27</v>
      </c>
      <c r="R778" t="s">
        <v>608</v>
      </c>
      <c r="S778" t="s">
        <v>45</v>
      </c>
      <c r="T778" t="s">
        <v>613</v>
      </c>
      <c r="X778" t="s">
        <v>43</v>
      </c>
      <c r="Y778">
        <v>1631293</v>
      </c>
      <c r="Z778">
        <v>20250902</v>
      </c>
    </row>
    <row r="779" spans="3:26" x14ac:dyDescent="0.25">
      <c r="C779">
        <v>10000001</v>
      </c>
      <c r="D779" t="s">
        <v>605</v>
      </c>
      <c r="F779">
        <v>12007305</v>
      </c>
      <c r="H779" t="s">
        <v>605</v>
      </c>
      <c r="I779">
        <v>50</v>
      </c>
      <c r="J779" s="1">
        <v>-50000</v>
      </c>
      <c r="K779" t="s">
        <v>26</v>
      </c>
      <c r="L779" s="1">
        <v>-50000</v>
      </c>
      <c r="M779" t="s">
        <v>26</v>
      </c>
      <c r="Q779" t="s">
        <v>27</v>
      </c>
      <c r="R779" t="s">
        <v>614</v>
      </c>
      <c r="S779" t="s">
        <v>45</v>
      </c>
      <c r="T779" t="s">
        <v>615</v>
      </c>
      <c r="X779" t="s">
        <v>43</v>
      </c>
      <c r="Y779">
        <v>1631293</v>
      </c>
      <c r="Z779">
        <v>20250902</v>
      </c>
    </row>
    <row r="780" spans="3:26" x14ac:dyDescent="0.25">
      <c r="C780">
        <v>10000001</v>
      </c>
      <c r="D780" t="s">
        <v>605</v>
      </c>
      <c r="F780">
        <v>12007306</v>
      </c>
      <c r="H780" t="s">
        <v>605</v>
      </c>
      <c r="I780">
        <v>50</v>
      </c>
      <c r="J780" s="1">
        <v>-50000</v>
      </c>
      <c r="K780" t="s">
        <v>26</v>
      </c>
      <c r="L780" s="1">
        <v>-50000</v>
      </c>
      <c r="M780" t="s">
        <v>26</v>
      </c>
      <c r="Q780" t="s">
        <v>27</v>
      </c>
      <c r="R780" t="s">
        <v>614</v>
      </c>
      <c r="S780" t="s">
        <v>45</v>
      </c>
      <c r="T780" t="s">
        <v>616</v>
      </c>
      <c r="X780" t="s">
        <v>43</v>
      </c>
      <c r="Y780">
        <v>1631293</v>
      </c>
      <c r="Z780">
        <v>20250902</v>
      </c>
    </row>
    <row r="781" spans="3:26" x14ac:dyDescent="0.25">
      <c r="C781">
        <v>10000001</v>
      </c>
      <c r="D781" t="s">
        <v>605</v>
      </c>
      <c r="F781">
        <v>12007307</v>
      </c>
      <c r="H781" t="s">
        <v>605</v>
      </c>
      <c r="I781">
        <v>50</v>
      </c>
      <c r="J781" s="1">
        <v>-50000</v>
      </c>
      <c r="K781" t="s">
        <v>26</v>
      </c>
      <c r="L781" s="1">
        <v>-50000</v>
      </c>
      <c r="M781" t="s">
        <v>26</v>
      </c>
      <c r="Q781" t="s">
        <v>27</v>
      </c>
      <c r="R781" t="s">
        <v>614</v>
      </c>
      <c r="S781" t="s">
        <v>45</v>
      </c>
      <c r="T781" t="s">
        <v>617</v>
      </c>
      <c r="X781" t="s">
        <v>43</v>
      </c>
      <c r="Y781">
        <v>1631293</v>
      </c>
      <c r="Z781">
        <v>20250902</v>
      </c>
    </row>
    <row r="782" spans="3:26" x14ac:dyDescent="0.25">
      <c r="C782">
        <v>10000001</v>
      </c>
      <c r="D782" t="s">
        <v>605</v>
      </c>
      <c r="F782">
        <v>12007308</v>
      </c>
      <c r="H782" t="s">
        <v>605</v>
      </c>
      <c r="I782">
        <v>50</v>
      </c>
      <c r="J782" s="1">
        <v>-50000</v>
      </c>
      <c r="K782" t="s">
        <v>26</v>
      </c>
      <c r="L782" s="1">
        <v>-50000</v>
      </c>
      <c r="M782" t="s">
        <v>26</v>
      </c>
      <c r="Q782" t="s">
        <v>27</v>
      </c>
      <c r="R782" t="s">
        <v>614</v>
      </c>
      <c r="S782" t="s">
        <v>45</v>
      </c>
      <c r="T782" t="s">
        <v>618</v>
      </c>
      <c r="X782" t="s">
        <v>43</v>
      </c>
      <c r="Y782">
        <v>1631293</v>
      </c>
      <c r="Z782">
        <v>20250902</v>
      </c>
    </row>
    <row r="783" spans="3:26" x14ac:dyDescent="0.25">
      <c r="C783">
        <v>10000001</v>
      </c>
      <c r="D783" t="s">
        <v>605</v>
      </c>
      <c r="F783">
        <v>12007309</v>
      </c>
      <c r="H783" t="s">
        <v>605</v>
      </c>
      <c r="I783">
        <v>50</v>
      </c>
      <c r="J783" s="1">
        <v>-50000</v>
      </c>
      <c r="K783" t="s">
        <v>26</v>
      </c>
      <c r="L783" s="1">
        <v>-50000</v>
      </c>
      <c r="M783" t="s">
        <v>26</v>
      </c>
      <c r="Q783" t="s">
        <v>27</v>
      </c>
      <c r="R783" t="s">
        <v>614</v>
      </c>
      <c r="S783" t="s">
        <v>45</v>
      </c>
      <c r="T783" t="s">
        <v>619</v>
      </c>
      <c r="X783" t="s">
        <v>43</v>
      </c>
      <c r="Y783">
        <v>1631293</v>
      </c>
      <c r="Z783">
        <v>20250902</v>
      </c>
    </row>
    <row r="784" spans="3:26" x14ac:dyDescent="0.25">
      <c r="C784">
        <v>10000001</v>
      </c>
      <c r="D784" t="s">
        <v>605</v>
      </c>
      <c r="F784">
        <v>12007310</v>
      </c>
      <c r="H784" t="s">
        <v>605</v>
      </c>
      <c r="I784">
        <v>50</v>
      </c>
      <c r="J784" s="1">
        <v>-50000</v>
      </c>
      <c r="K784" t="s">
        <v>26</v>
      </c>
      <c r="L784" s="1">
        <v>-50000</v>
      </c>
      <c r="M784" t="s">
        <v>26</v>
      </c>
      <c r="Q784" t="s">
        <v>27</v>
      </c>
      <c r="R784" t="s">
        <v>614</v>
      </c>
      <c r="S784" t="s">
        <v>45</v>
      </c>
      <c r="T784" t="s">
        <v>620</v>
      </c>
      <c r="X784" t="s">
        <v>43</v>
      </c>
      <c r="Y784">
        <v>1631293</v>
      </c>
      <c r="Z784">
        <v>20250902</v>
      </c>
    </row>
    <row r="785" spans="3:26" x14ac:dyDescent="0.25">
      <c r="C785">
        <v>10000001</v>
      </c>
      <c r="D785" t="s">
        <v>605</v>
      </c>
      <c r="F785">
        <v>12007311</v>
      </c>
      <c r="H785" t="s">
        <v>605</v>
      </c>
      <c r="I785">
        <v>50</v>
      </c>
      <c r="J785" s="1">
        <v>-50000</v>
      </c>
      <c r="K785" t="s">
        <v>26</v>
      </c>
      <c r="L785" s="1">
        <v>-50000</v>
      </c>
      <c r="M785" t="s">
        <v>26</v>
      </c>
      <c r="Q785" t="s">
        <v>27</v>
      </c>
      <c r="R785" t="s">
        <v>614</v>
      </c>
      <c r="S785" t="s">
        <v>45</v>
      </c>
      <c r="T785" t="s">
        <v>621</v>
      </c>
      <c r="X785" t="s">
        <v>43</v>
      </c>
      <c r="Y785">
        <v>1631293</v>
      </c>
      <c r="Z785">
        <v>20250902</v>
      </c>
    </row>
    <row r="786" spans="3:26" x14ac:dyDescent="0.25">
      <c r="C786">
        <v>10000001</v>
      </c>
      <c r="D786" t="s">
        <v>605</v>
      </c>
      <c r="F786">
        <v>12007312</v>
      </c>
      <c r="H786" t="s">
        <v>605</v>
      </c>
      <c r="I786">
        <v>50</v>
      </c>
      <c r="J786" s="1">
        <v>-50000</v>
      </c>
      <c r="K786" t="s">
        <v>26</v>
      </c>
      <c r="L786" s="1">
        <v>-50000</v>
      </c>
      <c r="M786" t="s">
        <v>26</v>
      </c>
      <c r="Q786" t="s">
        <v>27</v>
      </c>
      <c r="R786" t="s">
        <v>614</v>
      </c>
      <c r="S786" t="s">
        <v>45</v>
      </c>
      <c r="T786" t="s">
        <v>622</v>
      </c>
      <c r="X786" t="s">
        <v>43</v>
      </c>
      <c r="Y786">
        <v>1631293</v>
      </c>
      <c r="Z786">
        <v>20250902</v>
      </c>
    </row>
    <row r="787" spans="3:26" x14ac:dyDescent="0.25">
      <c r="C787">
        <v>10000001</v>
      </c>
      <c r="D787" t="s">
        <v>605</v>
      </c>
      <c r="F787">
        <v>12007313</v>
      </c>
      <c r="H787" t="s">
        <v>605</v>
      </c>
      <c r="I787">
        <v>50</v>
      </c>
      <c r="J787" s="1">
        <v>-50000</v>
      </c>
      <c r="K787" t="s">
        <v>26</v>
      </c>
      <c r="L787" s="1">
        <v>-50000</v>
      </c>
      <c r="M787" t="s">
        <v>26</v>
      </c>
      <c r="Q787" t="s">
        <v>27</v>
      </c>
      <c r="R787" t="s">
        <v>614</v>
      </c>
      <c r="S787" t="s">
        <v>45</v>
      </c>
      <c r="T787" t="s">
        <v>623</v>
      </c>
      <c r="X787" t="s">
        <v>43</v>
      </c>
      <c r="Y787">
        <v>1631293</v>
      </c>
      <c r="Z787">
        <v>20250902</v>
      </c>
    </row>
    <row r="788" spans="3:26" x14ac:dyDescent="0.25">
      <c r="C788">
        <v>10000001</v>
      </c>
      <c r="D788" t="s">
        <v>605</v>
      </c>
      <c r="F788">
        <v>12007314</v>
      </c>
      <c r="H788" t="s">
        <v>605</v>
      </c>
      <c r="I788">
        <v>50</v>
      </c>
      <c r="J788" s="1">
        <v>-9000</v>
      </c>
      <c r="K788" t="s">
        <v>26</v>
      </c>
      <c r="L788" s="1">
        <v>-9000</v>
      </c>
      <c r="M788" t="s">
        <v>26</v>
      </c>
      <c r="Q788" t="s">
        <v>27</v>
      </c>
      <c r="R788" t="s">
        <v>614</v>
      </c>
      <c r="S788" t="s">
        <v>334</v>
      </c>
      <c r="T788" t="s">
        <v>624</v>
      </c>
      <c r="X788" t="s">
        <v>43</v>
      </c>
      <c r="Y788">
        <v>1631293</v>
      </c>
      <c r="Z788">
        <v>20250902</v>
      </c>
    </row>
    <row r="789" spans="3:26" x14ac:dyDescent="0.25">
      <c r="C789">
        <v>10000001</v>
      </c>
      <c r="D789" t="s">
        <v>605</v>
      </c>
      <c r="F789">
        <v>12007315</v>
      </c>
      <c r="H789" t="s">
        <v>605</v>
      </c>
      <c r="I789">
        <v>50</v>
      </c>
      <c r="J789" s="1">
        <v>-100000</v>
      </c>
      <c r="K789" t="s">
        <v>26</v>
      </c>
      <c r="L789" s="1">
        <v>-100000</v>
      </c>
      <c r="M789" t="s">
        <v>26</v>
      </c>
      <c r="Q789" t="s">
        <v>27</v>
      </c>
      <c r="R789" t="s">
        <v>614</v>
      </c>
      <c r="S789" t="s">
        <v>274</v>
      </c>
      <c r="T789" t="s">
        <v>625</v>
      </c>
      <c r="X789" t="s">
        <v>43</v>
      </c>
      <c r="Y789">
        <v>1631293</v>
      </c>
      <c r="Z789">
        <v>20250902</v>
      </c>
    </row>
    <row r="790" spans="3:26" x14ac:dyDescent="0.25">
      <c r="C790">
        <v>10000001</v>
      </c>
      <c r="D790" t="s">
        <v>605</v>
      </c>
      <c r="F790">
        <v>12007316</v>
      </c>
      <c r="H790" t="s">
        <v>605</v>
      </c>
      <c r="I790">
        <v>50</v>
      </c>
      <c r="J790" s="1">
        <v>-760000</v>
      </c>
      <c r="K790" t="s">
        <v>26</v>
      </c>
      <c r="L790" s="1">
        <v>-760000</v>
      </c>
      <c r="M790" t="s">
        <v>26</v>
      </c>
      <c r="Q790" t="s">
        <v>27</v>
      </c>
      <c r="R790" t="s">
        <v>626</v>
      </c>
      <c r="S790" t="s">
        <v>96</v>
      </c>
      <c r="T790" t="s">
        <v>627</v>
      </c>
      <c r="X790" t="s">
        <v>43</v>
      </c>
      <c r="Y790">
        <v>1631293</v>
      </c>
      <c r="Z790">
        <v>20250902</v>
      </c>
    </row>
    <row r="791" spans="3:26" x14ac:dyDescent="0.25">
      <c r="C791">
        <v>10000001</v>
      </c>
      <c r="D791" t="s">
        <v>605</v>
      </c>
      <c r="F791">
        <v>12007317</v>
      </c>
      <c r="H791" t="s">
        <v>605</v>
      </c>
      <c r="I791">
        <v>50</v>
      </c>
      <c r="J791" s="1">
        <v>-240000</v>
      </c>
      <c r="K791" t="s">
        <v>26</v>
      </c>
      <c r="L791" s="1">
        <v>-240000</v>
      </c>
      <c r="M791" t="s">
        <v>26</v>
      </c>
      <c r="Q791" t="s">
        <v>27</v>
      </c>
      <c r="R791" t="s">
        <v>626</v>
      </c>
      <c r="S791" t="s">
        <v>67</v>
      </c>
      <c r="T791" t="s">
        <v>628</v>
      </c>
      <c r="X791" t="s">
        <v>43</v>
      </c>
      <c r="Y791">
        <v>1631293</v>
      </c>
      <c r="Z791">
        <v>20250902</v>
      </c>
    </row>
    <row r="792" spans="3:26" x14ac:dyDescent="0.25">
      <c r="C792">
        <v>10000001</v>
      </c>
      <c r="D792" t="s">
        <v>605</v>
      </c>
      <c r="F792">
        <v>12007318</v>
      </c>
      <c r="H792" t="s">
        <v>605</v>
      </c>
      <c r="I792">
        <v>50</v>
      </c>
      <c r="J792" s="1">
        <v>-50000</v>
      </c>
      <c r="K792" t="s">
        <v>26</v>
      </c>
      <c r="L792" s="1">
        <v>-50000</v>
      </c>
      <c r="M792" t="s">
        <v>26</v>
      </c>
      <c r="Q792" t="s">
        <v>27</v>
      </c>
      <c r="R792" t="s">
        <v>629</v>
      </c>
      <c r="S792" t="s">
        <v>45</v>
      </c>
      <c r="T792" t="s">
        <v>630</v>
      </c>
      <c r="X792" t="s">
        <v>43</v>
      </c>
      <c r="Y792">
        <v>1631293</v>
      </c>
      <c r="Z792">
        <v>20250902</v>
      </c>
    </row>
    <row r="793" spans="3:26" x14ac:dyDescent="0.25">
      <c r="C793">
        <v>10000001</v>
      </c>
      <c r="D793" t="s">
        <v>605</v>
      </c>
      <c r="F793">
        <v>12007319</v>
      </c>
      <c r="H793" t="s">
        <v>605</v>
      </c>
      <c r="I793">
        <v>50</v>
      </c>
      <c r="J793" s="1">
        <v>-50000</v>
      </c>
      <c r="K793" t="s">
        <v>26</v>
      </c>
      <c r="L793" s="1">
        <v>-50000</v>
      </c>
      <c r="M793" t="s">
        <v>26</v>
      </c>
      <c r="Q793" t="s">
        <v>27</v>
      </c>
      <c r="R793" t="s">
        <v>629</v>
      </c>
      <c r="S793" t="s">
        <v>45</v>
      </c>
      <c r="T793" t="s">
        <v>631</v>
      </c>
      <c r="X793" t="s">
        <v>43</v>
      </c>
      <c r="Y793">
        <v>1631293</v>
      </c>
      <c r="Z793">
        <v>20250902</v>
      </c>
    </row>
    <row r="794" spans="3:26" x14ac:dyDescent="0.25">
      <c r="C794">
        <v>10000001</v>
      </c>
      <c r="D794" t="s">
        <v>605</v>
      </c>
      <c r="F794">
        <v>12007320</v>
      </c>
      <c r="H794" t="s">
        <v>605</v>
      </c>
      <c r="I794">
        <v>50</v>
      </c>
      <c r="J794" s="1">
        <v>-50000</v>
      </c>
      <c r="K794" t="s">
        <v>26</v>
      </c>
      <c r="L794" s="1">
        <v>-50000</v>
      </c>
      <c r="M794" t="s">
        <v>26</v>
      </c>
      <c r="Q794" t="s">
        <v>27</v>
      </c>
      <c r="R794" t="s">
        <v>629</v>
      </c>
      <c r="S794" t="s">
        <v>45</v>
      </c>
      <c r="T794" t="s">
        <v>632</v>
      </c>
      <c r="X794" t="s">
        <v>43</v>
      </c>
      <c r="Y794">
        <v>1631293</v>
      </c>
      <c r="Z794">
        <v>20250902</v>
      </c>
    </row>
    <row r="795" spans="3:26" x14ac:dyDescent="0.25">
      <c r="C795">
        <v>10000001</v>
      </c>
      <c r="D795" t="s">
        <v>605</v>
      </c>
      <c r="F795">
        <v>12007321</v>
      </c>
      <c r="H795" t="s">
        <v>605</v>
      </c>
      <c r="I795">
        <v>50</v>
      </c>
      <c r="J795" s="1">
        <v>-50000</v>
      </c>
      <c r="K795" t="s">
        <v>26</v>
      </c>
      <c r="L795" s="1">
        <v>-50000</v>
      </c>
      <c r="M795" t="s">
        <v>26</v>
      </c>
      <c r="Q795" t="s">
        <v>27</v>
      </c>
      <c r="R795" t="s">
        <v>629</v>
      </c>
      <c r="S795" t="s">
        <v>45</v>
      </c>
      <c r="T795" t="s">
        <v>633</v>
      </c>
      <c r="X795" t="s">
        <v>43</v>
      </c>
      <c r="Y795">
        <v>1631293</v>
      </c>
      <c r="Z795">
        <v>20250902</v>
      </c>
    </row>
    <row r="796" spans="3:26" x14ac:dyDescent="0.25">
      <c r="C796">
        <v>10000001</v>
      </c>
      <c r="D796" t="s">
        <v>605</v>
      </c>
      <c r="F796">
        <v>12007322</v>
      </c>
      <c r="H796" t="s">
        <v>605</v>
      </c>
      <c r="I796">
        <v>50</v>
      </c>
      <c r="J796" s="1">
        <v>-50000</v>
      </c>
      <c r="K796" t="s">
        <v>26</v>
      </c>
      <c r="L796" s="1">
        <v>-50000</v>
      </c>
      <c r="M796" t="s">
        <v>26</v>
      </c>
      <c r="Q796" t="s">
        <v>27</v>
      </c>
      <c r="R796" t="s">
        <v>634</v>
      </c>
      <c r="S796" t="s">
        <v>45</v>
      </c>
      <c r="T796" t="s">
        <v>635</v>
      </c>
      <c r="X796" t="s">
        <v>43</v>
      </c>
      <c r="Y796">
        <v>1631293</v>
      </c>
      <c r="Z796">
        <v>20250902</v>
      </c>
    </row>
    <row r="797" spans="3:26" x14ac:dyDescent="0.25">
      <c r="C797">
        <v>10000001</v>
      </c>
      <c r="D797" t="s">
        <v>605</v>
      </c>
      <c r="F797">
        <v>12007323</v>
      </c>
      <c r="H797" t="s">
        <v>605</v>
      </c>
      <c r="I797">
        <v>50</v>
      </c>
      <c r="J797" s="1">
        <v>-50000</v>
      </c>
      <c r="K797" t="s">
        <v>26</v>
      </c>
      <c r="L797" s="1">
        <v>-50000</v>
      </c>
      <c r="M797" t="s">
        <v>26</v>
      </c>
      <c r="Q797" t="s">
        <v>27</v>
      </c>
      <c r="R797" t="s">
        <v>634</v>
      </c>
      <c r="S797" t="s">
        <v>45</v>
      </c>
      <c r="T797" t="s">
        <v>636</v>
      </c>
      <c r="X797" t="s">
        <v>43</v>
      </c>
      <c r="Y797">
        <v>1631293</v>
      </c>
      <c r="Z797">
        <v>20250902</v>
      </c>
    </row>
    <row r="798" spans="3:26" x14ac:dyDescent="0.25">
      <c r="C798">
        <v>10000001</v>
      </c>
      <c r="D798" t="s">
        <v>605</v>
      </c>
      <c r="F798">
        <v>12007324</v>
      </c>
      <c r="H798" t="s">
        <v>605</v>
      </c>
      <c r="I798">
        <v>50</v>
      </c>
      <c r="J798" s="1">
        <v>-50000</v>
      </c>
      <c r="K798" t="s">
        <v>26</v>
      </c>
      <c r="L798" s="1">
        <v>-50000</v>
      </c>
      <c r="M798" t="s">
        <v>26</v>
      </c>
      <c r="Q798" t="s">
        <v>27</v>
      </c>
      <c r="R798" t="s">
        <v>634</v>
      </c>
      <c r="S798" t="s">
        <v>45</v>
      </c>
      <c r="T798" t="s">
        <v>637</v>
      </c>
      <c r="X798" t="s">
        <v>43</v>
      </c>
      <c r="Y798">
        <v>1631293</v>
      </c>
      <c r="Z798">
        <v>20250902</v>
      </c>
    </row>
    <row r="799" spans="3:26" x14ac:dyDescent="0.25">
      <c r="C799">
        <v>10000001</v>
      </c>
      <c r="D799" t="s">
        <v>605</v>
      </c>
      <c r="F799">
        <v>12007325</v>
      </c>
      <c r="H799" t="s">
        <v>605</v>
      </c>
      <c r="I799">
        <v>50</v>
      </c>
      <c r="J799" s="1">
        <v>-50000</v>
      </c>
      <c r="K799" t="s">
        <v>26</v>
      </c>
      <c r="L799" s="1">
        <v>-50000</v>
      </c>
      <c r="M799" t="s">
        <v>26</v>
      </c>
      <c r="Q799" t="s">
        <v>27</v>
      </c>
      <c r="R799" t="s">
        <v>634</v>
      </c>
      <c r="S799" t="s">
        <v>45</v>
      </c>
      <c r="T799" t="s">
        <v>638</v>
      </c>
      <c r="X799" t="s">
        <v>43</v>
      </c>
      <c r="Y799">
        <v>1631293</v>
      </c>
      <c r="Z799">
        <v>20250902</v>
      </c>
    </row>
    <row r="800" spans="3:26" x14ac:dyDescent="0.25">
      <c r="C800">
        <v>10000001</v>
      </c>
      <c r="D800" t="s">
        <v>605</v>
      </c>
      <c r="F800">
        <v>12007326</v>
      </c>
      <c r="H800" t="s">
        <v>605</v>
      </c>
      <c r="I800">
        <v>50</v>
      </c>
      <c r="J800" s="1">
        <v>-50000</v>
      </c>
      <c r="K800" t="s">
        <v>26</v>
      </c>
      <c r="L800" s="1">
        <v>-50000</v>
      </c>
      <c r="M800" t="s">
        <v>26</v>
      </c>
      <c r="Q800" t="s">
        <v>27</v>
      </c>
      <c r="R800" t="s">
        <v>634</v>
      </c>
      <c r="S800" t="s">
        <v>45</v>
      </c>
      <c r="T800" t="s">
        <v>639</v>
      </c>
      <c r="X800" t="s">
        <v>43</v>
      </c>
      <c r="Y800">
        <v>1631293</v>
      </c>
      <c r="Z800">
        <v>20250902</v>
      </c>
    </row>
    <row r="801" spans="3:26" x14ac:dyDescent="0.25">
      <c r="C801">
        <v>10000001</v>
      </c>
      <c r="D801" t="s">
        <v>605</v>
      </c>
      <c r="F801">
        <v>12007327</v>
      </c>
      <c r="H801" t="s">
        <v>605</v>
      </c>
      <c r="I801">
        <v>50</v>
      </c>
      <c r="J801" s="1">
        <v>-50000</v>
      </c>
      <c r="K801" t="s">
        <v>26</v>
      </c>
      <c r="L801" s="1">
        <v>-50000</v>
      </c>
      <c r="M801" t="s">
        <v>26</v>
      </c>
      <c r="Q801" t="s">
        <v>27</v>
      </c>
      <c r="R801" t="s">
        <v>634</v>
      </c>
      <c r="S801" t="s">
        <v>45</v>
      </c>
      <c r="T801" t="s">
        <v>640</v>
      </c>
      <c r="X801" t="s">
        <v>43</v>
      </c>
      <c r="Y801">
        <v>1631293</v>
      </c>
      <c r="Z801">
        <v>20250902</v>
      </c>
    </row>
    <row r="802" spans="3:26" x14ac:dyDescent="0.25">
      <c r="C802">
        <v>10000001</v>
      </c>
      <c r="D802" t="s">
        <v>605</v>
      </c>
      <c r="F802">
        <v>12007328</v>
      </c>
      <c r="H802" t="s">
        <v>605</v>
      </c>
      <c r="I802">
        <v>50</v>
      </c>
      <c r="J802" s="1">
        <v>-50000</v>
      </c>
      <c r="K802" t="s">
        <v>26</v>
      </c>
      <c r="L802" s="1">
        <v>-50000</v>
      </c>
      <c r="M802" t="s">
        <v>26</v>
      </c>
      <c r="Q802" t="s">
        <v>27</v>
      </c>
      <c r="R802" t="s">
        <v>634</v>
      </c>
      <c r="S802" t="s">
        <v>45</v>
      </c>
      <c r="T802" t="s">
        <v>641</v>
      </c>
      <c r="X802" t="s">
        <v>43</v>
      </c>
      <c r="Y802">
        <v>1631293</v>
      </c>
      <c r="Z802">
        <v>20250902</v>
      </c>
    </row>
    <row r="803" spans="3:26" x14ac:dyDescent="0.25">
      <c r="C803">
        <v>10000001</v>
      </c>
      <c r="D803" t="s">
        <v>605</v>
      </c>
      <c r="F803">
        <v>12007329</v>
      </c>
      <c r="H803" t="s">
        <v>605</v>
      </c>
      <c r="I803">
        <v>50</v>
      </c>
      <c r="J803" s="1">
        <v>-50000</v>
      </c>
      <c r="K803" t="s">
        <v>26</v>
      </c>
      <c r="L803" s="1">
        <v>-50000</v>
      </c>
      <c r="M803" t="s">
        <v>26</v>
      </c>
      <c r="Q803" t="s">
        <v>27</v>
      </c>
      <c r="R803" t="s">
        <v>634</v>
      </c>
      <c r="S803" t="s">
        <v>45</v>
      </c>
      <c r="T803" t="s">
        <v>642</v>
      </c>
      <c r="X803" t="s">
        <v>43</v>
      </c>
      <c r="Y803">
        <v>1631293</v>
      </c>
      <c r="Z803">
        <v>20250902</v>
      </c>
    </row>
    <row r="804" spans="3:26" x14ac:dyDescent="0.25">
      <c r="C804">
        <v>10000001</v>
      </c>
      <c r="D804" t="s">
        <v>605</v>
      </c>
      <c r="F804">
        <v>12007330</v>
      </c>
      <c r="H804" t="s">
        <v>605</v>
      </c>
      <c r="I804">
        <v>50</v>
      </c>
      <c r="J804" s="1">
        <v>-332000</v>
      </c>
      <c r="K804" t="s">
        <v>26</v>
      </c>
      <c r="L804" s="1">
        <v>-332000</v>
      </c>
      <c r="M804" t="s">
        <v>26</v>
      </c>
      <c r="Q804" t="s">
        <v>27</v>
      </c>
      <c r="R804" t="s">
        <v>643</v>
      </c>
      <c r="S804" t="s">
        <v>126</v>
      </c>
      <c r="T804" t="s">
        <v>644</v>
      </c>
      <c r="X804" t="s">
        <v>43</v>
      </c>
      <c r="Y804">
        <v>1631293</v>
      </c>
      <c r="Z804">
        <v>20250902</v>
      </c>
    </row>
    <row r="805" spans="3:26" x14ac:dyDescent="0.25">
      <c r="C805">
        <v>10000001</v>
      </c>
      <c r="D805" t="s">
        <v>605</v>
      </c>
      <c r="F805">
        <v>12007331</v>
      </c>
      <c r="H805" t="s">
        <v>605</v>
      </c>
      <c r="I805">
        <v>50</v>
      </c>
      <c r="J805" s="1">
        <v>-50000</v>
      </c>
      <c r="K805" t="s">
        <v>26</v>
      </c>
      <c r="L805" s="1">
        <v>-50000</v>
      </c>
      <c r="M805" t="s">
        <v>26</v>
      </c>
      <c r="Q805" t="s">
        <v>27</v>
      </c>
      <c r="R805" t="s">
        <v>645</v>
      </c>
      <c r="S805" t="s">
        <v>45</v>
      </c>
      <c r="T805" t="s">
        <v>646</v>
      </c>
      <c r="X805" t="s">
        <v>43</v>
      </c>
      <c r="Y805">
        <v>1631293</v>
      </c>
      <c r="Z805">
        <v>20250902</v>
      </c>
    </row>
    <row r="806" spans="3:26" x14ac:dyDescent="0.25">
      <c r="C806">
        <v>10000001</v>
      </c>
      <c r="D806" t="s">
        <v>605</v>
      </c>
      <c r="F806">
        <v>12007332</v>
      </c>
      <c r="H806" t="s">
        <v>605</v>
      </c>
      <c r="I806">
        <v>50</v>
      </c>
      <c r="J806" s="1">
        <v>-50000</v>
      </c>
      <c r="K806" t="s">
        <v>26</v>
      </c>
      <c r="L806" s="1">
        <v>-50000</v>
      </c>
      <c r="M806" t="s">
        <v>26</v>
      </c>
      <c r="Q806" t="s">
        <v>27</v>
      </c>
      <c r="R806" t="s">
        <v>645</v>
      </c>
      <c r="S806" t="s">
        <v>45</v>
      </c>
      <c r="T806" t="s">
        <v>647</v>
      </c>
      <c r="X806" t="s">
        <v>43</v>
      </c>
      <c r="Y806">
        <v>1631293</v>
      </c>
      <c r="Z806">
        <v>20250902</v>
      </c>
    </row>
    <row r="807" spans="3:26" x14ac:dyDescent="0.25">
      <c r="C807">
        <v>10000001</v>
      </c>
      <c r="D807" t="s">
        <v>605</v>
      </c>
      <c r="F807">
        <v>12007333</v>
      </c>
      <c r="H807" t="s">
        <v>605</v>
      </c>
      <c r="I807">
        <v>50</v>
      </c>
      <c r="J807" s="1">
        <v>-50000</v>
      </c>
      <c r="K807" t="s">
        <v>26</v>
      </c>
      <c r="L807" s="1">
        <v>-50000</v>
      </c>
      <c r="M807" t="s">
        <v>26</v>
      </c>
      <c r="Q807" t="s">
        <v>27</v>
      </c>
      <c r="R807" t="s">
        <v>645</v>
      </c>
      <c r="S807" t="s">
        <v>45</v>
      </c>
      <c r="T807" t="s">
        <v>648</v>
      </c>
      <c r="X807" t="s">
        <v>43</v>
      </c>
      <c r="Y807">
        <v>1631293</v>
      </c>
      <c r="Z807">
        <v>20250902</v>
      </c>
    </row>
    <row r="808" spans="3:26" x14ac:dyDescent="0.25">
      <c r="C808">
        <v>10000001</v>
      </c>
      <c r="D808" t="s">
        <v>605</v>
      </c>
      <c r="F808">
        <v>12007334</v>
      </c>
      <c r="H808" t="s">
        <v>605</v>
      </c>
      <c r="I808">
        <v>50</v>
      </c>
      <c r="J808" s="1">
        <v>-200000</v>
      </c>
      <c r="K808" t="s">
        <v>26</v>
      </c>
      <c r="L808" s="1">
        <v>-200000</v>
      </c>
      <c r="M808" t="s">
        <v>26</v>
      </c>
      <c r="Q808" t="s">
        <v>27</v>
      </c>
      <c r="R808" t="s">
        <v>645</v>
      </c>
      <c r="S808" t="s">
        <v>45</v>
      </c>
      <c r="T808" t="s">
        <v>649</v>
      </c>
      <c r="X808" t="s">
        <v>43</v>
      </c>
      <c r="Y808">
        <v>1631293</v>
      </c>
      <c r="Z808">
        <v>20250902</v>
      </c>
    </row>
    <row r="809" spans="3:26" x14ac:dyDescent="0.25">
      <c r="C809">
        <v>10000001</v>
      </c>
      <c r="D809" t="s">
        <v>605</v>
      </c>
      <c r="F809">
        <v>12007335</v>
      </c>
      <c r="H809" t="s">
        <v>605</v>
      </c>
      <c r="I809">
        <v>50</v>
      </c>
      <c r="J809" s="1">
        <v>-360000</v>
      </c>
      <c r="K809" t="s">
        <v>26</v>
      </c>
      <c r="L809" s="1">
        <v>-360000</v>
      </c>
      <c r="M809" t="s">
        <v>26</v>
      </c>
      <c r="Q809" t="s">
        <v>27</v>
      </c>
      <c r="R809" t="s">
        <v>650</v>
      </c>
      <c r="S809" t="s">
        <v>96</v>
      </c>
      <c r="T809" t="s">
        <v>651</v>
      </c>
      <c r="X809" t="s">
        <v>43</v>
      </c>
      <c r="Y809">
        <v>1631293</v>
      </c>
      <c r="Z809">
        <v>20250902</v>
      </c>
    </row>
    <row r="810" spans="3:26" x14ac:dyDescent="0.25">
      <c r="C810">
        <v>10000001</v>
      </c>
      <c r="D810" t="s">
        <v>605</v>
      </c>
      <c r="F810">
        <v>12007336</v>
      </c>
      <c r="H810" t="s">
        <v>605</v>
      </c>
      <c r="I810">
        <v>50</v>
      </c>
      <c r="J810" s="1">
        <v>-640000</v>
      </c>
      <c r="K810" t="s">
        <v>26</v>
      </c>
      <c r="L810" s="1">
        <v>-640000</v>
      </c>
      <c r="M810" t="s">
        <v>26</v>
      </c>
      <c r="Q810" t="s">
        <v>27</v>
      </c>
      <c r="R810" t="s">
        <v>650</v>
      </c>
      <c r="S810" t="s">
        <v>67</v>
      </c>
      <c r="T810" t="s">
        <v>652</v>
      </c>
      <c r="X810" t="s">
        <v>43</v>
      </c>
      <c r="Y810">
        <v>1631293</v>
      </c>
      <c r="Z810">
        <v>20250902</v>
      </c>
    </row>
    <row r="811" spans="3:26" x14ac:dyDescent="0.25">
      <c r="C811">
        <v>10000001</v>
      </c>
      <c r="D811" t="s">
        <v>605</v>
      </c>
      <c r="F811">
        <v>12007337</v>
      </c>
      <c r="H811" t="s">
        <v>605</v>
      </c>
      <c r="I811">
        <v>50</v>
      </c>
      <c r="J811" s="1">
        <v>-200000</v>
      </c>
      <c r="K811" t="s">
        <v>26</v>
      </c>
      <c r="L811" s="1">
        <v>-200000</v>
      </c>
      <c r="M811" t="s">
        <v>26</v>
      </c>
      <c r="Q811" t="s">
        <v>27</v>
      </c>
      <c r="R811" t="s">
        <v>653</v>
      </c>
      <c r="S811" t="s">
        <v>67</v>
      </c>
      <c r="T811" t="s">
        <v>654</v>
      </c>
      <c r="X811" t="s">
        <v>43</v>
      </c>
      <c r="Y811">
        <v>1631293</v>
      </c>
      <c r="Z811">
        <v>20250902</v>
      </c>
    </row>
    <row r="812" spans="3:26" x14ac:dyDescent="0.25">
      <c r="C812">
        <v>10000001</v>
      </c>
      <c r="D812" t="s">
        <v>605</v>
      </c>
      <c r="F812">
        <v>12007338</v>
      </c>
      <c r="H812" t="s">
        <v>605</v>
      </c>
      <c r="I812">
        <v>50</v>
      </c>
      <c r="J812" s="1">
        <v>-50000</v>
      </c>
      <c r="K812" t="s">
        <v>26</v>
      </c>
      <c r="L812" s="1">
        <v>-50000</v>
      </c>
      <c r="M812" t="s">
        <v>26</v>
      </c>
      <c r="Q812" t="s">
        <v>27</v>
      </c>
      <c r="R812" t="s">
        <v>655</v>
      </c>
      <c r="S812" t="s">
        <v>45</v>
      </c>
      <c r="T812" t="s">
        <v>656</v>
      </c>
      <c r="X812" t="s">
        <v>43</v>
      </c>
      <c r="Y812">
        <v>1631293</v>
      </c>
      <c r="Z812">
        <v>20250902</v>
      </c>
    </row>
    <row r="813" spans="3:26" x14ac:dyDescent="0.25">
      <c r="C813">
        <v>10000001</v>
      </c>
      <c r="D813" t="s">
        <v>605</v>
      </c>
      <c r="F813">
        <v>12007339</v>
      </c>
      <c r="H813" t="s">
        <v>605</v>
      </c>
      <c r="I813">
        <v>50</v>
      </c>
      <c r="J813" s="1">
        <v>-50000</v>
      </c>
      <c r="K813" t="s">
        <v>26</v>
      </c>
      <c r="L813" s="1">
        <v>-50000</v>
      </c>
      <c r="M813" t="s">
        <v>26</v>
      </c>
      <c r="Q813" t="s">
        <v>27</v>
      </c>
      <c r="R813" t="s">
        <v>655</v>
      </c>
      <c r="S813" t="s">
        <v>45</v>
      </c>
      <c r="T813" t="s">
        <v>657</v>
      </c>
      <c r="X813" t="s">
        <v>43</v>
      </c>
      <c r="Y813">
        <v>1631293</v>
      </c>
      <c r="Z813">
        <v>20250902</v>
      </c>
    </row>
    <row r="814" spans="3:26" x14ac:dyDescent="0.25">
      <c r="C814">
        <v>10000001</v>
      </c>
      <c r="D814" t="s">
        <v>605</v>
      </c>
      <c r="F814">
        <v>12007340</v>
      </c>
      <c r="H814" t="s">
        <v>605</v>
      </c>
      <c r="I814">
        <v>50</v>
      </c>
      <c r="J814" s="1">
        <v>-50000</v>
      </c>
      <c r="K814" t="s">
        <v>26</v>
      </c>
      <c r="L814" s="1">
        <v>-50000</v>
      </c>
      <c r="M814" t="s">
        <v>26</v>
      </c>
      <c r="Q814" t="s">
        <v>27</v>
      </c>
      <c r="R814" t="s">
        <v>655</v>
      </c>
      <c r="S814" t="s">
        <v>45</v>
      </c>
      <c r="T814" t="s">
        <v>658</v>
      </c>
      <c r="X814" t="s">
        <v>43</v>
      </c>
      <c r="Y814">
        <v>1631293</v>
      </c>
      <c r="Z814">
        <v>20250902</v>
      </c>
    </row>
    <row r="815" spans="3:26" x14ac:dyDescent="0.25">
      <c r="C815">
        <v>10000001</v>
      </c>
      <c r="D815" t="s">
        <v>605</v>
      </c>
      <c r="F815">
        <v>12007341</v>
      </c>
      <c r="H815" t="s">
        <v>605</v>
      </c>
      <c r="I815">
        <v>50</v>
      </c>
      <c r="J815" s="1">
        <v>-50000</v>
      </c>
      <c r="K815" t="s">
        <v>26</v>
      </c>
      <c r="L815" s="1">
        <v>-50000</v>
      </c>
      <c r="M815" t="s">
        <v>26</v>
      </c>
      <c r="Q815" t="s">
        <v>27</v>
      </c>
      <c r="R815" t="s">
        <v>659</v>
      </c>
      <c r="S815" t="s">
        <v>45</v>
      </c>
      <c r="T815" t="s">
        <v>660</v>
      </c>
      <c r="X815" t="s">
        <v>43</v>
      </c>
      <c r="Y815">
        <v>1631293</v>
      </c>
      <c r="Z815">
        <v>20250902</v>
      </c>
    </row>
    <row r="816" spans="3:26" x14ac:dyDescent="0.25">
      <c r="C816">
        <v>10000001</v>
      </c>
      <c r="D816" t="s">
        <v>605</v>
      </c>
      <c r="F816">
        <v>12007342</v>
      </c>
      <c r="H816" t="s">
        <v>605</v>
      </c>
      <c r="I816">
        <v>50</v>
      </c>
      <c r="J816" s="1">
        <v>-245000</v>
      </c>
      <c r="K816" t="s">
        <v>26</v>
      </c>
      <c r="L816" s="1">
        <v>-245000</v>
      </c>
      <c r="M816" t="s">
        <v>26</v>
      </c>
      <c r="Q816" t="s">
        <v>27</v>
      </c>
      <c r="R816" t="s">
        <v>661</v>
      </c>
      <c r="S816" t="s">
        <v>67</v>
      </c>
      <c r="T816" t="s">
        <v>662</v>
      </c>
      <c r="X816" t="s">
        <v>43</v>
      </c>
      <c r="Y816">
        <v>1631293</v>
      </c>
      <c r="Z816">
        <v>20250902</v>
      </c>
    </row>
    <row r="817" spans="3:26" x14ac:dyDescent="0.25">
      <c r="C817">
        <v>10000001</v>
      </c>
      <c r="D817" t="s">
        <v>605</v>
      </c>
      <c r="F817">
        <v>12007343</v>
      </c>
      <c r="H817" t="s">
        <v>605</v>
      </c>
      <c r="I817">
        <v>50</v>
      </c>
      <c r="J817" s="1">
        <v>-50000</v>
      </c>
      <c r="K817" t="s">
        <v>26</v>
      </c>
      <c r="L817" s="1">
        <v>-50000</v>
      </c>
      <c r="M817" t="s">
        <v>26</v>
      </c>
      <c r="Q817" t="s">
        <v>27</v>
      </c>
      <c r="R817" t="s">
        <v>663</v>
      </c>
      <c r="S817" t="s">
        <v>45</v>
      </c>
      <c r="T817" t="s">
        <v>664</v>
      </c>
      <c r="X817" t="s">
        <v>43</v>
      </c>
      <c r="Y817">
        <v>1631293</v>
      </c>
      <c r="Z817">
        <v>20250902</v>
      </c>
    </row>
    <row r="818" spans="3:26" x14ac:dyDescent="0.25">
      <c r="C818">
        <v>10000001</v>
      </c>
      <c r="D818" t="s">
        <v>605</v>
      </c>
      <c r="F818">
        <v>12007344</v>
      </c>
      <c r="H818" t="s">
        <v>605</v>
      </c>
      <c r="I818">
        <v>50</v>
      </c>
      <c r="J818" s="1">
        <v>-50000</v>
      </c>
      <c r="K818" t="s">
        <v>26</v>
      </c>
      <c r="L818" s="1">
        <v>-50000</v>
      </c>
      <c r="M818" t="s">
        <v>26</v>
      </c>
      <c r="Q818" t="s">
        <v>27</v>
      </c>
      <c r="R818" t="s">
        <v>663</v>
      </c>
      <c r="S818" t="s">
        <v>45</v>
      </c>
      <c r="T818" t="s">
        <v>665</v>
      </c>
      <c r="X818" t="s">
        <v>43</v>
      </c>
      <c r="Y818">
        <v>1631293</v>
      </c>
      <c r="Z818">
        <v>20250902</v>
      </c>
    </row>
    <row r="819" spans="3:26" x14ac:dyDescent="0.25">
      <c r="C819">
        <v>10000001</v>
      </c>
      <c r="D819" t="s">
        <v>605</v>
      </c>
      <c r="F819">
        <v>12007345</v>
      </c>
      <c r="H819" t="s">
        <v>605</v>
      </c>
      <c r="I819">
        <v>50</v>
      </c>
      <c r="J819" s="1">
        <v>-50000</v>
      </c>
      <c r="K819" t="s">
        <v>26</v>
      </c>
      <c r="L819" s="1">
        <v>-50000</v>
      </c>
      <c r="M819" t="s">
        <v>26</v>
      </c>
      <c r="Q819" t="s">
        <v>27</v>
      </c>
      <c r="R819" t="s">
        <v>663</v>
      </c>
      <c r="S819" t="s">
        <v>45</v>
      </c>
      <c r="T819" t="s">
        <v>666</v>
      </c>
      <c r="X819" t="s">
        <v>43</v>
      </c>
      <c r="Y819">
        <v>1631293</v>
      </c>
      <c r="Z819">
        <v>20250902</v>
      </c>
    </row>
    <row r="820" spans="3:26" x14ac:dyDescent="0.25">
      <c r="C820">
        <v>10000001</v>
      </c>
      <c r="D820" t="s">
        <v>605</v>
      </c>
      <c r="F820">
        <v>12007346</v>
      </c>
      <c r="H820" t="s">
        <v>605</v>
      </c>
      <c r="I820">
        <v>50</v>
      </c>
      <c r="J820" s="1">
        <v>-50000</v>
      </c>
      <c r="K820" t="s">
        <v>26</v>
      </c>
      <c r="L820" s="1">
        <v>-50000</v>
      </c>
      <c r="M820" t="s">
        <v>26</v>
      </c>
      <c r="Q820" t="s">
        <v>27</v>
      </c>
      <c r="R820" t="s">
        <v>663</v>
      </c>
      <c r="S820" t="s">
        <v>45</v>
      </c>
      <c r="T820" t="s">
        <v>667</v>
      </c>
      <c r="X820" t="s">
        <v>43</v>
      </c>
      <c r="Y820">
        <v>1631293</v>
      </c>
      <c r="Z820">
        <v>20250902</v>
      </c>
    </row>
    <row r="821" spans="3:26" x14ac:dyDescent="0.25">
      <c r="C821">
        <v>10000001</v>
      </c>
      <c r="D821" t="s">
        <v>605</v>
      </c>
      <c r="F821">
        <v>12007347</v>
      </c>
      <c r="H821" t="s">
        <v>605</v>
      </c>
      <c r="I821">
        <v>50</v>
      </c>
      <c r="J821" s="1">
        <v>-50000</v>
      </c>
      <c r="K821" t="s">
        <v>26</v>
      </c>
      <c r="L821" s="1">
        <v>-50000</v>
      </c>
      <c r="M821" t="s">
        <v>26</v>
      </c>
      <c r="Q821" t="s">
        <v>27</v>
      </c>
      <c r="R821" t="s">
        <v>663</v>
      </c>
      <c r="S821" t="s">
        <v>45</v>
      </c>
      <c r="T821" t="s">
        <v>668</v>
      </c>
      <c r="X821" t="s">
        <v>43</v>
      </c>
      <c r="Y821">
        <v>1631293</v>
      </c>
      <c r="Z821">
        <v>20250902</v>
      </c>
    </row>
    <row r="822" spans="3:26" x14ac:dyDescent="0.25">
      <c r="C822">
        <v>10000001</v>
      </c>
      <c r="D822" t="s">
        <v>605</v>
      </c>
      <c r="F822">
        <v>12007348</v>
      </c>
      <c r="H822" t="s">
        <v>605</v>
      </c>
      <c r="I822">
        <v>50</v>
      </c>
      <c r="J822" s="1">
        <v>-50000</v>
      </c>
      <c r="K822" t="s">
        <v>26</v>
      </c>
      <c r="L822" s="1">
        <v>-50000</v>
      </c>
      <c r="M822" t="s">
        <v>26</v>
      </c>
      <c r="Q822" t="s">
        <v>27</v>
      </c>
      <c r="R822" t="s">
        <v>663</v>
      </c>
      <c r="S822" t="s">
        <v>45</v>
      </c>
      <c r="T822" t="s">
        <v>669</v>
      </c>
      <c r="X822" t="s">
        <v>43</v>
      </c>
      <c r="Y822">
        <v>1631293</v>
      </c>
      <c r="Z822">
        <v>20250902</v>
      </c>
    </row>
    <row r="823" spans="3:26" x14ac:dyDescent="0.25">
      <c r="C823">
        <v>10000001</v>
      </c>
      <c r="D823" t="s">
        <v>605</v>
      </c>
      <c r="F823">
        <v>12007349</v>
      </c>
      <c r="H823" t="s">
        <v>605</v>
      </c>
      <c r="I823">
        <v>50</v>
      </c>
      <c r="J823" s="1">
        <v>-50000</v>
      </c>
      <c r="K823" t="s">
        <v>26</v>
      </c>
      <c r="L823" s="1">
        <v>-50000</v>
      </c>
      <c r="M823" t="s">
        <v>26</v>
      </c>
      <c r="Q823" t="s">
        <v>27</v>
      </c>
      <c r="R823" t="s">
        <v>663</v>
      </c>
      <c r="S823" t="s">
        <v>45</v>
      </c>
      <c r="T823" t="s">
        <v>669</v>
      </c>
      <c r="X823" t="s">
        <v>43</v>
      </c>
      <c r="Y823">
        <v>1631293</v>
      </c>
      <c r="Z823">
        <v>20250902</v>
      </c>
    </row>
    <row r="824" spans="3:26" x14ac:dyDescent="0.25">
      <c r="C824">
        <v>10000001</v>
      </c>
      <c r="D824" t="s">
        <v>605</v>
      </c>
      <c r="F824">
        <v>12007350</v>
      </c>
      <c r="H824" t="s">
        <v>605</v>
      </c>
      <c r="I824">
        <v>50</v>
      </c>
      <c r="J824" s="1">
        <v>-50000</v>
      </c>
      <c r="K824" t="s">
        <v>26</v>
      </c>
      <c r="L824" s="1">
        <v>-50000</v>
      </c>
      <c r="M824" t="s">
        <v>26</v>
      </c>
      <c r="Q824" t="s">
        <v>27</v>
      </c>
      <c r="R824" t="s">
        <v>663</v>
      </c>
      <c r="S824" t="s">
        <v>45</v>
      </c>
      <c r="T824" t="s">
        <v>669</v>
      </c>
      <c r="X824" t="s">
        <v>43</v>
      </c>
      <c r="Y824">
        <v>1631293</v>
      </c>
      <c r="Z824">
        <v>20250902</v>
      </c>
    </row>
    <row r="825" spans="3:26" x14ac:dyDescent="0.25">
      <c r="C825">
        <v>10000001</v>
      </c>
      <c r="D825" t="s">
        <v>605</v>
      </c>
      <c r="F825">
        <v>12007351</v>
      </c>
      <c r="H825" t="s">
        <v>605</v>
      </c>
      <c r="I825">
        <v>50</v>
      </c>
      <c r="J825" s="1">
        <v>-50000</v>
      </c>
      <c r="K825" t="s">
        <v>26</v>
      </c>
      <c r="L825" s="1">
        <v>-50000</v>
      </c>
      <c r="M825" t="s">
        <v>26</v>
      </c>
      <c r="Q825" t="s">
        <v>27</v>
      </c>
      <c r="R825" t="s">
        <v>663</v>
      </c>
      <c r="S825" t="s">
        <v>45</v>
      </c>
      <c r="T825" t="s">
        <v>669</v>
      </c>
      <c r="X825" t="s">
        <v>43</v>
      </c>
      <c r="Y825">
        <v>1631293</v>
      </c>
      <c r="Z825">
        <v>20250902</v>
      </c>
    </row>
    <row r="826" spans="3:26" x14ac:dyDescent="0.25">
      <c r="C826">
        <v>10000001</v>
      </c>
      <c r="D826" t="s">
        <v>605</v>
      </c>
      <c r="F826">
        <v>12007352</v>
      </c>
      <c r="H826" t="s">
        <v>605</v>
      </c>
      <c r="I826">
        <v>50</v>
      </c>
      <c r="J826" s="1">
        <v>-50000</v>
      </c>
      <c r="K826" t="s">
        <v>26</v>
      </c>
      <c r="L826" s="1">
        <v>-50000</v>
      </c>
      <c r="M826" t="s">
        <v>26</v>
      </c>
      <c r="Q826" t="s">
        <v>27</v>
      </c>
      <c r="R826" t="s">
        <v>663</v>
      </c>
      <c r="S826" t="s">
        <v>45</v>
      </c>
      <c r="T826" t="s">
        <v>669</v>
      </c>
      <c r="X826" t="s">
        <v>43</v>
      </c>
      <c r="Y826">
        <v>1631293</v>
      </c>
      <c r="Z826">
        <v>20250902</v>
      </c>
    </row>
    <row r="827" spans="3:26" x14ac:dyDescent="0.25">
      <c r="C827">
        <v>10000001</v>
      </c>
      <c r="D827" t="s">
        <v>605</v>
      </c>
      <c r="F827">
        <v>12007353</v>
      </c>
      <c r="H827" t="s">
        <v>605</v>
      </c>
      <c r="I827">
        <v>50</v>
      </c>
      <c r="J827" s="1">
        <v>-50000</v>
      </c>
      <c r="K827" t="s">
        <v>26</v>
      </c>
      <c r="L827" s="1">
        <v>-50000</v>
      </c>
      <c r="M827" t="s">
        <v>26</v>
      </c>
      <c r="Q827" t="s">
        <v>27</v>
      </c>
      <c r="R827" t="s">
        <v>663</v>
      </c>
      <c r="S827" t="s">
        <v>45</v>
      </c>
      <c r="T827" t="s">
        <v>670</v>
      </c>
      <c r="X827" t="s">
        <v>43</v>
      </c>
      <c r="Y827">
        <v>1631293</v>
      </c>
      <c r="Z827">
        <v>20250902</v>
      </c>
    </row>
    <row r="828" spans="3:26" x14ac:dyDescent="0.25">
      <c r="C828">
        <v>10000001</v>
      </c>
      <c r="D828" t="s">
        <v>605</v>
      </c>
      <c r="F828">
        <v>12007354</v>
      </c>
      <c r="H828" t="s">
        <v>605</v>
      </c>
      <c r="I828">
        <v>50</v>
      </c>
      <c r="J828" s="1">
        <v>-50000</v>
      </c>
      <c r="K828" t="s">
        <v>26</v>
      </c>
      <c r="L828" s="1">
        <v>-50000</v>
      </c>
      <c r="M828" t="s">
        <v>26</v>
      </c>
      <c r="Q828" t="s">
        <v>27</v>
      </c>
      <c r="R828" t="s">
        <v>663</v>
      </c>
      <c r="S828" t="s">
        <v>45</v>
      </c>
      <c r="T828" t="s">
        <v>670</v>
      </c>
      <c r="X828" t="s">
        <v>43</v>
      </c>
      <c r="Y828">
        <v>1631293</v>
      </c>
      <c r="Z828">
        <v>20250902</v>
      </c>
    </row>
    <row r="829" spans="3:26" x14ac:dyDescent="0.25">
      <c r="C829">
        <v>10000001</v>
      </c>
      <c r="D829" t="s">
        <v>605</v>
      </c>
      <c r="F829">
        <v>12007355</v>
      </c>
      <c r="H829" t="s">
        <v>605</v>
      </c>
      <c r="I829">
        <v>50</v>
      </c>
      <c r="J829" s="1">
        <v>-50000</v>
      </c>
      <c r="K829" t="s">
        <v>26</v>
      </c>
      <c r="L829" s="1">
        <v>-50000</v>
      </c>
      <c r="M829" t="s">
        <v>26</v>
      </c>
      <c r="Q829" t="s">
        <v>27</v>
      </c>
      <c r="R829" t="s">
        <v>663</v>
      </c>
      <c r="S829" t="s">
        <v>45</v>
      </c>
      <c r="T829" t="s">
        <v>671</v>
      </c>
      <c r="X829" t="s">
        <v>43</v>
      </c>
      <c r="Y829">
        <v>1631293</v>
      </c>
      <c r="Z829">
        <v>20250902</v>
      </c>
    </row>
    <row r="830" spans="3:26" x14ac:dyDescent="0.25">
      <c r="C830">
        <v>10000001</v>
      </c>
      <c r="D830" t="s">
        <v>605</v>
      </c>
      <c r="F830">
        <v>12007356</v>
      </c>
      <c r="H830" t="s">
        <v>605</v>
      </c>
      <c r="I830">
        <v>50</v>
      </c>
      <c r="J830" s="1">
        <v>-865001</v>
      </c>
      <c r="K830" t="s">
        <v>26</v>
      </c>
      <c r="L830" s="1">
        <v>-865001</v>
      </c>
      <c r="M830" t="s">
        <v>26</v>
      </c>
      <c r="Q830" t="s">
        <v>27</v>
      </c>
      <c r="R830" t="s">
        <v>672</v>
      </c>
      <c r="S830" t="s">
        <v>126</v>
      </c>
      <c r="T830" t="s">
        <v>673</v>
      </c>
      <c r="X830" t="s">
        <v>43</v>
      </c>
      <c r="Y830">
        <v>1631293</v>
      </c>
      <c r="Z830">
        <v>20250902</v>
      </c>
    </row>
    <row r="831" spans="3:26" x14ac:dyDescent="0.25">
      <c r="C831">
        <v>10000001</v>
      </c>
      <c r="D831" t="s">
        <v>605</v>
      </c>
      <c r="F831">
        <v>12007357</v>
      </c>
      <c r="H831" t="s">
        <v>605</v>
      </c>
      <c r="I831">
        <v>50</v>
      </c>
      <c r="J831" s="1">
        <v>-640000</v>
      </c>
      <c r="K831" t="s">
        <v>26</v>
      </c>
      <c r="L831" s="1">
        <v>-640000</v>
      </c>
      <c r="M831" t="s">
        <v>26</v>
      </c>
      <c r="Q831" t="s">
        <v>27</v>
      </c>
      <c r="R831" t="s">
        <v>674</v>
      </c>
      <c r="S831" t="s">
        <v>96</v>
      </c>
      <c r="T831" t="s">
        <v>675</v>
      </c>
      <c r="X831" t="s">
        <v>43</v>
      </c>
      <c r="Y831">
        <v>1631293</v>
      </c>
      <c r="Z831">
        <v>20250902</v>
      </c>
    </row>
    <row r="832" spans="3:26" x14ac:dyDescent="0.25">
      <c r="C832">
        <v>10000001</v>
      </c>
      <c r="D832" t="s">
        <v>605</v>
      </c>
      <c r="F832">
        <v>12007358</v>
      </c>
      <c r="H832" t="s">
        <v>605</v>
      </c>
      <c r="I832">
        <v>50</v>
      </c>
      <c r="J832" s="1">
        <v>-360000</v>
      </c>
      <c r="K832" t="s">
        <v>26</v>
      </c>
      <c r="L832" s="1">
        <v>-360000</v>
      </c>
      <c r="M832" t="s">
        <v>26</v>
      </c>
      <c r="Q832" t="s">
        <v>27</v>
      </c>
      <c r="R832" t="s">
        <v>674</v>
      </c>
      <c r="S832" t="s">
        <v>67</v>
      </c>
      <c r="T832" t="s">
        <v>676</v>
      </c>
      <c r="X832" t="s">
        <v>43</v>
      </c>
      <c r="Y832">
        <v>1631293</v>
      </c>
      <c r="Z832">
        <v>20250902</v>
      </c>
    </row>
    <row r="833" spans="3:26" x14ac:dyDescent="0.25">
      <c r="C833">
        <v>10000001</v>
      </c>
      <c r="D833" t="s">
        <v>605</v>
      </c>
      <c r="F833">
        <v>12007359</v>
      </c>
      <c r="H833" t="s">
        <v>605</v>
      </c>
      <c r="I833">
        <v>50</v>
      </c>
      <c r="J833" s="1">
        <v>-50000</v>
      </c>
      <c r="K833" t="s">
        <v>26</v>
      </c>
      <c r="L833" s="1">
        <v>-50000</v>
      </c>
      <c r="M833" t="s">
        <v>26</v>
      </c>
      <c r="Q833" t="s">
        <v>27</v>
      </c>
      <c r="R833" t="s">
        <v>677</v>
      </c>
      <c r="S833" t="s">
        <v>126</v>
      </c>
      <c r="T833" t="s">
        <v>678</v>
      </c>
      <c r="X833" t="s">
        <v>43</v>
      </c>
      <c r="Y833">
        <v>1631293</v>
      </c>
      <c r="Z833">
        <v>20250902</v>
      </c>
    </row>
    <row r="834" spans="3:26" x14ac:dyDescent="0.25">
      <c r="C834">
        <v>10000001</v>
      </c>
      <c r="D834" t="s">
        <v>605</v>
      </c>
      <c r="F834">
        <v>12007459</v>
      </c>
      <c r="H834" t="s">
        <v>605</v>
      </c>
      <c r="I834">
        <v>50</v>
      </c>
      <c r="J834" s="1">
        <v>-50000</v>
      </c>
      <c r="K834" t="s">
        <v>26</v>
      </c>
      <c r="L834" s="1">
        <v>-50000</v>
      </c>
      <c r="M834" t="s">
        <v>26</v>
      </c>
      <c r="Q834" t="s">
        <v>27</v>
      </c>
      <c r="R834" t="s">
        <v>679</v>
      </c>
      <c r="S834" t="s">
        <v>45</v>
      </c>
      <c r="T834" t="s">
        <v>680</v>
      </c>
      <c r="X834" t="s">
        <v>43</v>
      </c>
      <c r="Y834">
        <v>1631293</v>
      </c>
      <c r="Z834">
        <v>20250902</v>
      </c>
    </row>
    <row r="835" spans="3:26" x14ac:dyDescent="0.25">
      <c r="C835">
        <v>10000001</v>
      </c>
      <c r="D835" t="s">
        <v>604</v>
      </c>
      <c r="F835">
        <v>12007360</v>
      </c>
      <c r="H835" t="s">
        <v>604</v>
      </c>
      <c r="I835">
        <v>50</v>
      </c>
      <c r="J835" s="1">
        <v>-986200</v>
      </c>
      <c r="K835" t="s">
        <v>26</v>
      </c>
      <c r="L835" s="1">
        <v>-986200</v>
      </c>
      <c r="M835" t="s">
        <v>26</v>
      </c>
      <c r="Q835" t="s">
        <v>27</v>
      </c>
      <c r="R835" t="s">
        <v>681</v>
      </c>
      <c r="S835" t="s">
        <v>59</v>
      </c>
      <c r="T835" t="s">
        <v>682</v>
      </c>
      <c r="X835" t="s">
        <v>43</v>
      </c>
      <c r="Y835">
        <v>1631293</v>
      </c>
      <c r="Z835">
        <v>20250903</v>
      </c>
    </row>
    <row r="836" spans="3:26" x14ac:dyDescent="0.25">
      <c r="C836">
        <v>10000001</v>
      </c>
      <c r="D836" t="s">
        <v>604</v>
      </c>
      <c r="F836">
        <v>12007361</v>
      </c>
      <c r="H836" t="s">
        <v>604</v>
      </c>
      <c r="I836">
        <v>50</v>
      </c>
      <c r="J836" s="1">
        <v>-204100</v>
      </c>
      <c r="K836" t="s">
        <v>26</v>
      </c>
      <c r="L836" s="1">
        <v>-204100</v>
      </c>
      <c r="M836" t="s">
        <v>26</v>
      </c>
      <c r="Q836" t="s">
        <v>27</v>
      </c>
      <c r="R836" t="s">
        <v>683</v>
      </c>
      <c r="S836" t="s">
        <v>59</v>
      </c>
      <c r="T836" t="s">
        <v>684</v>
      </c>
      <c r="X836" t="s">
        <v>43</v>
      </c>
      <c r="Y836">
        <v>1631293</v>
      </c>
      <c r="Z836">
        <v>20250903</v>
      </c>
    </row>
    <row r="837" spans="3:26" x14ac:dyDescent="0.25">
      <c r="C837">
        <v>10000001</v>
      </c>
      <c r="D837" t="s">
        <v>604</v>
      </c>
      <c r="F837">
        <v>12007362</v>
      </c>
      <c r="H837" t="s">
        <v>604</v>
      </c>
      <c r="I837">
        <v>50</v>
      </c>
      <c r="J837" s="1">
        <v>-376000</v>
      </c>
      <c r="K837" t="s">
        <v>26</v>
      </c>
      <c r="L837" s="1">
        <v>-376000</v>
      </c>
      <c r="M837" t="s">
        <v>26</v>
      </c>
      <c r="Q837" t="s">
        <v>27</v>
      </c>
      <c r="R837" t="s">
        <v>685</v>
      </c>
      <c r="S837" t="s">
        <v>59</v>
      </c>
      <c r="T837" t="s">
        <v>686</v>
      </c>
      <c r="X837" t="s">
        <v>43</v>
      </c>
      <c r="Y837">
        <v>1631293</v>
      </c>
      <c r="Z837">
        <v>20250903</v>
      </c>
    </row>
    <row r="838" spans="3:26" x14ac:dyDescent="0.25">
      <c r="C838">
        <v>10000001</v>
      </c>
      <c r="D838" t="s">
        <v>604</v>
      </c>
      <c r="F838">
        <v>12007363</v>
      </c>
      <c r="H838" t="s">
        <v>604</v>
      </c>
      <c r="I838">
        <v>50</v>
      </c>
      <c r="J838" s="1">
        <v>-261036</v>
      </c>
      <c r="K838" t="s">
        <v>26</v>
      </c>
      <c r="L838" s="1">
        <v>-261036</v>
      </c>
      <c r="M838" t="s">
        <v>26</v>
      </c>
      <c r="Q838" t="s">
        <v>27</v>
      </c>
      <c r="R838" t="s">
        <v>687</v>
      </c>
      <c r="S838" t="s">
        <v>59</v>
      </c>
      <c r="T838" t="s">
        <v>688</v>
      </c>
      <c r="X838" t="s">
        <v>43</v>
      </c>
      <c r="Y838">
        <v>1631293</v>
      </c>
      <c r="Z838">
        <v>20250903</v>
      </c>
    </row>
    <row r="839" spans="3:26" x14ac:dyDescent="0.25">
      <c r="C839">
        <v>10000001</v>
      </c>
      <c r="D839" t="s">
        <v>604</v>
      </c>
      <c r="F839">
        <v>12007364</v>
      </c>
      <c r="H839" t="s">
        <v>604</v>
      </c>
      <c r="I839">
        <v>50</v>
      </c>
      <c r="J839" s="1">
        <v>-780857</v>
      </c>
      <c r="K839" t="s">
        <v>26</v>
      </c>
      <c r="L839" s="1">
        <v>-780857</v>
      </c>
      <c r="M839" t="s">
        <v>26</v>
      </c>
      <c r="Q839" t="s">
        <v>27</v>
      </c>
      <c r="R839" t="s">
        <v>689</v>
      </c>
      <c r="S839" t="s">
        <v>59</v>
      </c>
      <c r="T839" t="s">
        <v>690</v>
      </c>
      <c r="X839" t="s">
        <v>43</v>
      </c>
      <c r="Y839">
        <v>1631293</v>
      </c>
      <c r="Z839">
        <v>20250903</v>
      </c>
    </row>
    <row r="840" spans="3:26" x14ac:dyDescent="0.25">
      <c r="C840">
        <v>10000001</v>
      </c>
      <c r="D840" t="s">
        <v>604</v>
      </c>
      <c r="F840">
        <v>12007365</v>
      </c>
      <c r="H840" t="s">
        <v>604</v>
      </c>
      <c r="I840">
        <v>50</v>
      </c>
      <c r="J840" s="1">
        <v>-180000</v>
      </c>
      <c r="K840" t="s">
        <v>26</v>
      </c>
      <c r="L840" s="1">
        <v>-180000</v>
      </c>
      <c r="M840" t="s">
        <v>26</v>
      </c>
      <c r="Q840" t="s">
        <v>27</v>
      </c>
      <c r="R840" t="s">
        <v>691</v>
      </c>
      <c r="S840" t="s">
        <v>57</v>
      </c>
      <c r="T840" t="s">
        <v>692</v>
      </c>
      <c r="X840" t="s">
        <v>43</v>
      </c>
      <c r="Y840">
        <v>1631293</v>
      </c>
      <c r="Z840">
        <v>20250903</v>
      </c>
    </row>
    <row r="841" spans="3:26" x14ac:dyDescent="0.25">
      <c r="C841">
        <v>10000001</v>
      </c>
      <c r="D841" t="s">
        <v>604</v>
      </c>
      <c r="F841">
        <v>12007366</v>
      </c>
      <c r="H841" t="s">
        <v>604</v>
      </c>
      <c r="I841">
        <v>50</v>
      </c>
      <c r="J841" s="1">
        <v>-47500</v>
      </c>
      <c r="K841" t="s">
        <v>26</v>
      </c>
      <c r="L841" s="1">
        <v>-47500</v>
      </c>
      <c r="M841" t="s">
        <v>26</v>
      </c>
      <c r="Q841" t="s">
        <v>27</v>
      </c>
      <c r="R841" t="s">
        <v>693</v>
      </c>
      <c r="S841" t="s">
        <v>59</v>
      </c>
      <c r="T841" t="s">
        <v>694</v>
      </c>
      <c r="X841" t="s">
        <v>43</v>
      </c>
      <c r="Y841">
        <v>1631293</v>
      </c>
      <c r="Z841">
        <v>20250903</v>
      </c>
    </row>
    <row r="842" spans="3:26" x14ac:dyDescent="0.25">
      <c r="C842">
        <v>10000001</v>
      </c>
      <c r="D842" t="s">
        <v>604</v>
      </c>
      <c r="F842">
        <v>12007367</v>
      </c>
      <c r="H842" t="s">
        <v>604</v>
      </c>
      <c r="I842">
        <v>50</v>
      </c>
      <c r="J842" s="1">
        <v>-949000</v>
      </c>
      <c r="K842" t="s">
        <v>26</v>
      </c>
      <c r="L842" s="1">
        <v>-949000</v>
      </c>
      <c r="M842" t="s">
        <v>26</v>
      </c>
      <c r="Q842" t="s">
        <v>27</v>
      </c>
      <c r="R842" t="s">
        <v>695</v>
      </c>
      <c r="S842" t="s">
        <v>59</v>
      </c>
      <c r="T842" t="s">
        <v>696</v>
      </c>
      <c r="X842" t="s">
        <v>43</v>
      </c>
      <c r="Y842">
        <v>1631293</v>
      </c>
      <c r="Z842">
        <v>20250903</v>
      </c>
    </row>
    <row r="843" spans="3:26" x14ac:dyDescent="0.25">
      <c r="C843">
        <v>10000001</v>
      </c>
      <c r="D843" t="s">
        <v>604</v>
      </c>
      <c r="F843">
        <v>12007368</v>
      </c>
      <c r="H843" t="s">
        <v>604</v>
      </c>
      <c r="I843">
        <v>50</v>
      </c>
      <c r="J843" s="1">
        <v>-358000</v>
      </c>
      <c r="K843" t="s">
        <v>26</v>
      </c>
      <c r="L843" s="1">
        <v>-358000</v>
      </c>
      <c r="M843" t="s">
        <v>26</v>
      </c>
      <c r="Q843" t="s">
        <v>27</v>
      </c>
      <c r="R843" t="s">
        <v>697</v>
      </c>
      <c r="S843" t="s">
        <v>59</v>
      </c>
      <c r="T843" t="s">
        <v>698</v>
      </c>
      <c r="X843" t="s">
        <v>43</v>
      </c>
      <c r="Y843">
        <v>1631293</v>
      </c>
      <c r="Z843">
        <v>20250903</v>
      </c>
    </row>
    <row r="844" spans="3:26" x14ac:dyDescent="0.25">
      <c r="C844">
        <v>10000001</v>
      </c>
      <c r="D844" t="s">
        <v>604</v>
      </c>
      <c r="F844">
        <v>12007369</v>
      </c>
      <c r="H844" t="s">
        <v>604</v>
      </c>
      <c r="I844">
        <v>50</v>
      </c>
      <c r="J844" s="1">
        <v>-553000</v>
      </c>
      <c r="K844" t="s">
        <v>26</v>
      </c>
      <c r="L844" s="1">
        <v>-553000</v>
      </c>
      <c r="M844" t="s">
        <v>26</v>
      </c>
      <c r="Q844" t="s">
        <v>27</v>
      </c>
      <c r="R844" t="s">
        <v>699</v>
      </c>
      <c r="S844" t="s">
        <v>59</v>
      </c>
      <c r="T844" t="s">
        <v>700</v>
      </c>
      <c r="X844" t="s">
        <v>43</v>
      </c>
      <c r="Y844">
        <v>1631293</v>
      </c>
      <c r="Z844">
        <v>20250903</v>
      </c>
    </row>
    <row r="845" spans="3:26" x14ac:dyDescent="0.25">
      <c r="C845">
        <v>10000001</v>
      </c>
      <c r="D845" t="s">
        <v>604</v>
      </c>
      <c r="F845">
        <v>12007370</v>
      </c>
      <c r="H845" t="s">
        <v>604</v>
      </c>
      <c r="I845">
        <v>50</v>
      </c>
      <c r="J845" s="1">
        <v>-95000</v>
      </c>
      <c r="K845" t="s">
        <v>26</v>
      </c>
      <c r="L845" s="1">
        <v>-95000</v>
      </c>
      <c r="M845" t="s">
        <v>26</v>
      </c>
      <c r="Q845" t="s">
        <v>27</v>
      </c>
      <c r="R845" t="s">
        <v>701</v>
      </c>
      <c r="S845" t="s">
        <v>67</v>
      </c>
      <c r="T845" t="s">
        <v>702</v>
      </c>
      <c r="X845" t="s">
        <v>43</v>
      </c>
      <c r="Y845">
        <v>1631293</v>
      </c>
      <c r="Z845">
        <v>20250903</v>
      </c>
    </row>
    <row r="846" spans="3:26" x14ac:dyDescent="0.25">
      <c r="C846">
        <v>10000001</v>
      </c>
      <c r="D846" t="s">
        <v>604</v>
      </c>
      <c r="F846">
        <v>12007371</v>
      </c>
      <c r="H846" t="s">
        <v>604</v>
      </c>
      <c r="I846">
        <v>50</v>
      </c>
      <c r="J846" s="1">
        <v>-376500</v>
      </c>
      <c r="K846" t="s">
        <v>26</v>
      </c>
      <c r="L846" s="1">
        <v>-376500</v>
      </c>
      <c r="M846" t="s">
        <v>26</v>
      </c>
      <c r="Q846" t="s">
        <v>27</v>
      </c>
      <c r="R846" t="s">
        <v>701</v>
      </c>
      <c r="S846" t="s">
        <v>126</v>
      </c>
      <c r="T846" t="s">
        <v>703</v>
      </c>
      <c r="X846" t="s">
        <v>43</v>
      </c>
      <c r="Y846">
        <v>1631293</v>
      </c>
      <c r="Z846">
        <v>20250903</v>
      </c>
    </row>
    <row r="847" spans="3:26" x14ac:dyDescent="0.25">
      <c r="C847">
        <v>10000001</v>
      </c>
      <c r="D847" t="s">
        <v>604</v>
      </c>
      <c r="F847">
        <v>12007372</v>
      </c>
      <c r="H847" t="s">
        <v>604</v>
      </c>
      <c r="I847">
        <v>50</v>
      </c>
      <c r="J847" s="1">
        <v>-219000</v>
      </c>
      <c r="K847" t="s">
        <v>26</v>
      </c>
      <c r="L847" s="1">
        <v>-219000</v>
      </c>
      <c r="M847" t="s">
        <v>26</v>
      </c>
      <c r="Q847" t="s">
        <v>27</v>
      </c>
      <c r="R847" t="s">
        <v>701</v>
      </c>
      <c r="S847" t="s">
        <v>59</v>
      </c>
      <c r="T847" t="s">
        <v>704</v>
      </c>
      <c r="X847" t="s">
        <v>43</v>
      </c>
      <c r="Y847">
        <v>1631293</v>
      </c>
      <c r="Z847">
        <v>20250903</v>
      </c>
    </row>
    <row r="848" spans="3:26" x14ac:dyDescent="0.25">
      <c r="C848">
        <v>10000001</v>
      </c>
      <c r="D848" t="s">
        <v>604</v>
      </c>
      <c r="F848">
        <v>12007373</v>
      </c>
      <c r="H848" t="s">
        <v>604</v>
      </c>
      <c r="I848">
        <v>50</v>
      </c>
      <c r="J848" s="1">
        <v>-510000</v>
      </c>
      <c r="K848" t="s">
        <v>26</v>
      </c>
      <c r="L848" s="1">
        <v>-510000</v>
      </c>
      <c r="M848" t="s">
        <v>26</v>
      </c>
      <c r="Q848" t="s">
        <v>27</v>
      </c>
      <c r="R848" t="s">
        <v>705</v>
      </c>
      <c r="S848" t="s">
        <v>59</v>
      </c>
      <c r="T848" t="s">
        <v>706</v>
      </c>
      <c r="X848" t="s">
        <v>43</v>
      </c>
      <c r="Y848">
        <v>1631293</v>
      </c>
      <c r="Z848">
        <v>20250903</v>
      </c>
    </row>
    <row r="849" spans="3:26" x14ac:dyDescent="0.25">
      <c r="C849">
        <v>10000001</v>
      </c>
      <c r="D849" t="s">
        <v>707</v>
      </c>
      <c r="F849">
        <v>12007374</v>
      </c>
      <c r="H849" t="s">
        <v>707</v>
      </c>
      <c r="I849">
        <v>50</v>
      </c>
      <c r="J849" s="1">
        <v>-100000</v>
      </c>
      <c r="K849" t="s">
        <v>26</v>
      </c>
      <c r="L849" s="1">
        <v>-100000</v>
      </c>
      <c r="M849" t="s">
        <v>26</v>
      </c>
      <c r="Q849" t="s">
        <v>27</v>
      </c>
      <c r="R849" t="s">
        <v>708</v>
      </c>
      <c r="S849" t="s">
        <v>45</v>
      </c>
      <c r="T849" t="s">
        <v>709</v>
      </c>
      <c r="X849" t="s">
        <v>43</v>
      </c>
      <c r="Y849">
        <v>1631293</v>
      </c>
      <c r="Z849">
        <v>20250904</v>
      </c>
    </row>
    <row r="850" spans="3:26" x14ac:dyDescent="0.25">
      <c r="C850">
        <v>10000001</v>
      </c>
      <c r="D850" t="s">
        <v>707</v>
      </c>
      <c r="F850">
        <v>12007375</v>
      </c>
      <c r="H850" t="s">
        <v>707</v>
      </c>
      <c r="I850">
        <v>50</v>
      </c>
      <c r="J850" s="1">
        <v>-100000</v>
      </c>
      <c r="K850" t="s">
        <v>26</v>
      </c>
      <c r="L850" s="1">
        <v>-100000</v>
      </c>
      <c r="M850" t="s">
        <v>26</v>
      </c>
      <c r="Q850" t="s">
        <v>27</v>
      </c>
      <c r="R850" t="s">
        <v>708</v>
      </c>
      <c r="S850" t="s">
        <v>45</v>
      </c>
      <c r="T850" t="s">
        <v>710</v>
      </c>
      <c r="X850" t="s">
        <v>43</v>
      </c>
      <c r="Y850">
        <v>1631293</v>
      </c>
      <c r="Z850">
        <v>20250904</v>
      </c>
    </row>
    <row r="851" spans="3:26" x14ac:dyDescent="0.25">
      <c r="C851">
        <v>10000001</v>
      </c>
      <c r="D851" t="s">
        <v>707</v>
      </c>
      <c r="F851">
        <v>12007376</v>
      </c>
      <c r="H851" t="s">
        <v>707</v>
      </c>
      <c r="I851">
        <v>50</v>
      </c>
      <c r="J851" s="1">
        <v>-100000</v>
      </c>
      <c r="K851" t="s">
        <v>26</v>
      </c>
      <c r="L851" s="1">
        <v>-100000</v>
      </c>
      <c r="M851" t="s">
        <v>26</v>
      </c>
      <c r="Q851" t="s">
        <v>27</v>
      </c>
      <c r="R851" t="s">
        <v>708</v>
      </c>
      <c r="S851" t="s">
        <v>45</v>
      </c>
      <c r="T851" t="s">
        <v>711</v>
      </c>
      <c r="X851" t="s">
        <v>43</v>
      </c>
      <c r="Y851">
        <v>1631293</v>
      </c>
      <c r="Z851">
        <v>20250904</v>
      </c>
    </row>
    <row r="852" spans="3:26" x14ac:dyDescent="0.25">
      <c r="C852">
        <v>10000001</v>
      </c>
      <c r="D852" t="s">
        <v>707</v>
      </c>
      <c r="F852">
        <v>12007377</v>
      </c>
      <c r="H852" t="s">
        <v>707</v>
      </c>
      <c r="I852">
        <v>50</v>
      </c>
      <c r="J852" s="1">
        <v>-50000</v>
      </c>
      <c r="K852" t="s">
        <v>26</v>
      </c>
      <c r="L852" s="1">
        <v>-50000</v>
      </c>
      <c r="M852" t="s">
        <v>26</v>
      </c>
      <c r="Q852" t="s">
        <v>27</v>
      </c>
      <c r="R852" t="s">
        <v>708</v>
      </c>
      <c r="S852" t="s">
        <v>45</v>
      </c>
      <c r="T852" t="s">
        <v>712</v>
      </c>
      <c r="X852" t="s">
        <v>43</v>
      </c>
      <c r="Y852">
        <v>1631293</v>
      </c>
      <c r="Z852">
        <v>20250904</v>
      </c>
    </row>
    <row r="853" spans="3:26" x14ac:dyDescent="0.25">
      <c r="C853">
        <v>10000001</v>
      </c>
      <c r="D853" t="s">
        <v>707</v>
      </c>
      <c r="F853">
        <v>12007378</v>
      </c>
      <c r="H853" t="s">
        <v>707</v>
      </c>
      <c r="I853">
        <v>50</v>
      </c>
      <c r="J853" s="1">
        <v>-50000</v>
      </c>
      <c r="K853" t="s">
        <v>26</v>
      </c>
      <c r="L853" s="1">
        <v>-50000</v>
      </c>
      <c r="M853" t="s">
        <v>26</v>
      </c>
      <c r="Q853" t="s">
        <v>27</v>
      </c>
      <c r="R853" t="s">
        <v>708</v>
      </c>
      <c r="S853" t="s">
        <v>45</v>
      </c>
      <c r="T853" t="s">
        <v>713</v>
      </c>
      <c r="X853" t="s">
        <v>43</v>
      </c>
      <c r="Y853">
        <v>1631293</v>
      </c>
      <c r="Z853">
        <v>20250904</v>
      </c>
    </row>
    <row r="854" spans="3:26" x14ac:dyDescent="0.25">
      <c r="C854">
        <v>10000001</v>
      </c>
      <c r="D854" t="s">
        <v>707</v>
      </c>
      <c r="F854">
        <v>12007379</v>
      </c>
      <c r="H854" t="s">
        <v>707</v>
      </c>
      <c r="I854">
        <v>50</v>
      </c>
      <c r="J854" s="1">
        <v>-50000</v>
      </c>
      <c r="K854" t="s">
        <v>26</v>
      </c>
      <c r="L854" s="1">
        <v>-50000</v>
      </c>
      <c r="M854" t="s">
        <v>26</v>
      </c>
      <c r="Q854" t="s">
        <v>27</v>
      </c>
      <c r="R854" t="s">
        <v>708</v>
      </c>
      <c r="S854" t="s">
        <v>45</v>
      </c>
      <c r="T854" t="s">
        <v>714</v>
      </c>
      <c r="X854" t="s">
        <v>43</v>
      </c>
      <c r="Y854">
        <v>1631293</v>
      </c>
      <c r="Z854">
        <v>20250904</v>
      </c>
    </row>
    <row r="855" spans="3:26" x14ac:dyDescent="0.25">
      <c r="C855">
        <v>10000001</v>
      </c>
      <c r="D855" t="s">
        <v>707</v>
      </c>
      <c r="F855">
        <v>12007380</v>
      </c>
      <c r="H855" t="s">
        <v>707</v>
      </c>
      <c r="I855">
        <v>50</v>
      </c>
      <c r="J855" s="1">
        <v>-50000</v>
      </c>
      <c r="K855" t="s">
        <v>26</v>
      </c>
      <c r="L855" s="1">
        <v>-50000</v>
      </c>
      <c r="M855" t="s">
        <v>26</v>
      </c>
      <c r="Q855" t="s">
        <v>27</v>
      </c>
      <c r="R855" t="s">
        <v>708</v>
      </c>
      <c r="S855" t="s">
        <v>45</v>
      </c>
      <c r="T855" t="s">
        <v>715</v>
      </c>
      <c r="X855" t="s">
        <v>43</v>
      </c>
      <c r="Y855">
        <v>1631293</v>
      </c>
      <c r="Z855">
        <v>20250904</v>
      </c>
    </row>
    <row r="856" spans="3:26" x14ac:dyDescent="0.25">
      <c r="C856">
        <v>10000001</v>
      </c>
      <c r="D856" t="s">
        <v>707</v>
      </c>
      <c r="F856">
        <v>12007381</v>
      </c>
      <c r="H856" t="s">
        <v>707</v>
      </c>
      <c r="I856">
        <v>50</v>
      </c>
      <c r="J856" s="1">
        <v>-50000</v>
      </c>
      <c r="K856" t="s">
        <v>26</v>
      </c>
      <c r="L856" s="1">
        <v>-50000</v>
      </c>
      <c r="M856" t="s">
        <v>26</v>
      </c>
      <c r="Q856" t="s">
        <v>27</v>
      </c>
      <c r="R856" t="s">
        <v>708</v>
      </c>
      <c r="S856" t="s">
        <v>45</v>
      </c>
      <c r="T856" t="s">
        <v>716</v>
      </c>
      <c r="X856" t="s">
        <v>43</v>
      </c>
      <c r="Y856">
        <v>1631293</v>
      </c>
      <c r="Z856">
        <v>20250904</v>
      </c>
    </row>
    <row r="857" spans="3:26" x14ac:dyDescent="0.25">
      <c r="C857">
        <v>10000001</v>
      </c>
      <c r="D857" t="s">
        <v>707</v>
      </c>
      <c r="F857">
        <v>12007382</v>
      </c>
      <c r="H857" t="s">
        <v>707</v>
      </c>
      <c r="I857">
        <v>50</v>
      </c>
      <c r="J857" s="1">
        <v>-50000</v>
      </c>
      <c r="K857" t="s">
        <v>26</v>
      </c>
      <c r="L857" s="1">
        <v>-50000</v>
      </c>
      <c r="M857" t="s">
        <v>26</v>
      </c>
      <c r="Q857" t="s">
        <v>27</v>
      </c>
      <c r="R857" t="s">
        <v>708</v>
      </c>
      <c r="S857" t="s">
        <v>45</v>
      </c>
      <c r="T857" t="s">
        <v>716</v>
      </c>
      <c r="X857" t="s">
        <v>43</v>
      </c>
      <c r="Y857">
        <v>1631293</v>
      </c>
      <c r="Z857">
        <v>20250904</v>
      </c>
    </row>
    <row r="858" spans="3:26" x14ac:dyDescent="0.25">
      <c r="C858">
        <v>10000001</v>
      </c>
      <c r="D858" t="s">
        <v>707</v>
      </c>
      <c r="F858">
        <v>12007383</v>
      </c>
      <c r="H858" t="s">
        <v>707</v>
      </c>
      <c r="I858">
        <v>50</v>
      </c>
      <c r="J858" s="1">
        <v>-50000</v>
      </c>
      <c r="K858" t="s">
        <v>26</v>
      </c>
      <c r="L858" s="1">
        <v>-50000</v>
      </c>
      <c r="M858" t="s">
        <v>26</v>
      </c>
      <c r="Q858" t="s">
        <v>27</v>
      </c>
      <c r="R858" t="s">
        <v>708</v>
      </c>
      <c r="S858" t="s">
        <v>45</v>
      </c>
      <c r="T858" t="s">
        <v>716</v>
      </c>
      <c r="X858" t="s">
        <v>43</v>
      </c>
      <c r="Y858">
        <v>1631293</v>
      </c>
      <c r="Z858">
        <v>20250904</v>
      </c>
    </row>
    <row r="859" spans="3:26" x14ac:dyDescent="0.25">
      <c r="C859">
        <v>10000001</v>
      </c>
      <c r="D859" t="s">
        <v>707</v>
      </c>
      <c r="F859">
        <v>12007384</v>
      </c>
      <c r="H859" t="s">
        <v>707</v>
      </c>
      <c r="I859">
        <v>50</v>
      </c>
      <c r="J859" s="1">
        <v>-500000</v>
      </c>
      <c r="K859" t="s">
        <v>26</v>
      </c>
      <c r="L859" s="1">
        <v>-500000</v>
      </c>
      <c r="M859" t="s">
        <v>26</v>
      </c>
      <c r="Q859" t="s">
        <v>27</v>
      </c>
      <c r="R859" t="s">
        <v>717</v>
      </c>
      <c r="S859" t="s">
        <v>41</v>
      </c>
      <c r="T859" t="s">
        <v>718</v>
      </c>
      <c r="X859" t="s">
        <v>43</v>
      </c>
      <c r="Y859">
        <v>1631293</v>
      </c>
      <c r="Z859">
        <v>20250904</v>
      </c>
    </row>
    <row r="860" spans="3:26" x14ac:dyDescent="0.25">
      <c r="C860">
        <v>10000001</v>
      </c>
      <c r="D860" t="s">
        <v>707</v>
      </c>
      <c r="F860">
        <v>12007385</v>
      </c>
      <c r="H860" t="s">
        <v>707</v>
      </c>
      <c r="I860">
        <v>50</v>
      </c>
      <c r="J860" s="1">
        <v>-973530</v>
      </c>
      <c r="K860" t="s">
        <v>26</v>
      </c>
      <c r="L860" s="1">
        <v>-973530</v>
      </c>
      <c r="M860" t="s">
        <v>26</v>
      </c>
      <c r="Q860" t="s">
        <v>27</v>
      </c>
      <c r="R860" t="s">
        <v>719</v>
      </c>
      <c r="S860" t="s">
        <v>126</v>
      </c>
      <c r="T860" t="s">
        <v>720</v>
      </c>
      <c r="X860" t="s">
        <v>43</v>
      </c>
      <c r="Y860">
        <v>1631293</v>
      </c>
      <c r="Z860">
        <v>20250904</v>
      </c>
    </row>
    <row r="861" spans="3:26" x14ac:dyDescent="0.25">
      <c r="C861">
        <v>10000001</v>
      </c>
      <c r="D861" t="s">
        <v>707</v>
      </c>
      <c r="F861">
        <v>12007386</v>
      </c>
      <c r="H861" t="s">
        <v>707</v>
      </c>
      <c r="I861">
        <v>50</v>
      </c>
      <c r="J861" s="1">
        <v>-748000</v>
      </c>
      <c r="K861" t="s">
        <v>26</v>
      </c>
      <c r="L861" s="1">
        <v>-748000</v>
      </c>
      <c r="M861" t="s">
        <v>26</v>
      </c>
      <c r="Q861" t="s">
        <v>27</v>
      </c>
      <c r="R861" t="s">
        <v>721</v>
      </c>
      <c r="S861" t="s">
        <v>57</v>
      </c>
      <c r="T861" t="s">
        <v>722</v>
      </c>
      <c r="X861" t="s">
        <v>43</v>
      </c>
      <c r="Y861">
        <v>1631293</v>
      </c>
      <c r="Z861">
        <v>20250904</v>
      </c>
    </row>
    <row r="862" spans="3:26" x14ac:dyDescent="0.25">
      <c r="C862">
        <v>10000001</v>
      </c>
      <c r="D862" t="s">
        <v>723</v>
      </c>
      <c r="F862">
        <v>12007387</v>
      </c>
      <c r="H862" t="s">
        <v>723</v>
      </c>
      <c r="I862">
        <v>50</v>
      </c>
      <c r="J862" s="1">
        <v>-50000</v>
      </c>
      <c r="K862" t="s">
        <v>26</v>
      </c>
      <c r="L862" s="1">
        <v>-50000</v>
      </c>
      <c r="M862" t="s">
        <v>26</v>
      </c>
      <c r="Q862" t="s">
        <v>27</v>
      </c>
      <c r="R862" t="s">
        <v>724</v>
      </c>
      <c r="S862" t="s">
        <v>45</v>
      </c>
      <c r="T862" t="s">
        <v>725</v>
      </c>
      <c r="X862" t="s">
        <v>43</v>
      </c>
      <c r="Y862">
        <v>1631293</v>
      </c>
      <c r="Z862">
        <v>20250908</v>
      </c>
    </row>
    <row r="863" spans="3:26" x14ac:dyDescent="0.25">
      <c r="C863">
        <v>10000001</v>
      </c>
      <c r="D863" t="s">
        <v>723</v>
      </c>
      <c r="F863">
        <v>12007388</v>
      </c>
      <c r="H863" t="s">
        <v>723</v>
      </c>
      <c r="I863">
        <v>50</v>
      </c>
      <c r="J863" s="1">
        <v>-50000</v>
      </c>
      <c r="K863" t="s">
        <v>26</v>
      </c>
      <c r="L863" s="1">
        <v>-50000</v>
      </c>
      <c r="M863" t="s">
        <v>26</v>
      </c>
      <c r="Q863" t="s">
        <v>27</v>
      </c>
      <c r="R863" t="s">
        <v>724</v>
      </c>
      <c r="S863" t="s">
        <v>45</v>
      </c>
      <c r="T863" t="s">
        <v>726</v>
      </c>
      <c r="X863" t="s">
        <v>43</v>
      </c>
      <c r="Y863">
        <v>1631293</v>
      </c>
      <c r="Z863">
        <v>20250908</v>
      </c>
    </row>
    <row r="864" spans="3:26" x14ac:dyDescent="0.25">
      <c r="C864">
        <v>10000001</v>
      </c>
      <c r="D864" t="s">
        <v>723</v>
      </c>
      <c r="F864">
        <v>12007389</v>
      </c>
      <c r="H864" t="s">
        <v>723</v>
      </c>
      <c r="I864">
        <v>50</v>
      </c>
      <c r="J864" s="1">
        <v>-50000</v>
      </c>
      <c r="K864" t="s">
        <v>26</v>
      </c>
      <c r="L864" s="1">
        <v>-50000</v>
      </c>
      <c r="M864" t="s">
        <v>26</v>
      </c>
      <c r="Q864" t="s">
        <v>27</v>
      </c>
      <c r="R864" t="s">
        <v>724</v>
      </c>
      <c r="S864" t="s">
        <v>45</v>
      </c>
      <c r="T864" t="s">
        <v>727</v>
      </c>
      <c r="X864" t="s">
        <v>43</v>
      </c>
      <c r="Y864">
        <v>1631293</v>
      </c>
      <c r="Z864">
        <v>20250908</v>
      </c>
    </row>
    <row r="865" spans="3:26" x14ac:dyDescent="0.25">
      <c r="C865">
        <v>10000001</v>
      </c>
      <c r="D865" t="s">
        <v>723</v>
      </c>
      <c r="F865">
        <v>12007390</v>
      </c>
      <c r="H865" t="s">
        <v>723</v>
      </c>
      <c r="I865">
        <v>50</v>
      </c>
      <c r="J865" s="1">
        <v>-50000</v>
      </c>
      <c r="K865" t="s">
        <v>26</v>
      </c>
      <c r="L865" s="1">
        <v>-50000</v>
      </c>
      <c r="M865" t="s">
        <v>26</v>
      </c>
      <c r="Q865" t="s">
        <v>27</v>
      </c>
      <c r="R865" t="s">
        <v>724</v>
      </c>
      <c r="S865" t="s">
        <v>45</v>
      </c>
      <c r="T865" t="s">
        <v>728</v>
      </c>
      <c r="X865" t="s">
        <v>43</v>
      </c>
      <c r="Y865">
        <v>1631293</v>
      </c>
      <c r="Z865">
        <v>20250908</v>
      </c>
    </row>
    <row r="866" spans="3:26" x14ac:dyDescent="0.25">
      <c r="C866">
        <v>10000001</v>
      </c>
      <c r="D866" t="s">
        <v>723</v>
      </c>
      <c r="F866">
        <v>12007391</v>
      </c>
      <c r="H866" t="s">
        <v>723</v>
      </c>
      <c r="I866">
        <v>50</v>
      </c>
      <c r="J866" s="1">
        <v>-50000</v>
      </c>
      <c r="K866" t="s">
        <v>26</v>
      </c>
      <c r="L866" s="1">
        <v>-50000</v>
      </c>
      <c r="M866" t="s">
        <v>26</v>
      </c>
      <c r="Q866" t="s">
        <v>27</v>
      </c>
      <c r="R866" t="s">
        <v>724</v>
      </c>
      <c r="S866" t="s">
        <v>45</v>
      </c>
      <c r="T866" t="s">
        <v>729</v>
      </c>
      <c r="X866" t="s">
        <v>43</v>
      </c>
      <c r="Y866">
        <v>1631293</v>
      </c>
      <c r="Z866">
        <v>20250908</v>
      </c>
    </row>
    <row r="867" spans="3:26" x14ac:dyDescent="0.25">
      <c r="C867">
        <v>10000001</v>
      </c>
      <c r="D867" t="s">
        <v>723</v>
      </c>
      <c r="F867">
        <v>12007392</v>
      </c>
      <c r="H867" t="s">
        <v>723</v>
      </c>
      <c r="I867">
        <v>50</v>
      </c>
      <c r="J867" s="1">
        <v>-50000</v>
      </c>
      <c r="K867" t="s">
        <v>26</v>
      </c>
      <c r="L867" s="1">
        <v>-50000</v>
      </c>
      <c r="M867" t="s">
        <v>26</v>
      </c>
      <c r="Q867" t="s">
        <v>27</v>
      </c>
      <c r="R867" t="s">
        <v>724</v>
      </c>
      <c r="S867" t="s">
        <v>45</v>
      </c>
      <c r="T867" t="s">
        <v>730</v>
      </c>
      <c r="X867" t="s">
        <v>43</v>
      </c>
      <c r="Y867">
        <v>1631293</v>
      </c>
      <c r="Z867">
        <v>20250908</v>
      </c>
    </row>
    <row r="868" spans="3:26" x14ac:dyDescent="0.25">
      <c r="C868">
        <v>10000001</v>
      </c>
      <c r="D868" t="s">
        <v>723</v>
      </c>
      <c r="F868">
        <v>12007393</v>
      </c>
      <c r="H868" t="s">
        <v>723</v>
      </c>
      <c r="I868">
        <v>50</v>
      </c>
      <c r="J868" s="1">
        <v>-50000</v>
      </c>
      <c r="K868" t="s">
        <v>26</v>
      </c>
      <c r="L868" s="1">
        <v>-50000</v>
      </c>
      <c r="M868" t="s">
        <v>26</v>
      </c>
      <c r="Q868" t="s">
        <v>27</v>
      </c>
      <c r="R868" t="s">
        <v>724</v>
      </c>
      <c r="S868" t="s">
        <v>45</v>
      </c>
      <c r="T868" t="s">
        <v>731</v>
      </c>
      <c r="X868" t="s">
        <v>43</v>
      </c>
      <c r="Y868">
        <v>1631293</v>
      </c>
      <c r="Z868">
        <v>20250908</v>
      </c>
    </row>
    <row r="869" spans="3:26" x14ac:dyDescent="0.25">
      <c r="C869">
        <v>10000001</v>
      </c>
      <c r="D869" t="s">
        <v>723</v>
      </c>
      <c r="F869">
        <v>12007394</v>
      </c>
      <c r="H869" t="s">
        <v>723</v>
      </c>
      <c r="I869">
        <v>50</v>
      </c>
      <c r="J869" s="1">
        <v>-150000</v>
      </c>
      <c r="K869" t="s">
        <v>26</v>
      </c>
      <c r="L869" s="1">
        <v>-150000</v>
      </c>
      <c r="M869" t="s">
        <v>26</v>
      </c>
      <c r="Q869" t="s">
        <v>27</v>
      </c>
      <c r="R869" t="s">
        <v>724</v>
      </c>
      <c r="S869" t="s">
        <v>274</v>
      </c>
      <c r="T869" t="s">
        <v>732</v>
      </c>
      <c r="X869" t="s">
        <v>43</v>
      </c>
      <c r="Y869">
        <v>1631293</v>
      </c>
      <c r="Z869">
        <v>20250908</v>
      </c>
    </row>
    <row r="870" spans="3:26" x14ac:dyDescent="0.25">
      <c r="C870">
        <v>10000001</v>
      </c>
      <c r="D870" t="s">
        <v>723</v>
      </c>
      <c r="F870">
        <v>12007395</v>
      </c>
      <c r="H870" t="s">
        <v>723</v>
      </c>
      <c r="I870">
        <v>50</v>
      </c>
      <c r="J870" s="1">
        <v>-50000</v>
      </c>
      <c r="K870" t="s">
        <v>26</v>
      </c>
      <c r="L870" s="1">
        <v>-50000</v>
      </c>
      <c r="M870" t="s">
        <v>26</v>
      </c>
      <c r="Q870" t="s">
        <v>27</v>
      </c>
      <c r="R870" t="s">
        <v>733</v>
      </c>
      <c r="S870" t="s">
        <v>45</v>
      </c>
      <c r="T870" t="s">
        <v>734</v>
      </c>
      <c r="X870" t="s">
        <v>43</v>
      </c>
      <c r="Y870">
        <v>1631293</v>
      </c>
      <c r="Z870">
        <v>20250908</v>
      </c>
    </row>
    <row r="871" spans="3:26" x14ac:dyDescent="0.25">
      <c r="C871">
        <v>10000001</v>
      </c>
      <c r="D871" t="s">
        <v>723</v>
      </c>
      <c r="F871">
        <v>12007396</v>
      </c>
      <c r="H871" t="s">
        <v>723</v>
      </c>
      <c r="I871">
        <v>50</v>
      </c>
      <c r="J871" s="1">
        <v>-50000</v>
      </c>
      <c r="K871" t="s">
        <v>26</v>
      </c>
      <c r="L871" s="1">
        <v>-50000</v>
      </c>
      <c r="M871" t="s">
        <v>26</v>
      </c>
      <c r="Q871" t="s">
        <v>27</v>
      </c>
      <c r="R871" t="s">
        <v>733</v>
      </c>
      <c r="S871" t="s">
        <v>45</v>
      </c>
      <c r="T871" t="s">
        <v>735</v>
      </c>
      <c r="X871" t="s">
        <v>43</v>
      </c>
      <c r="Y871">
        <v>1631293</v>
      </c>
      <c r="Z871">
        <v>20250908</v>
      </c>
    </row>
    <row r="872" spans="3:26" x14ac:dyDescent="0.25">
      <c r="C872">
        <v>10000001</v>
      </c>
      <c r="D872" t="s">
        <v>723</v>
      </c>
      <c r="F872">
        <v>12007397</v>
      </c>
      <c r="H872" t="s">
        <v>723</v>
      </c>
      <c r="I872">
        <v>50</v>
      </c>
      <c r="J872" s="1">
        <v>-50000</v>
      </c>
      <c r="K872" t="s">
        <v>26</v>
      </c>
      <c r="L872" s="1">
        <v>-50000</v>
      </c>
      <c r="M872" t="s">
        <v>26</v>
      </c>
      <c r="Q872" t="s">
        <v>27</v>
      </c>
      <c r="R872" t="s">
        <v>733</v>
      </c>
      <c r="S872" t="s">
        <v>45</v>
      </c>
      <c r="T872" t="s">
        <v>736</v>
      </c>
      <c r="X872" t="s">
        <v>43</v>
      </c>
      <c r="Y872">
        <v>1631293</v>
      </c>
      <c r="Z872">
        <v>20250908</v>
      </c>
    </row>
    <row r="873" spans="3:26" x14ac:dyDescent="0.25">
      <c r="C873">
        <v>10000001</v>
      </c>
      <c r="D873" t="s">
        <v>723</v>
      </c>
      <c r="F873">
        <v>12007398</v>
      </c>
      <c r="H873" t="s">
        <v>723</v>
      </c>
      <c r="I873">
        <v>50</v>
      </c>
      <c r="J873" s="1">
        <v>-50000</v>
      </c>
      <c r="K873" t="s">
        <v>26</v>
      </c>
      <c r="L873" s="1">
        <v>-50000</v>
      </c>
      <c r="M873" t="s">
        <v>26</v>
      </c>
      <c r="Q873" t="s">
        <v>27</v>
      </c>
      <c r="R873" t="s">
        <v>733</v>
      </c>
      <c r="S873" t="s">
        <v>45</v>
      </c>
      <c r="T873" t="s">
        <v>737</v>
      </c>
      <c r="X873" t="s">
        <v>43</v>
      </c>
      <c r="Y873">
        <v>1631293</v>
      </c>
      <c r="Z873">
        <v>20250908</v>
      </c>
    </row>
    <row r="874" spans="3:26" x14ac:dyDescent="0.25">
      <c r="C874">
        <v>10000001</v>
      </c>
      <c r="D874" t="s">
        <v>723</v>
      </c>
      <c r="F874">
        <v>12007399</v>
      </c>
      <c r="H874" t="s">
        <v>723</v>
      </c>
      <c r="I874">
        <v>50</v>
      </c>
      <c r="J874" s="1">
        <v>-50000</v>
      </c>
      <c r="K874" t="s">
        <v>26</v>
      </c>
      <c r="L874" s="1">
        <v>-50000</v>
      </c>
      <c r="M874" t="s">
        <v>26</v>
      </c>
      <c r="Q874" t="s">
        <v>27</v>
      </c>
      <c r="R874" t="s">
        <v>738</v>
      </c>
      <c r="S874" t="s">
        <v>45</v>
      </c>
      <c r="T874" t="s">
        <v>739</v>
      </c>
      <c r="X874" t="s">
        <v>43</v>
      </c>
      <c r="Y874">
        <v>1631293</v>
      </c>
      <c r="Z874">
        <v>20250908</v>
      </c>
    </row>
    <row r="875" spans="3:26" x14ac:dyDescent="0.25">
      <c r="C875">
        <v>10000001</v>
      </c>
      <c r="D875" t="s">
        <v>723</v>
      </c>
      <c r="F875">
        <v>12007400</v>
      </c>
      <c r="H875" t="s">
        <v>723</v>
      </c>
      <c r="I875">
        <v>50</v>
      </c>
      <c r="J875" s="1">
        <v>-50000</v>
      </c>
      <c r="K875" t="s">
        <v>26</v>
      </c>
      <c r="L875" s="1">
        <v>-50000</v>
      </c>
      <c r="M875" t="s">
        <v>26</v>
      </c>
      <c r="Q875" t="s">
        <v>27</v>
      </c>
      <c r="R875" t="s">
        <v>738</v>
      </c>
      <c r="S875" t="s">
        <v>45</v>
      </c>
      <c r="T875" t="s">
        <v>740</v>
      </c>
      <c r="X875" t="s">
        <v>43</v>
      </c>
      <c r="Y875">
        <v>1631293</v>
      </c>
      <c r="Z875">
        <v>20250908</v>
      </c>
    </row>
    <row r="876" spans="3:26" x14ac:dyDescent="0.25">
      <c r="C876">
        <v>10000001</v>
      </c>
      <c r="D876" t="s">
        <v>723</v>
      </c>
      <c r="F876">
        <v>12007401</v>
      </c>
      <c r="H876" t="s">
        <v>723</v>
      </c>
      <c r="I876">
        <v>50</v>
      </c>
      <c r="J876" s="1">
        <v>-50000</v>
      </c>
      <c r="K876" t="s">
        <v>26</v>
      </c>
      <c r="L876" s="1">
        <v>-50000</v>
      </c>
      <c r="M876" t="s">
        <v>26</v>
      </c>
      <c r="Q876" t="s">
        <v>27</v>
      </c>
      <c r="R876" t="s">
        <v>738</v>
      </c>
      <c r="S876" t="s">
        <v>45</v>
      </c>
      <c r="T876" t="s">
        <v>741</v>
      </c>
      <c r="X876" t="s">
        <v>43</v>
      </c>
      <c r="Y876">
        <v>1631293</v>
      </c>
      <c r="Z876">
        <v>20250908</v>
      </c>
    </row>
    <row r="877" spans="3:26" x14ac:dyDescent="0.25">
      <c r="C877">
        <v>10000001</v>
      </c>
      <c r="D877" t="s">
        <v>723</v>
      </c>
      <c r="F877">
        <v>12007402</v>
      </c>
      <c r="H877" t="s">
        <v>723</v>
      </c>
      <c r="I877">
        <v>50</v>
      </c>
      <c r="J877" s="1">
        <v>-50000</v>
      </c>
      <c r="K877" t="s">
        <v>26</v>
      </c>
      <c r="L877" s="1">
        <v>-50000</v>
      </c>
      <c r="M877" t="s">
        <v>26</v>
      </c>
      <c r="Q877" t="s">
        <v>27</v>
      </c>
      <c r="R877" t="s">
        <v>738</v>
      </c>
      <c r="S877" t="s">
        <v>45</v>
      </c>
      <c r="T877" t="s">
        <v>742</v>
      </c>
      <c r="X877" t="s">
        <v>43</v>
      </c>
      <c r="Y877">
        <v>1631293</v>
      </c>
      <c r="Z877">
        <v>20250908</v>
      </c>
    </row>
    <row r="878" spans="3:26" x14ac:dyDescent="0.25">
      <c r="C878">
        <v>10000001</v>
      </c>
      <c r="D878" t="s">
        <v>723</v>
      </c>
      <c r="F878">
        <v>12007403</v>
      </c>
      <c r="H878" t="s">
        <v>723</v>
      </c>
      <c r="I878">
        <v>50</v>
      </c>
      <c r="J878" s="1">
        <v>-50000</v>
      </c>
      <c r="K878" t="s">
        <v>26</v>
      </c>
      <c r="L878" s="1">
        <v>-50000</v>
      </c>
      <c r="M878" t="s">
        <v>26</v>
      </c>
      <c r="Q878" t="s">
        <v>27</v>
      </c>
      <c r="R878" t="s">
        <v>738</v>
      </c>
      <c r="S878" t="s">
        <v>45</v>
      </c>
      <c r="T878" t="s">
        <v>743</v>
      </c>
      <c r="X878" t="s">
        <v>43</v>
      </c>
      <c r="Y878">
        <v>1631293</v>
      </c>
      <c r="Z878">
        <v>20250908</v>
      </c>
    </row>
    <row r="879" spans="3:26" x14ac:dyDescent="0.25">
      <c r="C879">
        <v>10000001</v>
      </c>
      <c r="D879" t="s">
        <v>723</v>
      </c>
      <c r="F879">
        <v>12007404</v>
      </c>
      <c r="H879" t="s">
        <v>723</v>
      </c>
      <c r="I879">
        <v>50</v>
      </c>
      <c r="J879" s="1">
        <v>-740000</v>
      </c>
      <c r="K879" t="s">
        <v>26</v>
      </c>
      <c r="L879" s="1">
        <v>-740000</v>
      </c>
      <c r="M879" t="s">
        <v>26</v>
      </c>
      <c r="Q879" t="s">
        <v>27</v>
      </c>
      <c r="R879" t="s">
        <v>744</v>
      </c>
      <c r="S879" t="s">
        <v>96</v>
      </c>
      <c r="T879" t="s">
        <v>745</v>
      </c>
      <c r="X879" t="s">
        <v>43</v>
      </c>
      <c r="Y879">
        <v>1631293</v>
      </c>
      <c r="Z879">
        <v>20250908</v>
      </c>
    </row>
    <row r="880" spans="3:26" x14ac:dyDescent="0.25">
      <c r="C880">
        <v>10000001</v>
      </c>
      <c r="D880" t="s">
        <v>723</v>
      </c>
      <c r="F880">
        <v>12007405</v>
      </c>
      <c r="H880" t="s">
        <v>723</v>
      </c>
      <c r="I880">
        <v>50</v>
      </c>
      <c r="J880" s="1">
        <v>-260000</v>
      </c>
      <c r="K880" t="s">
        <v>26</v>
      </c>
      <c r="L880" s="1">
        <v>-260000</v>
      </c>
      <c r="M880" t="s">
        <v>26</v>
      </c>
      <c r="Q880" t="s">
        <v>27</v>
      </c>
      <c r="R880" t="s">
        <v>744</v>
      </c>
      <c r="S880" t="s">
        <v>67</v>
      </c>
      <c r="T880" t="s">
        <v>746</v>
      </c>
      <c r="X880" t="s">
        <v>43</v>
      </c>
      <c r="Y880">
        <v>1631293</v>
      </c>
      <c r="Z880">
        <v>20250908</v>
      </c>
    </row>
    <row r="881" spans="3:26" x14ac:dyDescent="0.25">
      <c r="C881">
        <v>10000001</v>
      </c>
      <c r="D881" t="s">
        <v>723</v>
      </c>
      <c r="F881">
        <v>12007406</v>
      </c>
      <c r="H881" t="s">
        <v>723</v>
      </c>
      <c r="I881">
        <v>50</v>
      </c>
      <c r="J881" s="1">
        <v>-400000</v>
      </c>
      <c r="K881" t="s">
        <v>26</v>
      </c>
      <c r="L881" s="1">
        <v>-400000</v>
      </c>
      <c r="M881" t="s">
        <v>26</v>
      </c>
      <c r="Q881" t="s">
        <v>27</v>
      </c>
      <c r="R881" t="s">
        <v>747</v>
      </c>
      <c r="S881" t="s">
        <v>41</v>
      </c>
      <c r="T881" t="s">
        <v>748</v>
      </c>
      <c r="X881" t="s">
        <v>43</v>
      </c>
      <c r="Y881">
        <v>1631293</v>
      </c>
      <c r="Z881">
        <v>20250908</v>
      </c>
    </row>
    <row r="882" spans="3:26" x14ac:dyDescent="0.25">
      <c r="C882">
        <v>10000001</v>
      </c>
      <c r="D882" t="s">
        <v>723</v>
      </c>
      <c r="F882">
        <v>12007407</v>
      </c>
      <c r="H882" t="s">
        <v>723</v>
      </c>
      <c r="I882">
        <v>50</v>
      </c>
      <c r="J882" s="1">
        <v>-100000</v>
      </c>
      <c r="K882" t="s">
        <v>26</v>
      </c>
      <c r="L882" s="1">
        <v>-100000</v>
      </c>
      <c r="M882" t="s">
        <v>26</v>
      </c>
      <c r="Q882" t="s">
        <v>27</v>
      </c>
      <c r="R882" t="s">
        <v>749</v>
      </c>
      <c r="S882" t="s">
        <v>45</v>
      </c>
      <c r="T882" t="s">
        <v>750</v>
      </c>
      <c r="X882" t="s">
        <v>43</v>
      </c>
      <c r="Y882">
        <v>1631293</v>
      </c>
      <c r="Z882">
        <v>20250908</v>
      </c>
    </row>
    <row r="883" spans="3:26" x14ac:dyDescent="0.25">
      <c r="C883">
        <v>10000001</v>
      </c>
      <c r="D883" t="s">
        <v>723</v>
      </c>
      <c r="F883">
        <v>12007408</v>
      </c>
      <c r="H883" t="s">
        <v>723</v>
      </c>
      <c r="I883">
        <v>50</v>
      </c>
      <c r="J883" s="1">
        <v>-100000</v>
      </c>
      <c r="K883" t="s">
        <v>26</v>
      </c>
      <c r="L883" s="1">
        <v>-100000</v>
      </c>
      <c r="M883" t="s">
        <v>26</v>
      </c>
      <c r="Q883" t="s">
        <v>27</v>
      </c>
      <c r="R883" t="s">
        <v>749</v>
      </c>
      <c r="S883" t="s">
        <v>45</v>
      </c>
      <c r="T883" t="s">
        <v>750</v>
      </c>
      <c r="X883" t="s">
        <v>43</v>
      </c>
      <c r="Y883">
        <v>1631293</v>
      </c>
      <c r="Z883">
        <v>20250908</v>
      </c>
    </row>
    <row r="884" spans="3:26" x14ac:dyDescent="0.25">
      <c r="C884">
        <v>10000001</v>
      </c>
      <c r="D884" t="s">
        <v>723</v>
      </c>
      <c r="F884">
        <v>12007409</v>
      </c>
      <c r="H884" t="s">
        <v>723</v>
      </c>
      <c r="I884">
        <v>50</v>
      </c>
      <c r="J884" s="1">
        <v>-150000</v>
      </c>
      <c r="K884" t="s">
        <v>26</v>
      </c>
      <c r="L884" s="1">
        <v>-150000</v>
      </c>
      <c r="M884" t="s">
        <v>26</v>
      </c>
      <c r="Q884" t="s">
        <v>27</v>
      </c>
      <c r="R884" t="s">
        <v>749</v>
      </c>
      <c r="S884" t="s">
        <v>45</v>
      </c>
      <c r="T884" t="s">
        <v>750</v>
      </c>
      <c r="X884" t="s">
        <v>43</v>
      </c>
      <c r="Y884">
        <v>1631293</v>
      </c>
      <c r="Z884">
        <v>20250908</v>
      </c>
    </row>
    <row r="885" spans="3:26" x14ac:dyDescent="0.25">
      <c r="C885">
        <v>10000001</v>
      </c>
      <c r="D885" t="s">
        <v>723</v>
      </c>
      <c r="F885">
        <v>12007456</v>
      </c>
      <c r="H885" t="s">
        <v>723</v>
      </c>
      <c r="I885">
        <v>50</v>
      </c>
      <c r="J885" s="1">
        <v>-4000</v>
      </c>
      <c r="K885" t="s">
        <v>26</v>
      </c>
      <c r="L885" s="1">
        <v>-4000</v>
      </c>
      <c r="M885" t="s">
        <v>26</v>
      </c>
      <c r="Q885" t="s">
        <v>27</v>
      </c>
      <c r="R885" t="s">
        <v>724</v>
      </c>
      <c r="S885" t="s">
        <v>334</v>
      </c>
      <c r="T885" t="s">
        <v>751</v>
      </c>
      <c r="X885" t="s">
        <v>43</v>
      </c>
      <c r="Y885">
        <v>1631293</v>
      </c>
      <c r="Z885">
        <v>20250908</v>
      </c>
    </row>
    <row r="886" spans="3:26" x14ac:dyDescent="0.25">
      <c r="C886">
        <v>10000001</v>
      </c>
      <c r="D886" t="s">
        <v>752</v>
      </c>
      <c r="F886">
        <v>12007410</v>
      </c>
      <c r="H886" t="s">
        <v>752</v>
      </c>
      <c r="I886">
        <v>50</v>
      </c>
      <c r="J886" s="1">
        <v>-736120</v>
      </c>
      <c r="K886" t="s">
        <v>26</v>
      </c>
      <c r="L886" s="1">
        <v>-736120</v>
      </c>
      <c r="M886" t="s">
        <v>26</v>
      </c>
      <c r="Q886" t="s">
        <v>27</v>
      </c>
      <c r="R886" t="s">
        <v>753</v>
      </c>
      <c r="S886" t="s">
        <v>57</v>
      </c>
      <c r="T886" t="s">
        <v>754</v>
      </c>
      <c r="X886" t="s">
        <v>43</v>
      </c>
      <c r="Y886">
        <v>1631293</v>
      </c>
      <c r="Z886">
        <v>20250909</v>
      </c>
    </row>
    <row r="887" spans="3:26" x14ac:dyDescent="0.25">
      <c r="C887">
        <v>10000001</v>
      </c>
      <c r="D887" t="s">
        <v>752</v>
      </c>
      <c r="F887">
        <v>12007411</v>
      </c>
      <c r="H887" t="s">
        <v>752</v>
      </c>
      <c r="I887">
        <v>50</v>
      </c>
      <c r="J887" s="1">
        <v>-29900</v>
      </c>
      <c r="K887" t="s">
        <v>26</v>
      </c>
      <c r="L887" s="1">
        <v>-29900</v>
      </c>
      <c r="M887" t="s">
        <v>26</v>
      </c>
      <c r="Q887" t="s">
        <v>27</v>
      </c>
      <c r="R887" t="s">
        <v>755</v>
      </c>
      <c r="S887" t="s">
        <v>193</v>
      </c>
      <c r="T887" t="s">
        <v>756</v>
      </c>
      <c r="X887" t="s">
        <v>43</v>
      </c>
      <c r="Y887">
        <v>1631293</v>
      </c>
      <c r="Z887">
        <v>20250909</v>
      </c>
    </row>
    <row r="888" spans="3:26" x14ac:dyDescent="0.25">
      <c r="C888">
        <v>10000001</v>
      </c>
      <c r="D888" t="s">
        <v>752</v>
      </c>
      <c r="F888">
        <v>12007412</v>
      </c>
      <c r="H888" t="s">
        <v>752</v>
      </c>
      <c r="I888">
        <v>50</v>
      </c>
      <c r="J888" s="1">
        <v>-50000</v>
      </c>
      <c r="K888" t="s">
        <v>26</v>
      </c>
      <c r="L888" s="1">
        <v>-50000</v>
      </c>
      <c r="M888" t="s">
        <v>26</v>
      </c>
      <c r="Q888" t="s">
        <v>27</v>
      </c>
      <c r="R888" t="s">
        <v>757</v>
      </c>
      <c r="S888" t="s">
        <v>45</v>
      </c>
      <c r="T888" t="s">
        <v>758</v>
      </c>
      <c r="X888" t="s">
        <v>43</v>
      </c>
      <c r="Y888">
        <v>1631293</v>
      </c>
      <c r="Z888">
        <v>20250909</v>
      </c>
    </row>
    <row r="889" spans="3:26" x14ac:dyDescent="0.25">
      <c r="C889">
        <v>10000001</v>
      </c>
      <c r="D889" t="s">
        <v>752</v>
      </c>
      <c r="F889">
        <v>12007413</v>
      </c>
      <c r="H889" t="s">
        <v>752</v>
      </c>
      <c r="I889">
        <v>50</v>
      </c>
      <c r="J889" s="1">
        <v>-50000</v>
      </c>
      <c r="K889" t="s">
        <v>26</v>
      </c>
      <c r="L889" s="1">
        <v>-50000</v>
      </c>
      <c r="M889" t="s">
        <v>26</v>
      </c>
      <c r="Q889" t="s">
        <v>27</v>
      </c>
      <c r="R889" t="s">
        <v>757</v>
      </c>
      <c r="S889" t="s">
        <v>45</v>
      </c>
      <c r="T889" t="s">
        <v>759</v>
      </c>
      <c r="X889" t="s">
        <v>43</v>
      </c>
      <c r="Y889">
        <v>1631293</v>
      </c>
      <c r="Z889">
        <v>20250909</v>
      </c>
    </row>
    <row r="890" spans="3:26" x14ac:dyDescent="0.25">
      <c r="C890">
        <v>10000001</v>
      </c>
      <c r="D890" t="s">
        <v>752</v>
      </c>
      <c r="F890">
        <v>12007414</v>
      </c>
      <c r="H890" t="s">
        <v>752</v>
      </c>
      <c r="I890">
        <v>50</v>
      </c>
      <c r="J890" s="1">
        <v>-50000</v>
      </c>
      <c r="K890" t="s">
        <v>26</v>
      </c>
      <c r="L890" s="1">
        <v>-50000</v>
      </c>
      <c r="M890" t="s">
        <v>26</v>
      </c>
      <c r="Q890" t="s">
        <v>27</v>
      </c>
      <c r="R890" t="s">
        <v>757</v>
      </c>
      <c r="S890" t="s">
        <v>45</v>
      </c>
      <c r="T890" t="s">
        <v>760</v>
      </c>
      <c r="X890" t="s">
        <v>43</v>
      </c>
      <c r="Y890">
        <v>1631293</v>
      </c>
      <c r="Z890">
        <v>20250909</v>
      </c>
    </row>
    <row r="891" spans="3:26" x14ac:dyDescent="0.25">
      <c r="C891">
        <v>10000001</v>
      </c>
      <c r="D891" t="s">
        <v>752</v>
      </c>
      <c r="F891">
        <v>12007415</v>
      </c>
      <c r="H891" t="s">
        <v>752</v>
      </c>
      <c r="I891">
        <v>50</v>
      </c>
      <c r="J891" s="1">
        <v>-272900</v>
      </c>
      <c r="K891" t="s">
        <v>26</v>
      </c>
      <c r="L891" s="1">
        <v>-272900</v>
      </c>
      <c r="M891" t="s">
        <v>26</v>
      </c>
      <c r="Q891" t="s">
        <v>27</v>
      </c>
      <c r="R891" t="s">
        <v>761</v>
      </c>
      <c r="S891" t="s">
        <v>274</v>
      </c>
      <c r="T891" t="s">
        <v>762</v>
      </c>
      <c r="X891" t="s">
        <v>43</v>
      </c>
      <c r="Y891">
        <v>1631293</v>
      </c>
      <c r="Z891">
        <v>20250909</v>
      </c>
    </row>
    <row r="892" spans="3:26" x14ac:dyDescent="0.25">
      <c r="C892">
        <v>10000001</v>
      </c>
      <c r="D892" t="s">
        <v>752</v>
      </c>
      <c r="F892">
        <v>12007416</v>
      </c>
      <c r="H892" t="s">
        <v>752</v>
      </c>
      <c r="I892">
        <v>50</v>
      </c>
      <c r="J892" s="1">
        <v>-730000</v>
      </c>
      <c r="K892" t="s">
        <v>26</v>
      </c>
      <c r="L892" s="1">
        <v>-730000</v>
      </c>
      <c r="M892" t="s">
        <v>26</v>
      </c>
      <c r="Q892" t="s">
        <v>27</v>
      </c>
      <c r="R892" t="s">
        <v>763</v>
      </c>
      <c r="S892" t="s">
        <v>96</v>
      </c>
      <c r="T892" t="s">
        <v>764</v>
      </c>
      <c r="X892" t="s">
        <v>43</v>
      </c>
      <c r="Y892">
        <v>1631293</v>
      </c>
      <c r="Z892">
        <v>20250909</v>
      </c>
    </row>
    <row r="893" spans="3:26" x14ac:dyDescent="0.25">
      <c r="C893">
        <v>10000001</v>
      </c>
      <c r="D893" t="s">
        <v>752</v>
      </c>
      <c r="F893">
        <v>12007417</v>
      </c>
      <c r="H893" t="s">
        <v>752</v>
      </c>
      <c r="I893">
        <v>50</v>
      </c>
      <c r="J893" s="1">
        <v>-269000</v>
      </c>
      <c r="K893" t="s">
        <v>26</v>
      </c>
      <c r="L893" s="1">
        <v>-269000</v>
      </c>
      <c r="M893" t="s">
        <v>26</v>
      </c>
      <c r="Q893" t="s">
        <v>27</v>
      </c>
      <c r="R893" t="s">
        <v>763</v>
      </c>
      <c r="S893" t="s">
        <v>67</v>
      </c>
      <c r="T893" t="s">
        <v>765</v>
      </c>
      <c r="X893" t="s">
        <v>43</v>
      </c>
      <c r="Y893">
        <v>1631293</v>
      </c>
      <c r="Z893">
        <v>20250909</v>
      </c>
    </row>
    <row r="894" spans="3:26" x14ac:dyDescent="0.25">
      <c r="C894">
        <v>10000001</v>
      </c>
      <c r="D894" t="s">
        <v>766</v>
      </c>
      <c r="F894">
        <v>12007418</v>
      </c>
      <c r="H894" t="s">
        <v>766</v>
      </c>
      <c r="I894">
        <v>50</v>
      </c>
      <c r="J894" s="1">
        <v>-814000</v>
      </c>
      <c r="K894" t="s">
        <v>26</v>
      </c>
      <c r="L894" s="1">
        <v>-814000</v>
      </c>
      <c r="M894" t="s">
        <v>26</v>
      </c>
      <c r="Q894" t="s">
        <v>27</v>
      </c>
      <c r="R894" t="s">
        <v>767</v>
      </c>
      <c r="S894" t="s">
        <v>57</v>
      </c>
      <c r="T894" t="s">
        <v>768</v>
      </c>
      <c r="X894" t="s">
        <v>43</v>
      </c>
      <c r="Y894">
        <v>1631293</v>
      </c>
      <c r="Z894">
        <v>20250910</v>
      </c>
    </row>
    <row r="895" spans="3:26" x14ac:dyDescent="0.25">
      <c r="C895">
        <v>10000001</v>
      </c>
      <c r="D895" t="s">
        <v>766</v>
      </c>
      <c r="F895">
        <v>12007419</v>
      </c>
      <c r="H895" t="s">
        <v>766</v>
      </c>
      <c r="I895">
        <v>50</v>
      </c>
      <c r="J895" s="1">
        <v>-510000</v>
      </c>
      <c r="K895" t="s">
        <v>26</v>
      </c>
      <c r="L895" s="1">
        <v>-510000</v>
      </c>
      <c r="M895" t="s">
        <v>26</v>
      </c>
      <c r="Q895" t="s">
        <v>27</v>
      </c>
      <c r="R895" t="s">
        <v>769</v>
      </c>
      <c r="S895" t="s">
        <v>67</v>
      </c>
      <c r="T895" t="s">
        <v>770</v>
      </c>
      <c r="X895" t="s">
        <v>43</v>
      </c>
      <c r="Y895">
        <v>1631293</v>
      </c>
      <c r="Z895">
        <v>20250910</v>
      </c>
    </row>
    <row r="896" spans="3:26" x14ac:dyDescent="0.25">
      <c r="C896">
        <v>10000001</v>
      </c>
      <c r="D896" t="s">
        <v>766</v>
      </c>
      <c r="F896">
        <v>12007420</v>
      </c>
      <c r="H896" t="s">
        <v>766</v>
      </c>
      <c r="I896">
        <v>50</v>
      </c>
      <c r="J896" s="1">
        <v>-490000</v>
      </c>
      <c r="K896" t="s">
        <v>26</v>
      </c>
      <c r="L896" s="1">
        <v>-490000</v>
      </c>
      <c r="M896" t="s">
        <v>26</v>
      </c>
      <c r="Q896" t="s">
        <v>27</v>
      </c>
      <c r="R896" t="s">
        <v>769</v>
      </c>
      <c r="S896" t="s">
        <v>96</v>
      </c>
      <c r="T896" t="s">
        <v>771</v>
      </c>
      <c r="X896" t="s">
        <v>43</v>
      </c>
      <c r="Y896">
        <v>1631293</v>
      </c>
      <c r="Z896">
        <v>20250910</v>
      </c>
    </row>
    <row r="897" spans="3:26" x14ac:dyDescent="0.25">
      <c r="C897">
        <v>10000001</v>
      </c>
      <c r="D897" t="s">
        <v>766</v>
      </c>
      <c r="F897">
        <v>12007457</v>
      </c>
      <c r="H897" t="s">
        <v>766</v>
      </c>
      <c r="I897">
        <v>50</v>
      </c>
      <c r="J897" s="1">
        <v>-50000</v>
      </c>
      <c r="K897" t="s">
        <v>26</v>
      </c>
      <c r="L897" s="1">
        <v>-50000</v>
      </c>
      <c r="M897" t="s">
        <v>26</v>
      </c>
      <c r="Q897" t="s">
        <v>27</v>
      </c>
      <c r="R897" t="s">
        <v>772</v>
      </c>
      <c r="S897" t="s">
        <v>45</v>
      </c>
      <c r="T897" t="s">
        <v>773</v>
      </c>
      <c r="X897" t="s">
        <v>43</v>
      </c>
      <c r="Y897">
        <v>1631293</v>
      </c>
      <c r="Z897">
        <v>20250910</v>
      </c>
    </row>
    <row r="898" spans="3:26" x14ac:dyDescent="0.25">
      <c r="C898">
        <v>10000001</v>
      </c>
      <c r="D898" t="s">
        <v>766</v>
      </c>
      <c r="F898">
        <v>12007458</v>
      </c>
      <c r="H898" t="s">
        <v>766</v>
      </c>
      <c r="I898">
        <v>50</v>
      </c>
      <c r="J898" s="1">
        <v>-50000</v>
      </c>
      <c r="K898" t="s">
        <v>26</v>
      </c>
      <c r="L898" s="1">
        <v>-50000</v>
      </c>
      <c r="M898" t="s">
        <v>26</v>
      </c>
      <c r="Q898" t="s">
        <v>27</v>
      </c>
      <c r="R898" t="s">
        <v>772</v>
      </c>
      <c r="S898" t="s">
        <v>45</v>
      </c>
      <c r="T898" t="s">
        <v>774</v>
      </c>
      <c r="X898" t="s">
        <v>43</v>
      </c>
      <c r="Y898">
        <v>1631293</v>
      </c>
      <c r="Z898">
        <v>20250910</v>
      </c>
    </row>
    <row r="899" spans="3:26" x14ac:dyDescent="0.25">
      <c r="C899">
        <v>10000001</v>
      </c>
      <c r="D899" t="s">
        <v>775</v>
      </c>
      <c r="F899">
        <v>12007421</v>
      </c>
      <c r="H899" t="s">
        <v>775</v>
      </c>
      <c r="I899">
        <v>50</v>
      </c>
      <c r="J899" s="1">
        <v>-70000</v>
      </c>
      <c r="K899" t="s">
        <v>26</v>
      </c>
      <c r="L899" s="1">
        <v>-70000</v>
      </c>
      <c r="M899" t="s">
        <v>26</v>
      </c>
      <c r="Q899" t="s">
        <v>27</v>
      </c>
      <c r="R899" t="s">
        <v>776</v>
      </c>
      <c r="S899" t="s">
        <v>59</v>
      </c>
      <c r="T899" t="s">
        <v>777</v>
      </c>
      <c r="X899" t="s">
        <v>43</v>
      </c>
      <c r="Y899">
        <v>1631293</v>
      </c>
      <c r="Z899">
        <v>20250911</v>
      </c>
    </row>
    <row r="900" spans="3:26" x14ac:dyDescent="0.25">
      <c r="C900">
        <v>10000001</v>
      </c>
      <c r="D900" t="s">
        <v>775</v>
      </c>
      <c r="F900">
        <v>12007422</v>
      </c>
      <c r="H900" t="s">
        <v>775</v>
      </c>
      <c r="I900">
        <v>50</v>
      </c>
      <c r="J900" s="1">
        <v>-100000</v>
      </c>
      <c r="K900" t="s">
        <v>26</v>
      </c>
      <c r="L900" s="1">
        <v>-100000</v>
      </c>
      <c r="M900" t="s">
        <v>26</v>
      </c>
      <c r="Q900" t="s">
        <v>27</v>
      </c>
      <c r="R900" t="s">
        <v>778</v>
      </c>
      <c r="S900" t="s">
        <v>126</v>
      </c>
      <c r="T900" t="s">
        <v>779</v>
      </c>
      <c r="X900" t="s">
        <v>43</v>
      </c>
      <c r="Y900">
        <v>1631293</v>
      </c>
      <c r="Z900">
        <v>20250911</v>
      </c>
    </row>
    <row r="901" spans="3:26" x14ac:dyDescent="0.25">
      <c r="C901">
        <v>10000001</v>
      </c>
      <c r="D901" t="s">
        <v>775</v>
      </c>
      <c r="F901">
        <v>12007423</v>
      </c>
      <c r="H901" t="s">
        <v>775</v>
      </c>
      <c r="I901">
        <v>50</v>
      </c>
      <c r="J901" s="1">
        <v>-50000</v>
      </c>
      <c r="K901" t="s">
        <v>26</v>
      </c>
      <c r="L901" s="1">
        <v>-50000</v>
      </c>
      <c r="M901" t="s">
        <v>26</v>
      </c>
      <c r="Q901" t="s">
        <v>27</v>
      </c>
      <c r="R901" t="s">
        <v>780</v>
      </c>
      <c r="S901" t="s">
        <v>45</v>
      </c>
      <c r="T901" t="s">
        <v>781</v>
      </c>
      <c r="X901" t="s">
        <v>43</v>
      </c>
      <c r="Y901">
        <v>1631293</v>
      </c>
      <c r="Z901">
        <v>20250911</v>
      </c>
    </row>
    <row r="902" spans="3:26" x14ac:dyDescent="0.25">
      <c r="C902">
        <v>10000001</v>
      </c>
      <c r="D902" t="s">
        <v>775</v>
      </c>
      <c r="F902">
        <v>12007424</v>
      </c>
      <c r="H902" t="s">
        <v>775</v>
      </c>
      <c r="I902">
        <v>50</v>
      </c>
      <c r="J902" s="1">
        <v>-50000</v>
      </c>
      <c r="K902" t="s">
        <v>26</v>
      </c>
      <c r="L902" s="1">
        <v>-50000</v>
      </c>
      <c r="M902" t="s">
        <v>26</v>
      </c>
      <c r="Q902" t="s">
        <v>27</v>
      </c>
      <c r="R902" t="s">
        <v>780</v>
      </c>
      <c r="S902" t="s">
        <v>45</v>
      </c>
      <c r="T902" t="s">
        <v>782</v>
      </c>
      <c r="X902" t="s">
        <v>43</v>
      </c>
      <c r="Y902">
        <v>1631293</v>
      </c>
      <c r="Z902">
        <v>20250911</v>
      </c>
    </row>
    <row r="903" spans="3:26" x14ac:dyDescent="0.25">
      <c r="C903">
        <v>10000001</v>
      </c>
      <c r="D903" t="s">
        <v>775</v>
      </c>
      <c r="F903">
        <v>12007425</v>
      </c>
      <c r="H903" t="s">
        <v>775</v>
      </c>
      <c r="I903">
        <v>50</v>
      </c>
      <c r="J903" s="1">
        <v>-50000</v>
      </c>
      <c r="K903" t="s">
        <v>26</v>
      </c>
      <c r="L903" s="1">
        <v>-50000</v>
      </c>
      <c r="M903" t="s">
        <v>26</v>
      </c>
      <c r="Q903" t="s">
        <v>27</v>
      </c>
      <c r="R903" t="s">
        <v>780</v>
      </c>
      <c r="S903" t="s">
        <v>45</v>
      </c>
      <c r="T903" t="s">
        <v>783</v>
      </c>
      <c r="X903" t="s">
        <v>43</v>
      </c>
      <c r="Y903">
        <v>1631293</v>
      </c>
      <c r="Z903">
        <v>20250911</v>
      </c>
    </row>
    <row r="904" spans="3:26" x14ac:dyDescent="0.25">
      <c r="C904">
        <v>10000001</v>
      </c>
      <c r="D904" t="s">
        <v>775</v>
      </c>
      <c r="F904">
        <v>12007426</v>
      </c>
      <c r="H904" t="s">
        <v>775</v>
      </c>
      <c r="I904">
        <v>50</v>
      </c>
      <c r="J904" s="1">
        <v>-50000</v>
      </c>
      <c r="K904" t="s">
        <v>26</v>
      </c>
      <c r="L904" s="1">
        <v>-50000</v>
      </c>
      <c r="M904" t="s">
        <v>26</v>
      </c>
      <c r="Q904" t="s">
        <v>27</v>
      </c>
      <c r="R904" t="s">
        <v>780</v>
      </c>
      <c r="S904" t="s">
        <v>45</v>
      </c>
      <c r="T904" t="s">
        <v>784</v>
      </c>
      <c r="X904" t="s">
        <v>43</v>
      </c>
      <c r="Y904">
        <v>1631293</v>
      </c>
      <c r="Z904">
        <v>20250911</v>
      </c>
    </row>
    <row r="905" spans="3:26" x14ac:dyDescent="0.25">
      <c r="C905">
        <v>10000001</v>
      </c>
      <c r="D905" t="s">
        <v>775</v>
      </c>
      <c r="F905">
        <v>12007427</v>
      </c>
      <c r="H905" t="s">
        <v>775</v>
      </c>
      <c r="I905">
        <v>50</v>
      </c>
      <c r="J905" s="1">
        <v>-24000</v>
      </c>
      <c r="K905" t="s">
        <v>26</v>
      </c>
      <c r="L905" s="1">
        <v>-24000</v>
      </c>
      <c r="M905" t="s">
        <v>26</v>
      </c>
      <c r="Q905" t="s">
        <v>27</v>
      </c>
      <c r="R905" t="s">
        <v>785</v>
      </c>
      <c r="S905" t="s">
        <v>274</v>
      </c>
      <c r="T905" t="s">
        <v>786</v>
      </c>
      <c r="X905" t="s">
        <v>43</v>
      </c>
      <c r="Y905">
        <v>1631293</v>
      </c>
      <c r="Z905">
        <v>20250911</v>
      </c>
    </row>
    <row r="906" spans="3:26" x14ac:dyDescent="0.25">
      <c r="C906">
        <v>10000001</v>
      </c>
      <c r="D906" t="s">
        <v>787</v>
      </c>
      <c r="F906">
        <v>12007428</v>
      </c>
      <c r="H906" t="s">
        <v>787</v>
      </c>
      <c r="I906">
        <v>50</v>
      </c>
      <c r="J906" s="1">
        <v>-50000</v>
      </c>
      <c r="K906" t="s">
        <v>26</v>
      </c>
      <c r="L906" s="1">
        <v>-50000</v>
      </c>
      <c r="M906" t="s">
        <v>26</v>
      </c>
      <c r="Q906" t="s">
        <v>27</v>
      </c>
      <c r="R906" t="s">
        <v>788</v>
      </c>
      <c r="S906" t="s">
        <v>45</v>
      </c>
      <c r="T906" t="s">
        <v>789</v>
      </c>
      <c r="X906" t="s">
        <v>43</v>
      </c>
      <c r="Y906">
        <v>1631293</v>
      </c>
      <c r="Z906">
        <v>20250912</v>
      </c>
    </row>
    <row r="907" spans="3:26" x14ac:dyDescent="0.25">
      <c r="C907">
        <v>10000001</v>
      </c>
      <c r="D907" t="s">
        <v>787</v>
      </c>
      <c r="F907">
        <v>12007429</v>
      </c>
      <c r="H907" t="s">
        <v>787</v>
      </c>
      <c r="I907">
        <v>50</v>
      </c>
      <c r="J907" s="1">
        <v>-50000</v>
      </c>
      <c r="K907" t="s">
        <v>26</v>
      </c>
      <c r="L907" s="1">
        <v>-50000</v>
      </c>
      <c r="M907" t="s">
        <v>26</v>
      </c>
      <c r="Q907" t="s">
        <v>27</v>
      </c>
      <c r="R907" t="s">
        <v>788</v>
      </c>
      <c r="S907" t="s">
        <v>45</v>
      </c>
      <c r="T907" t="s">
        <v>790</v>
      </c>
      <c r="X907" t="s">
        <v>43</v>
      </c>
      <c r="Y907">
        <v>1631293</v>
      </c>
      <c r="Z907">
        <v>20250912</v>
      </c>
    </row>
    <row r="908" spans="3:26" x14ac:dyDescent="0.25">
      <c r="C908">
        <v>10000001</v>
      </c>
      <c r="D908" t="s">
        <v>787</v>
      </c>
      <c r="F908">
        <v>12007430</v>
      </c>
      <c r="H908" t="s">
        <v>787</v>
      </c>
      <c r="I908">
        <v>50</v>
      </c>
      <c r="J908" s="1">
        <v>-50000</v>
      </c>
      <c r="K908" t="s">
        <v>26</v>
      </c>
      <c r="L908" s="1">
        <v>-50000</v>
      </c>
      <c r="M908" t="s">
        <v>26</v>
      </c>
      <c r="Q908" t="s">
        <v>27</v>
      </c>
      <c r="R908" t="s">
        <v>788</v>
      </c>
      <c r="S908" t="s">
        <v>45</v>
      </c>
      <c r="T908" t="s">
        <v>791</v>
      </c>
      <c r="X908" t="s">
        <v>43</v>
      </c>
      <c r="Y908">
        <v>1631293</v>
      </c>
      <c r="Z908">
        <v>20250912</v>
      </c>
    </row>
    <row r="909" spans="3:26" x14ac:dyDescent="0.25">
      <c r="C909">
        <v>10000001</v>
      </c>
      <c r="D909" t="s">
        <v>787</v>
      </c>
      <c r="F909">
        <v>12007431</v>
      </c>
      <c r="H909" t="s">
        <v>787</v>
      </c>
      <c r="I909">
        <v>50</v>
      </c>
      <c r="J909" s="1">
        <v>-50000</v>
      </c>
      <c r="K909" t="s">
        <v>26</v>
      </c>
      <c r="L909" s="1">
        <v>-50000</v>
      </c>
      <c r="M909" t="s">
        <v>26</v>
      </c>
      <c r="Q909" t="s">
        <v>27</v>
      </c>
      <c r="R909" t="s">
        <v>788</v>
      </c>
      <c r="S909" t="s">
        <v>45</v>
      </c>
      <c r="T909" t="s">
        <v>792</v>
      </c>
      <c r="X909" t="s">
        <v>43</v>
      </c>
      <c r="Y909">
        <v>1631293</v>
      </c>
      <c r="Z909">
        <v>20250912</v>
      </c>
    </row>
    <row r="910" spans="3:26" x14ac:dyDescent="0.25">
      <c r="C910">
        <v>10000001</v>
      </c>
      <c r="D910" t="s">
        <v>787</v>
      </c>
      <c r="F910">
        <v>12007432</v>
      </c>
      <c r="H910" t="s">
        <v>787</v>
      </c>
      <c r="I910">
        <v>50</v>
      </c>
      <c r="J910" s="1">
        <v>-50000</v>
      </c>
      <c r="K910" t="s">
        <v>26</v>
      </c>
      <c r="L910" s="1">
        <v>-50000</v>
      </c>
      <c r="M910" t="s">
        <v>26</v>
      </c>
      <c r="Q910" t="s">
        <v>27</v>
      </c>
      <c r="R910" t="s">
        <v>788</v>
      </c>
      <c r="S910" t="s">
        <v>45</v>
      </c>
      <c r="T910" t="s">
        <v>793</v>
      </c>
      <c r="X910" t="s">
        <v>43</v>
      </c>
      <c r="Y910">
        <v>1631293</v>
      </c>
      <c r="Z910">
        <v>20250912</v>
      </c>
    </row>
    <row r="911" spans="3:26" x14ac:dyDescent="0.25">
      <c r="C911">
        <v>10000001</v>
      </c>
      <c r="D911" t="s">
        <v>787</v>
      </c>
      <c r="F911">
        <v>12007433</v>
      </c>
      <c r="H911" t="s">
        <v>787</v>
      </c>
      <c r="I911">
        <v>50</v>
      </c>
      <c r="J911" s="1">
        <v>-50000</v>
      </c>
      <c r="K911" t="s">
        <v>26</v>
      </c>
      <c r="L911" s="1">
        <v>-50000</v>
      </c>
      <c r="M911" t="s">
        <v>26</v>
      </c>
      <c r="Q911" t="s">
        <v>27</v>
      </c>
      <c r="R911" t="s">
        <v>794</v>
      </c>
      <c r="S911" t="s">
        <v>45</v>
      </c>
      <c r="T911" t="s">
        <v>795</v>
      </c>
      <c r="X911" t="s">
        <v>43</v>
      </c>
      <c r="Y911">
        <v>1631293</v>
      </c>
      <c r="Z911">
        <v>20250912</v>
      </c>
    </row>
    <row r="912" spans="3:26" x14ac:dyDescent="0.25">
      <c r="C912">
        <v>10000001</v>
      </c>
      <c r="D912" t="s">
        <v>787</v>
      </c>
      <c r="F912">
        <v>12007434</v>
      </c>
      <c r="H912" t="s">
        <v>787</v>
      </c>
      <c r="I912">
        <v>50</v>
      </c>
      <c r="J912" s="1">
        <v>-50000</v>
      </c>
      <c r="K912" t="s">
        <v>26</v>
      </c>
      <c r="L912" s="1">
        <v>-50000</v>
      </c>
      <c r="M912" t="s">
        <v>26</v>
      </c>
      <c r="Q912" t="s">
        <v>27</v>
      </c>
      <c r="R912" t="s">
        <v>794</v>
      </c>
      <c r="S912" t="s">
        <v>45</v>
      </c>
      <c r="T912" t="s">
        <v>796</v>
      </c>
      <c r="X912" t="s">
        <v>43</v>
      </c>
      <c r="Y912">
        <v>1631293</v>
      </c>
      <c r="Z912">
        <v>20250912</v>
      </c>
    </row>
    <row r="913" spans="3:26" x14ac:dyDescent="0.25">
      <c r="C913">
        <v>10000001</v>
      </c>
      <c r="D913" t="s">
        <v>787</v>
      </c>
      <c r="F913">
        <v>12007435</v>
      </c>
      <c r="H913" t="s">
        <v>787</v>
      </c>
      <c r="I913">
        <v>50</v>
      </c>
      <c r="J913" s="1">
        <v>-50000</v>
      </c>
      <c r="K913" t="s">
        <v>26</v>
      </c>
      <c r="L913" s="1">
        <v>-50000</v>
      </c>
      <c r="M913" t="s">
        <v>26</v>
      </c>
      <c r="Q913" t="s">
        <v>27</v>
      </c>
      <c r="R913" t="s">
        <v>794</v>
      </c>
      <c r="S913" t="s">
        <v>45</v>
      </c>
      <c r="T913" t="s">
        <v>797</v>
      </c>
      <c r="X913" t="s">
        <v>43</v>
      </c>
      <c r="Y913">
        <v>1631293</v>
      </c>
      <c r="Z913">
        <v>20250912</v>
      </c>
    </row>
    <row r="914" spans="3:26" x14ac:dyDescent="0.25">
      <c r="C914">
        <v>10000001</v>
      </c>
      <c r="D914" t="s">
        <v>787</v>
      </c>
      <c r="F914">
        <v>12007436</v>
      </c>
      <c r="H914" t="s">
        <v>787</v>
      </c>
      <c r="I914">
        <v>50</v>
      </c>
      <c r="J914" s="1">
        <v>-610000</v>
      </c>
      <c r="K914" t="s">
        <v>26</v>
      </c>
      <c r="L914" s="1">
        <v>-610000</v>
      </c>
      <c r="M914" t="s">
        <v>26</v>
      </c>
      <c r="Q914" t="s">
        <v>27</v>
      </c>
      <c r="R914" t="s">
        <v>798</v>
      </c>
      <c r="S914" t="s">
        <v>96</v>
      </c>
      <c r="T914" t="s">
        <v>799</v>
      </c>
      <c r="X914" t="s">
        <v>43</v>
      </c>
      <c r="Y914">
        <v>1631293</v>
      </c>
      <c r="Z914">
        <v>20250912</v>
      </c>
    </row>
    <row r="915" spans="3:26" x14ac:dyDescent="0.25">
      <c r="C915">
        <v>10000001</v>
      </c>
      <c r="D915" t="s">
        <v>787</v>
      </c>
      <c r="F915">
        <v>12007437</v>
      </c>
      <c r="H915" t="s">
        <v>787</v>
      </c>
      <c r="I915">
        <v>50</v>
      </c>
      <c r="J915" s="1">
        <v>-390000</v>
      </c>
      <c r="K915" t="s">
        <v>26</v>
      </c>
      <c r="L915" s="1">
        <v>-390000</v>
      </c>
      <c r="M915" t="s">
        <v>26</v>
      </c>
      <c r="Q915" t="s">
        <v>27</v>
      </c>
      <c r="R915" t="s">
        <v>798</v>
      </c>
      <c r="S915" t="s">
        <v>67</v>
      </c>
      <c r="T915" t="s">
        <v>800</v>
      </c>
      <c r="X915" t="s">
        <v>43</v>
      </c>
      <c r="Y915">
        <v>1631293</v>
      </c>
      <c r="Z915">
        <v>20250912</v>
      </c>
    </row>
    <row r="916" spans="3:26" x14ac:dyDescent="0.25">
      <c r="C916">
        <v>10000001</v>
      </c>
      <c r="D916" t="s">
        <v>787</v>
      </c>
      <c r="F916">
        <v>12007438</v>
      </c>
      <c r="H916" t="s">
        <v>787</v>
      </c>
      <c r="I916">
        <v>50</v>
      </c>
      <c r="J916" s="1">
        <v>-100000</v>
      </c>
      <c r="K916" t="s">
        <v>26</v>
      </c>
      <c r="L916" s="1">
        <v>-100000</v>
      </c>
      <c r="M916" t="s">
        <v>26</v>
      </c>
      <c r="Q916" t="s">
        <v>27</v>
      </c>
      <c r="R916" t="s">
        <v>801</v>
      </c>
      <c r="S916" t="s">
        <v>259</v>
      </c>
      <c r="T916" t="s">
        <v>802</v>
      </c>
      <c r="X916" t="s">
        <v>43</v>
      </c>
      <c r="Y916">
        <v>1631293</v>
      </c>
      <c r="Z916">
        <v>20250912</v>
      </c>
    </row>
    <row r="917" spans="3:26" x14ac:dyDescent="0.25">
      <c r="C917">
        <v>10000001</v>
      </c>
      <c r="D917" t="s">
        <v>787</v>
      </c>
      <c r="F917">
        <v>12007439</v>
      </c>
      <c r="H917" t="s">
        <v>787</v>
      </c>
      <c r="I917">
        <v>50</v>
      </c>
      <c r="J917" s="1">
        <v>-166800</v>
      </c>
      <c r="K917" t="s">
        <v>26</v>
      </c>
      <c r="L917" s="1">
        <v>-166800</v>
      </c>
      <c r="M917" t="s">
        <v>26</v>
      </c>
      <c r="Q917" t="s">
        <v>27</v>
      </c>
      <c r="R917" t="s">
        <v>803</v>
      </c>
      <c r="S917" t="s">
        <v>126</v>
      </c>
      <c r="T917" t="s">
        <v>804</v>
      </c>
      <c r="X917" t="s">
        <v>43</v>
      </c>
      <c r="Y917">
        <v>1631293</v>
      </c>
      <c r="Z917">
        <v>20250912</v>
      </c>
    </row>
    <row r="918" spans="3:26" x14ac:dyDescent="0.25">
      <c r="C918">
        <v>10000001</v>
      </c>
      <c r="D918" t="s">
        <v>787</v>
      </c>
      <c r="F918">
        <v>12007440</v>
      </c>
      <c r="H918" t="s">
        <v>787</v>
      </c>
      <c r="I918">
        <v>50</v>
      </c>
      <c r="J918" s="1">
        <v>-105500</v>
      </c>
      <c r="K918" t="s">
        <v>26</v>
      </c>
      <c r="L918" s="1">
        <v>-105500</v>
      </c>
      <c r="M918" t="s">
        <v>26</v>
      </c>
      <c r="Q918" t="s">
        <v>27</v>
      </c>
      <c r="R918" t="s">
        <v>803</v>
      </c>
      <c r="S918" t="s">
        <v>274</v>
      </c>
      <c r="T918" t="s">
        <v>805</v>
      </c>
      <c r="X918" t="s">
        <v>43</v>
      </c>
      <c r="Y918">
        <v>1631293</v>
      </c>
      <c r="Z918">
        <v>20250912</v>
      </c>
    </row>
    <row r="919" spans="3:26" x14ac:dyDescent="0.25">
      <c r="C919">
        <v>10000001</v>
      </c>
      <c r="D919" t="s">
        <v>787</v>
      </c>
      <c r="F919">
        <v>12007441</v>
      </c>
      <c r="H919" t="s">
        <v>787</v>
      </c>
      <c r="I919">
        <v>50</v>
      </c>
      <c r="J919" s="1">
        <v>-246000</v>
      </c>
      <c r="K919" t="s">
        <v>26</v>
      </c>
      <c r="L919" s="1">
        <v>-246000</v>
      </c>
      <c r="M919" t="s">
        <v>26</v>
      </c>
      <c r="Q919" t="s">
        <v>27</v>
      </c>
      <c r="R919" t="s">
        <v>806</v>
      </c>
      <c r="S919" t="s">
        <v>126</v>
      </c>
      <c r="T919" t="s">
        <v>807</v>
      </c>
      <c r="X919" t="s">
        <v>43</v>
      </c>
      <c r="Y919">
        <v>1631293</v>
      </c>
      <c r="Z919">
        <v>20250912</v>
      </c>
    </row>
    <row r="920" spans="3:26" x14ac:dyDescent="0.25">
      <c r="C920">
        <v>10000001</v>
      </c>
      <c r="D920" t="s">
        <v>787</v>
      </c>
      <c r="F920">
        <v>12007442</v>
      </c>
      <c r="H920" t="s">
        <v>787</v>
      </c>
      <c r="I920">
        <v>50</v>
      </c>
      <c r="J920" s="1">
        <v>-350000</v>
      </c>
      <c r="K920" t="s">
        <v>26</v>
      </c>
      <c r="L920" s="1">
        <v>-350000</v>
      </c>
      <c r="M920" t="s">
        <v>26</v>
      </c>
      <c r="Q920" t="s">
        <v>27</v>
      </c>
      <c r="R920" t="s">
        <v>808</v>
      </c>
      <c r="S920" t="s">
        <v>281</v>
      </c>
      <c r="T920" t="s">
        <v>809</v>
      </c>
      <c r="X920" t="s">
        <v>43</v>
      </c>
      <c r="Y920">
        <v>1631293</v>
      </c>
      <c r="Z920">
        <v>20250912</v>
      </c>
    </row>
    <row r="921" spans="3:26" x14ac:dyDescent="0.25">
      <c r="C921">
        <v>10000001</v>
      </c>
      <c r="D921" t="s">
        <v>787</v>
      </c>
      <c r="F921">
        <v>12007443</v>
      </c>
      <c r="H921" t="s">
        <v>787</v>
      </c>
      <c r="I921">
        <v>50</v>
      </c>
      <c r="J921" s="1">
        <v>-350000</v>
      </c>
      <c r="K921" t="s">
        <v>26</v>
      </c>
      <c r="L921" s="1">
        <v>-350000</v>
      </c>
      <c r="M921" t="s">
        <v>26</v>
      </c>
      <c r="Q921" t="s">
        <v>27</v>
      </c>
      <c r="R921" t="s">
        <v>808</v>
      </c>
      <c r="S921" t="s">
        <v>281</v>
      </c>
      <c r="T921" t="s">
        <v>810</v>
      </c>
      <c r="X921" t="s">
        <v>43</v>
      </c>
      <c r="Y921">
        <v>1631293</v>
      </c>
      <c r="Z921">
        <v>20250912</v>
      </c>
    </row>
    <row r="922" spans="3:26" x14ac:dyDescent="0.25">
      <c r="C922">
        <v>10000001</v>
      </c>
      <c r="D922" t="s">
        <v>811</v>
      </c>
      <c r="F922">
        <v>12007444</v>
      </c>
      <c r="H922" t="s">
        <v>811</v>
      </c>
      <c r="I922">
        <v>50</v>
      </c>
      <c r="J922" s="1">
        <v>-405900</v>
      </c>
      <c r="K922" t="s">
        <v>26</v>
      </c>
      <c r="L922" s="1">
        <v>-405900</v>
      </c>
      <c r="M922" t="s">
        <v>26</v>
      </c>
      <c r="Q922" t="s">
        <v>27</v>
      </c>
      <c r="R922" t="s">
        <v>812</v>
      </c>
      <c r="S922" t="s">
        <v>59</v>
      </c>
      <c r="T922" t="s">
        <v>813</v>
      </c>
      <c r="X922" t="s">
        <v>43</v>
      </c>
      <c r="Y922">
        <v>1631293</v>
      </c>
      <c r="Z922">
        <v>20250915</v>
      </c>
    </row>
    <row r="923" spans="3:26" x14ac:dyDescent="0.25">
      <c r="C923">
        <v>10000001</v>
      </c>
      <c r="D923" t="s">
        <v>811</v>
      </c>
      <c r="F923">
        <v>12007445</v>
      </c>
      <c r="H923" t="s">
        <v>811</v>
      </c>
      <c r="I923">
        <v>50</v>
      </c>
      <c r="J923" s="1">
        <v>-800000</v>
      </c>
      <c r="K923" t="s">
        <v>26</v>
      </c>
      <c r="L923" s="1">
        <v>-800000</v>
      </c>
      <c r="M923" t="s">
        <v>26</v>
      </c>
      <c r="Q923" t="s">
        <v>27</v>
      </c>
      <c r="R923" t="s">
        <v>814</v>
      </c>
      <c r="S923" t="s">
        <v>57</v>
      </c>
      <c r="T923" t="s">
        <v>815</v>
      </c>
      <c r="X923" t="s">
        <v>43</v>
      </c>
      <c r="Y923">
        <v>1631293</v>
      </c>
      <c r="Z923">
        <v>20250915</v>
      </c>
    </row>
    <row r="924" spans="3:26" x14ac:dyDescent="0.25">
      <c r="C924">
        <v>10000001</v>
      </c>
      <c r="D924" t="s">
        <v>811</v>
      </c>
      <c r="F924">
        <v>12007446</v>
      </c>
      <c r="H924" t="s">
        <v>811</v>
      </c>
      <c r="I924">
        <v>50</v>
      </c>
      <c r="J924" s="1">
        <v>-690000</v>
      </c>
      <c r="K924" t="s">
        <v>26</v>
      </c>
      <c r="L924" s="1">
        <v>-690000</v>
      </c>
      <c r="M924" t="s">
        <v>26</v>
      </c>
      <c r="Q924" t="s">
        <v>27</v>
      </c>
      <c r="R924" t="s">
        <v>816</v>
      </c>
      <c r="S924" t="s">
        <v>375</v>
      </c>
      <c r="T924" t="s">
        <v>817</v>
      </c>
      <c r="X924" t="s">
        <v>43</v>
      </c>
      <c r="Y924">
        <v>1631293</v>
      </c>
      <c r="Z924">
        <v>20250915</v>
      </c>
    </row>
    <row r="925" spans="3:26" x14ac:dyDescent="0.25">
      <c r="C925">
        <v>10000001</v>
      </c>
      <c r="D925" t="s">
        <v>811</v>
      </c>
      <c r="F925">
        <v>12007447</v>
      </c>
      <c r="H925" t="s">
        <v>811</v>
      </c>
      <c r="I925">
        <v>50</v>
      </c>
      <c r="J925" s="1">
        <v>-40770</v>
      </c>
      <c r="K925" t="s">
        <v>26</v>
      </c>
      <c r="L925" s="1">
        <v>-40770</v>
      </c>
      <c r="M925" t="s">
        <v>26</v>
      </c>
      <c r="Q925" t="s">
        <v>27</v>
      </c>
      <c r="R925" t="s">
        <v>818</v>
      </c>
      <c r="S925" t="s">
        <v>375</v>
      </c>
      <c r="T925" t="s">
        <v>819</v>
      </c>
      <c r="X925" t="s">
        <v>43</v>
      </c>
      <c r="Y925">
        <v>1631293</v>
      </c>
      <c r="Z925">
        <v>20250915</v>
      </c>
    </row>
    <row r="926" spans="3:26" x14ac:dyDescent="0.25">
      <c r="C926">
        <v>10000001</v>
      </c>
      <c r="D926" t="s">
        <v>811</v>
      </c>
      <c r="F926">
        <v>12007448</v>
      </c>
      <c r="H926" t="s">
        <v>811</v>
      </c>
      <c r="I926">
        <v>50</v>
      </c>
      <c r="J926" s="1">
        <v>-321404</v>
      </c>
      <c r="K926" t="s">
        <v>26</v>
      </c>
      <c r="L926" s="1">
        <v>-321404</v>
      </c>
      <c r="M926" t="s">
        <v>26</v>
      </c>
      <c r="Q926" t="s">
        <v>27</v>
      </c>
      <c r="R926" t="s">
        <v>820</v>
      </c>
      <c r="S926" t="s">
        <v>375</v>
      </c>
      <c r="T926" t="s">
        <v>821</v>
      </c>
      <c r="X926" t="s">
        <v>43</v>
      </c>
      <c r="Y926">
        <v>1631293</v>
      </c>
      <c r="Z926">
        <v>20250915</v>
      </c>
    </row>
    <row r="927" spans="3:26" x14ac:dyDescent="0.25">
      <c r="C927">
        <v>10000001</v>
      </c>
      <c r="D927" t="s">
        <v>811</v>
      </c>
      <c r="F927">
        <v>12007449</v>
      </c>
      <c r="H927" t="s">
        <v>811</v>
      </c>
      <c r="I927">
        <v>50</v>
      </c>
      <c r="J927" s="1">
        <v>-151679</v>
      </c>
      <c r="K927" t="s">
        <v>26</v>
      </c>
      <c r="L927" s="1">
        <v>-151679</v>
      </c>
      <c r="M927" t="s">
        <v>26</v>
      </c>
      <c r="Q927" t="s">
        <v>27</v>
      </c>
      <c r="R927" t="s">
        <v>822</v>
      </c>
      <c r="S927" t="s">
        <v>375</v>
      </c>
      <c r="T927" t="s">
        <v>823</v>
      </c>
      <c r="X927" t="s">
        <v>43</v>
      </c>
      <c r="Y927">
        <v>1631293</v>
      </c>
      <c r="Z927">
        <v>20250915</v>
      </c>
    </row>
    <row r="928" spans="3:26" x14ac:dyDescent="0.25">
      <c r="C928">
        <v>10000001</v>
      </c>
      <c r="D928" t="s">
        <v>811</v>
      </c>
      <c r="F928">
        <v>12007450</v>
      </c>
      <c r="H928" t="s">
        <v>811</v>
      </c>
      <c r="I928">
        <v>50</v>
      </c>
      <c r="J928" s="1">
        <v>-61000</v>
      </c>
      <c r="K928" t="s">
        <v>26</v>
      </c>
      <c r="L928" s="1">
        <v>-61000</v>
      </c>
      <c r="M928" t="s">
        <v>26</v>
      </c>
      <c r="Q928" t="s">
        <v>27</v>
      </c>
      <c r="R928" t="s">
        <v>822</v>
      </c>
      <c r="S928" t="s">
        <v>59</v>
      </c>
      <c r="T928" t="s">
        <v>824</v>
      </c>
      <c r="X928" t="s">
        <v>43</v>
      </c>
      <c r="Y928">
        <v>1631293</v>
      </c>
      <c r="Z928">
        <v>20250915</v>
      </c>
    </row>
    <row r="929" spans="3:26" x14ac:dyDescent="0.25">
      <c r="C929">
        <v>10000001</v>
      </c>
      <c r="D929" t="s">
        <v>811</v>
      </c>
      <c r="F929">
        <v>12007451</v>
      </c>
      <c r="H929" t="s">
        <v>811</v>
      </c>
      <c r="I929">
        <v>50</v>
      </c>
      <c r="J929" s="1">
        <v>-133500</v>
      </c>
      <c r="K929" t="s">
        <v>26</v>
      </c>
      <c r="L929" s="1">
        <v>-133500</v>
      </c>
      <c r="M929" t="s">
        <v>26</v>
      </c>
      <c r="Q929" t="s">
        <v>27</v>
      </c>
      <c r="R929" t="s">
        <v>825</v>
      </c>
      <c r="S929" t="s">
        <v>57</v>
      </c>
      <c r="T929" t="s">
        <v>826</v>
      </c>
      <c r="X929" t="s">
        <v>43</v>
      </c>
      <c r="Y929">
        <v>1631293</v>
      </c>
      <c r="Z929">
        <v>20250915</v>
      </c>
    </row>
    <row r="930" spans="3:26" x14ac:dyDescent="0.25">
      <c r="C930">
        <v>10000001</v>
      </c>
      <c r="D930" t="s">
        <v>811</v>
      </c>
      <c r="F930">
        <v>12007452</v>
      </c>
      <c r="H930" t="s">
        <v>811</v>
      </c>
      <c r="I930">
        <v>50</v>
      </c>
      <c r="J930" s="1">
        <v>-290500</v>
      </c>
      <c r="K930" t="s">
        <v>26</v>
      </c>
      <c r="L930" s="1">
        <v>-290500</v>
      </c>
      <c r="M930" t="s">
        <v>26</v>
      </c>
      <c r="Q930" t="s">
        <v>27</v>
      </c>
      <c r="R930" t="s">
        <v>827</v>
      </c>
      <c r="S930" t="s">
        <v>254</v>
      </c>
      <c r="T930" t="s">
        <v>828</v>
      </c>
      <c r="X930" t="s">
        <v>43</v>
      </c>
      <c r="Y930">
        <v>1631293</v>
      </c>
      <c r="Z930">
        <v>20250915</v>
      </c>
    </row>
    <row r="931" spans="3:26" x14ac:dyDescent="0.25">
      <c r="C931">
        <v>10000001</v>
      </c>
      <c r="D931" t="s">
        <v>811</v>
      </c>
      <c r="F931">
        <v>12007453</v>
      </c>
      <c r="H931" t="s">
        <v>811</v>
      </c>
      <c r="I931">
        <v>50</v>
      </c>
      <c r="J931" s="1">
        <v>-430000</v>
      </c>
      <c r="K931" t="s">
        <v>26</v>
      </c>
      <c r="L931" s="1">
        <v>-430000</v>
      </c>
      <c r="M931" t="s">
        <v>26</v>
      </c>
      <c r="Q931" t="s">
        <v>27</v>
      </c>
      <c r="R931" t="s">
        <v>829</v>
      </c>
      <c r="S931" t="s">
        <v>57</v>
      </c>
      <c r="T931" t="s">
        <v>830</v>
      </c>
      <c r="X931" t="s">
        <v>43</v>
      </c>
      <c r="Y931">
        <v>1631293</v>
      </c>
      <c r="Z931">
        <v>20250915</v>
      </c>
    </row>
    <row r="932" spans="3:26" x14ac:dyDescent="0.25">
      <c r="C932">
        <v>10000001</v>
      </c>
      <c r="D932" t="s">
        <v>811</v>
      </c>
      <c r="F932">
        <v>12007454</v>
      </c>
      <c r="H932" t="s">
        <v>811</v>
      </c>
      <c r="I932">
        <v>50</v>
      </c>
      <c r="J932" s="1">
        <v>-298000</v>
      </c>
      <c r="K932" t="s">
        <v>26</v>
      </c>
      <c r="L932" s="1">
        <v>-298000</v>
      </c>
      <c r="M932" t="s">
        <v>26</v>
      </c>
      <c r="Q932" t="s">
        <v>27</v>
      </c>
      <c r="R932" t="s">
        <v>831</v>
      </c>
      <c r="S932" t="s">
        <v>57</v>
      </c>
      <c r="T932" t="s">
        <v>832</v>
      </c>
      <c r="X932" t="s">
        <v>43</v>
      </c>
      <c r="Y932">
        <v>1631293</v>
      </c>
      <c r="Z932">
        <v>20250915</v>
      </c>
    </row>
    <row r="933" spans="3:26" x14ac:dyDescent="0.25">
      <c r="C933">
        <v>10000001</v>
      </c>
      <c r="D933" t="s">
        <v>811</v>
      </c>
      <c r="F933">
        <v>12007455</v>
      </c>
      <c r="H933" t="s">
        <v>811</v>
      </c>
      <c r="I933">
        <v>40</v>
      </c>
      <c r="J933" s="1">
        <v>30159697</v>
      </c>
      <c r="K933" t="s">
        <v>26</v>
      </c>
      <c r="L933" s="1">
        <v>30159697</v>
      </c>
      <c r="M933" t="s">
        <v>26</v>
      </c>
      <c r="Q933" t="s">
        <v>27</v>
      </c>
      <c r="S933" t="s">
        <v>249</v>
      </c>
      <c r="T933" t="s">
        <v>833</v>
      </c>
      <c r="X933" t="s">
        <v>43</v>
      </c>
      <c r="Y933">
        <v>1631293</v>
      </c>
      <c r="Z933">
        <v>20250915</v>
      </c>
    </row>
    <row r="934" spans="3:26" x14ac:dyDescent="0.25">
      <c r="C934">
        <v>10000001</v>
      </c>
      <c r="D934" t="s">
        <v>834</v>
      </c>
      <c r="F934">
        <v>1631293</v>
      </c>
      <c r="H934" t="s">
        <v>834</v>
      </c>
      <c r="I934">
        <v>40</v>
      </c>
      <c r="J934" s="1">
        <v>730000</v>
      </c>
      <c r="K934" t="s">
        <v>26</v>
      </c>
      <c r="L934" s="1">
        <v>730000</v>
      </c>
      <c r="M934" t="s">
        <v>26</v>
      </c>
      <c r="Q934" t="s">
        <v>27</v>
      </c>
      <c r="T934" t="s">
        <v>764</v>
      </c>
      <c r="X934" t="s">
        <v>30</v>
      </c>
      <c r="Y934">
        <v>1631293</v>
      </c>
      <c r="Z934">
        <v>20250930</v>
      </c>
    </row>
    <row r="935" spans="3:26" x14ac:dyDescent="0.25">
      <c r="C935">
        <v>10000001</v>
      </c>
      <c r="D935" t="s">
        <v>834</v>
      </c>
      <c r="F935">
        <v>1631293</v>
      </c>
      <c r="H935" t="s">
        <v>834</v>
      </c>
      <c r="I935">
        <v>40</v>
      </c>
      <c r="J935" s="1">
        <v>490000</v>
      </c>
      <c r="K935" t="s">
        <v>26</v>
      </c>
      <c r="L935" s="1">
        <v>490000</v>
      </c>
      <c r="M935" t="s">
        <v>26</v>
      </c>
      <c r="Q935" t="s">
        <v>27</v>
      </c>
      <c r="T935" t="s">
        <v>771</v>
      </c>
      <c r="X935" t="s">
        <v>30</v>
      </c>
      <c r="Y935">
        <v>1631293</v>
      </c>
      <c r="Z935">
        <v>20250930</v>
      </c>
    </row>
    <row r="936" spans="3:26" x14ac:dyDescent="0.25">
      <c r="C936">
        <v>10000001</v>
      </c>
      <c r="D936" t="s">
        <v>834</v>
      </c>
      <c r="F936">
        <v>1631293</v>
      </c>
      <c r="H936" t="s">
        <v>834</v>
      </c>
      <c r="I936">
        <v>40</v>
      </c>
      <c r="J936" s="1">
        <v>610000</v>
      </c>
      <c r="K936" t="s">
        <v>26</v>
      </c>
      <c r="L936" s="1">
        <v>610000</v>
      </c>
      <c r="M936" t="s">
        <v>26</v>
      </c>
      <c r="Q936" t="s">
        <v>27</v>
      </c>
      <c r="T936" t="s">
        <v>799</v>
      </c>
      <c r="X936" t="s">
        <v>30</v>
      </c>
      <c r="Y936">
        <v>1631293</v>
      </c>
      <c r="Z936">
        <v>20250930</v>
      </c>
    </row>
    <row r="937" spans="3:26" x14ac:dyDescent="0.25">
      <c r="C937">
        <v>10000001</v>
      </c>
      <c r="D937" t="s">
        <v>834</v>
      </c>
      <c r="F937">
        <v>1631293</v>
      </c>
      <c r="H937" t="s">
        <v>834</v>
      </c>
      <c r="I937">
        <v>40</v>
      </c>
      <c r="J937" s="1">
        <v>360000</v>
      </c>
      <c r="K937" t="s">
        <v>26</v>
      </c>
      <c r="L937" s="1">
        <v>360000</v>
      </c>
      <c r="M937" t="s">
        <v>26</v>
      </c>
      <c r="Q937" t="s">
        <v>27</v>
      </c>
      <c r="T937" t="s">
        <v>651</v>
      </c>
      <c r="X937" t="s">
        <v>30</v>
      </c>
      <c r="Y937">
        <v>1631293</v>
      </c>
      <c r="Z937">
        <v>20250930</v>
      </c>
    </row>
    <row r="938" spans="3:26" x14ac:dyDescent="0.25">
      <c r="C938">
        <v>10000001</v>
      </c>
      <c r="D938" t="s">
        <v>834</v>
      </c>
      <c r="F938">
        <v>1631293</v>
      </c>
      <c r="H938" t="s">
        <v>834</v>
      </c>
      <c r="I938">
        <v>40</v>
      </c>
      <c r="J938" s="1">
        <v>740000</v>
      </c>
      <c r="K938" t="s">
        <v>26</v>
      </c>
      <c r="L938" s="1">
        <v>740000</v>
      </c>
      <c r="M938" t="s">
        <v>26</v>
      </c>
      <c r="Q938" t="s">
        <v>27</v>
      </c>
      <c r="T938" t="s">
        <v>745</v>
      </c>
      <c r="X938" t="s">
        <v>30</v>
      </c>
      <c r="Y938">
        <v>1631293</v>
      </c>
      <c r="Z938">
        <v>20250930</v>
      </c>
    </row>
    <row r="939" spans="3:26" x14ac:dyDescent="0.25">
      <c r="C939">
        <v>10000001</v>
      </c>
      <c r="D939" t="s">
        <v>834</v>
      </c>
      <c r="F939">
        <v>1631293</v>
      </c>
      <c r="H939" t="s">
        <v>834</v>
      </c>
      <c r="I939">
        <v>40</v>
      </c>
      <c r="J939" s="1">
        <v>200000</v>
      </c>
      <c r="K939" t="s">
        <v>26</v>
      </c>
      <c r="L939" s="1">
        <v>200000</v>
      </c>
      <c r="M939" t="s">
        <v>26</v>
      </c>
      <c r="Q939" t="s">
        <v>27</v>
      </c>
      <c r="T939" t="s">
        <v>649</v>
      </c>
      <c r="X939" t="s">
        <v>30</v>
      </c>
      <c r="Y939">
        <v>1631293</v>
      </c>
      <c r="Z939">
        <v>20250930</v>
      </c>
    </row>
    <row r="940" spans="3:26" x14ac:dyDescent="0.25">
      <c r="C940">
        <v>10000001</v>
      </c>
      <c r="D940" t="s">
        <v>834</v>
      </c>
      <c r="F940">
        <v>1631293</v>
      </c>
      <c r="H940" t="s">
        <v>834</v>
      </c>
      <c r="I940">
        <v>40</v>
      </c>
      <c r="J940" s="1">
        <v>350000</v>
      </c>
      <c r="K940" t="s">
        <v>26</v>
      </c>
      <c r="L940" s="1">
        <v>350000</v>
      </c>
      <c r="M940" t="s">
        <v>26</v>
      </c>
      <c r="Q940" t="s">
        <v>27</v>
      </c>
      <c r="T940" t="s">
        <v>750</v>
      </c>
      <c r="X940" t="s">
        <v>30</v>
      </c>
      <c r="Y940">
        <v>1631293</v>
      </c>
      <c r="Z940">
        <v>20250930</v>
      </c>
    </row>
    <row r="941" spans="3:26" x14ac:dyDescent="0.25">
      <c r="C941">
        <v>10000001</v>
      </c>
      <c r="D941" t="s">
        <v>834</v>
      </c>
      <c r="F941">
        <v>1631293</v>
      </c>
      <c r="H941" t="s">
        <v>834</v>
      </c>
      <c r="I941">
        <v>40</v>
      </c>
      <c r="J941" s="1">
        <v>510000</v>
      </c>
      <c r="K941" t="s">
        <v>26</v>
      </c>
      <c r="L941" s="1">
        <v>510000</v>
      </c>
      <c r="M941" t="s">
        <v>26</v>
      </c>
      <c r="Q941" t="s">
        <v>27</v>
      </c>
      <c r="T941" t="s">
        <v>706</v>
      </c>
      <c r="X941" t="s">
        <v>30</v>
      </c>
      <c r="Y941">
        <v>1631293</v>
      </c>
      <c r="Z941">
        <v>20250930</v>
      </c>
    </row>
    <row r="942" spans="3:26" x14ac:dyDescent="0.25">
      <c r="C942">
        <v>10000001</v>
      </c>
      <c r="D942" t="s">
        <v>834</v>
      </c>
      <c r="F942">
        <v>1631293</v>
      </c>
      <c r="H942" t="s">
        <v>834</v>
      </c>
      <c r="I942">
        <v>40</v>
      </c>
      <c r="J942" s="1">
        <v>50000</v>
      </c>
      <c r="K942" t="s">
        <v>26</v>
      </c>
      <c r="L942" s="1">
        <v>50000</v>
      </c>
      <c r="M942" t="s">
        <v>26</v>
      </c>
      <c r="Q942" t="s">
        <v>27</v>
      </c>
      <c r="T942" t="s">
        <v>648</v>
      </c>
      <c r="X942" t="s">
        <v>30</v>
      </c>
      <c r="Y942">
        <v>1631293</v>
      </c>
      <c r="Z942">
        <v>20250930</v>
      </c>
    </row>
    <row r="943" spans="3:26" x14ac:dyDescent="0.25">
      <c r="C943">
        <v>10000001</v>
      </c>
      <c r="D943" t="s">
        <v>834</v>
      </c>
      <c r="F943">
        <v>1631293</v>
      </c>
      <c r="H943" t="s">
        <v>834</v>
      </c>
      <c r="I943">
        <v>40</v>
      </c>
      <c r="J943" s="1">
        <v>50000</v>
      </c>
      <c r="K943" t="s">
        <v>26</v>
      </c>
      <c r="L943" s="1">
        <v>50000</v>
      </c>
      <c r="M943" t="s">
        <v>26</v>
      </c>
      <c r="Q943" t="s">
        <v>27</v>
      </c>
      <c r="T943" t="s">
        <v>647</v>
      </c>
      <c r="X943" t="s">
        <v>30</v>
      </c>
      <c r="Y943">
        <v>1631293</v>
      </c>
      <c r="Z943">
        <v>20250930</v>
      </c>
    </row>
    <row r="944" spans="3:26" x14ac:dyDescent="0.25">
      <c r="C944">
        <v>10000001</v>
      </c>
      <c r="D944" t="s">
        <v>834</v>
      </c>
      <c r="F944">
        <v>1631293</v>
      </c>
      <c r="H944" t="s">
        <v>834</v>
      </c>
      <c r="I944">
        <v>40</v>
      </c>
      <c r="J944" s="1">
        <v>50000</v>
      </c>
      <c r="K944" t="s">
        <v>26</v>
      </c>
      <c r="L944" s="1">
        <v>50000</v>
      </c>
      <c r="M944" t="s">
        <v>26</v>
      </c>
      <c r="Q944" t="s">
        <v>27</v>
      </c>
      <c r="T944" t="s">
        <v>637</v>
      </c>
      <c r="X944" t="s">
        <v>30</v>
      </c>
      <c r="Y944">
        <v>1631293</v>
      </c>
      <c r="Z944">
        <v>20250930</v>
      </c>
    </row>
    <row r="945" spans="3:26" x14ac:dyDescent="0.25">
      <c r="C945">
        <v>10000001</v>
      </c>
      <c r="D945" t="s">
        <v>834</v>
      </c>
      <c r="F945">
        <v>1631293</v>
      </c>
      <c r="H945" t="s">
        <v>834</v>
      </c>
      <c r="I945">
        <v>40</v>
      </c>
      <c r="J945" s="1">
        <v>250000</v>
      </c>
      <c r="K945" t="s">
        <v>26</v>
      </c>
      <c r="L945" s="1">
        <v>250000</v>
      </c>
      <c r="M945" t="s">
        <v>26</v>
      </c>
      <c r="Q945" t="s">
        <v>27</v>
      </c>
      <c r="T945" t="s">
        <v>669</v>
      </c>
      <c r="X945" t="s">
        <v>30</v>
      </c>
      <c r="Y945">
        <v>1631293</v>
      </c>
      <c r="Z945">
        <v>20250930</v>
      </c>
    </row>
    <row r="946" spans="3:26" x14ac:dyDescent="0.25">
      <c r="C946">
        <v>10000001</v>
      </c>
      <c r="D946" t="s">
        <v>834</v>
      </c>
      <c r="F946">
        <v>1631293</v>
      </c>
      <c r="H946" t="s">
        <v>834</v>
      </c>
      <c r="I946">
        <v>40</v>
      </c>
      <c r="J946" s="1">
        <v>50000</v>
      </c>
      <c r="K946" t="s">
        <v>26</v>
      </c>
      <c r="L946" s="1">
        <v>50000</v>
      </c>
      <c r="M946" t="s">
        <v>26</v>
      </c>
      <c r="Q946" t="s">
        <v>27</v>
      </c>
      <c r="T946" t="s">
        <v>665</v>
      </c>
      <c r="X946" t="s">
        <v>30</v>
      </c>
      <c r="Y946">
        <v>1631293</v>
      </c>
      <c r="Z946">
        <v>20250930</v>
      </c>
    </row>
    <row r="947" spans="3:26" x14ac:dyDescent="0.25">
      <c r="C947">
        <v>10000001</v>
      </c>
      <c r="D947" t="s">
        <v>834</v>
      </c>
      <c r="F947">
        <v>1631293</v>
      </c>
      <c r="H947" t="s">
        <v>834</v>
      </c>
      <c r="I947">
        <v>40</v>
      </c>
      <c r="J947" s="1">
        <v>50000</v>
      </c>
      <c r="K947" t="s">
        <v>26</v>
      </c>
      <c r="L947" s="1">
        <v>50000</v>
      </c>
      <c r="M947" t="s">
        <v>26</v>
      </c>
      <c r="Q947" t="s">
        <v>27</v>
      </c>
      <c r="T947" t="s">
        <v>728</v>
      </c>
      <c r="X947" t="s">
        <v>30</v>
      </c>
      <c r="Y947">
        <v>1631293</v>
      </c>
      <c r="Z947">
        <v>20250930</v>
      </c>
    </row>
    <row r="948" spans="3:26" x14ac:dyDescent="0.25">
      <c r="C948">
        <v>10000001</v>
      </c>
      <c r="D948" t="s">
        <v>834</v>
      </c>
      <c r="F948">
        <v>1631293</v>
      </c>
      <c r="H948" t="s">
        <v>834</v>
      </c>
      <c r="I948">
        <v>40</v>
      </c>
      <c r="J948" s="1">
        <v>50000</v>
      </c>
      <c r="K948" t="s">
        <v>26</v>
      </c>
      <c r="L948" s="1">
        <v>50000</v>
      </c>
      <c r="M948" t="s">
        <v>26</v>
      </c>
      <c r="Q948" t="s">
        <v>27</v>
      </c>
      <c r="T948" t="s">
        <v>656</v>
      </c>
      <c r="X948" t="s">
        <v>30</v>
      </c>
      <c r="Y948">
        <v>1631293</v>
      </c>
      <c r="Z948">
        <v>20250930</v>
      </c>
    </row>
    <row r="949" spans="3:26" x14ac:dyDescent="0.25">
      <c r="C949">
        <v>10000001</v>
      </c>
      <c r="D949" t="s">
        <v>834</v>
      </c>
      <c r="F949">
        <v>1631293</v>
      </c>
      <c r="H949" t="s">
        <v>834</v>
      </c>
      <c r="I949">
        <v>40</v>
      </c>
      <c r="J949" s="1">
        <v>50000</v>
      </c>
      <c r="K949" t="s">
        <v>26</v>
      </c>
      <c r="L949" s="1">
        <v>50000</v>
      </c>
      <c r="M949" t="s">
        <v>26</v>
      </c>
      <c r="Q949" t="s">
        <v>27</v>
      </c>
      <c r="T949" t="s">
        <v>612</v>
      </c>
      <c r="X949" t="s">
        <v>30</v>
      </c>
      <c r="Y949">
        <v>1631293</v>
      </c>
      <c r="Z949">
        <v>20250930</v>
      </c>
    </row>
    <row r="950" spans="3:26" x14ac:dyDescent="0.25">
      <c r="C950">
        <v>10000001</v>
      </c>
      <c r="D950" t="s">
        <v>834</v>
      </c>
      <c r="F950">
        <v>1631293</v>
      </c>
      <c r="H950" t="s">
        <v>834</v>
      </c>
      <c r="I950">
        <v>40</v>
      </c>
      <c r="J950" s="1">
        <v>50000</v>
      </c>
      <c r="K950" t="s">
        <v>26</v>
      </c>
      <c r="L950" s="1">
        <v>50000</v>
      </c>
      <c r="M950" t="s">
        <v>26</v>
      </c>
      <c r="Q950" t="s">
        <v>27</v>
      </c>
      <c r="T950" t="s">
        <v>782</v>
      </c>
      <c r="X950" t="s">
        <v>30</v>
      </c>
      <c r="Y950">
        <v>1631293</v>
      </c>
      <c r="Z950">
        <v>20250930</v>
      </c>
    </row>
    <row r="951" spans="3:26" x14ac:dyDescent="0.25">
      <c r="C951">
        <v>10000001</v>
      </c>
      <c r="D951" t="s">
        <v>834</v>
      </c>
      <c r="F951">
        <v>1631293</v>
      </c>
      <c r="H951" t="s">
        <v>834</v>
      </c>
      <c r="I951">
        <v>40</v>
      </c>
      <c r="J951" s="1">
        <v>50000</v>
      </c>
      <c r="K951" t="s">
        <v>26</v>
      </c>
      <c r="L951" s="1">
        <v>50000</v>
      </c>
      <c r="M951" t="s">
        <v>26</v>
      </c>
      <c r="Q951" t="s">
        <v>27</v>
      </c>
      <c r="T951" t="s">
        <v>638</v>
      </c>
      <c r="X951" t="s">
        <v>30</v>
      </c>
      <c r="Y951">
        <v>1631293</v>
      </c>
      <c r="Z951">
        <v>20250930</v>
      </c>
    </row>
    <row r="952" spans="3:26" x14ac:dyDescent="0.25">
      <c r="C952">
        <v>10000001</v>
      </c>
      <c r="D952" t="s">
        <v>834</v>
      </c>
      <c r="F952">
        <v>1631293</v>
      </c>
      <c r="H952" t="s">
        <v>834</v>
      </c>
      <c r="I952">
        <v>40</v>
      </c>
      <c r="J952" s="1">
        <v>50000</v>
      </c>
      <c r="K952" t="s">
        <v>26</v>
      </c>
      <c r="L952" s="1">
        <v>50000</v>
      </c>
      <c r="M952" t="s">
        <v>26</v>
      </c>
      <c r="Q952" t="s">
        <v>27</v>
      </c>
      <c r="T952" t="s">
        <v>792</v>
      </c>
      <c r="X952" t="s">
        <v>30</v>
      </c>
      <c r="Y952">
        <v>1631293</v>
      </c>
      <c r="Z952">
        <v>20250930</v>
      </c>
    </row>
    <row r="953" spans="3:26" x14ac:dyDescent="0.25">
      <c r="C953">
        <v>10000001</v>
      </c>
      <c r="D953" t="s">
        <v>834</v>
      </c>
      <c r="F953">
        <v>1631293</v>
      </c>
      <c r="H953" t="s">
        <v>834</v>
      </c>
      <c r="I953">
        <v>40</v>
      </c>
      <c r="J953" s="1">
        <v>50000</v>
      </c>
      <c r="K953" t="s">
        <v>26</v>
      </c>
      <c r="L953" s="1">
        <v>50000</v>
      </c>
      <c r="M953" t="s">
        <v>26</v>
      </c>
      <c r="Q953" t="s">
        <v>27</v>
      </c>
      <c r="T953" t="s">
        <v>623</v>
      </c>
      <c r="X953" t="s">
        <v>30</v>
      </c>
      <c r="Y953">
        <v>1631293</v>
      </c>
      <c r="Z953">
        <v>20250930</v>
      </c>
    </row>
    <row r="954" spans="3:26" x14ac:dyDescent="0.25">
      <c r="C954">
        <v>10000001</v>
      </c>
      <c r="D954" t="s">
        <v>834</v>
      </c>
      <c r="F954">
        <v>1631293</v>
      </c>
      <c r="H954" t="s">
        <v>834</v>
      </c>
      <c r="I954">
        <v>40</v>
      </c>
      <c r="J954" s="1">
        <v>50000</v>
      </c>
      <c r="K954" t="s">
        <v>26</v>
      </c>
      <c r="L954" s="1">
        <v>50000</v>
      </c>
      <c r="M954" t="s">
        <v>26</v>
      </c>
      <c r="Q954" t="s">
        <v>27</v>
      </c>
      <c r="T954" t="s">
        <v>619</v>
      </c>
      <c r="X954" t="s">
        <v>30</v>
      </c>
      <c r="Y954">
        <v>1631293</v>
      </c>
      <c r="Z954">
        <v>20250930</v>
      </c>
    </row>
    <row r="955" spans="3:26" x14ac:dyDescent="0.25">
      <c r="C955">
        <v>10000001</v>
      </c>
      <c r="D955" t="s">
        <v>834</v>
      </c>
      <c r="F955">
        <v>1631293</v>
      </c>
      <c r="H955" t="s">
        <v>834</v>
      </c>
      <c r="I955">
        <v>40</v>
      </c>
      <c r="J955" s="1">
        <v>50000</v>
      </c>
      <c r="K955" t="s">
        <v>26</v>
      </c>
      <c r="L955" s="1">
        <v>50000</v>
      </c>
      <c r="M955" t="s">
        <v>26</v>
      </c>
      <c r="Q955" t="s">
        <v>27</v>
      </c>
      <c r="T955" t="s">
        <v>727</v>
      </c>
      <c r="X955" t="s">
        <v>30</v>
      </c>
      <c r="Y955">
        <v>1631293</v>
      </c>
      <c r="Z955">
        <v>20250930</v>
      </c>
    </row>
    <row r="956" spans="3:26" x14ac:dyDescent="0.25">
      <c r="C956">
        <v>10000001</v>
      </c>
      <c r="D956" t="s">
        <v>834</v>
      </c>
      <c r="F956">
        <v>1631293</v>
      </c>
      <c r="H956" t="s">
        <v>834</v>
      </c>
      <c r="I956">
        <v>40</v>
      </c>
      <c r="J956" s="1">
        <v>50000</v>
      </c>
      <c r="K956" t="s">
        <v>26</v>
      </c>
      <c r="L956" s="1">
        <v>50000</v>
      </c>
      <c r="M956" t="s">
        <v>26</v>
      </c>
      <c r="Q956" t="s">
        <v>27</v>
      </c>
      <c r="T956" t="s">
        <v>784</v>
      </c>
      <c r="X956" t="s">
        <v>30</v>
      </c>
      <c r="Y956">
        <v>1631293</v>
      </c>
      <c r="Z956">
        <v>20250930</v>
      </c>
    </row>
    <row r="957" spans="3:26" x14ac:dyDescent="0.25">
      <c r="C957">
        <v>10000001</v>
      </c>
      <c r="D957" t="s">
        <v>834</v>
      </c>
      <c r="F957">
        <v>1631293</v>
      </c>
      <c r="H957" t="s">
        <v>834</v>
      </c>
      <c r="I957">
        <v>40</v>
      </c>
      <c r="J957" s="1">
        <v>50000</v>
      </c>
      <c r="K957" t="s">
        <v>26</v>
      </c>
      <c r="L957" s="1">
        <v>50000</v>
      </c>
      <c r="M957" t="s">
        <v>26</v>
      </c>
      <c r="Q957" t="s">
        <v>27</v>
      </c>
      <c r="T957" t="s">
        <v>640</v>
      </c>
      <c r="X957" t="s">
        <v>30</v>
      </c>
      <c r="Y957">
        <v>1631293</v>
      </c>
      <c r="Z957">
        <v>20250930</v>
      </c>
    </row>
    <row r="958" spans="3:26" x14ac:dyDescent="0.25">
      <c r="C958">
        <v>10000001</v>
      </c>
      <c r="D958" t="s">
        <v>834</v>
      </c>
      <c r="F958">
        <v>1631293</v>
      </c>
      <c r="H958" t="s">
        <v>834</v>
      </c>
      <c r="I958">
        <v>40</v>
      </c>
      <c r="J958" s="1">
        <v>100000</v>
      </c>
      <c r="K958" t="s">
        <v>26</v>
      </c>
      <c r="L958" s="1">
        <v>100000</v>
      </c>
      <c r="M958" t="s">
        <v>26</v>
      </c>
      <c r="Q958" t="s">
        <v>27</v>
      </c>
      <c r="T958" t="s">
        <v>670</v>
      </c>
      <c r="X958" t="s">
        <v>30</v>
      </c>
      <c r="Y958">
        <v>1631293</v>
      </c>
      <c r="Z958">
        <v>20250930</v>
      </c>
    </row>
    <row r="959" spans="3:26" x14ac:dyDescent="0.25">
      <c r="C959">
        <v>10000001</v>
      </c>
      <c r="D959" t="s">
        <v>834</v>
      </c>
      <c r="F959">
        <v>1631293</v>
      </c>
      <c r="H959" t="s">
        <v>834</v>
      </c>
      <c r="I959">
        <v>40</v>
      </c>
      <c r="J959" s="1">
        <v>50000</v>
      </c>
      <c r="K959" t="s">
        <v>26</v>
      </c>
      <c r="L959" s="1">
        <v>50000</v>
      </c>
      <c r="M959" t="s">
        <v>26</v>
      </c>
      <c r="Q959" t="s">
        <v>27</v>
      </c>
      <c r="T959" t="s">
        <v>671</v>
      </c>
      <c r="X959" t="s">
        <v>30</v>
      </c>
      <c r="Y959">
        <v>1631293</v>
      </c>
      <c r="Z959">
        <v>20250930</v>
      </c>
    </row>
    <row r="960" spans="3:26" x14ac:dyDescent="0.25">
      <c r="C960">
        <v>10000001</v>
      </c>
      <c r="D960" t="s">
        <v>834</v>
      </c>
      <c r="F960">
        <v>1631293</v>
      </c>
      <c r="H960" t="s">
        <v>834</v>
      </c>
      <c r="I960">
        <v>40</v>
      </c>
      <c r="J960" s="1">
        <v>50000</v>
      </c>
      <c r="K960" t="s">
        <v>26</v>
      </c>
      <c r="L960" s="1">
        <v>50000</v>
      </c>
      <c r="M960" t="s">
        <v>26</v>
      </c>
      <c r="Q960" t="s">
        <v>27</v>
      </c>
      <c r="T960" t="s">
        <v>639</v>
      </c>
      <c r="X960" t="s">
        <v>30</v>
      </c>
      <c r="Y960">
        <v>1631293</v>
      </c>
      <c r="Z960">
        <v>20250930</v>
      </c>
    </row>
    <row r="961" spans="3:26" x14ac:dyDescent="0.25">
      <c r="C961">
        <v>10000001</v>
      </c>
      <c r="D961" t="s">
        <v>834</v>
      </c>
      <c r="F961">
        <v>1631293</v>
      </c>
      <c r="H961" t="s">
        <v>834</v>
      </c>
      <c r="I961">
        <v>40</v>
      </c>
      <c r="J961" s="1">
        <v>50000</v>
      </c>
      <c r="K961" t="s">
        <v>26</v>
      </c>
      <c r="L961" s="1">
        <v>50000</v>
      </c>
      <c r="M961" t="s">
        <v>26</v>
      </c>
      <c r="Q961" t="s">
        <v>27</v>
      </c>
      <c r="T961" t="s">
        <v>666</v>
      </c>
      <c r="X961" t="s">
        <v>30</v>
      </c>
      <c r="Y961">
        <v>1631293</v>
      </c>
      <c r="Z961">
        <v>20250930</v>
      </c>
    </row>
    <row r="962" spans="3:26" x14ac:dyDescent="0.25">
      <c r="C962">
        <v>10000001</v>
      </c>
      <c r="D962" t="s">
        <v>834</v>
      </c>
      <c r="F962">
        <v>1631293</v>
      </c>
      <c r="H962" t="s">
        <v>834</v>
      </c>
      <c r="I962">
        <v>40</v>
      </c>
      <c r="J962" s="1">
        <v>50000</v>
      </c>
      <c r="K962" t="s">
        <v>26</v>
      </c>
      <c r="L962" s="1">
        <v>50000</v>
      </c>
      <c r="M962" t="s">
        <v>26</v>
      </c>
      <c r="Q962" t="s">
        <v>27</v>
      </c>
      <c r="T962" t="s">
        <v>660</v>
      </c>
      <c r="X962" t="s">
        <v>30</v>
      </c>
      <c r="Y962">
        <v>1631293</v>
      </c>
      <c r="Z962">
        <v>20250930</v>
      </c>
    </row>
    <row r="963" spans="3:26" x14ac:dyDescent="0.25">
      <c r="C963">
        <v>10000001</v>
      </c>
      <c r="D963" t="s">
        <v>834</v>
      </c>
      <c r="F963">
        <v>1631293</v>
      </c>
      <c r="H963" t="s">
        <v>834</v>
      </c>
      <c r="I963">
        <v>40</v>
      </c>
      <c r="J963" s="1">
        <v>50000</v>
      </c>
      <c r="K963" t="s">
        <v>26</v>
      </c>
      <c r="L963" s="1">
        <v>50000</v>
      </c>
      <c r="M963" t="s">
        <v>26</v>
      </c>
      <c r="Q963" t="s">
        <v>27</v>
      </c>
      <c r="T963" t="s">
        <v>657</v>
      </c>
      <c r="X963" t="s">
        <v>30</v>
      </c>
      <c r="Y963">
        <v>1631293</v>
      </c>
      <c r="Z963">
        <v>20250930</v>
      </c>
    </row>
    <row r="964" spans="3:26" x14ac:dyDescent="0.25">
      <c r="C964">
        <v>10000001</v>
      </c>
      <c r="D964" t="s">
        <v>834</v>
      </c>
      <c r="F964">
        <v>1631293</v>
      </c>
      <c r="H964" t="s">
        <v>834</v>
      </c>
      <c r="I964">
        <v>40</v>
      </c>
      <c r="J964" s="1">
        <v>50000</v>
      </c>
      <c r="K964" t="s">
        <v>26</v>
      </c>
      <c r="L964" s="1">
        <v>50000</v>
      </c>
      <c r="M964" t="s">
        <v>26</v>
      </c>
      <c r="Q964" t="s">
        <v>27</v>
      </c>
      <c r="T964" t="s">
        <v>658</v>
      </c>
      <c r="X964" t="s">
        <v>30</v>
      </c>
      <c r="Y964">
        <v>1631293</v>
      </c>
      <c r="Z964">
        <v>20250930</v>
      </c>
    </row>
    <row r="965" spans="3:26" x14ac:dyDescent="0.25">
      <c r="C965">
        <v>10000001</v>
      </c>
      <c r="D965" t="s">
        <v>834</v>
      </c>
      <c r="F965">
        <v>1631293</v>
      </c>
      <c r="H965" t="s">
        <v>834</v>
      </c>
      <c r="I965">
        <v>40</v>
      </c>
      <c r="J965" s="1">
        <v>50000</v>
      </c>
      <c r="K965" t="s">
        <v>26</v>
      </c>
      <c r="L965" s="1">
        <v>50000</v>
      </c>
      <c r="M965" t="s">
        <v>26</v>
      </c>
      <c r="Q965" t="s">
        <v>27</v>
      </c>
      <c r="T965" t="s">
        <v>797</v>
      </c>
      <c r="X965" t="s">
        <v>30</v>
      </c>
      <c r="Y965">
        <v>1631293</v>
      </c>
      <c r="Z965">
        <v>20250930</v>
      </c>
    </row>
    <row r="966" spans="3:26" x14ac:dyDescent="0.25">
      <c r="C966">
        <v>10000001</v>
      </c>
      <c r="D966" t="s">
        <v>834</v>
      </c>
      <c r="F966">
        <v>1631293</v>
      </c>
      <c r="H966" t="s">
        <v>834</v>
      </c>
      <c r="I966">
        <v>40</v>
      </c>
      <c r="J966" s="1">
        <v>50000</v>
      </c>
      <c r="K966" t="s">
        <v>26</v>
      </c>
      <c r="L966" s="1">
        <v>50000</v>
      </c>
      <c r="M966" t="s">
        <v>26</v>
      </c>
      <c r="Q966" t="s">
        <v>27</v>
      </c>
      <c r="T966" t="s">
        <v>632</v>
      </c>
      <c r="X966" t="s">
        <v>30</v>
      </c>
      <c r="Y966">
        <v>1631293</v>
      </c>
      <c r="Z966">
        <v>20250930</v>
      </c>
    </row>
    <row r="967" spans="3:26" x14ac:dyDescent="0.25">
      <c r="C967">
        <v>10000001</v>
      </c>
      <c r="D967" t="s">
        <v>834</v>
      </c>
      <c r="F967">
        <v>1631293</v>
      </c>
      <c r="H967" t="s">
        <v>834</v>
      </c>
      <c r="I967">
        <v>40</v>
      </c>
      <c r="J967" s="1">
        <v>50000</v>
      </c>
      <c r="K967" t="s">
        <v>26</v>
      </c>
      <c r="L967" s="1">
        <v>50000</v>
      </c>
      <c r="M967" t="s">
        <v>26</v>
      </c>
      <c r="Q967" t="s">
        <v>27</v>
      </c>
      <c r="T967" t="s">
        <v>618</v>
      </c>
      <c r="X967" t="s">
        <v>30</v>
      </c>
      <c r="Y967">
        <v>1631293</v>
      </c>
      <c r="Z967">
        <v>20250930</v>
      </c>
    </row>
    <row r="968" spans="3:26" x14ac:dyDescent="0.25">
      <c r="C968">
        <v>10000001</v>
      </c>
      <c r="D968" t="s">
        <v>834</v>
      </c>
      <c r="F968">
        <v>1631293</v>
      </c>
      <c r="H968" t="s">
        <v>834</v>
      </c>
      <c r="I968">
        <v>40</v>
      </c>
      <c r="J968" s="1">
        <v>50000</v>
      </c>
      <c r="K968" t="s">
        <v>26</v>
      </c>
      <c r="L968" s="1">
        <v>50000</v>
      </c>
      <c r="M968" t="s">
        <v>26</v>
      </c>
      <c r="Q968" t="s">
        <v>27</v>
      </c>
      <c r="T968" t="s">
        <v>633</v>
      </c>
      <c r="X968" t="s">
        <v>30</v>
      </c>
      <c r="Y968">
        <v>1631293</v>
      </c>
      <c r="Z968">
        <v>20250930</v>
      </c>
    </row>
    <row r="969" spans="3:26" x14ac:dyDescent="0.25">
      <c r="C969">
        <v>10000001</v>
      </c>
      <c r="D969" t="s">
        <v>834</v>
      </c>
      <c r="F969">
        <v>1631293</v>
      </c>
      <c r="H969" t="s">
        <v>834</v>
      </c>
      <c r="I969">
        <v>40</v>
      </c>
      <c r="J969" s="1">
        <v>50000</v>
      </c>
      <c r="K969" t="s">
        <v>26</v>
      </c>
      <c r="L969" s="1">
        <v>50000</v>
      </c>
      <c r="M969" t="s">
        <v>26</v>
      </c>
      <c r="Q969" t="s">
        <v>27</v>
      </c>
      <c r="T969" t="s">
        <v>616</v>
      </c>
      <c r="X969" t="s">
        <v>30</v>
      </c>
      <c r="Y969">
        <v>1631293</v>
      </c>
      <c r="Z969">
        <v>20250930</v>
      </c>
    </row>
    <row r="970" spans="3:26" x14ac:dyDescent="0.25">
      <c r="C970">
        <v>10000001</v>
      </c>
      <c r="D970" t="s">
        <v>834</v>
      </c>
      <c r="F970">
        <v>1631293</v>
      </c>
      <c r="H970" t="s">
        <v>834</v>
      </c>
      <c r="I970">
        <v>40</v>
      </c>
      <c r="J970" s="1">
        <v>50000</v>
      </c>
      <c r="K970" t="s">
        <v>26</v>
      </c>
      <c r="L970" s="1">
        <v>50000</v>
      </c>
      <c r="M970" t="s">
        <v>26</v>
      </c>
      <c r="Q970" t="s">
        <v>27</v>
      </c>
      <c r="T970" t="s">
        <v>615</v>
      </c>
      <c r="X970" t="s">
        <v>30</v>
      </c>
      <c r="Y970">
        <v>1631293</v>
      </c>
      <c r="Z970">
        <v>20250930</v>
      </c>
    </row>
    <row r="971" spans="3:26" x14ac:dyDescent="0.25">
      <c r="C971">
        <v>10000001</v>
      </c>
      <c r="D971" t="s">
        <v>834</v>
      </c>
      <c r="F971">
        <v>1631293</v>
      </c>
      <c r="H971" t="s">
        <v>834</v>
      </c>
      <c r="I971">
        <v>40</v>
      </c>
      <c r="J971" s="1">
        <v>50000</v>
      </c>
      <c r="K971" t="s">
        <v>26</v>
      </c>
      <c r="L971" s="1">
        <v>50000</v>
      </c>
      <c r="M971" t="s">
        <v>26</v>
      </c>
      <c r="Q971" t="s">
        <v>27</v>
      </c>
      <c r="T971" t="s">
        <v>630</v>
      </c>
      <c r="X971" t="s">
        <v>30</v>
      </c>
      <c r="Y971">
        <v>1631293</v>
      </c>
      <c r="Z971">
        <v>20250930</v>
      </c>
    </row>
    <row r="972" spans="3:26" x14ac:dyDescent="0.25">
      <c r="C972">
        <v>10000001</v>
      </c>
      <c r="D972" t="s">
        <v>834</v>
      </c>
      <c r="F972">
        <v>1631293</v>
      </c>
      <c r="H972" t="s">
        <v>834</v>
      </c>
      <c r="I972">
        <v>40</v>
      </c>
      <c r="J972" s="1">
        <v>50000</v>
      </c>
      <c r="K972" t="s">
        <v>26</v>
      </c>
      <c r="L972" s="1">
        <v>50000</v>
      </c>
      <c r="M972" t="s">
        <v>26</v>
      </c>
      <c r="Q972" t="s">
        <v>27</v>
      </c>
      <c r="T972" t="s">
        <v>631</v>
      </c>
      <c r="X972" t="s">
        <v>30</v>
      </c>
      <c r="Y972">
        <v>1631293</v>
      </c>
      <c r="Z972">
        <v>20250930</v>
      </c>
    </row>
    <row r="973" spans="3:26" x14ac:dyDescent="0.25">
      <c r="C973">
        <v>10000001</v>
      </c>
      <c r="D973" t="s">
        <v>834</v>
      </c>
      <c r="F973">
        <v>1631293</v>
      </c>
      <c r="H973" t="s">
        <v>834</v>
      </c>
      <c r="I973">
        <v>40</v>
      </c>
      <c r="J973" s="1">
        <v>50000</v>
      </c>
      <c r="K973" t="s">
        <v>26</v>
      </c>
      <c r="L973" s="1">
        <v>50000</v>
      </c>
      <c r="M973" t="s">
        <v>26</v>
      </c>
      <c r="Q973" t="s">
        <v>27</v>
      </c>
      <c r="T973" t="s">
        <v>729</v>
      </c>
      <c r="X973" t="s">
        <v>30</v>
      </c>
      <c r="Y973">
        <v>1631293</v>
      </c>
      <c r="Z973">
        <v>20250930</v>
      </c>
    </row>
    <row r="974" spans="3:26" x14ac:dyDescent="0.25">
      <c r="C974">
        <v>10000001</v>
      </c>
      <c r="D974" t="s">
        <v>834</v>
      </c>
      <c r="F974">
        <v>1631293</v>
      </c>
      <c r="H974" t="s">
        <v>834</v>
      </c>
      <c r="I974">
        <v>40</v>
      </c>
      <c r="J974" s="1">
        <v>50000</v>
      </c>
      <c r="K974" t="s">
        <v>26</v>
      </c>
      <c r="L974" s="1">
        <v>50000</v>
      </c>
      <c r="M974" t="s">
        <v>26</v>
      </c>
      <c r="Q974" t="s">
        <v>27</v>
      </c>
      <c r="T974" t="s">
        <v>739</v>
      </c>
      <c r="X974" t="s">
        <v>30</v>
      </c>
      <c r="Y974">
        <v>1631293</v>
      </c>
      <c r="Z974">
        <v>20250930</v>
      </c>
    </row>
    <row r="975" spans="3:26" x14ac:dyDescent="0.25">
      <c r="C975">
        <v>10000001</v>
      </c>
      <c r="D975" t="s">
        <v>834</v>
      </c>
      <c r="F975">
        <v>1631293</v>
      </c>
      <c r="H975" t="s">
        <v>834</v>
      </c>
      <c r="I975">
        <v>40</v>
      </c>
      <c r="J975" s="1">
        <v>50000</v>
      </c>
      <c r="K975" t="s">
        <v>26</v>
      </c>
      <c r="L975" s="1">
        <v>50000</v>
      </c>
      <c r="M975" t="s">
        <v>26</v>
      </c>
      <c r="Q975" t="s">
        <v>27</v>
      </c>
      <c r="T975" t="s">
        <v>730</v>
      </c>
      <c r="X975" t="s">
        <v>30</v>
      </c>
      <c r="Y975">
        <v>1631293</v>
      </c>
      <c r="Z975">
        <v>20250930</v>
      </c>
    </row>
    <row r="976" spans="3:26" x14ac:dyDescent="0.25">
      <c r="C976">
        <v>10000001</v>
      </c>
      <c r="D976" t="s">
        <v>834</v>
      </c>
      <c r="F976">
        <v>1631293</v>
      </c>
      <c r="H976" t="s">
        <v>834</v>
      </c>
      <c r="I976">
        <v>40</v>
      </c>
      <c r="J976" s="1">
        <v>50000</v>
      </c>
      <c r="K976" t="s">
        <v>26</v>
      </c>
      <c r="L976" s="1">
        <v>50000</v>
      </c>
      <c r="M976" t="s">
        <v>26</v>
      </c>
      <c r="Q976" t="s">
        <v>27</v>
      </c>
      <c r="T976" t="s">
        <v>725</v>
      </c>
      <c r="X976" t="s">
        <v>30</v>
      </c>
      <c r="Y976">
        <v>1631293</v>
      </c>
      <c r="Z976">
        <v>20250930</v>
      </c>
    </row>
    <row r="977" spans="3:26" x14ac:dyDescent="0.25">
      <c r="C977">
        <v>10000001</v>
      </c>
      <c r="D977" t="s">
        <v>834</v>
      </c>
      <c r="F977">
        <v>1631293</v>
      </c>
      <c r="H977" t="s">
        <v>834</v>
      </c>
      <c r="I977">
        <v>40</v>
      </c>
      <c r="J977" s="1">
        <v>50000</v>
      </c>
      <c r="K977" t="s">
        <v>26</v>
      </c>
      <c r="L977" s="1">
        <v>50000</v>
      </c>
      <c r="M977" t="s">
        <v>26</v>
      </c>
      <c r="Q977" t="s">
        <v>27</v>
      </c>
      <c r="T977" t="s">
        <v>726</v>
      </c>
      <c r="X977" t="s">
        <v>30</v>
      </c>
      <c r="Y977">
        <v>1631293</v>
      </c>
      <c r="Z977">
        <v>20250930</v>
      </c>
    </row>
    <row r="978" spans="3:26" x14ac:dyDescent="0.25">
      <c r="C978">
        <v>10000001</v>
      </c>
      <c r="D978" t="s">
        <v>834</v>
      </c>
      <c r="F978">
        <v>1631293</v>
      </c>
      <c r="H978" t="s">
        <v>834</v>
      </c>
      <c r="I978">
        <v>40</v>
      </c>
      <c r="J978" s="1">
        <v>50000</v>
      </c>
      <c r="K978" t="s">
        <v>26</v>
      </c>
      <c r="L978" s="1">
        <v>50000</v>
      </c>
      <c r="M978" t="s">
        <v>26</v>
      </c>
      <c r="Q978" t="s">
        <v>27</v>
      </c>
      <c r="T978" t="s">
        <v>611</v>
      </c>
      <c r="X978" t="s">
        <v>30</v>
      </c>
      <c r="Y978">
        <v>1631293</v>
      </c>
      <c r="Z978">
        <v>20250930</v>
      </c>
    </row>
    <row r="979" spans="3:26" x14ac:dyDescent="0.25">
      <c r="C979">
        <v>10000001</v>
      </c>
      <c r="D979" t="s">
        <v>834</v>
      </c>
      <c r="F979">
        <v>1631293</v>
      </c>
      <c r="H979" t="s">
        <v>834</v>
      </c>
      <c r="I979">
        <v>40</v>
      </c>
      <c r="J979" s="1">
        <v>50000</v>
      </c>
      <c r="K979" t="s">
        <v>26</v>
      </c>
      <c r="L979" s="1">
        <v>50000</v>
      </c>
      <c r="M979" t="s">
        <v>26</v>
      </c>
      <c r="Q979" t="s">
        <v>27</v>
      </c>
      <c r="T979" t="s">
        <v>613</v>
      </c>
      <c r="X979" t="s">
        <v>30</v>
      </c>
      <c r="Y979">
        <v>1631293</v>
      </c>
      <c r="Z979">
        <v>20250930</v>
      </c>
    </row>
    <row r="980" spans="3:26" x14ac:dyDescent="0.25">
      <c r="C980">
        <v>10000001</v>
      </c>
      <c r="D980" t="s">
        <v>834</v>
      </c>
      <c r="F980">
        <v>1631293</v>
      </c>
      <c r="H980" t="s">
        <v>834</v>
      </c>
      <c r="I980">
        <v>40</v>
      </c>
      <c r="J980" s="1">
        <v>50000</v>
      </c>
      <c r="K980" t="s">
        <v>26</v>
      </c>
      <c r="L980" s="1">
        <v>50000</v>
      </c>
      <c r="M980" t="s">
        <v>26</v>
      </c>
      <c r="Q980" t="s">
        <v>27</v>
      </c>
      <c r="T980" t="s">
        <v>635</v>
      </c>
      <c r="X980" t="s">
        <v>30</v>
      </c>
      <c r="Y980">
        <v>1631293</v>
      </c>
      <c r="Z980">
        <v>20250930</v>
      </c>
    </row>
    <row r="981" spans="3:26" x14ac:dyDescent="0.25">
      <c r="C981">
        <v>10000001</v>
      </c>
      <c r="D981" t="s">
        <v>834</v>
      </c>
      <c r="F981">
        <v>1631293</v>
      </c>
      <c r="H981" t="s">
        <v>834</v>
      </c>
      <c r="I981">
        <v>40</v>
      </c>
      <c r="J981" s="1">
        <v>50000</v>
      </c>
      <c r="K981" t="s">
        <v>26</v>
      </c>
      <c r="L981" s="1">
        <v>50000</v>
      </c>
      <c r="M981" t="s">
        <v>26</v>
      </c>
      <c r="Q981" t="s">
        <v>27</v>
      </c>
      <c r="T981" t="s">
        <v>680</v>
      </c>
      <c r="X981" t="s">
        <v>30</v>
      </c>
      <c r="Y981">
        <v>1631293</v>
      </c>
      <c r="Z981">
        <v>20250930</v>
      </c>
    </row>
    <row r="982" spans="3:26" x14ac:dyDescent="0.25">
      <c r="C982">
        <v>10000001</v>
      </c>
      <c r="D982" t="s">
        <v>834</v>
      </c>
      <c r="F982">
        <v>1631293</v>
      </c>
      <c r="H982" t="s">
        <v>834</v>
      </c>
      <c r="I982">
        <v>40</v>
      </c>
      <c r="J982" s="1">
        <v>50000</v>
      </c>
      <c r="K982" t="s">
        <v>26</v>
      </c>
      <c r="L982" s="1">
        <v>50000</v>
      </c>
      <c r="M982" t="s">
        <v>26</v>
      </c>
      <c r="Q982" t="s">
        <v>27</v>
      </c>
      <c r="T982" t="s">
        <v>760</v>
      </c>
      <c r="X982" t="s">
        <v>30</v>
      </c>
      <c r="Y982">
        <v>1631293</v>
      </c>
      <c r="Z982">
        <v>20250930</v>
      </c>
    </row>
    <row r="983" spans="3:26" x14ac:dyDescent="0.25">
      <c r="C983">
        <v>10000001</v>
      </c>
      <c r="D983" t="s">
        <v>834</v>
      </c>
      <c r="F983">
        <v>1631293</v>
      </c>
      <c r="H983" t="s">
        <v>834</v>
      </c>
      <c r="I983">
        <v>40</v>
      </c>
      <c r="J983" s="1">
        <v>50000</v>
      </c>
      <c r="K983" t="s">
        <v>26</v>
      </c>
      <c r="L983" s="1">
        <v>50000</v>
      </c>
      <c r="M983" t="s">
        <v>26</v>
      </c>
      <c r="Q983" t="s">
        <v>27</v>
      </c>
      <c r="T983" t="s">
        <v>759</v>
      </c>
      <c r="X983" t="s">
        <v>30</v>
      </c>
      <c r="Y983">
        <v>1631293</v>
      </c>
      <c r="Z983">
        <v>20250930</v>
      </c>
    </row>
    <row r="984" spans="3:26" x14ac:dyDescent="0.25">
      <c r="C984">
        <v>10000001</v>
      </c>
      <c r="D984" t="s">
        <v>834</v>
      </c>
      <c r="F984">
        <v>1631293</v>
      </c>
      <c r="H984" t="s">
        <v>834</v>
      </c>
      <c r="I984">
        <v>40</v>
      </c>
      <c r="J984" s="1">
        <v>50000</v>
      </c>
      <c r="K984" t="s">
        <v>26</v>
      </c>
      <c r="L984" s="1">
        <v>50000</v>
      </c>
      <c r="M984" t="s">
        <v>26</v>
      </c>
      <c r="Q984" t="s">
        <v>27</v>
      </c>
      <c r="T984" t="s">
        <v>758</v>
      </c>
      <c r="X984" t="s">
        <v>30</v>
      </c>
      <c r="Y984">
        <v>1631293</v>
      </c>
      <c r="Z984">
        <v>20250930</v>
      </c>
    </row>
    <row r="985" spans="3:26" x14ac:dyDescent="0.25">
      <c r="C985">
        <v>10000001</v>
      </c>
      <c r="D985" t="s">
        <v>834</v>
      </c>
      <c r="F985">
        <v>1631293</v>
      </c>
      <c r="H985" t="s">
        <v>834</v>
      </c>
      <c r="I985">
        <v>40</v>
      </c>
      <c r="J985" s="1">
        <v>50000</v>
      </c>
      <c r="K985" t="s">
        <v>26</v>
      </c>
      <c r="L985" s="1">
        <v>50000</v>
      </c>
      <c r="M985" t="s">
        <v>26</v>
      </c>
      <c r="Q985" t="s">
        <v>27</v>
      </c>
      <c r="T985" t="s">
        <v>742</v>
      </c>
      <c r="X985" t="s">
        <v>30</v>
      </c>
      <c r="Y985">
        <v>1631293</v>
      </c>
      <c r="Z985">
        <v>20250930</v>
      </c>
    </row>
    <row r="986" spans="3:26" x14ac:dyDescent="0.25">
      <c r="C986">
        <v>10000001</v>
      </c>
      <c r="D986" t="s">
        <v>834</v>
      </c>
      <c r="F986">
        <v>1631293</v>
      </c>
      <c r="H986" t="s">
        <v>834</v>
      </c>
      <c r="I986">
        <v>40</v>
      </c>
      <c r="J986" s="1">
        <v>50000</v>
      </c>
      <c r="K986" t="s">
        <v>26</v>
      </c>
      <c r="L986" s="1">
        <v>50000</v>
      </c>
      <c r="M986" t="s">
        <v>26</v>
      </c>
      <c r="Q986" t="s">
        <v>27</v>
      </c>
      <c r="T986" t="s">
        <v>743</v>
      </c>
      <c r="X986" t="s">
        <v>30</v>
      </c>
      <c r="Y986">
        <v>1631293</v>
      </c>
      <c r="Z986">
        <v>20250930</v>
      </c>
    </row>
    <row r="987" spans="3:26" x14ac:dyDescent="0.25">
      <c r="C987">
        <v>10000001</v>
      </c>
      <c r="D987" t="s">
        <v>834</v>
      </c>
      <c r="F987">
        <v>1631293</v>
      </c>
      <c r="H987" t="s">
        <v>834</v>
      </c>
      <c r="I987">
        <v>40</v>
      </c>
      <c r="J987" s="1">
        <v>50000</v>
      </c>
      <c r="K987" t="s">
        <v>26</v>
      </c>
      <c r="L987" s="1">
        <v>50000</v>
      </c>
      <c r="M987" t="s">
        <v>26</v>
      </c>
      <c r="Q987" t="s">
        <v>27</v>
      </c>
      <c r="T987" t="s">
        <v>790</v>
      </c>
      <c r="X987" t="s">
        <v>30</v>
      </c>
      <c r="Y987">
        <v>1631293</v>
      </c>
      <c r="Z987">
        <v>20250930</v>
      </c>
    </row>
    <row r="988" spans="3:26" x14ac:dyDescent="0.25">
      <c r="C988">
        <v>10000001</v>
      </c>
      <c r="D988" t="s">
        <v>834</v>
      </c>
      <c r="F988">
        <v>1631293</v>
      </c>
      <c r="H988" t="s">
        <v>834</v>
      </c>
      <c r="I988">
        <v>40</v>
      </c>
      <c r="J988" s="1">
        <v>50000</v>
      </c>
      <c r="K988" t="s">
        <v>26</v>
      </c>
      <c r="L988" s="1">
        <v>50000</v>
      </c>
      <c r="M988" t="s">
        <v>26</v>
      </c>
      <c r="Q988" t="s">
        <v>27</v>
      </c>
      <c r="T988" t="s">
        <v>773</v>
      </c>
      <c r="X988" t="s">
        <v>30</v>
      </c>
      <c r="Y988">
        <v>1631293</v>
      </c>
      <c r="Z988">
        <v>20250930</v>
      </c>
    </row>
    <row r="989" spans="3:26" x14ac:dyDescent="0.25">
      <c r="C989">
        <v>10000001</v>
      </c>
      <c r="D989" t="s">
        <v>834</v>
      </c>
      <c r="F989">
        <v>1631293</v>
      </c>
      <c r="H989" t="s">
        <v>834</v>
      </c>
      <c r="I989">
        <v>40</v>
      </c>
      <c r="J989" s="1">
        <v>50000</v>
      </c>
      <c r="K989" t="s">
        <v>26</v>
      </c>
      <c r="L989" s="1">
        <v>50000</v>
      </c>
      <c r="M989" t="s">
        <v>26</v>
      </c>
      <c r="Q989" t="s">
        <v>27</v>
      </c>
      <c r="T989" t="s">
        <v>774</v>
      </c>
      <c r="X989" t="s">
        <v>30</v>
      </c>
      <c r="Y989">
        <v>1631293</v>
      </c>
      <c r="Z989">
        <v>20250930</v>
      </c>
    </row>
    <row r="990" spans="3:26" x14ac:dyDescent="0.25">
      <c r="C990">
        <v>10000001</v>
      </c>
      <c r="D990" t="s">
        <v>834</v>
      </c>
      <c r="F990">
        <v>1631293</v>
      </c>
      <c r="H990" t="s">
        <v>834</v>
      </c>
      <c r="I990">
        <v>40</v>
      </c>
      <c r="J990" s="1">
        <v>50000</v>
      </c>
      <c r="K990" t="s">
        <v>26</v>
      </c>
      <c r="L990" s="1">
        <v>50000</v>
      </c>
      <c r="M990" t="s">
        <v>26</v>
      </c>
      <c r="Q990" t="s">
        <v>27</v>
      </c>
      <c r="T990" t="s">
        <v>642</v>
      </c>
      <c r="X990" t="s">
        <v>30</v>
      </c>
      <c r="Y990">
        <v>1631293</v>
      </c>
      <c r="Z990">
        <v>20250930</v>
      </c>
    </row>
    <row r="991" spans="3:26" x14ac:dyDescent="0.25">
      <c r="C991">
        <v>10000001</v>
      </c>
      <c r="D991" t="s">
        <v>834</v>
      </c>
      <c r="F991">
        <v>1631293</v>
      </c>
      <c r="H991" t="s">
        <v>834</v>
      </c>
      <c r="I991">
        <v>40</v>
      </c>
      <c r="J991" s="1">
        <v>100000</v>
      </c>
      <c r="K991" t="s">
        <v>26</v>
      </c>
      <c r="L991" s="1">
        <v>100000</v>
      </c>
      <c r="M991" t="s">
        <v>26</v>
      </c>
      <c r="Q991" t="s">
        <v>27</v>
      </c>
      <c r="T991" t="s">
        <v>709</v>
      </c>
      <c r="X991" t="s">
        <v>30</v>
      </c>
      <c r="Y991">
        <v>1631293</v>
      </c>
      <c r="Z991">
        <v>20250930</v>
      </c>
    </row>
    <row r="992" spans="3:26" x14ac:dyDescent="0.25">
      <c r="C992">
        <v>10000001</v>
      </c>
      <c r="D992" t="s">
        <v>834</v>
      </c>
      <c r="F992">
        <v>1631293</v>
      </c>
      <c r="H992" t="s">
        <v>834</v>
      </c>
      <c r="I992">
        <v>40</v>
      </c>
      <c r="J992" s="1">
        <v>100000</v>
      </c>
      <c r="K992" t="s">
        <v>26</v>
      </c>
      <c r="L992" s="1">
        <v>100000</v>
      </c>
      <c r="M992" t="s">
        <v>26</v>
      </c>
      <c r="Q992" t="s">
        <v>27</v>
      </c>
      <c r="T992" t="s">
        <v>710</v>
      </c>
      <c r="X992" t="s">
        <v>30</v>
      </c>
      <c r="Y992">
        <v>1631293</v>
      </c>
      <c r="Z992">
        <v>20250930</v>
      </c>
    </row>
    <row r="993" spans="3:26" x14ac:dyDescent="0.25">
      <c r="C993">
        <v>10000001</v>
      </c>
      <c r="D993" t="s">
        <v>834</v>
      </c>
      <c r="F993">
        <v>1631293</v>
      </c>
      <c r="H993" t="s">
        <v>834</v>
      </c>
      <c r="I993">
        <v>40</v>
      </c>
      <c r="J993" s="1">
        <v>100000</v>
      </c>
      <c r="K993" t="s">
        <v>26</v>
      </c>
      <c r="L993" s="1">
        <v>100000</v>
      </c>
      <c r="M993" t="s">
        <v>26</v>
      </c>
      <c r="Q993" t="s">
        <v>27</v>
      </c>
      <c r="T993" t="s">
        <v>711</v>
      </c>
      <c r="X993" t="s">
        <v>30</v>
      </c>
      <c r="Y993">
        <v>1631293</v>
      </c>
      <c r="Z993">
        <v>20250930</v>
      </c>
    </row>
    <row r="994" spans="3:26" x14ac:dyDescent="0.25">
      <c r="C994">
        <v>10000001</v>
      </c>
      <c r="D994" t="s">
        <v>834</v>
      </c>
      <c r="F994">
        <v>1631293</v>
      </c>
      <c r="H994" t="s">
        <v>834</v>
      </c>
      <c r="I994">
        <v>40</v>
      </c>
      <c r="J994" s="1">
        <v>50000</v>
      </c>
      <c r="K994" t="s">
        <v>26</v>
      </c>
      <c r="L994" s="1">
        <v>50000</v>
      </c>
      <c r="M994" t="s">
        <v>26</v>
      </c>
      <c r="Q994" t="s">
        <v>27</v>
      </c>
      <c r="T994" t="s">
        <v>712</v>
      </c>
      <c r="X994" t="s">
        <v>30</v>
      </c>
      <c r="Y994">
        <v>1631293</v>
      </c>
      <c r="Z994">
        <v>20250930</v>
      </c>
    </row>
    <row r="995" spans="3:26" x14ac:dyDescent="0.25">
      <c r="C995">
        <v>10000001</v>
      </c>
      <c r="D995" t="s">
        <v>834</v>
      </c>
      <c r="F995">
        <v>1631293</v>
      </c>
      <c r="H995" t="s">
        <v>834</v>
      </c>
      <c r="I995">
        <v>40</v>
      </c>
      <c r="J995" s="1">
        <v>150000</v>
      </c>
      <c r="K995" t="s">
        <v>26</v>
      </c>
      <c r="L995" s="1">
        <v>150000</v>
      </c>
      <c r="M995" t="s">
        <v>26</v>
      </c>
      <c r="Q995" t="s">
        <v>27</v>
      </c>
      <c r="T995" t="s">
        <v>716</v>
      </c>
      <c r="X995" t="s">
        <v>30</v>
      </c>
      <c r="Y995">
        <v>1631293</v>
      </c>
      <c r="Z995">
        <v>20250930</v>
      </c>
    </row>
    <row r="996" spans="3:26" x14ac:dyDescent="0.25">
      <c r="C996">
        <v>10000001</v>
      </c>
      <c r="D996" t="s">
        <v>834</v>
      </c>
      <c r="F996">
        <v>1631293</v>
      </c>
      <c r="H996" t="s">
        <v>834</v>
      </c>
      <c r="I996">
        <v>40</v>
      </c>
      <c r="J996" s="1">
        <v>50000</v>
      </c>
      <c r="K996" t="s">
        <v>26</v>
      </c>
      <c r="L996" s="1">
        <v>50000</v>
      </c>
      <c r="M996" t="s">
        <v>26</v>
      </c>
      <c r="Q996" t="s">
        <v>27</v>
      </c>
      <c r="T996" t="s">
        <v>713</v>
      </c>
      <c r="X996" t="s">
        <v>30</v>
      </c>
      <c r="Y996">
        <v>1631293</v>
      </c>
      <c r="Z996">
        <v>20250930</v>
      </c>
    </row>
    <row r="997" spans="3:26" x14ac:dyDescent="0.25">
      <c r="C997">
        <v>10000001</v>
      </c>
      <c r="D997" t="s">
        <v>834</v>
      </c>
      <c r="F997">
        <v>1631293</v>
      </c>
      <c r="H997" t="s">
        <v>834</v>
      </c>
      <c r="I997">
        <v>40</v>
      </c>
      <c r="J997" s="1">
        <v>50000</v>
      </c>
      <c r="K997" t="s">
        <v>26</v>
      </c>
      <c r="L997" s="1">
        <v>50000</v>
      </c>
      <c r="M997" t="s">
        <v>26</v>
      </c>
      <c r="Q997" t="s">
        <v>27</v>
      </c>
      <c r="T997" t="s">
        <v>714</v>
      </c>
      <c r="X997" t="s">
        <v>30</v>
      </c>
      <c r="Y997">
        <v>1631293</v>
      </c>
      <c r="Z997">
        <v>20250930</v>
      </c>
    </row>
    <row r="998" spans="3:26" x14ac:dyDescent="0.25">
      <c r="C998">
        <v>10000001</v>
      </c>
      <c r="D998" t="s">
        <v>834</v>
      </c>
      <c r="F998">
        <v>1631293</v>
      </c>
      <c r="H998" t="s">
        <v>834</v>
      </c>
      <c r="I998">
        <v>40</v>
      </c>
      <c r="J998" s="1">
        <v>50000</v>
      </c>
      <c r="K998" t="s">
        <v>26</v>
      </c>
      <c r="L998" s="1">
        <v>50000</v>
      </c>
      <c r="M998" t="s">
        <v>26</v>
      </c>
      <c r="Q998" t="s">
        <v>27</v>
      </c>
      <c r="T998" t="s">
        <v>715</v>
      </c>
      <c r="X998" t="s">
        <v>30</v>
      </c>
      <c r="Y998">
        <v>1631293</v>
      </c>
      <c r="Z998">
        <v>20250930</v>
      </c>
    </row>
    <row r="999" spans="3:26" x14ac:dyDescent="0.25">
      <c r="C999">
        <v>10000001</v>
      </c>
      <c r="D999" t="s">
        <v>834</v>
      </c>
      <c r="F999">
        <v>1631293</v>
      </c>
      <c r="H999" t="s">
        <v>834</v>
      </c>
      <c r="I999">
        <v>40</v>
      </c>
      <c r="J999" s="1">
        <v>50000</v>
      </c>
      <c r="K999" t="s">
        <v>26</v>
      </c>
      <c r="L999" s="1">
        <v>50000</v>
      </c>
      <c r="M999" t="s">
        <v>26</v>
      </c>
      <c r="Q999" t="s">
        <v>27</v>
      </c>
      <c r="T999" t="s">
        <v>617</v>
      </c>
      <c r="X999" t="s">
        <v>30</v>
      </c>
      <c r="Y999">
        <v>1631293</v>
      </c>
      <c r="Z999">
        <v>20250930</v>
      </c>
    </row>
    <row r="1000" spans="3:26" x14ac:dyDescent="0.25">
      <c r="C1000">
        <v>10000001</v>
      </c>
      <c r="D1000" t="s">
        <v>834</v>
      </c>
      <c r="F1000">
        <v>1631293</v>
      </c>
      <c r="H1000" t="s">
        <v>834</v>
      </c>
      <c r="I1000">
        <v>40</v>
      </c>
      <c r="J1000" s="1">
        <v>50000</v>
      </c>
      <c r="K1000" t="s">
        <v>26</v>
      </c>
      <c r="L1000" s="1">
        <v>50000</v>
      </c>
      <c r="M1000" t="s">
        <v>26</v>
      </c>
      <c r="Q1000" t="s">
        <v>27</v>
      </c>
      <c r="T1000" t="s">
        <v>620</v>
      </c>
      <c r="X1000" t="s">
        <v>30</v>
      </c>
      <c r="Y1000">
        <v>1631293</v>
      </c>
      <c r="Z1000">
        <v>20250930</v>
      </c>
    </row>
    <row r="1001" spans="3:26" x14ac:dyDescent="0.25">
      <c r="C1001">
        <v>10000001</v>
      </c>
      <c r="D1001" t="s">
        <v>834</v>
      </c>
      <c r="F1001">
        <v>1631293</v>
      </c>
      <c r="H1001" t="s">
        <v>834</v>
      </c>
      <c r="I1001">
        <v>40</v>
      </c>
      <c r="J1001" s="1">
        <v>50000</v>
      </c>
      <c r="K1001" t="s">
        <v>26</v>
      </c>
      <c r="L1001" s="1">
        <v>50000</v>
      </c>
      <c r="M1001" t="s">
        <v>26</v>
      </c>
      <c r="Q1001" t="s">
        <v>27</v>
      </c>
      <c r="T1001" t="s">
        <v>646</v>
      </c>
      <c r="X1001" t="s">
        <v>30</v>
      </c>
      <c r="Y1001">
        <v>1631293</v>
      </c>
      <c r="Z1001">
        <v>20250930</v>
      </c>
    </row>
    <row r="1002" spans="3:26" x14ac:dyDescent="0.25">
      <c r="C1002">
        <v>10000001</v>
      </c>
      <c r="D1002" t="s">
        <v>834</v>
      </c>
      <c r="F1002">
        <v>1631293</v>
      </c>
      <c r="H1002" t="s">
        <v>834</v>
      </c>
      <c r="I1002">
        <v>40</v>
      </c>
      <c r="J1002" s="1">
        <v>50000</v>
      </c>
      <c r="K1002" t="s">
        <v>26</v>
      </c>
      <c r="L1002" s="1">
        <v>50000</v>
      </c>
      <c r="M1002" t="s">
        <v>26</v>
      </c>
      <c r="Q1002" t="s">
        <v>27</v>
      </c>
      <c r="T1002" t="s">
        <v>731</v>
      </c>
      <c r="X1002" t="s">
        <v>30</v>
      </c>
      <c r="Y1002">
        <v>1631293</v>
      </c>
      <c r="Z1002">
        <v>20250930</v>
      </c>
    </row>
    <row r="1003" spans="3:26" x14ac:dyDescent="0.25">
      <c r="C1003">
        <v>10000001</v>
      </c>
      <c r="D1003" t="s">
        <v>834</v>
      </c>
      <c r="F1003">
        <v>1631293</v>
      </c>
      <c r="H1003" t="s">
        <v>834</v>
      </c>
      <c r="I1003">
        <v>40</v>
      </c>
      <c r="J1003" s="1">
        <v>50000</v>
      </c>
      <c r="K1003" t="s">
        <v>26</v>
      </c>
      <c r="L1003" s="1">
        <v>50000</v>
      </c>
      <c r="M1003" t="s">
        <v>26</v>
      </c>
      <c r="Q1003" t="s">
        <v>27</v>
      </c>
      <c r="T1003" t="s">
        <v>740</v>
      </c>
      <c r="X1003" t="s">
        <v>30</v>
      </c>
      <c r="Y1003">
        <v>1631293</v>
      </c>
      <c r="Z1003">
        <v>20250930</v>
      </c>
    </row>
    <row r="1004" spans="3:26" x14ac:dyDescent="0.25">
      <c r="C1004">
        <v>10000001</v>
      </c>
      <c r="D1004" t="s">
        <v>834</v>
      </c>
      <c r="F1004">
        <v>1631293</v>
      </c>
      <c r="H1004" t="s">
        <v>834</v>
      </c>
      <c r="I1004">
        <v>40</v>
      </c>
      <c r="J1004" s="1">
        <v>50000</v>
      </c>
      <c r="K1004" t="s">
        <v>26</v>
      </c>
      <c r="L1004" s="1">
        <v>50000</v>
      </c>
      <c r="M1004" t="s">
        <v>26</v>
      </c>
      <c r="Q1004" t="s">
        <v>27</v>
      </c>
      <c r="T1004" t="s">
        <v>741</v>
      </c>
      <c r="X1004" t="s">
        <v>30</v>
      </c>
      <c r="Y1004">
        <v>1631293</v>
      </c>
      <c r="Z1004">
        <v>20250930</v>
      </c>
    </row>
    <row r="1005" spans="3:26" x14ac:dyDescent="0.25">
      <c r="C1005">
        <v>10000001</v>
      </c>
      <c r="D1005" t="s">
        <v>834</v>
      </c>
      <c r="F1005">
        <v>1631293</v>
      </c>
      <c r="H1005" t="s">
        <v>834</v>
      </c>
      <c r="I1005">
        <v>40</v>
      </c>
      <c r="J1005" s="1">
        <v>50000</v>
      </c>
      <c r="K1005" t="s">
        <v>26</v>
      </c>
      <c r="L1005" s="1">
        <v>50000</v>
      </c>
      <c r="M1005" t="s">
        <v>26</v>
      </c>
      <c r="Q1005" t="s">
        <v>27</v>
      </c>
      <c r="T1005" t="s">
        <v>737</v>
      </c>
      <c r="X1005" t="s">
        <v>30</v>
      </c>
      <c r="Y1005">
        <v>1631293</v>
      </c>
      <c r="Z1005">
        <v>20250930</v>
      </c>
    </row>
    <row r="1006" spans="3:26" x14ac:dyDescent="0.25">
      <c r="C1006">
        <v>10000001</v>
      </c>
      <c r="D1006" t="s">
        <v>834</v>
      </c>
      <c r="F1006">
        <v>1631293</v>
      </c>
      <c r="H1006" t="s">
        <v>834</v>
      </c>
      <c r="I1006">
        <v>40</v>
      </c>
      <c r="J1006" s="1">
        <v>50000</v>
      </c>
      <c r="K1006" t="s">
        <v>26</v>
      </c>
      <c r="L1006" s="1">
        <v>50000</v>
      </c>
      <c r="M1006" t="s">
        <v>26</v>
      </c>
      <c r="Q1006" t="s">
        <v>27</v>
      </c>
      <c r="T1006" t="s">
        <v>736</v>
      </c>
      <c r="X1006" t="s">
        <v>30</v>
      </c>
      <c r="Y1006">
        <v>1631293</v>
      </c>
      <c r="Z1006">
        <v>20250930</v>
      </c>
    </row>
    <row r="1007" spans="3:26" x14ac:dyDescent="0.25">
      <c r="C1007">
        <v>10000001</v>
      </c>
      <c r="D1007" t="s">
        <v>834</v>
      </c>
      <c r="F1007">
        <v>1631293</v>
      </c>
      <c r="H1007" t="s">
        <v>834</v>
      </c>
      <c r="I1007">
        <v>40</v>
      </c>
      <c r="J1007" s="1">
        <v>50000</v>
      </c>
      <c r="K1007" t="s">
        <v>26</v>
      </c>
      <c r="L1007" s="1">
        <v>50000</v>
      </c>
      <c r="M1007" t="s">
        <v>26</v>
      </c>
      <c r="Q1007" t="s">
        <v>27</v>
      </c>
      <c r="T1007" t="s">
        <v>781</v>
      </c>
      <c r="X1007" t="s">
        <v>30</v>
      </c>
      <c r="Y1007">
        <v>1631293</v>
      </c>
      <c r="Z1007">
        <v>20250930</v>
      </c>
    </row>
    <row r="1008" spans="3:26" x14ac:dyDescent="0.25">
      <c r="C1008">
        <v>10000001</v>
      </c>
      <c r="D1008" t="s">
        <v>834</v>
      </c>
      <c r="F1008">
        <v>1631293</v>
      </c>
      <c r="H1008" t="s">
        <v>834</v>
      </c>
      <c r="I1008">
        <v>40</v>
      </c>
      <c r="J1008" s="1">
        <v>50000</v>
      </c>
      <c r="K1008" t="s">
        <v>26</v>
      </c>
      <c r="L1008" s="1">
        <v>50000</v>
      </c>
      <c r="M1008" t="s">
        <v>26</v>
      </c>
      <c r="Q1008" t="s">
        <v>27</v>
      </c>
      <c r="T1008" t="s">
        <v>789</v>
      </c>
      <c r="X1008" t="s">
        <v>30</v>
      </c>
      <c r="Y1008">
        <v>1631293</v>
      </c>
      <c r="Z1008">
        <v>20250930</v>
      </c>
    </row>
    <row r="1009" spans="3:26" x14ac:dyDescent="0.25">
      <c r="C1009">
        <v>10000001</v>
      </c>
      <c r="D1009" t="s">
        <v>834</v>
      </c>
      <c r="F1009">
        <v>1631293</v>
      </c>
      <c r="H1009" t="s">
        <v>834</v>
      </c>
      <c r="I1009">
        <v>40</v>
      </c>
      <c r="J1009" s="1">
        <v>50000</v>
      </c>
      <c r="K1009" t="s">
        <v>26</v>
      </c>
      <c r="L1009" s="1">
        <v>50000</v>
      </c>
      <c r="M1009" t="s">
        <v>26</v>
      </c>
      <c r="Q1009" t="s">
        <v>27</v>
      </c>
      <c r="T1009" t="s">
        <v>783</v>
      </c>
      <c r="X1009" t="s">
        <v>30</v>
      </c>
      <c r="Y1009">
        <v>1631293</v>
      </c>
      <c r="Z1009">
        <v>20250930</v>
      </c>
    </row>
    <row r="1010" spans="3:26" x14ac:dyDescent="0.25">
      <c r="C1010">
        <v>10000001</v>
      </c>
      <c r="D1010" t="s">
        <v>834</v>
      </c>
      <c r="F1010">
        <v>1631293</v>
      </c>
      <c r="H1010" t="s">
        <v>834</v>
      </c>
      <c r="I1010">
        <v>40</v>
      </c>
      <c r="J1010" s="1">
        <v>50000</v>
      </c>
      <c r="K1010" t="s">
        <v>26</v>
      </c>
      <c r="L1010" s="1">
        <v>50000</v>
      </c>
      <c r="M1010" t="s">
        <v>26</v>
      </c>
      <c r="Q1010" t="s">
        <v>27</v>
      </c>
      <c r="T1010" t="s">
        <v>793</v>
      </c>
      <c r="X1010" t="s">
        <v>30</v>
      </c>
      <c r="Y1010">
        <v>1631293</v>
      </c>
      <c r="Z1010">
        <v>20250930</v>
      </c>
    </row>
    <row r="1011" spans="3:26" x14ac:dyDescent="0.25">
      <c r="C1011">
        <v>10000001</v>
      </c>
      <c r="D1011" t="s">
        <v>834</v>
      </c>
      <c r="F1011">
        <v>1631293</v>
      </c>
      <c r="H1011" t="s">
        <v>834</v>
      </c>
      <c r="I1011">
        <v>40</v>
      </c>
      <c r="J1011" s="1">
        <v>50000</v>
      </c>
      <c r="K1011" t="s">
        <v>26</v>
      </c>
      <c r="L1011" s="1">
        <v>50000</v>
      </c>
      <c r="M1011" t="s">
        <v>26</v>
      </c>
      <c r="Q1011" t="s">
        <v>27</v>
      </c>
      <c r="T1011" t="s">
        <v>609</v>
      </c>
      <c r="X1011" t="s">
        <v>30</v>
      </c>
      <c r="Y1011">
        <v>1631293</v>
      </c>
      <c r="Z1011">
        <v>20250930</v>
      </c>
    </row>
    <row r="1012" spans="3:26" x14ac:dyDescent="0.25">
      <c r="C1012">
        <v>10000001</v>
      </c>
      <c r="D1012" t="s">
        <v>834</v>
      </c>
      <c r="F1012">
        <v>1631293</v>
      </c>
      <c r="H1012" t="s">
        <v>834</v>
      </c>
      <c r="I1012">
        <v>40</v>
      </c>
      <c r="J1012" s="1">
        <v>50000</v>
      </c>
      <c r="K1012" t="s">
        <v>26</v>
      </c>
      <c r="L1012" s="1">
        <v>50000</v>
      </c>
      <c r="M1012" t="s">
        <v>26</v>
      </c>
      <c r="Q1012" t="s">
        <v>27</v>
      </c>
      <c r="T1012" t="s">
        <v>622</v>
      </c>
      <c r="X1012" t="s">
        <v>30</v>
      </c>
      <c r="Y1012">
        <v>1631293</v>
      </c>
      <c r="Z1012">
        <v>20250930</v>
      </c>
    </row>
    <row r="1013" spans="3:26" x14ac:dyDescent="0.25">
      <c r="C1013">
        <v>10000001</v>
      </c>
      <c r="D1013" t="s">
        <v>834</v>
      </c>
      <c r="F1013">
        <v>1631293</v>
      </c>
      <c r="H1013" t="s">
        <v>834</v>
      </c>
      <c r="I1013">
        <v>40</v>
      </c>
      <c r="J1013" s="1">
        <v>50000</v>
      </c>
      <c r="K1013" t="s">
        <v>26</v>
      </c>
      <c r="L1013" s="1">
        <v>50000</v>
      </c>
      <c r="M1013" t="s">
        <v>26</v>
      </c>
      <c r="Q1013" t="s">
        <v>27</v>
      </c>
      <c r="T1013" t="s">
        <v>668</v>
      </c>
      <c r="X1013" t="s">
        <v>30</v>
      </c>
      <c r="Y1013">
        <v>1631293</v>
      </c>
      <c r="Z1013">
        <v>20250930</v>
      </c>
    </row>
    <row r="1014" spans="3:26" x14ac:dyDescent="0.25">
      <c r="C1014">
        <v>10000001</v>
      </c>
      <c r="D1014" t="s">
        <v>834</v>
      </c>
      <c r="F1014">
        <v>1631293</v>
      </c>
      <c r="H1014" t="s">
        <v>834</v>
      </c>
      <c r="I1014">
        <v>40</v>
      </c>
      <c r="J1014" s="1">
        <v>50000</v>
      </c>
      <c r="K1014" t="s">
        <v>26</v>
      </c>
      <c r="L1014" s="1">
        <v>50000</v>
      </c>
      <c r="M1014" t="s">
        <v>26</v>
      </c>
      <c r="Q1014" t="s">
        <v>27</v>
      </c>
      <c r="T1014" t="s">
        <v>664</v>
      </c>
      <c r="X1014" t="s">
        <v>30</v>
      </c>
      <c r="Y1014">
        <v>1631293</v>
      </c>
      <c r="Z1014">
        <v>20250930</v>
      </c>
    </row>
    <row r="1015" spans="3:26" x14ac:dyDescent="0.25">
      <c r="C1015">
        <v>10000001</v>
      </c>
      <c r="D1015" t="s">
        <v>834</v>
      </c>
      <c r="F1015">
        <v>1631293</v>
      </c>
      <c r="H1015" t="s">
        <v>834</v>
      </c>
      <c r="I1015">
        <v>40</v>
      </c>
      <c r="J1015" s="1">
        <v>50000</v>
      </c>
      <c r="K1015" t="s">
        <v>26</v>
      </c>
      <c r="L1015" s="1">
        <v>50000</v>
      </c>
      <c r="M1015" t="s">
        <v>26</v>
      </c>
      <c r="Q1015" t="s">
        <v>27</v>
      </c>
      <c r="T1015" t="s">
        <v>667</v>
      </c>
      <c r="X1015" t="s">
        <v>30</v>
      </c>
      <c r="Y1015">
        <v>1631293</v>
      </c>
      <c r="Z1015">
        <v>20250930</v>
      </c>
    </row>
    <row r="1016" spans="3:26" x14ac:dyDescent="0.25">
      <c r="C1016">
        <v>10000001</v>
      </c>
      <c r="D1016" t="s">
        <v>834</v>
      </c>
      <c r="F1016">
        <v>1631293</v>
      </c>
      <c r="H1016" t="s">
        <v>834</v>
      </c>
      <c r="I1016">
        <v>40</v>
      </c>
      <c r="J1016" s="1">
        <v>50000</v>
      </c>
      <c r="K1016" t="s">
        <v>26</v>
      </c>
      <c r="L1016" s="1">
        <v>50000</v>
      </c>
      <c r="M1016" t="s">
        <v>26</v>
      </c>
      <c r="Q1016" t="s">
        <v>27</v>
      </c>
      <c r="T1016" t="s">
        <v>636</v>
      </c>
      <c r="X1016" t="s">
        <v>30</v>
      </c>
      <c r="Y1016">
        <v>1631293</v>
      </c>
      <c r="Z1016">
        <v>20250930</v>
      </c>
    </row>
    <row r="1017" spans="3:26" x14ac:dyDescent="0.25">
      <c r="C1017">
        <v>10000001</v>
      </c>
      <c r="D1017" t="s">
        <v>834</v>
      </c>
      <c r="F1017">
        <v>1631293</v>
      </c>
      <c r="H1017" t="s">
        <v>834</v>
      </c>
      <c r="I1017">
        <v>40</v>
      </c>
      <c r="J1017" s="1">
        <v>50000</v>
      </c>
      <c r="K1017" t="s">
        <v>26</v>
      </c>
      <c r="L1017" s="1">
        <v>50000</v>
      </c>
      <c r="M1017" t="s">
        <v>26</v>
      </c>
      <c r="Q1017" t="s">
        <v>27</v>
      </c>
      <c r="T1017" t="s">
        <v>641</v>
      </c>
      <c r="X1017" t="s">
        <v>30</v>
      </c>
      <c r="Y1017">
        <v>1631293</v>
      </c>
      <c r="Z1017">
        <v>20250930</v>
      </c>
    </row>
    <row r="1018" spans="3:26" x14ac:dyDescent="0.25">
      <c r="C1018">
        <v>10000001</v>
      </c>
      <c r="D1018" t="s">
        <v>834</v>
      </c>
      <c r="F1018">
        <v>1631293</v>
      </c>
      <c r="H1018" t="s">
        <v>834</v>
      </c>
      <c r="I1018">
        <v>40</v>
      </c>
      <c r="J1018" s="1">
        <v>50000</v>
      </c>
      <c r="K1018" t="s">
        <v>26</v>
      </c>
      <c r="L1018" s="1">
        <v>50000</v>
      </c>
      <c r="M1018" t="s">
        <v>26</v>
      </c>
      <c r="Q1018" t="s">
        <v>27</v>
      </c>
      <c r="T1018" t="s">
        <v>734</v>
      </c>
      <c r="X1018" t="s">
        <v>30</v>
      </c>
      <c r="Y1018">
        <v>1631293</v>
      </c>
      <c r="Z1018">
        <v>20250930</v>
      </c>
    </row>
    <row r="1019" spans="3:26" x14ac:dyDescent="0.25">
      <c r="C1019">
        <v>10000001</v>
      </c>
      <c r="D1019" t="s">
        <v>834</v>
      </c>
      <c r="F1019">
        <v>1631293</v>
      </c>
      <c r="H1019" t="s">
        <v>834</v>
      </c>
      <c r="I1019">
        <v>40</v>
      </c>
      <c r="J1019" s="1">
        <v>50000</v>
      </c>
      <c r="K1019" t="s">
        <v>26</v>
      </c>
      <c r="L1019" s="1">
        <v>50000</v>
      </c>
      <c r="M1019" t="s">
        <v>26</v>
      </c>
      <c r="Q1019" t="s">
        <v>27</v>
      </c>
      <c r="T1019" t="s">
        <v>735</v>
      </c>
      <c r="X1019" t="s">
        <v>30</v>
      </c>
      <c r="Y1019">
        <v>1631293</v>
      </c>
      <c r="Z1019">
        <v>20250930</v>
      </c>
    </row>
    <row r="1020" spans="3:26" x14ac:dyDescent="0.25">
      <c r="C1020">
        <v>10000001</v>
      </c>
      <c r="D1020" t="s">
        <v>834</v>
      </c>
      <c r="F1020">
        <v>1631293</v>
      </c>
      <c r="H1020" t="s">
        <v>834</v>
      </c>
      <c r="I1020">
        <v>40</v>
      </c>
      <c r="J1020" s="1">
        <v>50000</v>
      </c>
      <c r="K1020" t="s">
        <v>26</v>
      </c>
      <c r="L1020" s="1">
        <v>50000</v>
      </c>
      <c r="M1020" t="s">
        <v>26</v>
      </c>
      <c r="Q1020" t="s">
        <v>27</v>
      </c>
      <c r="T1020" t="s">
        <v>795</v>
      </c>
      <c r="X1020" t="s">
        <v>30</v>
      </c>
      <c r="Y1020">
        <v>1631293</v>
      </c>
      <c r="Z1020">
        <v>20250930</v>
      </c>
    </row>
    <row r="1021" spans="3:26" x14ac:dyDescent="0.25">
      <c r="C1021">
        <v>10000001</v>
      </c>
      <c r="D1021" t="s">
        <v>834</v>
      </c>
      <c r="F1021">
        <v>1631293</v>
      </c>
      <c r="H1021" t="s">
        <v>834</v>
      </c>
      <c r="I1021">
        <v>40</v>
      </c>
      <c r="J1021" s="1">
        <v>50000</v>
      </c>
      <c r="K1021" t="s">
        <v>26</v>
      </c>
      <c r="L1021" s="1">
        <v>50000</v>
      </c>
      <c r="M1021" t="s">
        <v>26</v>
      </c>
      <c r="Q1021" t="s">
        <v>27</v>
      </c>
      <c r="T1021" t="s">
        <v>791</v>
      </c>
      <c r="X1021" t="s">
        <v>30</v>
      </c>
      <c r="Y1021">
        <v>1631293</v>
      </c>
      <c r="Z1021">
        <v>20250930</v>
      </c>
    </row>
    <row r="1022" spans="3:26" x14ac:dyDescent="0.25">
      <c r="C1022">
        <v>10000001</v>
      </c>
      <c r="D1022" t="s">
        <v>834</v>
      </c>
      <c r="F1022">
        <v>1631293</v>
      </c>
      <c r="H1022" t="s">
        <v>834</v>
      </c>
      <c r="I1022">
        <v>40</v>
      </c>
      <c r="J1022" s="1">
        <v>50000</v>
      </c>
      <c r="K1022" t="s">
        <v>26</v>
      </c>
      <c r="L1022" s="1">
        <v>50000</v>
      </c>
      <c r="M1022" t="s">
        <v>26</v>
      </c>
      <c r="Q1022" t="s">
        <v>27</v>
      </c>
      <c r="T1022" t="s">
        <v>796</v>
      </c>
      <c r="X1022" t="s">
        <v>30</v>
      </c>
      <c r="Y1022">
        <v>1631293</v>
      </c>
      <c r="Z1022">
        <v>20250930</v>
      </c>
    </row>
    <row r="1023" spans="3:26" x14ac:dyDescent="0.25">
      <c r="C1023">
        <v>10000001</v>
      </c>
      <c r="D1023" t="s">
        <v>834</v>
      </c>
      <c r="F1023">
        <v>1631293</v>
      </c>
      <c r="H1023" t="s">
        <v>834</v>
      </c>
      <c r="I1023">
        <v>40</v>
      </c>
      <c r="J1023" s="1">
        <v>50000</v>
      </c>
      <c r="K1023" t="s">
        <v>26</v>
      </c>
      <c r="L1023" s="1">
        <v>50000</v>
      </c>
      <c r="M1023" t="s">
        <v>26</v>
      </c>
      <c r="Q1023" t="s">
        <v>27</v>
      </c>
      <c r="T1023" t="s">
        <v>621</v>
      </c>
      <c r="X1023" t="s">
        <v>30</v>
      </c>
      <c r="Y1023">
        <v>1631293</v>
      </c>
      <c r="Z1023">
        <v>20250930</v>
      </c>
    </row>
    <row r="1024" spans="3:26" x14ac:dyDescent="0.25">
      <c r="C1024">
        <v>10000001</v>
      </c>
      <c r="D1024" t="s">
        <v>834</v>
      </c>
      <c r="F1024">
        <v>1631293</v>
      </c>
      <c r="H1024" t="s">
        <v>834</v>
      </c>
      <c r="I1024">
        <v>40</v>
      </c>
      <c r="J1024" s="1">
        <v>50000</v>
      </c>
      <c r="K1024" t="s">
        <v>26</v>
      </c>
      <c r="L1024" s="1">
        <v>50000</v>
      </c>
      <c r="M1024" t="s">
        <v>26</v>
      </c>
      <c r="Q1024" t="s">
        <v>27</v>
      </c>
      <c r="T1024" t="s">
        <v>610</v>
      </c>
      <c r="X1024" t="s">
        <v>30</v>
      </c>
      <c r="Y1024">
        <v>1631293</v>
      </c>
      <c r="Z1024">
        <v>20250930</v>
      </c>
    </row>
    <row r="1025" spans="3:26" x14ac:dyDescent="0.25">
      <c r="C1025">
        <v>10000001</v>
      </c>
      <c r="D1025" t="s">
        <v>834</v>
      </c>
      <c r="F1025">
        <v>1631293</v>
      </c>
      <c r="H1025" t="s">
        <v>834</v>
      </c>
      <c r="I1025">
        <v>40</v>
      </c>
      <c r="J1025" s="1">
        <v>246000</v>
      </c>
      <c r="K1025" t="s">
        <v>26</v>
      </c>
      <c r="L1025" s="1">
        <v>246000</v>
      </c>
      <c r="M1025" t="s">
        <v>26</v>
      </c>
      <c r="Q1025" t="s">
        <v>27</v>
      </c>
      <c r="T1025" t="s">
        <v>807</v>
      </c>
      <c r="X1025" t="s">
        <v>30</v>
      </c>
      <c r="Y1025">
        <v>1631293</v>
      </c>
      <c r="Z1025">
        <v>20250930</v>
      </c>
    </row>
    <row r="1026" spans="3:26" x14ac:dyDescent="0.25">
      <c r="C1026">
        <v>10000001</v>
      </c>
      <c r="D1026" t="s">
        <v>834</v>
      </c>
      <c r="F1026">
        <v>1631293</v>
      </c>
      <c r="H1026" t="s">
        <v>834</v>
      </c>
      <c r="I1026">
        <v>40</v>
      </c>
      <c r="J1026" s="1">
        <v>100000</v>
      </c>
      <c r="K1026" t="s">
        <v>26</v>
      </c>
      <c r="L1026" s="1">
        <v>100000</v>
      </c>
      <c r="M1026" t="s">
        <v>26</v>
      </c>
      <c r="Q1026" t="s">
        <v>27</v>
      </c>
      <c r="T1026" t="s">
        <v>779</v>
      </c>
      <c r="X1026" t="s">
        <v>30</v>
      </c>
      <c r="Y1026">
        <v>1631293</v>
      </c>
      <c r="Z1026">
        <v>20250930</v>
      </c>
    </row>
    <row r="1027" spans="3:26" x14ac:dyDescent="0.25">
      <c r="C1027">
        <v>10000001</v>
      </c>
      <c r="D1027" t="s">
        <v>834</v>
      </c>
      <c r="F1027">
        <v>1631293</v>
      </c>
      <c r="H1027" t="s">
        <v>834</v>
      </c>
      <c r="I1027">
        <v>40</v>
      </c>
      <c r="J1027" s="1">
        <v>9000</v>
      </c>
      <c r="K1027" t="s">
        <v>26</v>
      </c>
      <c r="L1027" s="1">
        <v>9000</v>
      </c>
      <c r="M1027" t="s">
        <v>26</v>
      </c>
      <c r="Q1027" t="s">
        <v>27</v>
      </c>
      <c r="T1027" t="s">
        <v>624</v>
      </c>
      <c r="X1027" t="s">
        <v>30</v>
      </c>
      <c r="Y1027">
        <v>1631293</v>
      </c>
      <c r="Z1027">
        <v>20250930</v>
      </c>
    </row>
    <row r="1028" spans="3:26" x14ac:dyDescent="0.25">
      <c r="C1028">
        <v>10000001</v>
      </c>
      <c r="D1028" t="s">
        <v>834</v>
      </c>
      <c r="F1028">
        <v>1631293</v>
      </c>
      <c r="H1028" t="s">
        <v>834</v>
      </c>
      <c r="I1028">
        <v>40</v>
      </c>
      <c r="J1028" s="1">
        <v>4000</v>
      </c>
      <c r="K1028" t="s">
        <v>26</v>
      </c>
      <c r="L1028" s="1">
        <v>4000</v>
      </c>
      <c r="M1028" t="s">
        <v>26</v>
      </c>
      <c r="Q1028" t="s">
        <v>27</v>
      </c>
      <c r="T1028" t="s">
        <v>751</v>
      </c>
      <c r="X1028" t="s">
        <v>30</v>
      </c>
      <c r="Y1028">
        <v>1631293</v>
      </c>
      <c r="Z1028">
        <v>20250930</v>
      </c>
    </row>
    <row r="1029" spans="3:26" x14ac:dyDescent="0.25">
      <c r="C1029">
        <v>10000001</v>
      </c>
      <c r="D1029" t="s">
        <v>834</v>
      </c>
      <c r="F1029">
        <v>1631293</v>
      </c>
      <c r="H1029" t="s">
        <v>834</v>
      </c>
      <c r="I1029">
        <v>40</v>
      </c>
      <c r="J1029" s="1">
        <v>865001</v>
      </c>
      <c r="K1029" t="s">
        <v>26</v>
      </c>
      <c r="L1029" s="1">
        <v>865001</v>
      </c>
      <c r="M1029" t="s">
        <v>26</v>
      </c>
      <c r="Q1029" t="s">
        <v>27</v>
      </c>
      <c r="T1029" t="s">
        <v>673</v>
      </c>
      <c r="X1029" t="s">
        <v>30</v>
      </c>
      <c r="Y1029">
        <v>1631293</v>
      </c>
      <c r="Z1029">
        <v>20250930</v>
      </c>
    </row>
    <row r="1030" spans="3:26" x14ac:dyDescent="0.25">
      <c r="C1030">
        <v>10000001</v>
      </c>
      <c r="D1030" t="s">
        <v>834</v>
      </c>
      <c r="F1030">
        <v>1631293</v>
      </c>
      <c r="H1030" t="s">
        <v>834</v>
      </c>
      <c r="I1030">
        <v>40</v>
      </c>
      <c r="J1030" s="1">
        <v>973530</v>
      </c>
      <c r="K1030" t="s">
        <v>26</v>
      </c>
      <c r="L1030" s="1">
        <v>973530</v>
      </c>
      <c r="M1030" t="s">
        <v>26</v>
      </c>
      <c r="Q1030" t="s">
        <v>27</v>
      </c>
      <c r="T1030" t="s">
        <v>720</v>
      </c>
      <c r="X1030" t="s">
        <v>30</v>
      </c>
      <c r="Y1030">
        <v>1631293</v>
      </c>
      <c r="Z1030">
        <v>20250930</v>
      </c>
    </row>
    <row r="1031" spans="3:26" x14ac:dyDescent="0.25">
      <c r="C1031">
        <v>10000001</v>
      </c>
      <c r="D1031" t="s">
        <v>834</v>
      </c>
      <c r="F1031">
        <v>1631293</v>
      </c>
      <c r="H1031" t="s">
        <v>834</v>
      </c>
      <c r="I1031">
        <v>40</v>
      </c>
      <c r="J1031" s="1">
        <v>376500</v>
      </c>
      <c r="K1031" t="s">
        <v>26</v>
      </c>
      <c r="L1031" s="1">
        <v>376500</v>
      </c>
      <c r="M1031" t="s">
        <v>26</v>
      </c>
      <c r="Q1031" t="s">
        <v>27</v>
      </c>
      <c r="T1031" t="s">
        <v>703</v>
      </c>
      <c r="X1031" t="s">
        <v>30</v>
      </c>
      <c r="Y1031">
        <v>1631293</v>
      </c>
      <c r="Z1031">
        <v>20250930</v>
      </c>
    </row>
    <row r="1032" spans="3:26" x14ac:dyDescent="0.25">
      <c r="C1032">
        <v>10000001</v>
      </c>
      <c r="D1032" t="s">
        <v>834</v>
      </c>
      <c r="F1032">
        <v>1631293</v>
      </c>
      <c r="H1032" t="s">
        <v>834</v>
      </c>
      <c r="I1032">
        <v>40</v>
      </c>
      <c r="J1032" s="1">
        <v>500000</v>
      </c>
      <c r="K1032" t="s">
        <v>26</v>
      </c>
      <c r="L1032" s="1">
        <v>500000</v>
      </c>
      <c r="M1032" t="s">
        <v>26</v>
      </c>
      <c r="Q1032" t="s">
        <v>27</v>
      </c>
      <c r="T1032" t="s">
        <v>718</v>
      </c>
      <c r="X1032" t="s">
        <v>30</v>
      </c>
      <c r="Y1032">
        <v>1631293</v>
      </c>
      <c r="Z1032">
        <v>20250930</v>
      </c>
    </row>
    <row r="1033" spans="3:26" x14ac:dyDescent="0.25">
      <c r="C1033">
        <v>10000001</v>
      </c>
      <c r="D1033" t="s">
        <v>834</v>
      </c>
      <c r="F1033">
        <v>1631293</v>
      </c>
      <c r="H1033" t="s">
        <v>834</v>
      </c>
      <c r="I1033">
        <v>40</v>
      </c>
      <c r="J1033" s="1">
        <v>400000</v>
      </c>
      <c r="K1033" t="s">
        <v>26</v>
      </c>
      <c r="L1033" s="1">
        <v>400000</v>
      </c>
      <c r="M1033" t="s">
        <v>26</v>
      </c>
      <c r="Q1033" t="s">
        <v>27</v>
      </c>
      <c r="T1033" t="s">
        <v>748</v>
      </c>
      <c r="X1033" t="s">
        <v>30</v>
      </c>
      <c r="Y1033">
        <v>1631293</v>
      </c>
      <c r="Z1033">
        <v>20250930</v>
      </c>
    </row>
    <row r="1034" spans="3:26" x14ac:dyDescent="0.25">
      <c r="C1034">
        <v>10000001</v>
      </c>
      <c r="D1034" t="s">
        <v>834</v>
      </c>
      <c r="F1034">
        <v>1631293</v>
      </c>
      <c r="H1034" t="s">
        <v>834</v>
      </c>
      <c r="I1034">
        <v>40</v>
      </c>
      <c r="J1034" s="1">
        <v>500000</v>
      </c>
      <c r="K1034" t="s">
        <v>26</v>
      </c>
      <c r="L1034" s="1">
        <v>500000</v>
      </c>
      <c r="M1034" t="s">
        <v>26</v>
      </c>
      <c r="Q1034" t="s">
        <v>27</v>
      </c>
      <c r="T1034" t="s">
        <v>607</v>
      </c>
      <c r="X1034" t="s">
        <v>30</v>
      </c>
      <c r="Y1034">
        <v>1631293</v>
      </c>
      <c r="Z1034">
        <v>20250930</v>
      </c>
    </row>
    <row r="1035" spans="3:26" x14ac:dyDescent="0.25">
      <c r="C1035">
        <v>10000001</v>
      </c>
      <c r="D1035" t="s">
        <v>834</v>
      </c>
      <c r="F1035">
        <v>1631293</v>
      </c>
      <c r="H1035" t="s">
        <v>834</v>
      </c>
      <c r="I1035">
        <v>40</v>
      </c>
      <c r="J1035" s="1">
        <v>245000</v>
      </c>
      <c r="K1035" t="s">
        <v>26</v>
      </c>
      <c r="L1035" s="1">
        <v>245000</v>
      </c>
      <c r="M1035" t="s">
        <v>26</v>
      </c>
      <c r="Q1035" t="s">
        <v>27</v>
      </c>
      <c r="T1035" t="s">
        <v>662</v>
      </c>
      <c r="X1035" t="s">
        <v>30</v>
      </c>
      <c r="Y1035">
        <v>1631293</v>
      </c>
      <c r="Z1035">
        <v>20250930</v>
      </c>
    </row>
    <row r="1036" spans="3:26" x14ac:dyDescent="0.25">
      <c r="C1036">
        <v>10000001</v>
      </c>
      <c r="D1036" t="s">
        <v>834</v>
      </c>
      <c r="F1036">
        <v>1631293</v>
      </c>
      <c r="H1036" t="s">
        <v>834</v>
      </c>
      <c r="I1036">
        <v>40</v>
      </c>
      <c r="J1036" s="1">
        <v>200000</v>
      </c>
      <c r="K1036" t="s">
        <v>26</v>
      </c>
      <c r="L1036" s="1">
        <v>200000</v>
      </c>
      <c r="M1036" t="s">
        <v>26</v>
      </c>
      <c r="Q1036" t="s">
        <v>27</v>
      </c>
      <c r="T1036" t="s">
        <v>654</v>
      </c>
      <c r="X1036" t="s">
        <v>30</v>
      </c>
      <c r="Y1036">
        <v>1631293</v>
      </c>
      <c r="Z1036">
        <v>20250930</v>
      </c>
    </row>
    <row r="1037" spans="3:26" x14ac:dyDescent="0.25">
      <c r="C1037">
        <v>10000001</v>
      </c>
      <c r="D1037" t="s">
        <v>834</v>
      </c>
      <c r="F1037">
        <v>1631293</v>
      </c>
      <c r="H1037" t="s">
        <v>834</v>
      </c>
      <c r="I1037">
        <v>40</v>
      </c>
      <c r="J1037" s="1">
        <v>240000</v>
      </c>
      <c r="K1037" t="s">
        <v>26</v>
      </c>
      <c r="L1037" s="1">
        <v>240000</v>
      </c>
      <c r="M1037" t="s">
        <v>26</v>
      </c>
      <c r="Q1037" t="s">
        <v>27</v>
      </c>
      <c r="T1037" t="s">
        <v>628</v>
      </c>
      <c r="X1037" t="s">
        <v>30</v>
      </c>
      <c r="Y1037">
        <v>1631293</v>
      </c>
      <c r="Z1037">
        <v>20250930</v>
      </c>
    </row>
    <row r="1038" spans="3:26" x14ac:dyDescent="0.25">
      <c r="C1038">
        <v>10000001</v>
      </c>
      <c r="D1038" t="s">
        <v>834</v>
      </c>
      <c r="F1038">
        <v>1631293</v>
      </c>
      <c r="H1038" t="s">
        <v>834</v>
      </c>
      <c r="I1038">
        <v>40</v>
      </c>
      <c r="J1038" s="1">
        <v>269000</v>
      </c>
      <c r="K1038" t="s">
        <v>26</v>
      </c>
      <c r="L1038" s="1">
        <v>269000</v>
      </c>
      <c r="M1038" t="s">
        <v>26</v>
      </c>
      <c r="Q1038" t="s">
        <v>27</v>
      </c>
      <c r="T1038" t="s">
        <v>765</v>
      </c>
      <c r="X1038" t="s">
        <v>30</v>
      </c>
      <c r="Y1038">
        <v>1631293</v>
      </c>
      <c r="Z1038">
        <v>20250930</v>
      </c>
    </row>
    <row r="1039" spans="3:26" x14ac:dyDescent="0.25">
      <c r="C1039">
        <v>10000001</v>
      </c>
      <c r="D1039" t="s">
        <v>834</v>
      </c>
      <c r="F1039">
        <v>1631293</v>
      </c>
      <c r="H1039" t="s">
        <v>834</v>
      </c>
      <c r="I1039">
        <v>40</v>
      </c>
      <c r="J1039" s="1">
        <v>510000</v>
      </c>
      <c r="K1039" t="s">
        <v>26</v>
      </c>
      <c r="L1039" s="1">
        <v>510000</v>
      </c>
      <c r="M1039" t="s">
        <v>26</v>
      </c>
      <c r="Q1039" t="s">
        <v>27</v>
      </c>
      <c r="T1039" t="s">
        <v>770</v>
      </c>
      <c r="X1039" t="s">
        <v>30</v>
      </c>
      <c r="Y1039">
        <v>1631293</v>
      </c>
      <c r="Z1039">
        <v>20250930</v>
      </c>
    </row>
    <row r="1040" spans="3:26" x14ac:dyDescent="0.25">
      <c r="C1040">
        <v>10000001</v>
      </c>
      <c r="D1040" t="s">
        <v>834</v>
      </c>
      <c r="F1040">
        <v>1631293</v>
      </c>
      <c r="H1040" t="s">
        <v>834</v>
      </c>
      <c r="I1040">
        <v>40</v>
      </c>
      <c r="J1040" s="1">
        <v>390000</v>
      </c>
      <c r="K1040" t="s">
        <v>26</v>
      </c>
      <c r="L1040" s="1">
        <v>390000</v>
      </c>
      <c r="M1040" t="s">
        <v>26</v>
      </c>
      <c r="Q1040" t="s">
        <v>27</v>
      </c>
      <c r="T1040" t="s">
        <v>800</v>
      </c>
      <c r="X1040" t="s">
        <v>30</v>
      </c>
      <c r="Y1040">
        <v>1631293</v>
      </c>
      <c r="Z1040">
        <v>20250930</v>
      </c>
    </row>
    <row r="1041" spans="3:26" x14ac:dyDescent="0.25">
      <c r="C1041">
        <v>10000001</v>
      </c>
      <c r="D1041" t="s">
        <v>834</v>
      </c>
      <c r="F1041">
        <v>1631293</v>
      </c>
      <c r="H1041" t="s">
        <v>834</v>
      </c>
      <c r="I1041">
        <v>40</v>
      </c>
      <c r="J1041" s="1">
        <v>360000</v>
      </c>
      <c r="K1041" t="s">
        <v>26</v>
      </c>
      <c r="L1041" s="1">
        <v>360000</v>
      </c>
      <c r="M1041" t="s">
        <v>26</v>
      </c>
      <c r="Q1041" t="s">
        <v>27</v>
      </c>
      <c r="T1041" t="s">
        <v>676</v>
      </c>
      <c r="X1041" t="s">
        <v>30</v>
      </c>
      <c r="Y1041">
        <v>1631293</v>
      </c>
      <c r="Z1041">
        <v>20250930</v>
      </c>
    </row>
    <row r="1042" spans="3:26" x14ac:dyDescent="0.25">
      <c r="C1042">
        <v>10000001</v>
      </c>
      <c r="D1042" t="s">
        <v>834</v>
      </c>
      <c r="F1042">
        <v>1631293</v>
      </c>
      <c r="H1042" t="s">
        <v>834</v>
      </c>
      <c r="I1042">
        <v>40</v>
      </c>
      <c r="J1042" s="1">
        <v>260000</v>
      </c>
      <c r="K1042" t="s">
        <v>26</v>
      </c>
      <c r="L1042" s="1">
        <v>260000</v>
      </c>
      <c r="M1042" t="s">
        <v>26</v>
      </c>
      <c r="Q1042" t="s">
        <v>27</v>
      </c>
      <c r="T1042" t="s">
        <v>746</v>
      </c>
      <c r="X1042" t="s">
        <v>30</v>
      </c>
      <c r="Y1042">
        <v>1631293</v>
      </c>
      <c r="Z1042">
        <v>20250930</v>
      </c>
    </row>
    <row r="1043" spans="3:26" x14ac:dyDescent="0.25">
      <c r="C1043">
        <v>10000001</v>
      </c>
      <c r="D1043" t="s">
        <v>834</v>
      </c>
      <c r="F1043">
        <v>1631293</v>
      </c>
      <c r="H1043" t="s">
        <v>834</v>
      </c>
      <c r="I1043">
        <v>40</v>
      </c>
      <c r="J1043" s="1">
        <v>290500</v>
      </c>
      <c r="K1043" t="s">
        <v>26</v>
      </c>
      <c r="L1043" s="1">
        <v>290500</v>
      </c>
      <c r="M1043" t="s">
        <v>26</v>
      </c>
      <c r="Q1043" t="s">
        <v>27</v>
      </c>
      <c r="T1043" t="s">
        <v>828</v>
      </c>
      <c r="X1043" t="s">
        <v>30</v>
      </c>
      <c r="Y1043">
        <v>1631293</v>
      </c>
      <c r="Z1043">
        <v>20250930</v>
      </c>
    </row>
    <row r="1044" spans="3:26" x14ac:dyDescent="0.25">
      <c r="C1044">
        <v>10000001</v>
      </c>
      <c r="D1044" t="s">
        <v>834</v>
      </c>
      <c r="F1044">
        <v>1631293</v>
      </c>
      <c r="H1044" t="s">
        <v>834</v>
      </c>
      <c r="I1044">
        <v>40</v>
      </c>
      <c r="J1044" s="1">
        <v>405900</v>
      </c>
      <c r="K1044" t="s">
        <v>26</v>
      </c>
      <c r="L1044" s="1">
        <v>405900</v>
      </c>
      <c r="M1044" t="s">
        <v>26</v>
      </c>
      <c r="Q1044" t="s">
        <v>27</v>
      </c>
      <c r="T1044" t="s">
        <v>813</v>
      </c>
      <c r="X1044" t="s">
        <v>30</v>
      </c>
      <c r="Y1044">
        <v>1631293</v>
      </c>
      <c r="Z1044">
        <v>20250930</v>
      </c>
    </row>
    <row r="1045" spans="3:26" x14ac:dyDescent="0.25">
      <c r="C1045">
        <v>10000001</v>
      </c>
      <c r="D1045" t="s">
        <v>834</v>
      </c>
      <c r="F1045">
        <v>1631293</v>
      </c>
      <c r="H1045" t="s">
        <v>834</v>
      </c>
      <c r="I1045">
        <v>40</v>
      </c>
      <c r="J1045" s="1">
        <v>350000</v>
      </c>
      <c r="K1045" t="s">
        <v>26</v>
      </c>
      <c r="L1045" s="1">
        <v>350000</v>
      </c>
      <c r="M1045" t="s">
        <v>26</v>
      </c>
      <c r="Q1045" t="s">
        <v>27</v>
      </c>
      <c r="T1045" t="s">
        <v>810</v>
      </c>
      <c r="X1045" t="s">
        <v>30</v>
      </c>
      <c r="Y1045">
        <v>1631293</v>
      </c>
      <c r="Z1045">
        <v>20250930</v>
      </c>
    </row>
    <row r="1046" spans="3:26" x14ac:dyDescent="0.25">
      <c r="C1046">
        <v>10000001</v>
      </c>
      <c r="D1046" t="s">
        <v>834</v>
      </c>
      <c r="F1046">
        <v>1631293</v>
      </c>
      <c r="H1046" t="s">
        <v>834</v>
      </c>
      <c r="I1046">
        <v>40</v>
      </c>
      <c r="J1046" s="1">
        <v>350000</v>
      </c>
      <c r="K1046" t="s">
        <v>26</v>
      </c>
      <c r="L1046" s="1">
        <v>350000</v>
      </c>
      <c r="M1046" t="s">
        <v>26</v>
      </c>
      <c r="Q1046" t="s">
        <v>27</v>
      </c>
      <c r="T1046" t="s">
        <v>809</v>
      </c>
      <c r="X1046" t="s">
        <v>30</v>
      </c>
      <c r="Y1046">
        <v>1631293</v>
      </c>
      <c r="Z1046">
        <v>20250930</v>
      </c>
    </row>
    <row r="1047" spans="3:26" x14ac:dyDescent="0.25">
      <c r="C1047">
        <v>10000001</v>
      </c>
      <c r="D1047" t="s">
        <v>834</v>
      </c>
      <c r="F1047">
        <v>1631293</v>
      </c>
      <c r="H1047" t="s">
        <v>834</v>
      </c>
      <c r="I1047">
        <v>40</v>
      </c>
      <c r="J1047" s="1">
        <v>760000</v>
      </c>
      <c r="K1047" t="s">
        <v>26</v>
      </c>
      <c r="L1047" s="1">
        <v>760000</v>
      </c>
      <c r="M1047" t="s">
        <v>26</v>
      </c>
      <c r="Q1047" t="s">
        <v>27</v>
      </c>
      <c r="T1047" t="s">
        <v>627</v>
      </c>
      <c r="X1047" t="s">
        <v>30</v>
      </c>
      <c r="Y1047">
        <v>1631293</v>
      </c>
      <c r="Z1047">
        <v>20250930</v>
      </c>
    </row>
    <row r="1048" spans="3:26" x14ac:dyDescent="0.25">
      <c r="C1048">
        <v>10000001</v>
      </c>
      <c r="D1048" t="s">
        <v>834</v>
      </c>
      <c r="F1048">
        <v>1631293</v>
      </c>
      <c r="H1048" t="s">
        <v>834</v>
      </c>
      <c r="I1048">
        <v>40</v>
      </c>
      <c r="J1048" s="1">
        <v>640000</v>
      </c>
      <c r="K1048" t="s">
        <v>26</v>
      </c>
      <c r="L1048" s="1">
        <v>640000</v>
      </c>
      <c r="M1048" t="s">
        <v>26</v>
      </c>
      <c r="Q1048" t="s">
        <v>27</v>
      </c>
      <c r="T1048" t="s">
        <v>675</v>
      </c>
      <c r="X1048" t="s">
        <v>30</v>
      </c>
      <c r="Y1048">
        <v>1631293</v>
      </c>
      <c r="Z1048">
        <v>20250930</v>
      </c>
    </row>
    <row r="1049" spans="3:26" x14ac:dyDescent="0.25">
      <c r="C1049">
        <v>10000001</v>
      </c>
      <c r="D1049" t="s">
        <v>834</v>
      </c>
      <c r="F1049">
        <v>1631293</v>
      </c>
      <c r="H1049" t="s">
        <v>834</v>
      </c>
      <c r="I1049">
        <v>40</v>
      </c>
      <c r="J1049" s="1">
        <v>219000</v>
      </c>
      <c r="K1049" t="s">
        <v>26</v>
      </c>
      <c r="L1049" s="1">
        <v>219000</v>
      </c>
      <c r="M1049" t="s">
        <v>26</v>
      </c>
      <c r="Q1049" t="s">
        <v>27</v>
      </c>
      <c r="T1049" t="s">
        <v>704</v>
      </c>
      <c r="X1049" t="s">
        <v>30</v>
      </c>
      <c r="Y1049">
        <v>1631293</v>
      </c>
      <c r="Z1049">
        <v>20250930</v>
      </c>
    </row>
    <row r="1050" spans="3:26" x14ac:dyDescent="0.25">
      <c r="C1050">
        <v>10000001</v>
      </c>
      <c r="D1050" t="s">
        <v>834</v>
      </c>
      <c r="F1050">
        <v>1631293</v>
      </c>
      <c r="H1050" t="s">
        <v>834</v>
      </c>
      <c r="I1050">
        <v>40</v>
      </c>
      <c r="J1050" s="1">
        <v>800000</v>
      </c>
      <c r="K1050" t="s">
        <v>26</v>
      </c>
      <c r="L1050" s="1">
        <v>800000</v>
      </c>
      <c r="M1050" t="s">
        <v>26</v>
      </c>
      <c r="Q1050" t="s">
        <v>27</v>
      </c>
      <c r="T1050" t="s">
        <v>815</v>
      </c>
      <c r="X1050" t="s">
        <v>30</v>
      </c>
      <c r="Y1050">
        <v>1631293</v>
      </c>
      <c r="Z1050">
        <v>20250930</v>
      </c>
    </row>
    <row r="1051" spans="3:26" x14ac:dyDescent="0.25">
      <c r="C1051">
        <v>10000001</v>
      </c>
      <c r="D1051" t="s">
        <v>834</v>
      </c>
      <c r="F1051">
        <v>1631293</v>
      </c>
      <c r="H1051" t="s">
        <v>834</v>
      </c>
      <c r="I1051">
        <v>40</v>
      </c>
      <c r="J1051" s="1">
        <v>204100</v>
      </c>
      <c r="K1051" t="s">
        <v>26</v>
      </c>
      <c r="L1051" s="1">
        <v>204100</v>
      </c>
      <c r="M1051" t="s">
        <v>26</v>
      </c>
      <c r="Q1051" t="s">
        <v>27</v>
      </c>
      <c r="T1051" t="s">
        <v>684</v>
      </c>
      <c r="X1051" t="s">
        <v>30</v>
      </c>
      <c r="Y1051">
        <v>1631293</v>
      </c>
      <c r="Z1051">
        <v>20250930</v>
      </c>
    </row>
    <row r="1052" spans="3:26" x14ac:dyDescent="0.25">
      <c r="C1052">
        <v>10000001</v>
      </c>
      <c r="D1052" t="s">
        <v>834</v>
      </c>
      <c r="F1052">
        <v>1631293</v>
      </c>
      <c r="H1052" t="s">
        <v>834</v>
      </c>
      <c r="I1052">
        <v>40</v>
      </c>
      <c r="J1052" s="1">
        <v>949000</v>
      </c>
      <c r="K1052" t="s">
        <v>26</v>
      </c>
      <c r="L1052" s="1">
        <v>949000</v>
      </c>
      <c r="M1052" t="s">
        <v>26</v>
      </c>
      <c r="Q1052" t="s">
        <v>27</v>
      </c>
      <c r="T1052" t="s">
        <v>696</v>
      </c>
      <c r="X1052" t="s">
        <v>30</v>
      </c>
      <c r="Y1052">
        <v>1631293</v>
      </c>
      <c r="Z1052">
        <v>20250930</v>
      </c>
    </row>
    <row r="1053" spans="3:26" x14ac:dyDescent="0.25">
      <c r="C1053">
        <v>10000001</v>
      </c>
      <c r="D1053" t="s">
        <v>834</v>
      </c>
      <c r="F1053">
        <v>1631293</v>
      </c>
      <c r="H1053" t="s">
        <v>834</v>
      </c>
      <c r="I1053">
        <v>40</v>
      </c>
      <c r="J1053" s="1">
        <v>24000</v>
      </c>
      <c r="K1053" t="s">
        <v>26</v>
      </c>
      <c r="L1053" s="1">
        <v>24000</v>
      </c>
      <c r="M1053" t="s">
        <v>26</v>
      </c>
      <c r="Q1053" t="s">
        <v>27</v>
      </c>
      <c r="T1053" t="s">
        <v>786</v>
      </c>
      <c r="X1053" t="s">
        <v>30</v>
      </c>
      <c r="Y1053">
        <v>1631293</v>
      </c>
      <c r="Z1053">
        <v>20250930</v>
      </c>
    </row>
    <row r="1054" spans="3:26" x14ac:dyDescent="0.25">
      <c r="C1054">
        <v>10000001</v>
      </c>
      <c r="D1054" t="s">
        <v>834</v>
      </c>
      <c r="F1054">
        <v>1631293</v>
      </c>
      <c r="H1054" t="s">
        <v>834</v>
      </c>
      <c r="I1054">
        <v>40</v>
      </c>
      <c r="J1054" s="1">
        <v>553000</v>
      </c>
      <c r="K1054" t="s">
        <v>26</v>
      </c>
      <c r="L1054" s="1">
        <v>553000</v>
      </c>
      <c r="M1054" t="s">
        <v>26</v>
      </c>
      <c r="Q1054" t="s">
        <v>27</v>
      </c>
      <c r="T1054" t="s">
        <v>700</v>
      </c>
      <c r="X1054" t="s">
        <v>30</v>
      </c>
      <c r="Y1054">
        <v>1631293</v>
      </c>
      <c r="Z1054">
        <v>20250930</v>
      </c>
    </row>
    <row r="1055" spans="3:26" x14ac:dyDescent="0.25">
      <c r="C1055">
        <v>10000001</v>
      </c>
      <c r="D1055" t="s">
        <v>834</v>
      </c>
      <c r="F1055">
        <v>1631293</v>
      </c>
      <c r="H1055" t="s">
        <v>834</v>
      </c>
      <c r="I1055">
        <v>40</v>
      </c>
      <c r="J1055" s="1">
        <v>321404</v>
      </c>
      <c r="K1055" t="s">
        <v>26</v>
      </c>
      <c r="L1055" s="1">
        <v>321404</v>
      </c>
      <c r="M1055" t="s">
        <v>26</v>
      </c>
      <c r="Q1055" t="s">
        <v>27</v>
      </c>
      <c r="T1055" t="s">
        <v>821</v>
      </c>
      <c r="X1055" t="s">
        <v>30</v>
      </c>
      <c r="Y1055">
        <v>1631293</v>
      </c>
      <c r="Z1055">
        <v>20250930</v>
      </c>
    </row>
    <row r="1056" spans="3:26" x14ac:dyDescent="0.25">
      <c r="C1056">
        <v>10000001</v>
      </c>
      <c r="D1056" t="s">
        <v>834</v>
      </c>
      <c r="F1056">
        <v>1631293</v>
      </c>
      <c r="H1056" t="s">
        <v>834</v>
      </c>
      <c r="I1056">
        <v>40</v>
      </c>
      <c r="J1056" s="1">
        <v>105500</v>
      </c>
      <c r="K1056" t="s">
        <v>26</v>
      </c>
      <c r="L1056" s="1">
        <v>105500</v>
      </c>
      <c r="M1056" t="s">
        <v>26</v>
      </c>
      <c r="Q1056" t="s">
        <v>27</v>
      </c>
      <c r="T1056" t="s">
        <v>805</v>
      </c>
      <c r="X1056" t="s">
        <v>30</v>
      </c>
      <c r="Y1056">
        <v>1631293</v>
      </c>
      <c r="Z1056">
        <v>20250930</v>
      </c>
    </row>
    <row r="1057" spans="3:26" x14ac:dyDescent="0.25">
      <c r="C1057">
        <v>10000001</v>
      </c>
      <c r="D1057" t="s">
        <v>834</v>
      </c>
      <c r="F1057">
        <v>1631293</v>
      </c>
      <c r="H1057" t="s">
        <v>834</v>
      </c>
      <c r="I1057">
        <v>40</v>
      </c>
      <c r="J1057" s="1">
        <v>332000</v>
      </c>
      <c r="K1057" t="s">
        <v>26</v>
      </c>
      <c r="L1057" s="1">
        <v>332000</v>
      </c>
      <c r="M1057" t="s">
        <v>26</v>
      </c>
      <c r="Q1057" t="s">
        <v>27</v>
      </c>
      <c r="T1057" t="s">
        <v>644</v>
      </c>
      <c r="X1057" t="s">
        <v>30</v>
      </c>
      <c r="Y1057">
        <v>1631293</v>
      </c>
      <c r="Z1057">
        <v>20250930</v>
      </c>
    </row>
    <row r="1058" spans="3:26" x14ac:dyDescent="0.25">
      <c r="C1058">
        <v>10000001</v>
      </c>
      <c r="D1058" t="s">
        <v>834</v>
      </c>
      <c r="F1058">
        <v>1631293</v>
      </c>
      <c r="H1058" t="s">
        <v>834</v>
      </c>
      <c r="I1058">
        <v>40</v>
      </c>
      <c r="J1058" s="1">
        <v>166800</v>
      </c>
      <c r="K1058" t="s">
        <v>26</v>
      </c>
      <c r="L1058" s="1">
        <v>166800</v>
      </c>
      <c r="M1058" t="s">
        <v>26</v>
      </c>
      <c r="Q1058" t="s">
        <v>27</v>
      </c>
      <c r="T1058" t="s">
        <v>804</v>
      </c>
      <c r="X1058" t="s">
        <v>30</v>
      </c>
      <c r="Y1058">
        <v>1631293</v>
      </c>
      <c r="Z1058">
        <v>20250930</v>
      </c>
    </row>
    <row r="1059" spans="3:26" x14ac:dyDescent="0.25">
      <c r="C1059">
        <v>10000001</v>
      </c>
      <c r="D1059" t="s">
        <v>834</v>
      </c>
      <c r="F1059">
        <v>1631293</v>
      </c>
      <c r="H1059" t="s">
        <v>834</v>
      </c>
      <c r="I1059">
        <v>40</v>
      </c>
      <c r="J1059" s="1">
        <v>70000</v>
      </c>
      <c r="K1059" t="s">
        <v>26</v>
      </c>
      <c r="L1059" s="1">
        <v>70000</v>
      </c>
      <c r="M1059" t="s">
        <v>26</v>
      </c>
      <c r="Q1059" t="s">
        <v>27</v>
      </c>
      <c r="T1059" t="s">
        <v>777</v>
      </c>
      <c r="X1059" t="s">
        <v>30</v>
      </c>
      <c r="Y1059">
        <v>1631293</v>
      </c>
      <c r="Z1059">
        <v>20250930</v>
      </c>
    </row>
    <row r="1060" spans="3:26" x14ac:dyDescent="0.25">
      <c r="C1060">
        <v>10000001</v>
      </c>
      <c r="D1060" t="s">
        <v>834</v>
      </c>
      <c r="F1060">
        <v>1631293</v>
      </c>
      <c r="H1060" t="s">
        <v>834</v>
      </c>
      <c r="I1060">
        <v>40</v>
      </c>
      <c r="J1060" s="1">
        <v>358000</v>
      </c>
      <c r="K1060" t="s">
        <v>26</v>
      </c>
      <c r="L1060" s="1">
        <v>358000</v>
      </c>
      <c r="M1060" t="s">
        <v>26</v>
      </c>
      <c r="Q1060" t="s">
        <v>27</v>
      </c>
      <c r="T1060" t="s">
        <v>698</v>
      </c>
      <c r="X1060" t="s">
        <v>30</v>
      </c>
      <c r="Y1060">
        <v>1631293</v>
      </c>
      <c r="Z1060">
        <v>20250930</v>
      </c>
    </row>
    <row r="1061" spans="3:26" x14ac:dyDescent="0.25">
      <c r="C1061">
        <v>10000001</v>
      </c>
      <c r="D1061" t="s">
        <v>834</v>
      </c>
      <c r="F1061">
        <v>1631293</v>
      </c>
      <c r="H1061" t="s">
        <v>834</v>
      </c>
      <c r="I1061">
        <v>40</v>
      </c>
      <c r="J1061" s="1">
        <v>50000</v>
      </c>
      <c r="K1061" t="s">
        <v>26</v>
      </c>
      <c r="L1061" s="1">
        <v>50000</v>
      </c>
      <c r="M1061" t="s">
        <v>26</v>
      </c>
      <c r="Q1061" t="s">
        <v>27</v>
      </c>
      <c r="T1061" t="s">
        <v>678</v>
      </c>
      <c r="X1061" t="s">
        <v>30</v>
      </c>
      <c r="Y1061">
        <v>1631293</v>
      </c>
      <c r="Z1061">
        <v>20250930</v>
      </c>
    </row>
    <row r="1062" spans="3:26" x14ac:dyDescent="0.25">
      <c r="C1062">
        <v>10000001</v>
      </c>
      <c r="D1062" t="s">
        <v>834</v>
      </c>
      <c r="F1062">
        <v>1631293</v>
      </c>
      <c r="H1062" t="s">
        <v>834</v>
      </c>
      <c r="I1062">
        <v>40</v>
      </c>
      <c r="J1062" s="1">
        <v>100000</v>
      </c>
      <c r="K1062" t="s">
        <v>26</v>
      </c>
      <c r="L1062" s="1">
        <v>100000</v>
      </c>
      <c r="M1062" t="s">
        <v>26</v>
      </c>
      <c r="Q1062" t="s">
        <v>27</v>
      </c>
      <c r="T1062" t="s">
        <v>625</v>
      </c>
      <c r="X1062" t="s">
        <v>30</v>
      </c>
      <c r="Y1062">
        <v>1631293</v>
      </c>
      <c r="Z1062">
        <v>20250930</v>
      </c>
    </row>
    <row r="1063" spans="3:26" x14ac:dyDescent="0.25">
      <c r="C1063">
        <v>10000001</v>
      </c>
      <c r="D1063" t="s">
        <v>834</v>
      </c>
      <c r="F1063">
        <v>1631293</v>
      </c>
      <c r="H1063" t="s">
        <v>834</v>
      </c>
      <c r="I1063">
        <v>40</v>
      </c>
      <c r="J1063" s="1">
        <v>150000</v>
      </c>
      <c r="K1063" t="s">
        <v>26</v>
      </c>
      <c r="L1063" s="1">
        <v>150000</v>
      </c>
      <c r="M1063" t="s">
        <v>26</v>
      </c>
      <c r="Q1063" t="s">
        <v>27</v>
      </c>
      <c r="T1063" t="s">
        <v>732</v>
      </c>
      <c r="X1063" t="s">
        <v>30</v>
      </c>
      <c r="Y1063">
        <v>1631293</v>
      </c>
      <c r="Z1063">
        <v>20250930</v>
      </c>
    </row>
    <row r="1064" spans="3:26" x14ac:dyDescent="0.25">
      <c r="C1064">
        <v>10000001</v>
      </c>
      <c r="D1064" t="s">
        <v>834</v>
      </c>
      <c r="F1064">
        <v>1631293</v>
      </c>
      <c r="H1064" t="s">
        <v>834</v>
      </c>
      <c r="I1064">
        <v>40</v>
      </c>
      <c r="J1064" s="1">
        <v>100000</v>
      </c>
      <c r="K1064" t="s">
        <v>26</v>
      </c>
      <c r="L1064" s="1">
        <v>100000</v>
      </c>
      <c r="M1064" t="s">
        <v>26</v>
      </c>
      <c r="Q1064" t="s">
        <v>27</v>
      </c>
      <c r="T1064" t="s">
        <v>802</v>
      </c>
      <c r="X1064" t="s">
        <v>30</v>
      </c>
      <c r="Y1064">
        <v>1631293</v>
      </c>
      <c r="Z1064">
        <v>20250930</v>
      </c>
    </row>
    <row r="1065" spans="3:26" x14ac:dyDescent="0.25">
      <c r="C1065">
        <v>10000001</v>
      </c>
      <c r="D1065" t="s">
        <v>834</v>
      </c>
      <c r="F1065">
        <v>1631293</v>
      </c>
      <c r="H1065" t="s">
        <v>834</v>
      </c>
      <c r="I1065">
        <v>40</v>
      </c>
      <c r="J1065" s="1">
        <v>180000</v>
      </c>
      <c r="K1065" t="s">
        <v>26</v>
      </c>
      <c r="L1065" s="1">
        <v>180000</v>
      </c>
      <c r="M1065" t="s">
        <v>26</v>
      </c>
      <c r="Q1065" t="s">
        <v>27</v>
      </c>
      <c r="T1065" t="s">
        <v>692</v>
      </c>
      <c r="X1065" t="s">
        <v>30</v>
      </c>
      <c r="Y1065">
        <v>1631293</v>
      </c>
      <c r="Z1065">
        <v>20250930</v>
      </c>
    </row>
    <row r="1066" spans="3:26" x14ac:dyDescent="0.25">
      <c r="C1066">
        <v>10000001</v>
      </c>
      <c r="D1066" t="s">
        <v>834</v>
      </c>
      <c r="F1066">
        <v>1631293</v>
      </c>
      <c r="H1066" t="s">
        <v>834</v>
      </c>
      <c r="I1066">
        <v>40</v>
      </c>
      <c r="J1066" s="1">
        <v>814000</v>
      </c>
      <c r="K1066" t="s">
        <v>26</v>
      </c>
      <c r="L1066" s="1">
        <v>814000</v>
      </c>
      <c r="M1066" t="s">
        <v>26</v>
      </c>
      <c r="Q1066" t="s">
        <v>27</v>
      </c>
      <c r="T1066" t="s">
        <v>768</v>
      </c>
      <c r="X1066" t="s">
        <v>30</v>
      </c>
      <c r="Y1066">
        <v>1631293</v>
      </c>
      <c r="Z1066">
        <v>20250930</v>
      </c>
    </row>
    <row r="1067" spans="3:26" x14ac:dyDescent="0.25">
      <c r="C1067">
        <v>10000001</v>
      </c>
      <c r="D1067" t="s">
        <v>834</v>
      </c>
      <c r="F1067">
        <v>1631293</v>
      </c>
      <c r="H1067" t="s">
        <v>834</v>
      </c>
      <c r="I1067">
        <v>40</v>
      </c>
      <c r="J1067" s="1">
        <v>47500</v>
      </c>
      <c r="K1067" t="s">
        <v>26</v>
      </c>
      <c r="L1067" s="1">
        <v>47500</v>
      </c>
      <c r="M1067" t="s">
        <v>26</v>
      </c>
      <c r="Q1067" t="s">
        <v>27</v>
      </c>
      <c r="T1067" t="s">
        <v>694</v>
      </c>
      <c r="X1067" t="s">
        <v>30</v>
      </c>
      <c r="Y1067">
        <v>1631293</v>
      </c>
      <c r="Z1067">
        <v>20250930</v>
      </c>
    </row>
    <row r="1068" spans="3:26" x14ac:dyDescent="0.25">
      <c r="C1068">
        <v>10000001</v>
      </c>
      <c r="D1068" t="s">
        <v>834</v>
      </c>
      <c r="F1068">
        <v>1631293</v>
      </c>
      <c r="H1068" t="s">
        <v>834</v>
      </c>
      <c r="I1068">
        <v>40</v>
      </c>
      <c r="J1068" s="1">
        <v>780857</v>
      </c>
      <c r="K1068" t="s">
        <v>26</v>
      </c>
      <c r="L1068" s="1">
        <v>780857</v>
      </c>
      <c r="M1068" t="s">
        <v>26</v>
      </c>
      <c r="Q1068" t="s">
        <v>27</v>
      </c>
      <c r="T1068" t="s">
        <v>690</v>
      </c>
      <c r="X1068" t="s">
        <v>30</v>
      </c>
      <c r="Y1068">
        <v>1631293</v>
      </c>
      <c r="Z1068">
        <v>20250930</v>
      </c>
    </row>
    <row r="1069" spans="3:26" x14ac:dyDescent="0.25">
      <c r="C1069">
        <v>10000001</v>
      </c>
      <c r="D1069" t="s">
        <v>834</v>
      </c>
      <c r="F1069">
        <v>1631293</v>
      </c>
      <c r="H1069" t="s">
        <v>834</v>
      </c>
      <c r="I1069">
        <v>40</v>
      </c>
      <c r="J1069" s="1">
        <v>151679</v>
      </c>
      <c r="K1069" t="s">
        <v>26</v>
      </c>
      <c r="L1069" s="1">
        <v>151679</v>
      </c>
      <c r="M1069" t="s">
        <v>26</v>
      </c>
      <c r="Q1069" t="s">
        <v>27</v>
      </c>
      <c r="T1069" t="s">
        <v>823</v>
      </c>
      <c r="X1069" t="s">
        <v>30</v>
      </c>
      <c r="Y1069">
        <v>1631293</v>
      </c>
      <c r="Z1069">
        <v>20250930</v>
      </c>
    </row>
    <row r="1070" spans="3:26" x14ac:dyDescent="0.25">
      <c r="C1070">
        <v>10000001</v>
      </c>
      <c r="D1070" t="s">
        <v>834</v>
      </c>
      <c r="F1070">
        <v>1631293</v>
      </c>
      <c r="H1070" t="s">
        <v>834</v>
      </c>
      <c r="I1070">
        <v>40</v>
      </c>
      <c r="J1070" s="1">
        <v>61000</v>
      </c>
      <c r="K1070" t="s">
        <v>26</v>
      </c>
      <c r="L1070" s="1">
        <v>61000</v>
      </c>
      <c r="M1070" t="s">
        <v>26</v>
      </c>
      <c r="Q1070" t="s">
        <v>27</v>
      </c>
      <c r="T1070" t="s">
        <v>824</v>
      </c>
      <c r="X1070" t="s">
        <v>30</v>
      </c>
      <c r="Y1070">
        <v>1631293</v>
      </c>
      <c r="Z1070">
        <v>20250930</v>
      </c>
    </row>
    <row r="1071" spans="3:26" x14ac:dyDescent="0.25">
      <c r="C1071">
        <v>10000001</v>
      </c>
      <c r="D1071" t="s">
        <v>834</v>
      </c>
      <c r="F1071">
        <v>1631293</v>
      </c>
      <c r="H1071" t="s">
        <v>834</v>
      </c>
      <c r="I1071">
        <v>40</v>
      </c>
      <c r="J1071" s="1">
        <v>986200</v>
      </c>
      <c r="K1071" t="s">
        <v>26</v>
      </c>
      <c r="L1071" s="1">
        <v>986200</v>
      </c>
      <c r="M1071" t="s">
        <v>26</v>
      </c>
      <c r="Q1071" t="s">
        <v>27</v>
      </c>
      <c r="T1071" t="s">
        <v>682</v>
      </c>
      <c r="X1071" t="s">
        <v>30</v>
      </c>
      <c r="Y1071">
        <v>1631293</v>
      </c>
      <c r="Z1071">
        <v>20250930</v>
      </c>
    </row>
    <row r="1072" spans="3:26" x14ac:dyDescent="0.25">
      <c r="C1072">
        <v>10000001</v>
      </c>
      <c r="D1072" t="s">
        <v>834</v>
      </c>
      <c r="F1072">
        <v>1631293</v>
      </c>
      <c r="H1072" t="s">
        <v>834</v>
      </c>
      <c r="I1072">
        <v>40</v>
      </c>
      <c r="J1072" s="1">
        <v>748000</v>
      </c>
      <c r="K1072" t="s">
        <v>26</v>
      </c>
      <c r="L1072" s="1">
        <v>748000</v>
      </c>
      <c r="M1072" t="s">
        <v>26</v>
      </c>
      <c r="Q1072" t="s">
        <v>27</v>
      </c>
      <c r="T1072" t="s">
        <v>722</v>
      </c>
      <c r="X1072" t="s">
        <v>30</v>
      </c>
      <c r="Y1072">
        <v>1631293</v>
      </c>
      <c r="Z1072">
        <v>20250930</v>
      </c>
    </row>
    <row r="1073" spans="3:26" x14ac:dyDescent="0.25">
      <c r="C1073">
        <v>10000001</v>
      </c>
      <c r="D1073" t="s">
        <v>834</v>
      </c>
      <c r="F1073">
        <v>1631293</v>
      </c>
      <c r="H1073" t="s">
        <v>834</v>
      </c>
      <c r="I1073">
        <v>40</v>
      </c>
      <c r="J1073" s="1">
        <v>690000</v>
      </c>
      <c r="K1073" t="s">
        <v>26</v>
      </c>
      <c r="L1073" s="1">
        <v>690000</v>
      </c>
      <c r="M1073" t="s">
        <v>26</v>
      </c>
      <c r="Q1073" t="s">
        <v>27</v>
      </c>
      <c r="T1073" t="s">
        <v>817</v>
      </c>
      <c r="X1073" t="s">
        <v>30</v>
      </c>
      <c r="Y1073">
        <v>1631293</v>
      </c>
      <c r="Z1073">
        <v>20250930</v>
      </c>
    </row>
    <row r="1074" spans="3:26" x14ac:dyDescent="0.25">
      <c r="C1074">
        <v>10000001</v>
      </c>
      <c r="D1074" t="s">
        <v>834</v>
      </c>
      <c r="F1074">
        <v>1631293</v>
      </c>
      <c r="H1074" t="s">
        <v>834</v>
      </c>
      <c r="I1074">
        <v>40</v>
      </c>
      <c r="J1074" s="1">
        <v>40770</v>
      </c>
      <c r="K1074" t="s">
        <v>26</v>
      </c>
      <c r="L1074" s="1">
        <v>40770</v>
      </c>
      <c r="M1074" t="s">
        <v>26</v>
      </c>
      <c r="Q1074" t="s">
        <v>27</v>
      </c>
      <c r="T1074" t="s">
        <v>819</v>
      </c>
      <c r="X1074" t="s">
        <v>30</v>
      </c>
      <c r="Y1074">
        <v>1631293</v>
      </c>
      <c r="Z1074">
        <v>20250930</v>
      </c>
    </row>
    <row r="1075" spans="3:26" x14ac:dyDescent="0.25">
      <c r="C1075">
        <v>10000001</v>
      </c>
      <c r="D1075" t="s">
        <v>834</v>
      </c>
      <c r="F1075">
        <v>1631293</v>
      </c>
      <c r="H1075" t="s">
        <v>834</v>
      </c>
      <c r="I1075">
        <v>40</v>
      </c>
      <c r="J1075" s="1">
        <v>261036</v>
      </c>
      <c r="K1075" t="s">
        <v>26</v>
      </c>
      <c r="L1075" s="1">
        <v>261036</v>
      </c>
      <c r="M1075" t="s">
        <v>26</v>
      </c>
      <c r="Q1075" t="s">
        <v>27</v>
      </c>
      <c r="T1075" t="s">
        <v>688</v>
      </c>
      <c r="X1075" t="s">
        <v>30</v>
      </c>
      <c r="Y1075">
        <v>1631293</v>
      </c>
      <c r="Z1075">
        <v>20250930</v>
      </c>
    </row>
    <row r="1076" spans="3:26" x14ac:dyDescent="0.25">
      <c r="C1076">
        <v>10000001</v>
      </c>
      <c r="D1076" t="s">
        <v>834</v>
      </c>
      <c r="F1076">
        <v>1631293</v>
      </c>
      <c r="H1076" t="s">
        <v>834</v>
      </c>
      <c r="I1076">
        <v>40</v>
      </c>
      <c r="J1076" s="1">
        <v>298000</v>
      </c>
      <c r="K1076" t="s">
        <v>26</v>
      </c>
      <c r="L1076" s="1">
        <v>298000</v>
      </c>
      <c r="M1076" t="s">
        <v>26</v>
      </c>
      <c r="Q1076" t="s">
        <v>27</v>
      </c>
      <c r="T1076" t="s">
        <v>832</v>
      </c>
      <c r="X1076" t="s">
        <v>30</v>
      </c>
      <c r="Y1076">
        <v>1631293</v>
      </c>
      <c r="Z1076">
        <v>20250930</v>
      </c>
    </row>
    <row r="1077" spans="3:26" x14ac:dyDescent="0.25">
      <c r="C1077">
        <v>10000001</v>
      </c>
      <c r="D1077" t="s">
        <v>834</v>
      </c>
      <c r="F1077">
        <v>1631293</v>
      </c>
      <c r="H1077" t="s">
        <v>834</v>
      </c>
      <c r="I1077">
        <v>40</v>
      </c>
      <c r="J1077" s="1">
        <v>430000</v>
      </c>
      <c r="K1077" t="s">
        <v>26</v>
      </c>
      <c r="L1077" s="1">
        <v>430000</v>
      </c>
      <c r="M1077" t="s">
        <v>26</v>
      </c>
      <c r="Q1077" t="s">
        <v>27</v>
      </c>
      <c r="T1077" t="s">
        <v>830</v>
      </c>
      <c r="X1077" t="s">
        <v>30</v>
      </c>
      <c r="Y1077">
        <v>1631293</v>
      </c>
      <c r="Z1077">
        <v>20250930</v>
      </c>
    </row>
    <row r="1078" spans="3:26" x14ac:dyDescent="0.25">
      <c r="C1078">
        <v>10000001</v>
      </c>
      <c r="D1078" t="s">
        <v>834</v>
      </c>
      <c r="F1078">
        <v>1631293</v>
      </c>
      <c r="H1078" t="s">
        <v>834</v>
      </c>
      <c r="I1078">
        <v>40</v>
      </c>
      <c r="J1078" s="1">
        <v>133500</v>
      </c>
      <c r="K1078" t="s">
        <v>26</v>
      </c>
      <c r="L1078" s="1">
        <v>133500</v>
      </c>
      <c r="M1078" t="s">
        <v>26</v>
      </c>
      <c r="Q1078" t="s">
        <v>27</v>
      </c>
      <c r="T1078" t="s">
        <v>826</v>
      </c>
      <c r="X1078" t="s">
        <v>30</v>
      </c>
      <c r="Y1078">
        <v>1631293</v>
      </c>
      <c r="Z1078">
        <v>20250930</v>
      </c>
    </row>
    <row r="1079" spans="3:26" x14ac:dyDescent="0.25">
      <c r="C1079">
        <v>10000001</v>
      </c>
      <c r="D1079" t="s">
        <v>834</v>
      </c>
      <c r="F1079">
        <v>1631293</v>
      </c>
      <c r="H1079" t="s">
        <v>834</v>
      </c>
      <c r="I1079">
        <v>40</v>
      </c>
      <c r="J1079" s="1">
        <v>29900</v>
      </c>
      <c r="K1079" t="s">
        <v>26</v>
      </c>
      <c r="L1079" s="1">
        <v>29900</v>
      </c>
      <c r="M1079" t="s">
        <v>26</v>
      </c>
      <c r="Q1079" t="s">
        <v>27</v>
      </c>
      <c r="T1079" t="s">
        <v>756</v>
      </c>
      <c r="X1079" t="s">
        <v>30</v>
      </c>
      <c r="Y1079">
        <v>1631293</v>
      </c>
      <c r="Z1079">
        <v>20250930</v>
      </c>
    </row>
    <row r="1080" spans="3:26" x14ac:dyDescent="0.25">
      <c r="C1080">
        <v>10000001</v>
      </c>
      <c r="D1080" t="s">
        <v>834</v>
      </c>
      <c r="F1080">
        <v>1631293</v>
      </c>
      <c r="H1080" t="s">
        <v>834</v>
      </c>
      <c r="I1080">
        <v>40</v>
      </c>
      <c r="J1080" s="1">
        <v>272900</v>
      </c>
      <c r="K1080" t="s">
        <v>26</v>
      </c>
      <c r="L1080" s="1">
        <v>272900</v>
      </c>
      <c r="M1080" t="s">
        <v>26</v>
      </c>
      <c r="Q1080" t="s">
        <v>27</v>
      </c>
      <c r="T1080" t="s">
        <v>762</v>
      </c>
      <c r="X1080" t="s">
        <v>30</v>
      </c>
      <c r="Y1080">
        <v>1631293</v>
      </c>
      <c r="Z1080">
        <v>20250930</v>
      </c>
    </row>
    <row r="1081" spans="3:26" x14ac:dyDescent="0.25">
      <c r="C1081">
        <v>10000001</v>
      </c>
      <c r="D1081" t="s">
        <v>834</v>
      </c>
      <c r="F1081">
        <v>1631293</v>
      </c>
      <c r="H1081" t="s">
        <v>834</v>
      </c>
      <c r="I1081">
        <v>40</v>
      </c>
      <c r="J1081" s="1">
        <v>736120</v>
      </c>
      <c r="K1081" t="s">
        <v>26</v>
      </c>
      <c r="L1081" s="1">
        <v>736120</v>
      </c>
      <c r="M1081" t="s">
        <v>26</v>
      </c>
      <c r="Q1081" t="s">
        <v>27</v>
      </c>
      <c r="T1081" t="s">
        <v>754</v>
      </c>
      <c r="X1081" t="s">
        <v>30</v>
      </c>
      <c r="Y1081">
        <v>1631293</v>
      </c>
      <c r="Z1081">
        <v>20250930</v>
      </c>
    </row>
    <row r="1082" spans="3:26" x14ac:dyDescent="0.25">
      <c r="C1082">
        <v>10000001</v>
      </c>
      <c r="D1082" t="s">
        <v>834</v>
      </c>
      <c r="F1082">
        <v>1631293</v>
      </c>
      <c r="H1082" t="s">
        <v>834</v>
      </c>
      <c r="I1082">
        <v>40</v>
      </c>
      <c r="J1082" s="1">
        <v>640000</v>
      </c>
      <c r="K1082" t="s">
        <v>26</v>
      </c>
      <c r="L1082" s="1">
        <v>640000</v>
      </c>
      <c r="M1082" t="s">
        <v>26</v>
      </c>
      <c r="Q1082" t="s">
        <v>27</v>
      </c>
      <c r="T1082" t="s">
        <v>652</v>
      </c>
      <c r="X1082" t="s">
        <v>30</v>
      </c>
      <c r="Y1082">
        <v>1631293</v>
      </c>
      <c r="Z1082">
        <v>20250930</v>
      </c>
    </row>
    <row r="1083" spans="3:26" x14ac:dyDescent="0.25">
      <c r="C1083">
        <v>10000001</v>
      </c>
      <c r="D1083" t="s">
        <v>834</v>
      </c>
      <c r="F1083">
        <v>1631293</v>
      </c>
      <c r="H1083" t="s">
        <v>834</v>
      </c>
      <c r="I1083">
        <v>40</v>
      </c>
      <c r="J1083" s="1">
        <v>95000</v>
      </c>
      <c r="K1083" t="s">
        <v>26</v>
      </c>
      <c r="L1083" s="1">
        <v>95000</v>
      </c>
      <c r="M1083" t="s">
        <v>26</v>
      </c>
      <c r="Q1083" t="s">
        <v>27</v>
      </c>
      <c r="T1083" t="s">
        <v>702</v>
      </c>
      <c r="X1083" t="s">
        <v>30</v>
      </c>
      <c r="Y1083">
        <v>1631293</v>
      </c>
      <c r="Z1083">
        <v>20250930</v>
      </c>
    </row>
    <row r="1084" spans="3:26" x14ac:dyDescent="0.25">
      <c r="C1084">
        <v>10000001</v>
      </c>
      <c r="D1084" t="s">
        <v>834</v>
      </c>
      <c r="F1084">
        <v>1631293</v>
      </c>
      <c r="H1084" t="s">
        <v>834</v>
      </c>
      <c r="I1084">
        <v>40</v>
      </c>
      <c r="J1084" s="1">
        <v>376000</v>
      </c>
      <c r="K1084" t="s">
        <v>26</v>
      </c>
      <c r="L1084" s="1">
        <v>376000</v>
      </c>
      <c r="M1084" t="s">
        <v>26</v>
      </c>
      <c r="Q1084" t="s">
        <v>27</v>
      </c>
      <c r="T1084" t="s">
        <v>686</v>
      </c>
      <c r="X1084" t="s">
        <v>30</v>
      </c>
      <c r="Y1084">
        <v>1631293</v>
      </c>
      <c r="Z1084">
        <v>20250930</v>
      </c>
    </row>
    <row r="1085" spans="3:26" x14ac:dyDescent="0.25">
      <c r="C1085">
        <v>10000001</v>
      </c>
      <c r="D1085" t="s">
        <v>834</v>
      </c>
      <c r="F1085">
        <v>1631293</v>
      </c>
      <c r="H1085" t="s">
        <v>834</v>
      </c>
      <c r="I1085">
        <v>50</v>
      </c>
      <c r="J1085" s="1">
        <v>-30159697</v>
      </c>
      <c r="K1085" t="s">
        <v>26</v>
      </c>
      <c r="L1085" s="1">
        <v>-30159697</v>
      </c>
      <c r="M1085" t="s">
        <v>26</v>
      </c>
      <c r="Q1085" t="s">
        <v>27</v>
      </c>
      <c r="T1085" t="s">
        <v>833</v>
      </c>
      <c r="X1085" t="s">
        <v>30</v>
      </c>
      <c r="Y1085">
        <v>1631293</v>
      </c>
      <c r="Z1085">
        <v>20250930</v>
      </c>
    </row>
    <row r="1086" spans="3:26" x14ac:dyDescent="0.25">
      <c r="C1086">
        <v>10000001</v>
      </c>
      <c r="D1086" t="s">
        <v>834</v>
      </c>
      <c r="F1086">
        <v>1646618</v>
      </c>
      <c r="H1086" t="s">
        <v>834</v>
      </c>
      <c r="I1086">
        <v>50</v>
      </c>
      <c r="J1086">
        <v>0</v>
      </c>
      <c r="K1086" t="s">
        <v>26</v>
      </c>
      <c r="L1086">
        <v>0</v>
      </c>
      <c r="M1086" t="s">
        <v>26</v>
      </c>
      <c r="Q1086" t="s">
        <v>27</v>
      </c>
      <c r="S1086" t="s">
        <v>28</v>
      </c>
      <c r="T1086" t="s">
        <v>835</v>
      </c>
      <c r="X1086" t="s">
        <v>30</v>
      </c>
      <c r="Y1086">
        <v>1648366</v>
      </c>
      <c r="Z1086">
        <v>20250930</v>
      </c>
    </row>
    <row r="1087" spans="3:26" x14ac:dyDescent="0.25">
      <c r="C1087">
        <v>10000001</v>
      </c>
      <c r="D1087" t="s">
        <v>834</v>
      </c>
      <c r="F1087">
        <v>1646619</v>
      </c>
      <c r="H1087" t="s">
        <v>836</v>
      </c>
      <c r="I1087">
        <v>40</v>
      </c>
      <c r="J1087">
        <v>0</v>
      </c>
      <c r="K1087" t="s">
        <v>26</v>
      </c>
      <c r="L1087">
        <v>0</v>
      </c>
      <c r="M1087" t="s">
        <v>26</v>
      </c>
      <c r="Q1087" t="s">
        <v>27</v>
      </c>
      <c r="S1087" t="s">
        <v>33</v>
      </c>
      <c r="T1087" t="s">
        <v>837</v>
      </c>
      <c r="X1087" t="s">
        <v>30</v>
      </c>
      <c r="Y1087">
        <v>1648366</v>
      </c>
      <c r="Z1087">
        <v>20251001</v>
      </c>
    </row>
    <row r="1088" spans="3:26" x14ac:dyDescent="0.25">
      <c r="C1088">
        <v>10000001</v>
      </c>
      <c r="D1088" t="s">
        <v>838</v>
      </c>
      <c r="F1088">
        <v>1648366</v>
      </c>
      <c r="H1088" t="s">
        <v>838</v>
      </c>
      <c r="I1088">
        <v>40</v>
      </c>
      <c r="J1088">
        <v>0</v>
      </c>
      <c r="K1088" t="s">
        <v>26</v>
      </c>
      <c r="L1088">
        <v>0</v>
      </c>
      <c r="M1088" t="s">
        <v>26</v>
      </c>
      <c r="Q1088" t="s">
        <v>27</v>
      </c>
      <c r="S1088" t="s">
        <v>36</v>
      </c>
      <c r="T1088" t="s">
        <v>835</v>
      </c>
      <c r="X1088" t="s">
        <v>38</v>
      </c>
      <c r="Y1088">
        <v>1648366</v>
      </c>
      <c r="Z1088">
        <v>20251003</v>
      </c>
    </row>
    <row r="1089" spans="3:26" x14ac:dyDescent="0.25">
      <c r="C1089">
        <v>10000001</v>
      </c>
      <c r="D1089" t="s">
        <v>838</v>
      </c>
      <c r="F1089">
        <v>1648366</v>
      </c>
      <c r="H1089" t="s">
        <v>838</v>
      </c>
      <c r="I1089">
        <v>50</v>
      </c>
      <c r="J1089">
        <v>0</v>
      </c>
      <c r="K1089" t="s">
        <v>26</v>
      </c>
      <c r="L1089">
        <v>0</v>
      </c>
      <c r="M1089" t="s">
        <v>26</v>
      </c>
      <c r="Q1089" t="s">
        <v>27</v>
      </c>
      <c r="S1089" t="s">
        <v>36</v>
      </c>
      <c r="T1089" t="s">
        <v>837</v>
      </c>
      <c r="X1089" t="s">
        <v>38</v>
      </c>
      <c r="Y1089">
        <v>1648366</v>
      </c>
      <c r="Z1089">
        <v>20251003</v>
      </c>
    </row>
    <row r="1090" spans="3:26" x14ac:dyDescent="0.25">
      <c r="C1090">
        <v>10000001</v>
      </c>
      <c r="D1090" t="s">
        <v>836</v>
      </c>
      <c r="F1090">
        <v>12008043</v>
      </c>
      <c r="H1090" t="s">
        <v>836</v>
      </c>
      <c r="I1090">
        <v>50</v>
      </c>
      <c r="J1090" s="1">
        <v>-990000</v>
      </c>
      <c r="K1090" t="s">
        <v>26</v>
      </c>
      <c r="L1090" s="1">
        <v>-990000</v>
      </c>
      <c r="M1090" t="s">
        <v>26</v>
      </c>
      <c r="Q1090" t="s">
        <v>27</v>
      </c>
      <c r="R1090" t="s">
        <v>839</v>
      </c>
      <c r="S1090" t="s">
        <v>129</v>
      </c>
      <c r="T1090" t="s">
        <v>840</v>
      </c>
      <c r="X1090" t="s">
        <v>43</v>
      </c>
      <c r="Y1090">
        <v>1719278</v>
      </c>
      <c r="Z1090">
        <v>20251001</v>
      </c>
    </row>
    <row r="1091" spans="3:26" x14ac:dyDescent="0.25">
      <c r="C1091">
        <v>10000001</v>
      </c>
      <c r="D1091" t="s">
        <v>841</v>
      </c>
      <c r="F1091">
        <v>12008044</v>
      </c>
      <c r="H1091" t="s">
        <v>841</v>
      </c>
      <c r="I1091">
        <v>50</v>
      </c>
      <c r="J1091" s="1">
        <v>-1000000</v>
      </c>
      <c r="K1091" t="s">
        <v>26</v>
      </c>
      <c r="L1091" s="1">
        <v>-1000000</v>
      </c>
      <c r="M1091" t="s">
        <v>26</v>
      </c>
      <c r="Q1091" t="s">
        <v>27</v>
      </c>
      <c r="R1091" t="s">
        <v>842</v>
      </c>
      <c r="S1091" t="s">
        <v>259</v>
      </c>
      <c r="T1091" t="s">
        <v>843</v>
      </c>
      <c r="X1091" t="s">
        <v>43</v>
      </c>
      <c r="Y1091">
        <v>1719278</v>
      </c>
      <c r="Z1091">
        <v>20251002</v>
      </c>
    </row>
    <row r="1092" spans="3:26" x14ac:dyDescent="0.25">
      <c r="C1092">
        <v>10000001</v>
      </c>
      <c r="D1092" t="s">
        <v>841</v>
      </c>
      <c r="F1092">
        <v>12008045</v>
      </c>
      <c r="H1092" t="s">
        <v>841</v>
      </c>
      <c r="I1092">
        <v>50</v>
      </c>
      <c r="J1092" s="1">
        <v>-480000</v>
      </c>
      <c r="K1092" t="s">
        <v>26</v>
      </c>
      <c r="L1092" s="1">
        <v>-480000</v>
      </c>
      <c r="M1092" t="s">
        <v>26</v>
      </c>
      <c r="Q1092" t="s">
        <v>27</v>
      </c>
      <c r="R1092" t="s">
        <v>844</v>
      </c>
      <c r="S1092" t="s">
        <v>41</v>
      </c>
      <c r="T1092" t="s">
        <v>845</v>
      </c>
      <c r="X1092" t="s">
        <v>43</v>
      </c>
      <c r="Y1092">
        <v>1719278</v>
      </c>
      <c r="Z1092">
        <v>20251002</v>
      </c>
    </row>
    <row r="1093" spans="3:26" x14ac:dyDescent="0.25">
      <c r="C1093">
        <v>10000001</v>
      </c>
      <c r="D1093" t="s">
        <v>841</v>
      </c>
      <c r="F1093">
        <v>12008046</v>
      </c>
      <c r="H1093" t="s">
        <v>841</v>
      </c>
      <c r="I1093">
        <v>50</v>
      </c>
      <c r="J1093" s="1">
        <v>-80000</v>
      </c>
      <c r="K1093" t="s">
        <v>26</v>
      </c>
      <c r="L1093" s="1">
        <v>-80000</v>
      </c>
      <c r="M1093" t="s">
        <v>26</v>
      </c>
      <c r="Q1093" t="s">
        <v>27</v>
      </c>
      <c r="R1093" t="s">
        <v>846</v>
      </c>
      <c r="S1093" t="s">
        <v>57</v>
      </c>
      <c r="T1093" t="s">
        <v>847</v>
      </c>
      <c r="X1093" t="s">
        <v>43</v>
      </c>
      <c r="Y1093">
        <v>1719278</v>
      </c>
      <c r="Z1093">
        <v>20251002</v>
      </c>
    </row>
    <row r="1094" spans="3:26" x14ac:dyDescent="0.25">
      <c r="C1094">
        <v>10000001</v>
      </c>
      <c r="D1094" t="s">
        <v>841</v>
      </c>
      <c r="F1094">
        <v>12008047</v>
      </c>
      <c r="H1094" t="s">
        <v>841</v>
      </c>
      <c r="I1094">
        <v>50</v>
      </c>
      <c r="J1094" s="1">
        <v>-990000</v>
      </c>
      <c r="K1094" t="s">
        <v>26</v>
      </c>
      <c r="L1094" s="1">
        <v>-990000</v>
      </c>
      <c r="M1094" t="s">
        <v>26</v>
      </c>
      <c r="Q1094" t="s">
        <v>27</v>
      </c>
      <c r="R1094" t="s">
        <v>848</v>
      </c>
      <c r="S1094" t="s">
        <v>129</v>
      </c>
      <c r="T1094" t="s">
        <v>849</v>
      </c>
      <c r="X1094" t="s">
        <v>43</v>
      </c>
      <c r="Y1094">
        <v>1719278</v>
      </c>
      <c r="Z1094">
        <v>20251002</v>
      </c>
    </row>
    <row r="1095" spans="3:26" x14ac:dyDescent="0.25">
      <c r="C1095">
        <v>10000001</v>
      </c>
      <c r="D1095" t="s">
        <v>841</v>
      </c>
      <c r="F1095">
        <v>12008048</v>
      </c>
      <c r="H1095" t="s">
        <v>841</v>
      </c>
      <c r="I1095">
        <v>50</v>
      </c>
      <c r="J1095" s="1">
        <v>-225000</v>
      </c>
      <c r="K1095" t="s">
        <v>26</v>
      </c>
      <c r="L1095" s="1">
        <v>-225000</v>
      </c>
      <c r="M1095" t="s">
        <v>26</v>
      </c>
      <c r="Q1095" t="s">
        <v>27</v>
      </c>
      <c r="R1095" t="s">
        <v>850</v>
      </c>
      <c r="S1095" t="s">
        <v>59</v>
      </c>
      <c r="T1095" t="s">
        <v>851</v>
      </c>
      <c r="X1095" t="s">
        <v>43</v>
      </c>
      <c r="Y1095">
        <v>1719278</v>
      </c>
      <c r="Z1095">
        <v>20251002</v>
      </c>
    </row>
    <row r="1096" spans="3:26" x14ac:dyDescent="0.25">
      <c r="C1096">
        <v>10000001</v>
      </c>
      <c r="D1096" t="s">
        <v>841</v>
      </c>
      <c r="F1096">
        <v>12008049</v>
      </c>
      <c r="H1096" t="s">
        <v>841</v>
      </c>
      <c r="I1096">
        <v>50</v>
      </c>
      <c r="J1096" s="1">
        <v>-100000</v>
      </c>
      <c r="K1096" t="s">
        <v>26</v>
      </c>
      <c r="L1096" s="1">
        <v>-100000</v>
      </c>
      <c r="M1096" t="s">
        <v>26</v>
      </c>
      <c r="Q1096" t="s">
        <v>27</v>
      </c>
      <c r="R1096" t="s">
        <v>852</v>
      </c>
      <c r="S1096" t="s">
        <v>45</v>
      </c>
      <c r="T1096" t="s">
        <v>853</v>
      </c>
      <c r="X1096" t="s">
        <v>43</v>
      </c>
      <c r="Y1096">
        <v>1719278</v>
      </c>
      <c r="Z1096">
        <v>20251002</v>
      </c>
    </row>
    <row r="1097" spans="3:26" x14ac:dyDescent="0.25">
      <c r="C1097">
        <v>10000001</v>
      </c>
      <c r="D1097" t="s">
        <v>841</v>
      </c>
      <c r="F1097">
        <v>12008050</v>
      </c>
      <c r="H1097" t="s">
        <v>841</v>
      </c>
      <c r="I1097">
        <v>50</v>
      </c>
      <c r="J1097" s="1">
        <v>-350000</v>
      </c>
      <c r="K1097" t="s">
        <v>26</v>
      </c>
      <c r="L1097" s="1">
        <v>-350000</v>
      </c>
      <c r="M1097" t="s">
        <v>26</v>
      </c>
      <c r="Q1097" t="s">
        <v>27</v>
      </c>
      <c r="R1097" t="s">
        <v>852</v>
      </c>
      <c r="S1097" t="s">
        <v>45</v>
      </c>
      <c r="T1097" t="s">
        <v>854</v>
      </c>
      <c r="X1097" t="s">
        <v>43</v>
      </c>
      <c r="Y1097">
        <v>1719278</v>
      </c>
      <c r="Z1097">
        <v>20251002</v>
      </c>
    </row>
    <row r="1098" spans="3:26" x14ac:dyDescent="0.25">
      <c r="C1098">
        <v>10000001</v>
      </c>
      <c r="D1098" t="s">
        <v>841</v>
      </c>
      <c r="F1098">
        <v>12008051</v>
      </c>
      <c r="H1098" t="s">
        <v>841</v>
      </c>
      <c r="I1098">
        <v>50</v>
      </c>
      <c r="J1098" s="1">
        <v>-200000</v>
      </c>
      <c r="K1098" t="s">
        <v>26</v>
      </c>
      <c r="L1098" s="1">
        <v>-200000</v>
      </c>
      <c r="M1098" t="s">
        <v>26</v>
      </c>
      <c r="Q1098" t="s">
        <v>27</v>
      </c>
      <c r="R1098" t="s">
        <v>852</v>
      </c>
      <c r="S1098" t="s">
        <v>45</v>
      </c>
      <c r="T1098" t="s">
        <v>855</v>
      </c>
      <c r="X1098" t="s">
        <v>43</v>
      </c>
      <c r="Y1098">
        <v>1719278</v>
      </c>
      <c r="Z1098">
        <v>20251002</v>
      </c>
    </row>
    <row r="1099" spans="3:26" x14ac:dyDescent="0.25">
      <c r="C1099">
        <v>10000001</v>
      </c>
      <c r="D1099" t="s">
        <v>841</v>
      </c>
      <c r="F1099">
        <v>12008052</v>
      </c>
      <c r="H1099" t="s">
        <v>841</v>
      </c>
      <c r="I1099">
        <v>50</v>
      </c>
      <c r="J1099" s="1">
        <v>-50000</v>
      </c>
      <c r="K1099" t="s">
        <v>26</v>
      </c>
      <c r="L1099" s="1">
        <v>-50000</v>
      </c>
      <c r="M1099" t="s">
        <v>26</v>
      </c>
      <c r="Q1099" t="s">
        <v>27</v>
      </c>
      <c r="R1099" t="s">
        <v>856</v>
      </c>
      <c r="S1099" t="s">
        <v>45</v>
      </c>
      <c r="T1099" t="s">
        <v>857</v>
      </c>
      <c r="X1099" t="s">
        <v>43</v>
      </c>
      <c r="Y1099">
        <v>1719278</v>
      </c>
      <c r="Z1099">
        <v>20251002</v>
      </c>
    </row>
    <row r="1100" spans="3:26" x14ac:dyDescent="0.25">
      <c r="C1100">
        <v>10000001</v>
      </c>
      <c r="D1100" t="s">
        <v>841</v>
      </c>
      <c r="F1100">
        <v>12008053</v>
      </c>
      <c r="H1100" t="s">
        <v>841</v>
      </c>
      <c r="I1100">
        <v>50</v>
      </c>
      <c r="J1100" s="1">
        <v>-50000</v>
      </c>
      <c r="K1100" t="s">
        <v>26</v>
      </c>
      <c r="L1100" s="1">
        <v>-50000</v>
      </c>
      <c r="M1100" t="s">
        <v>26</v>
      </c>
      <c r="Q1100" t="s">
        <v>27</v>
      </c>
      <c r="R1100" t="s">
        <v>856</v>
      </c>
      <c r="S1100" t="s">
        <v>45</v>
      </c>
      <c r="T1100" t="s">
        <v>858</v>
      </c>
      <c r="X1100" t="s">
        <v>43</v>
      </c>
      <c r="Y1100">
        <v>1719278</v>
      </c>
      <c r="Z1100">
        <v>20251002</v>
      </c>
    </row>
    <row r="1101" spans="3:26" x14ac:dyDescent="0.25">
      <c r="C1101">
        <v>10000001</v>
      </c>
      <c r="D1101" t="s">
        <v>841</v>
      </c>
      <c r="F1101">
        <v>12008054</v>
      </c>
      <c r="H1101" t="s">
        <v>841</v>
      </c>
      <c r="I1101">
        <v>50</v>
      </c>
      <c r="J1101" s="1">
        <v>-50000</v>
      </c>
      <c r="K1101" t="s">
        <v>26</v>
      </c>
      <c r="L1101" s="1">
        <v>-50000</v>
      </c>
      <c r="M1101" t="s">
        <v>26</v>
      </c>
      <c r="Q1101" t="s">
        <v>27</v>
      </c>
      <c r="R1101" t="s">
        <v>856</v>
      </c>
      <c r="S1101" t="s">
        <v>45</v>
      </c>
      <c r="T1101" t="s">
        <v>859</v>
      </c>
      <c r="X1101" t="s">
        <v>43</v>
      </c>
      <c r="Y1101">
        <v>1719278</v>
      </c>
      <c r="Z1101">
        <v>20251002</v>
      </c>
    </row>
    <row r="1102" spans="3:26" x14ac:dyDescent="0.25">
      <c r="C1102">
        <v>10000001</v>
      </c>
      <c r="D1102" t="s">
        <v>841</v>
      </c>
      <c r="F1102">
        <v>12008055</v>
      </c>
      <c r="H1102" t="s">
        <v>841</v>
      </c>
      <c r="I1102">
        <v>50</v>
      </c>
      <c r="J1102" s="1">
        <v>-50000</v>
      </c>
      <c r="K1102" t="s">
        <v>26</v>
      </c>
      <c r="L1102" s="1">
        <v>-50000</v>
      </c>
      <c r="M1102" t="s">
        <v>26</v>
      </c>
      <c r="Q1102" t="s">
        <v>27</v>
      </c>
      <c r="R1102" t="s">
        <v>856</v>
      </c>
      <c r="S1102" t="s">
        <v>45</v>
      </c>
      <c r="T1102" t="s">
        <v>860</v>
      </c>
      <c r="X1102" t="s">
        <v>43</v>
      </c>
      <c r="Y1102">
        <v>1719278</v>
      </c>
      <c r="Z1102">
        <v>20251002</v>
      </c>
    </row>
    <row r="1103" spans="3:26" x14ac:dyDescent="0.25">
      <c r="C1103">
        <v>10000001</v>
      </c>
      <c r="D1103" t="s">
        <v>841</v>
      </c>
      <c r="F1103">
        <v>12008056</v>
      </c>
      <c r="H1103" t="s">
        <v>841</v>
      </c>
      <c r="I1103">
        <v>50</v>
      </c>
      <c r="J1103" s="1">
        <v>-50000</v>
      </c>
      <c r="K1103" t="s">
        <v>26</v>
      </c>
      <c r="L1103" s="1">
        <v>-50000</v>
      </c>
      <c r="M1103" t="s">
        <v>26</v>
      </c>
      <c r="Q1103" t="s">
        <v>27</v>
      </c>
      <c r="R1103" t="s">
        <v>856</v>
      </c>
      <c r="S1103" t="s">
        <v>45</v>
      </c>
      <c r="T1103" t="s">
        <v>861</v>
      </c>
      <c r="X1103" t="s">
        <v>43</v>
      </c>
      <c r="Y1103">
        <v>1719278</v>
      </c>
      <c r="Z1103">
        <v>20251002</v>
      </c>
    </row>
    <row r="1104" spans="3:26" x14ac:dyDescent="0.25">
      <c r="C1104">
        <v>10000001</v>
      </c>
      <c r="D1104" t="s">
        <v>841</v>
      </c>
      <c r="F1104">
        <v>12008057</v>
      </c>
      <c r="H1104" t="s">
        <v>841</v>
      </c>
      <c r="I1104">
        <v>50</v>
      </c>
      <c r="J1104" s="1">
        <v>-6000</v>
      </c>
      <c r="K1104" t="s">
        <v>26</v>
      </c>
      <c r="L1104" s="1">
        <v>-6000</v>
      </c>
      <c r="M1104" t="s">
        <v>26</v>
      </c>
      <c r="Q1104" t="s">
        <v>27</v>
      </c>
      <c r="R1104" t="s">
        <v>856</v>
      </c>
      <c r="S1104" t="s">
        <v>334</v>
      </c>
      <c r="T1104" t="s">
        <v>862</v>
      </c>
      <c r="X1104" t="s">
        <v>43</v>
      </c>
      <c r="Y1104">
        <v>1719278</v>
      </c>
      <c r="Z1104">
        <v>20251002</v>
      </c>
    </row>
    <row r="1105" spans="3:26" x14ac:dyDescent="0.25">
      <c r="C1105">
        <v>10000001</v>
      </c>
      <c r="D1105" t="s">
        <v>841</v>
      </c>
      <c r="F1105">
        <v>12008058</v>
      </c>
      <c r="H1105" t="s">
        <v>841</v>
      </c>
      <c r="I1105">
        <v>50</v>
      </c>
      <c r="J1105" s="1">
        <v>-150000</v>
      </c>
      <c r="K1105" t="s">
        <v>26</v>
      </c>
      <c r="L1105" s="1">
        <v>-150000</v>
      </c>
      <c r="M1105" t="s">
        <v>26</v>
      </c>
      <c r="Q1105" t="s">
        <v>27</v>
      </c>
      <c r="R1105" t="s">
        <v>856</v>
      </c>
      <c r="S1105" t="s">
        <v>274</v>
      </c>
      <c r="T1105" t="s">
        <v>863</v>
      </c>
      <c r="X1105" t="s">
        <v>43</v>
      </c>
      <c r="Y1105">
        <v>1719278</v>
      </c>
      <c r="Z1105">
        <v>20251002</v>
      </c>
    </row>
    <row r="1106" spans="3:26" x14ac:dyDescent="0.25">
      <c r="C1106">
        <v>10000001</v>
      </c>
      <c r="D1106" t="s">
        <v>841</v>
      </c>
      <c r="F1106">
        <v>12008059</v>
      </c>
      <c r="H1106" t="s">
        <v>841</v>
      </c>
      <c r="I1106">
        <v>50</v>
      </c>
      <c r="J1106" s="1">
        <v>-100000</v>
      </c>
      <c r="K1106" t="s">
        <v>26</v>
      </c>
      <c r="L1106" s="1">
        <v>-100000</v>
      </c>
      <c r="M1106" t="s">
        <v>26</v>
      </c>
      <c r="Q1106" t="s">
        <v>27</v>
      </c>
      <c r="R1106" t="s">
        <v>864</v>
      </c>
      <c r="S1106" t="s">
        <v>45</v>
      </c>
      <c r="T1106" t="s">
        <v>865</v>
      </c>
      <c r="X1106" t="s">
        <v>43</v>
      </c>
      <c r="Y1106">
        <v>1719278</v>
      </c>
      <c r="Z1106">
        <v>20251002</v>
      </c>
    </row>
    <row r="1107" spans="3:26" x14ac:dyDescent="0.25">
      <c r="C1107">
        <v>10000001</v>
      </c>
      <c r="D1107" t="s">
        <v>841</v>
      </c>
      <c r="F1107">
        <v>12008060</v>
      </c>
      <c r="H1107" t="s">
        <v>841</v>
      </c>
      <c r="I1107">
        <v>50</v>
      </c>
      <c r="J1107" s="1">
        <v>-780000</v>
      </c>
      <c r="K1107" t="s">
        <v>26</v>
      </c>
      <c r="L1107" s="1">
        <v>-780000</v>
      </c>
      <c r="M1107" t="s">
        <v>26</v>
      </c>
      <c r="Q1107" t="s">
        <v>27</v>
      </c>
      <c r="R1107" t="s">
        <v>866</v>
      </c>
      <c r="S1107" t="s">
        <v>96</v>
      </c>
      <c r="T1107" t="s">
        <v>867</v>
      </c>
      <c r="X1107" t="s">
        <v>43</v>
      </c>
      <c r="Y1107">
        <v>1719278</v>
      </c>
      <c r="Z1107">
        <v>20251002</v>
      </c>
    </row>
    <row r="1108" spans="3:26" x14ac:dyDescent="0.25">
      <c r="C1108">
        <v>10000001</v>
      </c>
      <c r="D1108" t="s">
        <v>841</v>
      </c>
      <c r="F1108">
        <v>12008061</v>
      </c>
      <c r="H1108" t="s">
        <v>841</v>
      </c>
      <c r="I1108">
        <v>50</v>
      </c>
      <c r="J1108" s="1">
        <v>-220000</v>
      </c>
      <c r="K1108" t="s">
        <v>26</v>
      </c>
      <c r="L1108" s="1">
        <v>-220000</v>
      </c>
      <c r="M1108" t="s">
        <v>26</v>
      </c>
      <c r="Q1108" t="s">
        <v>27</v>
      </c>
      <c r="R1108" t="s">
        <v>866</v>
      </c>
      <c r="S1108" t="s">
        <v>67</v>
      </c>
      <c r="T1108" t="s">
        <v>98</v>
      </c>
      <c r="X1108" t="s">
        <v>43</v>
      </c>
      <c r="Y1108">
        <v>1719278</v>
      </c>
      <c r="Z1108">
        <v>20251002</v>
      </c>
    </row>
    <row r="1109" spans="3:26" x14ac:dyDescent="0.25">
      <c r="C1109">
        <v>10000001</v>
      </c>
      <c r="D1109" t="s">
        <v>841</v>
      </c>
      <c r="F1109">
        <v>12008062</v>
      </c>
      <c r="H1109" t="s">
        <v>841</v>
      </c>
      <c r="I1109">
        <v>50</v>
      </c>
      <c r="J1109" s="1">
        <v>-50000</v>
      </c>
      <c r="K1109" t="s">
        <v>26</v>
      </c>
      <c r="L1109" s="1">
        <v>-50000</v>
      </c>
      <c r="M1109" t="s">
        <v>26</v>
      </c>
      <c r="Q1109" t="s">
        <v>27</v>
      </c>
      <c r="R1109" t="s">
        <v>868</v>
      </c>
      <c r="S1109" t="s">
        <v>45</v>
      </c>
      <c r="T1109" t="s">
        <v>869</v>
      </c>
      <c r="X1109" t="s">
        <v>43</v>
      </c>
      <c r="Y1109">
        <v>1719278</v>
      </c>
      <c r="Z1109">
        <v>20251002</v>
      </c>
    </row>
    <row r="1110" spans="3:26" x14ac:dyDescent="0.25">
      <c r="C1110">
        <v>10000001</v>
      </c>
      <c r="D1110" t="s">
        <v>841</v>
      </c>
      <c r="F1110">
        <v>12008063</v>
      </c>
      <c r="H1110" t="s">
        <v>841</v>
      </c>
      <c r="I1110">
        <v>50</v>
      </c>
      <c r="J1110" s="1">
        <v>-50000</v>
      </c>
      <c r="K1110" t="s">
        <v>26</v>
      </c>
      <c r="L1110" s="1">
        <v>-50000</v>
      </c>
      <c r="M1110" t="s">
        <v>26</v>
      </c>
      <c r="Q1110" t="s">
        <v>27</v>
      </c>
      <c r="R1110" t="s">
        <v>868</v>
      </c>
      <c r="S1110" t="s">
        <v>45</v>
      </c>
      <c r="T1110" t="s">
        <v>870</v>
      </c>
      <c r="X1110" t="s">
        <v>43</v>
      </c>
      <c r="Y1110">
        <v>1719278</v>
      </c>
      <c r="Z1110">
        <v>20251002</v>
      </c>
    </row>
    <row r="1111" spans="3:26" x14ac:dyDescent="0.25">
      <c r="C1111">
        <v>10000001</v>
      </c>
      <c r="D1111" t="s">
        <v>841</v>
      </c>
      <c r="F1111">
        <v>12008064</v>
      </c>
      <c r="H1111" t="s">
        <v>841</v>
      </c>
      <c r="I1111">
        <v>50</v>
      </c>
      <c r="J1111" s="1">
        <v>-50000</v>
      </c>
      <c r="K1111" t="s">
        <v>26</v>
      </c>
      <c r="L1111" s="1">
        <v>-50000</v>
      </c>
      <c r="M1111" t="s">
        <v>26</v>
      </c>
      <c r="Q1111" t="s">
        <v>27</v>
      </c>
      <c r="R1111" t="s">
        <v>868</v>
      </c>
      <c r="S1111" t="s">
        <v>45</v>
      </c>
      <c r="T1111" t="s">
        <v>871</v>
      </c>
      <c r="X1111" t="s">
        <v>43</v>
      </c>
      <c r="Y1111">
        <v>1719278</v>
      </c>
      <c r="Z1111">
        <v>20251002</v>
      </c>
    </row>
    <row r="1112" spans="3:26" x14ac:dyDescent="0.25">
      <c r="C1112">
        <v>10000001</v>
      </c>
      <c r="D1112" t="s">
        <v>841</v>
      </c>
      <c r="F1112">
        <v>12008065</v>
      </c>
      <c r="H1112" t="s">
        <v>841</v>
      </c>
      <c r="I1112">
        <v>50</v>
      </c>
      <c r="J1112" s="1">
        <v>-50000</v>
      </c>
      <c r="K1112" t="s">
        <v>26</v>
      </c>
      <c r="L1112" s="1">
        <v>-50000</v>
      </c>
      <c r="M1112" t="s">
        <v>26</v>
      </c>
      <c r="Q1112" t="s">
        <v>27</v>
      </c>
      <c r="R1112" t="s">
        <v>868</v>
      </c>
      <c r="S1112" t="s">
        <v>45</v>
      </c>
      <c r="T1112" t="s">
        <v>872</v>
      </c>
      <c r="X1112" t="s">
        <v>43</v>
      </c>
      <c r="Y1112">
        <v>1719278</v>
      </c>
      <c r="Z1112">
        <v>20251002</v>
      </c>
    </row>
    <row r="1113" spans="3:26" x14ac:dyDescent="0.25">
      <c r="C1113">
        <v>10000001</v>
      </c>
      <c r="D1113" t="s">
        <v>841</v>
      </c>
      <c r="F1113">
        <v>12008066</v>
      </c>
      <c r="H1113" t="s">
        <v>841</v>
      </c>
      <c r="I1113">
        <v>50</v>
      </c>
      <c r="J1113" s="1">
        <v>-50000</v>
      </c>
      <c r="K1113" t="s">
        <v>26</v>
      </c>
      <c r="L1113" s="1">
        <v>-50000</v>
      </c>
      <c r="M1113" t="s">
        <v>26</v>
      </c>
      <c r="Q1113" t="s">
        <v>27</v>
      </c>
      <c r="R1113" t="s">
        <v>868</v>
      </c>
      <c r="S1113" t="s">
        <v>45</v>
      </c>
      <c r="T1113" t="s">
        <v>873</v>
      </c>
      <c r="X1113" t="s">
        <v>43</v>
      </c>
      <c r="Y1113">
        <v>1719278</v>
      </c>
      <c r="Z1113">
        <v>20251002</v>
      </c>
    </row>
    <row r="1114" spans="3:26" x14ac:dyDescent="0.25">
      <c r="C1114">
        <v>10000001</v>
      </c>
      <c r="D1114" t="s">
        <v>841</v>
      </c>
      <c r="F1114">
        <v>12008067</v>
      </c>
      <c r="H1114" t="s">
        <v>841</v>
      </c>
      <c r="I1114">
        <v>50</v>
      </c>
      <c r="J1114" s="1">
        <v>-200000</v>
      </c>
      <c r="K1114" t="s">
        <v>26</v>
      </c>
      <c r="L1114" s="1">
        <v>-200000</v>
      </c>
      <c r="M1114" t="s">
        <v>26</v>
      </c>
      <c r="Q1114" t="s">
        <v>27</v>
      </c>
      <c r="R1114" t="s">
        <v>868</v>
      </c>
      <c r="S1114" t="s">
        <v>45</v>
      </c>
      <c r="T1114" t="s">
        <v>874</v>
      </c>
      <c r="X1114" t="s">
        <v>43</v>
      </c>
      <c r="Y1114">
        <v>1719278</v>
      </c>
      <c r="Z1114">
        <v>20251002</v>
      </c>
    </row>
    <row r="1115" spans="3:26" x14ac:dyDescent="0.25">
      <c r="C1115">
        <v>10000001</v>
      </c>
      <c r="D1115" t="s">
        <v>841</v>
      </c>
      <c r="F1115">
        <v>12008068</v>
      </c>
      <c r="H1115" t="s">
        <v>841</v>
      </c>
      <c r="I1115">
        <v>50</v>
      </c>
      <c r="J1115" s="1">
        <v>-200000</v>
      </c>
      <c r="K1115" t="s">
        <v>26</v>
      </c>
      <c r="L1115" s="1">
        <v>-200000</v>
      </c>
      <c r="M1115" t="s">
        <v>26</v>
      </c>
      <c r="Q1115" t="s">
        <v>27</v>
      </c>
      <c r="R1115" t="s">
        <v>868</v>
      </c>
      <c r="S1115" t="s">
        <v>45</v>
      </c>
      <c r="T1115" t="s">
        <v>875</v>
      </c>
      <c r="X1115" t="s">
        <v>43</v>
      </c>
      <c r="Y1115">
        <v>1719278</v>
      </c>
      <c r="Z1115">
        <v>20251002</v>
      </c>
    </row>
    <row r="1116" spans="3:26" x14ac:dyDescent="0.25">
      <c r="C1116">
        <v>10000001</v>
      </c>
      <c r="D1116" t="s">
        <v>841</v>
      </c>
      <c r="F1116">
        <v>12008069</v>
      </c>
      <c r="H1116" t="s">
        <v>841</v>
      </c>
      <c r="I1116">
        <v>50</v>
      </c>
      <c r="J1116" s="1">
        <v>-50000</v>
      </c>
      <c r="K1116" t="s">
        <v>26</v>
      </c>
      <c r="L1116" s="1">
        <v>-50000</v>
      </c>
      <c r="M1116" t="s">
        <v>26</v>
      </c>
      <c r="Q1116" t="s">
        <v>27</v>
      </c>
      <c r="R1116" t="s">
        <v>876</v>
      </c>
      <c r="S1116" t="s">
        <v>45</v>
      </c>
      <c r="T1116" t="s">
        <v>877</v>
      </c>
      <c r="X1116" t="s">
        <v>43</v>
      </c>
      <c r="Y1116">
        <v>1719278</v>
      </c>
      <c r="Z1116">
        <v>20251002</v>
      </c>
    </row>
    <row r="1117" spans="3:26" x14ac:dyDescent="0.25">
      <c r="C1117">
        <v>10000001</v>
      </c>
      <c r="D1117" t="s">
        <v>841</v>
      </c>
      <c r="F1117">
        <v>12008070</v>
      </c>
      <c r="H1117" t="s">
        <v>841</v>
      </c>
      <c r="I1117">
        <v>50</v>
      </c>
      <c r="J1117" s="1">
        <v>-50000</v>
      </c>
      <c r="K1117" t="s">
        <v>26</v>
      </c>
      <c r="L1117" s="1">
        <v>-50000</v>
      </c>
      <c r="M1117" t="s">
        <v>26</v>
      </c>
      <c r="Q1117" t="s">
        <v>27</v>
      </c>
      <c r="R1117" t="s">
        <v>876</v>
      </c>
      <c r="S1117" t="s">
        <v>45</v>
      </c>
      <c r="T1117" t="s">
        <v>878</v>
      </c>
      <c r="X1117" t="s">
        <v>43</v>
      </c>
      <c r="Y1117">
        <v>1719278</v>
      </c>
      <c r="Z1117">
        <v>20251002</v>
      </c>
    </row>
    <row r="1118" spans="3:26" x14ac:dyDescent="0.25">
      <c r="C1118">
        <v>10000001</v>
      </c>
      <c r="D1118" t="s">
        <v>841</v>
      </c>
      <c r="F1118">
        <v>12008071</v>
      </c>
      <c r="H1118" t="s">
        <v>841</v>
      </c>
      <c r="I1118">
        <v>50</v>
      </c>
      <c r="J1118" s="1">
        <v>-50000</v>
      </c>
      <c r="K1118" t="s">
        <v>26</v>
      </c>
      <c r="L1118" s="1">
        <v>-50000</v>
      </c>
      <c r="M1118" t="s">
        <v>26</v>
      </c>
      <c r="Q1118" t="s">
        <v>27</v>
      </c>
      <c r="R1118" t="s">
        <v>876</v>
      </c>
      <c r="S1118" t="s">
        <v>45</v>
      </c>
      <c r="T1118" t="s">
        <v>879</v>
      </c>
      <c r="X1118" t="s">
        <v>43</v>
      </c>
      <c r="Y1118">
        <v>1719278</v>
      </c>
      <c r="Z1118">
        <v>20251002</v>
      </c>
    </row>
    <row r="1119" spans="3:26" x14ac:dyDescent="0.25">
      <c r="C1119">
        <v>10000001</v>
      </c>
      <c r="D1119" t="s">
        <v>841</v>
      </c>
      <c r="F1119">
        <v>12008072</v>
      </c>
      <c r="H1119" t="s">
        <v>841</v>
      </c>
      <c r="I1119">
        <v>50</v>
      </c>
      <c r="J1119" s="1">
        <v>-50000</v>
      </c>
      <c r="K1119" t="s">
        <v>26</v>
      </c>
      <c r="L1119" s="1">
        <v>-50000</v>
      </c>
      <c r="M1119" t="s">
        <v>26</v>
      </c>
      <c r="Q1119" t="s">
        <v>27</v>
      </c>
      <c r="R1119" t="s">
        <v>876</v>
      </c>
      <c r="S1119" t="s">
        <v>45</v>
      </c>
      <c r="T1119" t="s">
        <v>880</v>
      </c>
      <c r="X1119" t="s">
        <v>43</v>
      </c>
      <c r="Y1119">
        <v>1719278</v>
      </c>
      <c r="Z1119">
        <v>20251002</v>
      </c>
    </row>
    <row r="1120" spans="3:26" x14ac:dyDescent="0.25">
      <c r="C1120">
        <v>10000001</v>
      </c>
      <c r="D1120" t="s">
        <v>841</v>
      </c>
      <c r="F1120">
        <v>12008073</v>
      </c>
      <c r="H1120" t="s">
        <v>841</v>
      </c>
      <c r="I1120">
        <v>50</v>
      </c>
      <c r="J1120" s="1">
        <v>-50000</v>
      </c>
      <c r="K1120" t="s">
        <v>26</v>
      </c>
      <c r="L1120" s="1">
        <v>-50000</v>
      </c>
      <c r="M1120" t="s">
        <v>26</v>
      </c>
      <c r="Q1120" t="s">
        <v>27</v>
      </c>
      <c r="R1120" t="s">
        <v>881</v>
      </c>
      <c r="S1120" t="s">
        <v>45</v>
      </c>
      <c r="T1120" t="s">
        <v>882</v>
      </c>
      <c r="X1120" t="s">
        <v>43</v>
      </c>
      <c r="Y1120">
        <v>1719278</v>
      </c>
      <c r="Z1120">
        <v>20251002</v>
      </c>
    </row>
    <row r="1121" spans="3:26" x14ac:dyDescent="0.25">
      <c r="C1121">
        <v>10000001</v>
      </c>
      <c r="D1121" t="s">
        <v>841</v>
      </c>
      <c r="F1121">
        <v>12008074</v>
      </c>
      <c r="H1121" t="s">
        <v>841</v>
      </c>
      <c r="I1121">
        <v>50</v>
      </c>
      <c r="J1121" s="1">
        <v>-50000</v>
      </c>
      <c r="K1121" t="s">
        <v>26</v>
      </c>
      <c r="L1121" s="1">
        <v>-50000</v>
      </c>
      <c r="M1121" t="s">
        <v>26</v>
      </c>
      <c r="Q1121" t="s">
        <v>27</v>
      </c>
      <c r="R1121" t="s">
        <v>881</v>
      </c>
      <c r="S1121" t="s">
        <v>45</v>
      </c>
      <c r="T1121" t="s">
        <v>883</v>
      </c>
      <c r="X1121" t="s">
        <v>43</v>
      </c>
      <c r="Y1121">
        <v>1719278</v>
      </c>
      <c r="Z1121">
        <v>20251002</v>
      </c>
    </row>
    <row r="1122" spans="3:26" x14ac:dyDescent="0.25">
      <c r="C1122">
        <v>10000001</v>
      </c>
      <c r="D1122" t="s">
        <v>841</v>
      </c>
      <c r="F1122">
        <v>12008075</v>
      </c>
      <c r="H1122" t="s">
        <v>841</v>
      </c>
      <c r="I1122">
        <v>50</v>
      </c>
      <c r="J1122" s="1">
        <v>-50000</v>
      </c>
      <c r="K1122" t="s">
        <v>26</v>
      </c>
      <c r="L1122" s="1">
        <v>-50000</v>
      </c>
      <c r="M1122" t="s">
        <v>26</v>
      </c>
      <c r="Q1122" t="s">
        <v>27</v>
      </c>
      <c r="R1122" t="s">
        <v>881</v>
      </c>
      <c r="S1122" t="s">
        <v>45</v>
      </c>
      <c r="T1122" t="s">
        <v>884</v>
      </c>
      <c r="X1122" t="s">
        <v>43</v>
      </c>
      <c r="Y1122">
        <v>1719278</v>
      </c>
      <c r="Z1122">
        <v>20251002</v>
      </c>
    </row>
    <row r="1123" spans="3:26" x14ac:dyDescent="0.25">
      <c r="C1123">
        <v>10000001</v>
      </c>
      <c r="D1123" t="s">
        <v>841</v>
      </c>
      <c r="F1123">
        <v>12008076</v>
      </c>
      <c r="H1123" t="s">
        <v>841</v>
      </c>
      <c r="I1123">
        <v>50</v>
      </c>
      <c r="J1123" s="1">
        <v>-50000</v>
      </c>
      <c r="K1123" t="s">
        <v>26</v>
      </c>
      <c r="L1123" s="1">
        <v>-50000</v>
      </c>
      <c r="M1123" t="s">
        <v>26</v>
      </c>
      <c r="Q1123" t="s">
        <v>27</v>
      </c>
      <c r="R1123" t="s">
        <v>885</v>
      </c>
      <c r="S1123" t="s">
        <v>45</v>
      </c>
      <c r="T1123" t="s">
        <v>886</v>
      </c>
      <c r="X1123" t="s">
        <v>43</v>
      </c>
      <c r="Y1123">
        <v>1719278</v>
      </c>
      <c r="Z1123">
        <v>20251002</v>
      </c>
    </row>
    <row r="1124" spans="3:26" x14ac:dyDescent="0.25">
      <c r="C1124">
        <v>10000001</v>
      </c>
      <c r="D1124" t="s">
        <v>841</v>
      </c>
      <c r="F1124">
        <v>12008077</v>
      </c>
      <c r="H1124" t="s">
        <v>841</v>
      </c>
      <c r="I1124">
        <v>50</v>
      </c>
      <c r="J1124" s="1">
        <v>-50000</v>
      </c>
      <c r="K1124" t="s">
        <v>26</v>
      </c>
      <c r="L1124" s="1">
        <v>-50000</v>
      </c>
      <c r="M1124" t="s">
        <v>26</v>
      </c>
      <c r="Q1124" t="s">
        <v>27</v>
      </c>
      <c r="R1124" t="s">
        <v>885</v>
      </c>
      <c r="S1124" t="s">
        <v>45</v>
      </c>
      <c r="T1124" t="s">
        <v>886</v>
      </c>
      <c r="X1124" t="s">
        <v>43</v>
      </c>
      <c r="Y1124">
        <v>1719278</v>
      </c>
      <c r="Z1124">
        <v>20251002</v>
      </c>
    </row>
    <row r="1125" spans="3:26" x14ac:dyDescent="0.25">
      <c r="C1125">
        <v>10000001</v>
      </c>
      <c r="D1125" t="s">
        <v>841</v>
      </c>
      <c r="F1125">
        <v>12008078</v>
      </c>
      <c r="H1125" t="s">
        <v>841</v>
      </c>
      <c r="I1125">
        <v>50</v>
      </c>
      <c r="J1125" s="1">
        <v>-50000</v>
      </c>
      <c r="K1125" t="s">
        <v>26</v>
      </c>
      <c r="L1125" s="1">
        <v>-50000</v>
      </c>
      <c r="M1125" t="s">
        <v>26</v>
      </c>
      <c r="Q1125" t="s">
        <v>27</v>
      </c>
      <c r="R1125" t="s">
        <v>885</v>
      </c>
      <c r="S1125" t="s">
        <v>45</v>
      </c>
      <c r="T1125" t="s">
        <v>886</v>
      </c>
      <c r="X1125" t="s">
        <v>43</v>
      </c>
      <c r="Y1125">
        <v>1719278</v>
      </c>
      <c r="Z1125">
        <v>20251002</v>
      </c>
    </row>
    <row r="1126" spans="3:26" x14ac:dyDescent="0.25">
      <c r="C1126">
        <v>10000001</v>
      </c>
      <c r="D1126" t="s">
        <v>841</v>
      </c>
      <c r="F1126">
        <v>12008079</v>
      </c>
      <c r="H1126" t="s">
        <v>841</v>
      </c>
      <c r="I1126">
        <v>50</v>
      </c>
      <c r="J1126" s="1">
        <v>-50000</v>
      </c>
      <c r="K1126" t="s">
        <v>26</v>
      </c>
      <c r="L1126" s="1">
        <v>-50000</v>
      </c>
      <c r="M1126" t="s">
        <v>26</v>
      </c>
      <c r="Q1126" t="s">
        <v>27</v>
      </c>
      <c r="R1126" t="s">
        <v>885</v>
      </c>
      <c r="S1126" t="s">
        <v>45</v>
      </c>
      <c r="T1126" t="s">
        <v>886</v>
      </c>
      <c r="X1126" t="s">
        <v>43</v>
      </c>
      <c r="Y1126">
        <v>1719278</v>
      </c>
      <c r="Z1126">
        <v>20251002</v>
      </c>
    </row>
    <row r="1127" spans="3:26" x14ac:dyDescent="0.25">
      <c r="C1127">
        <v>10000001</v>
      </c>
      <c r="D1127" t="s">
        <v>841</v>
      </c>
      <c r="F1127">
        <v>12008080</v>
      </c>
      <c r="H1127" t="s">
        <v>841</v>
      </c>
      <c r="I1127">
        <v>50</v>
      </c>
      <c r="J1127" s="1">
        <v>-800000</v>
      </c>
      <c r="K1127" t="s">
        <v>26</v>
      </c>
      <c r="L1127" s="1">
        <v>-800000</v>
      </c>
      <c r="M1127" t="s">
        <v>26</v>
      </c>
      <c r="Q1127" t="s">
        <v>27</v>
      </c>
      <c r="R1127" t="s">
        <v>887</v>
      </c>
      <c r="S1127" t="s">
        <v>254</v>
      </c>
      <c r="T1127" t="s">
        <v>888</v>
      </c>
      <c r="X1127" t="s">
        <v>43</v>
      </c>
      <c r="Y1127">
        <v>1719278</v>
      </c>
      <c r="Z1127">
        <v>20251002</v>
      </c>
    </row>
    <row r="1128" spans="3:26" x14ac:dyDescent="0.25">
      <c r="C1128">
        <v>10000001</v>
      </c>
      <c r="D1128" t="s">
        <v>841</v>
      </c>
      <c r="F1128">
        <v>12008081</v>
      </c>
      <c r="H1128" t="s">
        <v>841</v>
      </c>
      <c r="I1128">
        <v>50</v>
      </c>
      <c r="J1128" s="1">
        <v>-50000</v>
      </c>
      <c r="K1128" t="s">
        <v>26</v>
      </c>
      <c r="L1128" s="1">
        <v>-50000</v>
      </c>
      <c r="M1128" t="s">
        <v>26</v>
      </c>
      <c r="Q1128" t="s">
        <v>27</v>
      </c>
      <c r="R1128" t="s">
        <v>889</v>
      </c>
      <c r="S1128" t="s">
        <v>45</v>
      </c>
      <c r="T1128" t="s">
        <v>890</v>
      </c>
      <c r="X1128" t="s">
        <v>43</v>
      </c>
      <c r="Y1128">
        <v>1719278</v>
      </c>
      <c r="Z1128">
        <v>20251002</v>
      </c>
    </row>
    <row r="1129" spans="3:26" x14ac:dyDescent="0.25">
      <c r="C1129">
        <v>10000001</v>
      </c>
      <c r="D1129" t="s">
        <v>841</v>
      </c>
      <c r="F1129">
        <v>12008082</v>
      </c>
      <c r="H1129" t="s">
        <v>841</v>
      </c>
      <c r="I1129">
        <v>50</v>
      </c>
      <c r="J1129" s="1">
        <v>-957000</v>
      </c>
      <c r="K1129" t="s">
        <v>26</v>
      </c>
      <c r="L1129" s="1">
        <v>-957000</v>
      </c>
      <c r="M1129" t="s">
        <v>26</v>
      </c>
      <c r="Q1129" t="s">
        <v>27</v>
      </c>
      <c r="R1129" t="s">
        <v>891</v>
      </c>
      <c r="S1129" t="s">
        <v>59</v>
      </c>
      <c r="T1129" t="s">
        <v>892</v>
      </c>
      <c r="X1129" t="s">
        <v>43</v>
      </c>
      <c r="Y1129">
        <v>1719278</v>
      </c>
      <c r="Z1129">
        <v>20251002</v>
      </c>
    </row>
    <row r="1130" spans="3:26" x14ac:dyDescent="0.25">
      <c r="C1130">
        <v>10000001</v>
      </c>
      <c r="D1130" t="s">
        <v>841</v>
      </c>
      <c r="F1130">
        <v>12008083</v>
      </c>
      <c r="H1130" t="s">
        <v>841</v>
      </c>
      <c r="I1130">
        <v>50</v>
      </c>
      <c r="J1130" s="1">
        <v>-50000</v>
      </c>
      <c r="K1130" t="s">
        <v>26</v>
      </c>
      <c r="L1130" s="1">
        <v>-50000</v>
      </c>
      <c r="M1130" t="s">
        <v>26</v>
      </c>
      <c r="Q1130" t="s">
        <v>27</v>
      </c>
      <c r="R1130" t="s">
        <v>893</v>
      </c>
      <c r="S1130" t="s">
        <v>45</v>
      </c>
      <c r="T1130" t="s">
        <v>894</v>
      </c>
      <c r="X1130" t="s">
        <v>43</v>
      </c>
      <c r="Y1130">
        <v>1719278</v>
      </c>
      <c r="Z1130">
        <v>20251002</v>
      </c>
    </row>
    <row r="1131" spans="3:26" x14ac:dyDescent="0.25">
      <c r="C1131">
        <v>10000001</v>
      </c>
      <c r="D1131" t="s">
        <v>841</v>
      </c>
      <c r="F1131">
        <v>12008084</v>
      </c>
      <c r="H1131" t="s">
        <v>841</v>
      </c>
      <c r="I1131">
        <v>50</v>
      </c>
      <c r="J1131" s="1">
        <v>-50000</v>
      </c>
      <c r="K1131" t="s">
        <v>26</v>
      </c>
      <c r="L1131" s="1">
        <v>-50000</v>
      </c>
      <c r="M1131" t="s">
        <v>26</v>
      </c>
      <c r="Q1131" t="s">
        <v>27</v>
      </c>
      <c r="R1131" t="s">
        <v>893</v>
      </c>
      <c r="S1131" t="s">
        <v>45</v>
      </c>
      <c r="T1131" t="s">
        <v>895</v>
      </c>
      <c r="X1131" t="s">
        <v>43</v>
      </c>
      <c r="Y1131">
        <v>1719278</v>
      </c>
      <c r="Z1131">
        <v>20251002</v>
      </c>
    </row>
    <row r="1132" spans="3:26" x14ac:dyDescent="0.25">
      <c r="C1132">
        <v>10000001</v>
      </c>
      <c r="D1132" t="s">
        <v>841</v>
      </c>
      <c r="F1132">
        <v>12008085</v>
      </c>
      <c r="H1132" t="s">
        <v>841</v>
      </c>
      <c r="I1132">
        <v>50</v>
      </c>
      <c r="J1132" s="1">
        <v>-50000</v>
      </c>
      <c r="K1132" t="s">
        <v>26</v>
      </c>
      <c r="L1132" s="1">
        <v>-50000</v>
      </c>
      <c r="M1132" t="s">
        <v>26</v>
      </c>
      <c r="Q1132" t="s">
        <v>27</v>
      </c>
      <c r="R1132" t="s">
        <v>893</v>
      </c>
      <c r="S1132" t="s">
        <v>45</v>
      </c>
      <c r="T1132" t="s">
        <v>896</v>
      </c>
      <c r="X1132" t="s">
        <v>43</v>
      </c>
      <c r="Y1132">
        <v>1719278</v>
      </c>
      <c r="Z1132">
        <v>20251002</v>
      </c>
    </row>
    <row r="1133" spans="3:26" x14ac:dyDescent="0.25">
      <c r="C1133">
        <v>10000001</v>
      </c>
      <c r="D1133" t="s">
        <v>841</v>
      </c>
      <c r="F1133">
        <v>12008086</v>
      </c>
      <c r="H1133" t="s">
        <v>841</v>
      </c>
      <c r="I1133">
        <v>50</v>
      </c>
      <c r="J1133" s="1">
        <v>-50000</v>
      </c>
      <c r="K1133" t="s">
        <v>26</v>
      </c>
      <c r="L1133" s="1">
        <v>-50000</v>
      </c>
      <c r="M1133" t="s">
        <v>26</v>
      </c>
      <c r="Q1133" t="s">
        <v>27</v>
      </c>
      <c r="R1133" t="s">
        <v>893</v>
      </c>
      <c r="S1133" t="s">
        <v>45</v>
      </c>
      <c r="T1133" t="s">
        <v>897</v>
      </c>
      <c r="X1133" t="s">
        <v>43</v>
      </c>
      <c r="Y1133">
        <v>1719278</v>
      </c>
      <c r="Z1133">
        <v>20251002</v>
      </c>
    </row>
    <row r="1134" spans="3:26" x14ac:dyDescent="0.25">
      <c r="C1134">
        <v>10000001</v>
      </c>
      <c r="D1134" t="s">
        <v>841</v>
      </c>
      <c r="F1134">
        <v>12008087</v>
      </c>
      <c r="H1134" t="s">
        <v>841</v>
      </c>
      <c r="I1134">
        <v>50</v>
      </c>
      <c r="J1134" s="1">
        <v>-560000</v>
      </c>
      <c r="K1134" t="s">
        <v>26</v>
      </c>
      <c r="L1134" s="1">
        <v>-560000</v>
      </c>
      <c r="M1134" t="s">
        <v>26</v>
      </c>
      <c r="Q1134" t="s">
        <v>27</v>
      </c>
      <c r="R1134" t="s">
        <v>898</v>
      </c>
      <c r="S1134" t="s">
        <v>96</v>
      </c>
      <c r="T1134" t="s">
        <v>899</v>
      </c>
      <c r="X1134" t="s">
        <v>43</v>
      </c>
      <c r="Y1134">
        <v>1719278</v>
      </c>
      <c r="Z1134">
        <v>20251002</v>
      </c>
    </row>
    <row r="1135" spans="3:26" x14ac:dyDescent="0.25">
      <c r="C1135">
        <v>10000001</v>
      </c>
      <c r="D1135" t="s">
        <v>841</v>
      </c>
      <c r="F1135">
        <v>12008088</v>
      </c>
      <c r="H1135" t="s">
        <v>841</v>
      </c>
      <c r="I1135">
        <v>50</v>
      </c>
      <c r="J1135" s="1">
        <v>-439500</v>
      </c>
      <c r="K1135" t="s">
        <v>26</v>
      </c>
      <c r="L1135" s="1">
        <v>-439500</v>
      </c>
      <c r="M1135" t="s">
        <v>26</v>
      </c>
      <c r="Q1135" t="s">
        <v>27</v>
      </c>
      <c r="R1135" t="s">
        <v>898</v>
      </c>
      <c r="S1135" t="s">
        <v>67</v>
      </c>
      <c r="T1135" t="s">
        <v>98</v>
      </c>
      <c r="X1135" t="s">
        <v>43</v>
      </c>
      <c r="Y1135">
        <v>1719278</v>
      </c>
      <c r="Z1135">
        <v>20251002</v>
      </c>
    </row>
    <row r="1136" spans="3:26" x14ac:dyDescent="0.25">
      <c r="C1136">
        <v>10000001</v>
      </c>
      <c r="D1136" t="s">
        <v>841</v>
      </c>
      <c r="F1136">
        <v>12008089</v>
      </c>
      <c r="H1136" t="s">
        <v>841</v>
      </c>
      <c r="I1136">
        <v>50</v>
      </c>
      <c r="J1136" s="1">
        <v>-601025</v>
      </c>
      <c r="K1136" t="s">
        <v>26</v>
      </c>
      <c r="L1136" s="1">
        <v>-601025</v>
      </c>
      <c r="M1136" t="s">
        <v>26</v>
      </c>
      <c r="Q1136" t="s">
        <v>27</v>
      </c>
      <c r="R1136" t="s">
        <v>900</v>
      </c>
      <c r="S1136" t="s">
        <v>146</v>
      </c>
      <c r="T1136" t="s">
        <v>901</v>
      </c>
      <c r="X1136" t="s">
        <v>43</v>
      </c>
      <c r="Y1136">
        <v>1719278</v>
      </c>
      <c r="Z1136">
        <v>20251002</v>
      </c>
    </row>
    <row r="1137" spans="3:26" x14ac:dyDescent="0.25">
      <c r="C1137">
        <v>10000001</v>
      </c>
      <c r="D1137" t="s">
        <v>841</v>
      </c>
      <c r="F1137">
        <v>12008090</v>
      </c>
      <c r="H1137" t="s">
        <v>841</v>
      </c>
      <c r="I1137">
        <v>50</v>
      </c>
      <c r="J1137" s="1">
        <v>-86000</v>
      </c>
      <c r="K1137" t="s">
        <v>26</v>
      </c>
      <c r="L1137" s="1">
        <v>-86000</v>
      </c>
      <c r="M1137" t="s">
        <v>26</v>
      </c>
      <c r="Q1137" t="s">
        <v>27</v>
      </c>
      <c r="R1137" t="s">
        <v>900</v>
      </c>
      <c r="S1137" t="s">
        <v>518</v>
      </c>
      <c r="T1137" t="s">
        <v>902</v>
      </c>
      <c r="X1137" t="s">
        <v>43</v>
      </c>
      <c r="Y1137">
        <v>1719278</v>
      </c>
      <c r="Z1137">
        <v>20251002</v>
      </c>
    </row>
    <row r="1138" spans="3:26" x14ac:dyDescent="0.25">
      <c r="C1138">
        <v>10000001</v>
      </c>
      <c r="D1138" t="s">
        <v>841</v>
      </c>
      <c r="F1138">
        <v>12008091</v>
      </c>
      <c r="H1138" t="s">
        <v>841</v>
      </c>
      <c r="I1138">
        <v>50</v>
      </c>
      <c r="J1138" s="1">
        <v>-999700</v>
      </c>
      <c r="K1138" t="s">
        <v>26</v>
      </c>
      <c r="L1138" s="1">
        <v>-999700</v>
      </c>
      <c r="M1138" t="s">
        <v>26</v>
      </c>
      <c r="Q1138" t="s">
        <v>27</v>
      </c>
      <c r="R1138" t="s">
        <v>903</v>
      </c>
      <c r="S1138" t="s">
        <v>126</v>
      </c>
      <c r="T1138" t="s">
        <v>904</v>
      </c>
      <c r="X1138" t="s">
        <v>43</v>
      </c>
      <c r="Y1138">
        <v>1719278</v>
      </c>
      <c r="Z1138">
        <v>20251002</v>
      </c>
    </row>
    <row r="1139" spans="3:26" x14ac:dyDescent="0.25">
      <c r="C1139">
        <v>10000001</v>
      </c>
      <c r="D1139" t="s">
        <v>841</v>
      </c>
      <c r="F1139">
        <v>12008092</v>
      </c>
      <c r="H1139" t="s">
        <v>841</v>
      </c>
      <c r="I1139">
        <v>50</v>
      </c>
      <c r="J1139" s="1">
        <v>-400000</v>
      </c>
      <c r="K1139" t="s">
        <v>26</v>
      </c>
      <c r="L1139" s="1">
        <v>-400000</v>
      </c>
      <c r="M1139" t="s">
        <v>26</v>
      </c>
      <c r="Q1139" t="s">
        <v>27</v>
      </c>
      <c r="R1139" t="s">
        <v>905</v>
      </c>
      <c r="S1139" t="s">
        <v>126</v>
      </c>
      <c r="T1139" t="s">
        <v>906</v>
      </c>
      <c r="X1139" t="s">
        <v>43</v>
      </c>
      <c r="Y1139">
        <v>1719278</v>
      </c>
      <c r="Z1139">
        <v>20251002</v>
      </c>
    </row>
    <row r="1140" spans="3:26" x14ac:dyDescent="0.25">
      <c r="C1140">
        <v>10000001</v>
      </c>
      <c r="D1140" t="s">
        <v>841</v>
      </c>
      <c r="F1140">
        <v>12008093</v>
      </c>
      <c r="H1140" t="s">
        <v>841</v>
      </c>
      <c r="I1140">
        <v>50</v>
      </c>
      <c r="J1140" s="1">
        <v>-150000</v>
      </c>
      <c r="K1140" t="s">
        <v>26</v>
      </c>
      <c r="L1140" s="1">
        <v>-150000</v>
      </c>
      <c r="M1140" t="s">
        <v>26</v>
      </c>
      <c r="Q1140" t="s">
        <v>27</v>
      </c>
      <c r="R1140" t="s">
        <v>907</v>
      </c>
      <c r="S1140" t="s">
        <v>259</v>
      </c>
      <c r="T1140" t="s">
        <v>908</v>
      </c>
      <c r="X1140" t="s">
        <v>43</v>
      </c>
      <c r="Y1140">
        <v>1719278</v>
      </c>
      <c r="Z1140">
        <v>20251002</v>
      </c>
    </row>
    <row r="1141" spans="3:26" x14ac:dyDescent="0.25">
      <c r="C1141">
        <v>10000001</v>
      </c>
      <c r="D1141" t="s">
        <v>841</v>
      </c>
      <c r="F1141">
        <v>12008094</v>
      </c>
      <c r="H1141" t="s">
        <v>841</v>
      </c>
      <c r="I1141">
        <v>50</v>
      </c>
      <c r="J1141" s="1">
        <v>-50000</v>
      </c>
      <c r="K1141" t="s">
        <v>26</v>
      </c>
      <c r="L1141" s="1">
        <v>-50000</v>
      </c>
      <c r="M1141" t="s">
        <v>26</v>
      </c>
      <c r="Q1141" t="s">
        <v>27</v>
      </c>
      <c r="R1141" t="s">
        <v>909</v>
      </c>
      <c r="S1141" t="s">
        <v>45</v>
      </c>
      <c r="T1141" t="s">
        <v>910</v>
      </c>
      <c r="X1141" t="s">
        <v>43</v>
      </c>
      <c r="Y1141">
        <v>1719278</v>
      </c>
      <c r="Z1141">
        <v>20251002</v>
      </c>
    </row>
    <row r="1142" spans="3:26" x14ac:dyDescent="0.25">
      <c r="C1142">
        <v>10000001</v>
      </c>
      <c r="D1142" t="s">
        <v>841</v>
      </c>
      <c r="F1142">
        <v>12008095</v>
      </c>
      <c r="H1142" t="s">
        <v>841</v>
      </c>
      <c r="I1142">
        <v>50</v>
      </c>
      <c r="J1142" s="1">
        <v>-50000</v>
      </c>
      <c r="K1142" t="s">
        <v>26</v>
      </c>
      <c r="L1142" s="1">
        <v>-50000</v>
      </c>
      <c r="M1142" t="s">
        <v>26</v>
      </c>
      <c r="Q1142" t="s">
        <v>27</v>
      </c>
      <c r="R1142" t="s">
        <v>909</v>
      </c>
      <c r="S1142" t="s">
        <v>45</v>
      </c>
      <c r="T1142" t="s">
        <v>911</v>
      </c>
      <c r="X1142" t="s">
        <v>43</v>
      </c>
      <c r="Y1142">
        <v>1719278</v>
      </c>
      <c r="Z1142">
        <v>20251002</v>
      </c>
    </row>
    <row r="1143" spans="3:26" x14ac:dyDescent="0.25">
      <c r="C1143">
        <v>10000001</v>
      </c>
      <c r="D1143" t="s">
        <v>841</v>
      </c>
      <c r="F1143">
        <v>12008096</v>
      </c>
      <c r="H1143" t="s">
        <v>841</v>
      </c>
      <c r="I1143">
        <v>50</v>
      </c>
      <c r="J1143" s="1">
        <v>-50000</v>
      </c>
      <c r="K1143" t="s">
        <v>26</v>
      </c>
      <c r="L1143" s="1">
        <v>-50000</v>
      </c>
      <c r="M1143" t="s">
        <v>26</v>
      </c>
      <c r="Q1143" t="s">
        <v>27</v>
      </c>
      <c r="R1143" t="s">
        <v>909</v>
      </c>
      <c r="S1143" t="s">
        <v>45</v>
      </c>
      <c r="T1143" t="s">
        <v>912</v>
      </c>
      <c r="X1143" t="s">
        <v>43</v>
      </c>
      <c r="Y1143">
        <v>1719278</v>
      </c>
      <c r="Z1143">
        <v>20251002</v>
      </c>
    </row>
    <row r="1144" spans="3:26" x14ac:dyDescent="0.25">
      <c r="C1144">
        <v>10000001</v>
      </c>
      <c r="D1144" t="s">
        <v>841</v>
      </c>
      <c r="F1144">
        <v>12008097</v>
      </c>
      <c r="H1144" t="s">
        <v>841</v>
      </c>
      <c r="I1144">
        <v>50</v>
      </c>
      <c r="J1144" s="1">
        <v>-50000</v>
      </c>
      <c r="K1144" t="s">
        <v>26</v>
      </c>
      <c r="L1144" s="1">
        <v>-50000</v>
      </c>
      <c r="M1144" t="s">
        <v>26</v>
      </c>
      <c r="Q1144" t="s">
        <v>27</v>
      </c>
      <c r="R1144" t="s">
        <v>909</v>
      </c>
      <c r="S1144" t="s">
        <v>45</v>
      </c>
      <c r="T1144" t="s">
        <v>913</v>
      </c>
      <c r="X1144" t="s">
        <v>43</v>
      </c>
      <c r="Y1144">
        <v>1719278</v>
      </c>
      <c r="Z1144">
        <v>20251002</v>
      </c>
    </row>
    <row r="1145" spans="3:26" x14ac:dyDescent="0.25">
      <c r="C1145">
        <v>10000001</v>
      </c>
      <c r="D1145" t="s">
        <v>841</v>
      </c>
      <c r="F1145">
        <v>12008098</v>
      </c>
      <c r="H1145" t="s">
        <v>841</v>
      </c>
      <c r="I1145">
        <v>50</v>
      </c>
      <c r="J1145" s="1">
        <v>-932500</v>
      </c>
      <c r="K1145" t="s">
        <v>26</v>
      </c>
      <c r="L1145" s="1">
        <v>-932500</v>
      </c>
      <c r="M1145" t="s">
        <v>26</v>
      </c>
      <c r="Q1145" t="s">
        <v>27</v>
      </c>
      <c r="R1145" t="s">
        <v>914</v>
      </c>
      <c r="S1145" t="s">
        <v>59</v>
      </c>
      <c r="T1145" t="s">
        <v>915</v>
      </c>
      <c r="X1145" t="s">
        <v>43</v>
      </c>
      <c r="Y1145">
        <v>1719278</v>
      </c>
      <c r="Z1145">
        <v>20251002</v>
      </c>
    </row>
    <row r="1146" spans="3:26" x14ac:dyDescent="0.25">
      <c r="C1146">
        <v>10000001</v>
      </c>
      <c r="D1146" t="s">
        <v>841</v>
      </c>
      <c r="F1146">
        <v>12008099</v>
      </c>
      <c r="H1146" t="s">
        <v>841</v>
      </c>
      <c r="I1146">
        <v>50</v>
      </c>
      <c r="J1146" s="1">
        <v>-450000</v>
      </c>
      <c r="K1146" t="s">
        <v>26</v>
      </c>
      <c r="L1146" s="1">
        <v>-450000</v>
      </c>
      <c r="M1146" t="s">
        <v>26</v>
      </c>
      <c r="Q1146" t="s">
        <v>27</v>
      </c>
      <c r="R1146" t="s">
        <v>916</v>
      </c>
      <c r="S1146" t="s">
        <v>41</v>
      </c>
      <c r="T1146" t="s">
        <v>917</v>
      </c>
      <c r="X1146" t="s">
        <v>43</v>
      </c>
      <c r="Y1146">
        <v>1719278</v>
      </c>
      <c r="Z1146">
        <v>20251002</v>
      </c>
    </row>
    <row r="1147" spans="3:26" x14ac:dyDescent="0.25">
      <c r="C1147">
        <v>10000001</v>
      </c>
      <c r="D1147" t="s">
        <v>841</v>
      </c>
      <c r="F1147">
        <v>12008100</v>
      </c>
      <c r="H1147" t="s">
        <v>841</v>
      </c>
      <c r="I1147">
        <v>50</v>
      </c>
      <c r="J1147" s="1">
        <v>-25000</v>
      </c>
      <c r="K1147" t="s">
        <v>26</v>
      </c>
      <c r="L1147" s="1">
        <v>-25000</v>
      </c>
      <c r="M1147" t="s">
        <v>26</v>
      </c>
      <c r="Q1147" t="s">
        <v>27</v>
      </c>
      <c r="R1147" t="s">
        <v>918</v>
      </c>
      <c r="S1147" t="s">
        <v>126</v>
      </c>
      <c r="T1147" t="s">
        <v>919</v>
      </c>
      <c r="X1147" t="s">
        <v>43</v>
      </c>
      <c r="Y1147">
        <v>1719278</v>
      </c>
      <c r="Z1147">
        <v>20251002</v>
      </c>
    </row>
    <row r="1148" spans="3:26" x14ac:dyDescent="0.25">
      <c r="C1148">
        <v>10000001</v>
      </c>
      <c r="D1148" t="s">
        <v>841</v>
      </c>
      <c r="F1148">
        <v>12008101</v>
      </c>
      <c r="H1148" t="s">
        <v>841</v>
      </c>
      <c r="I1148">
        <v>50</v>
      </c>
      <c r="J1148" s="1">
        <v>-100000</v>
      </c>
      <c r="K1148" t="s">
        <v>26</v>
      </c>
      <c r="L1148" s="1">
        <v>-100000</v>
      </c>
      <c r="M1148" t="s">
        <v>26</v>
      </c>
      <c r="Q1148" t="s">
        <v>27</v>
      </c>
      <c r="R1148" t="s">
        <v>920</v>
      </c>
      <c r="S1148" t="s">
        <v>45</v>
      </c>
      <c r="T1148" t="s">
        <v>921</v>
      </c>
      <c r="X1148" t="s">
        <v>43</v>
      </c>
      <c r="Y1148">
        <v>1719278</v>
      </c>
      <c r="Z1148">
        <v>20251002</v>
      </c>
    </row>
    <row r="1149" spans="3:26" x14ac:dyDescent="0.25">
      <c r="C1149">
        <v>10000001</v>
      </c>
      <c r="D1149" t="s">
        <v>841</v>
      </c>
      <c r="F1149">
        <v>12008102</v>
      </c>
      <c r="H1149" t="s">
        <v>841</v>
      </c>
      <c r="I1149">
        <v>50</v>
      </c>
      <c r="J1149" s="1">
        <v>-710000</v>
      </c>
      <c r="K1149" t="s">
        <v>26</v>
      </c>
      <c r="L1149" s="1">
        <v>-710000</v>
      </c>
      <c r="M1149" t="s">
        <v>26</v>
      </c>
      <c r="Q1149" t="s">
        <v>27</v>
      </c>
      <c r="R1149" t="s">
        <v>922</v>
      </c>
      <c r="S1149" t="s">
        <v>96</v>
      </c>
      <c r="T1149" t="s">
        <v>923</v>
      </c>
      <c r="X1149" t="s">
        <v>43</v>
      </c>
      <c r="Y1149">
        <v>1719278</v>
      </c>
      <c r="Z1149">
        <v>20251002</v>
      </c>
    </row>
    <row r="1150" spans="3:26" x14ac:dyDescent="0.25">
      <c r="C1150">
        <v>10000001</v>
      </c>
      <c r="D1150" t="s">
        <v>841</v>
      </c>
      <c r="F1150">
        <v>12008103</v>
      </c>
      <c r="H1150" t="s">
        <v>841</v>
      </c>
      <c r="I1150">
        <v>50</v>
      </c>
      <c r="J1150" s="1">
        <v>-290000</v>
      </c>
      <c r="K1150" t="s">
        <v>26</v>
      </c>
      <c r="L1150" s="1">
        <v>-290000</v>
      </c>
      <c r="M1150" t="s">
        <v>26</v>
      </c>
      <c r="Q1150" t="s">
        <v>27</v>
      </c>
      <c r="R1150" t="s">
        <v>922</v>
      </c>
      <c r="S1150" t="s">
        <v>67</v>
      </c>
      <c r="T1150" t="s">
        <v>98</v>
      </c>
      <c r="X1150" t="s">
        <v>43</v>
      </c>
      <c r="Y1150">
        <v>1719278</v>
      </c>
      <c r="Z1150">
        <v>20251002</v>
      </c>
    </row>
    <row r="1151" spans="3:26" x14ac:dyDescent="0.25">
      <c r="C1151">
        <v>10000001</v>
      </c>
      <c r="D1151" t="s">
        <v>841</v>
      </c>
      <c r="F1151">
        <v>12008104</v>
      </c>
      <c r="H1151" t="s">
        <v>841</v>
      </c>
      <c r="I1151">
        <v>50</v>
      </c>
      <c r="J1151" s="1">
        <v>-50000</v>
      </c>
      <c r="K1151" t="s">
        <v>26</v>
      </c>
      <c r="L1151" s="1">
        <v>-50000</v>
      </c>
      <c r="M1151" t="s">
        <v>26</v>
      </c>
      <c r="Q1151" t="s">
        <v>27</v>
      </c>
      <c r="R1151" t="s">
        <v>924</v>
      </c>
      <c r="S1151" t="s">
        <v>45</v>
      </c>
      <c r="T1151" t="s">
        <v>925</v>
      </c>
      <c r="X1151" t="s">
        <v>43</v>
      </c>
      <c r="Y1151">
        <v>1719278</v>
      </c>
      <c r="Z1151">
        <v>20251002</v>
      </c>
    </row>
    <row r="1152" spans="3:26" x14ac:dyDescent="0.25">
      <c r="C1152">
        <v>10000001</v>
      </c>
      <c r="D1152" t="s">
        <v>841</v>
      </c>
      <c r="F1152">
        <v>12008105</v>
      </c>
      <c r="H1152" t="s">
        <v>841</v>
      </c>
      <c r="I1152">
        <v>50</v>
      </c>
      <c r="J1152" s="1">
        <v>-50000</v>
      </c>
      <c r="K1152" t="s">
        <v>26</v>
      </c>
      <c r="L1152" s="1">
        <v>-50000</v>
      </c>
      <c r="M1152" t="s">
        <v>26</v>
      </c>
      <c r="Q1152" t="s">
        <v>27</v>
      </c>
      <c r="R1152" t="s">
        <v>924</v>
      </c>
      <c r="S1152" t="s">
        <v>45</v>
      </c>
      <c r="T1152" t="s">
        <v>926</v>
      </c>
      <c r="X1152" t="s">
        <v>43</v>
      </c>
      <c r="Y1152">
        <v>1719278</v>
      </c>
      <c r="Z1152">
        <v>20251002</v>
      </c>
    </row>
    <row r="1153" spans="3:26" x14ac:dyDescent="0.25">
      <c r="C1153">
        <v>10000001</v>
      </c>
      <c r="D1153" t="s">
        <v>841</v>
      </c>
      <c r="F1153">
        <v>12008106</v>
      </c>
      <c r="H1153" t="s">
        <v>841</v>
      </c>
      <c r="I1153">
        <v>50</v>
      </c>
      <c r="J1153" s="1">
        <v>-625000</v>
      </c>
      <c r="K1153" t="s">
        <v>26</v>
      </c>
      <c r="L1153" s="1">
        <v>-625000</v>
      </c>
      <c r="M1153" t="s">
        <v>26</v>
      </c>
      <c r="Q1153" t="s">
        <v>27</v>
      </c>
      <c r="R1153" t="s">
        <v>927</v>
      </c>
      <c r="S1153" t="s">
        <v>59</v>
      </c>
      <c r="T1153" t="s">
        <v>928</v>
      </c>
      <c r="X1153" t="s">
        <v>43</v>
      </c>
      <c r="Y1153">
        <v>1719278</v>
      </c>
      <c r="Z1153">
        <v>20251002</v>
      </c>
    </row>
    <row r="1154" spans="3:26" x14ac:dyDescent="0.25">
      <c r="C1154">
        <v>10000001</v>
      </c>
      <c r="D1154" t="s">
        <v>841</v>
      </c>
      <c r="F1154">
        <v>12008107</v>
      </c>
      <c r="H1154" t="s">
        <v>841</v>
      </c>
      <c r="I1154">
        <v>50</v>
      </c>
      <c r="J1154" s="1">
        <v>-290470</v>
      </c>
      <c r="K1154" t="s">
        <v>26</v>
      </c>
      <c r="L1154" s="1">
        <v>-290470</v>
      </c>
      <c r="M1154" t="s">
        <v>26</v>
      </c>
      <c r="Q1154" t="s">
        <v>27</v>
      </c>
      <c r="R1154" t="s">
        <v>929</v>
      </c>
      <c r="S1154" t="s">
        <v>59</v>
      </c>
      <c r="T1154" t="s">
        <v>930</v>
      </c>
      <c r="X1154" t="s">
        <v>43</v>
      </c>
      <c r="Y1154">
        <v>1719278</v>
      </c>
      <c r="Z1154">
        <v>20251002</v>
      </c>
    </row>
    <row r="1155" spans="3:26" x14ac:dyDescent="0.25">
      <c r="C1155">
        <v>10000001</v>
      </c>
      <c r="D1155" t="s">
        <v>841</v>
      </c>
      <c r="F1155">
        <v>12008108</v>
      </c>
      <c r="H1155" t="s">
        <v>841</v>
      </c>
      <c r="I1155">
        <v>50</v>
      </c>
      <c r="J1155" s="1">
        <v>-50000</v>
      </c>
      <c r="K1155" t="s">
        <v>26</v>
      </c>
      <c r="L1155" s="1">
        <v>-50000</v>
      </c>
      <c r="M1155" t="s">
        <v>26</v>
      </c>
      <c r="Q1155" t="s">
        <v>27</v>
      </c>
      <c r="R1155" t="s">
        <v>931</v>
      </c>
      <c r="S1155" t="s">
        <v>45</v>
      </c>
      <c r="T1155" t="s">
        <v>932</v>
      </c>
      <c r="X1155" t="s">
        <v>43</v>
      </c>
      <c r="Y1155">
        <v>1719278</v>
      </c>
      <c r="Z1155">
        <v>20251002</v>
      </c>
    </row>
    <row r="1156" spans="3:26" x14ac:dyDescent="0.25">
      <c r="C1156">
        <v>10000001</v>
      </c>
      <c r="D1156" t="s">
        <v>841</v>
      </c>
      <c r="F1156">
        <v>12008109</v>
      </c>
      <c r="H1156" t="s">
        <v>841</v>
      </c>
      <c r="I1156">
        <v>50</v>
      </c>
      <c r="J1156" s="1">
        <v>-50000</v>
      </c>
      <c r="K1156" t="s">
        <v>26</v>
      </c>
      <c r="L1156" s="1">
        <v>-50000</v>
      </c>
      <c r="M1156" t="s">
        <v>26</v>
      </c>
      <c r="Q1156" t="s">
        <v>27</v>
      </c>
      <c r="R1156" t="s">
        <v>931</v>
      </c>
      <c r="S1156" t="s">
        <v>45</v>
      </c>
      <c r="T1156" t="s">
        <v>933</v>
      </c>
      <c r="X1156" t="s">
        <v>43</v>
      </c>
      <c r="Y1156">
        <v>1719278</v>
      </c>
      <c r="Z1156">
        <v>20251002</v>
      </c>
    </row>
    <row r="1157" spans="3:26" x14ac:dyDescent="0.25">
      <c r="C1157">
        <v>10000001</v>
      </c>
      <c r="D1157" t="s">
        <v>841</v>
      </c>
      <c r="F1157">
        <v>12008110</v>
      </c>
      <c r="H1157" t="s">
        <v>841</v>
      </c>
      <c r="I1157">
        <v>50</v>
      </c>
      <c r="J1157" s="1">
        <v>-50000</v>
      </c>
      <c r="K1157" t="s">
        <v>26</v>
      </c>
      <c r="L1157" s="1">
        <v>-50000</v>
      </c>
      <c r="M1157" t="s">
        <v>26</v>
      </c>
      <c r="Q1157" t="s">
        <v>27</v>
      </c>
      <c r="R1157" t="s">
        <v>931</v>
      </c>
      <c r="S1157" t="s">
        <v>45</v>
      </c>
      <c r="T1157" t="s">
        <v>934</v>
      </c>
      <c r="X1157" t="s">
        <v>43</v>
      </c>
      <c r="Y1157">
        <v>1719278</v>
      </c>
      <c r="Z1157">
        <v>20251002</v>
      </c>
    </row>
    <row r="1158" spans="3:26" x14ac:dyDescent="0.25">
      <c r="C1158">
        <v>10000001</v>
      </c>
      <c r="D1158" t="s">
        <v>841</v>
      </c>
      <c r="F1158">
        <v>12008111</v>
      </c>
      <c r="H1158" t="s">
        <v>841</v>
      </c>
      <c r="I1158">
        <v>50</v>
      </c>
      <c r="J1158" s="1">
        <v>-50000</v>
      </c>
      <c r="K1158" t="s">
        <v>26</v>
      </c>
      <c r="L1158" s="1">
        <v>-50000</v>
      </c>
      <c r="M1158" t="s">
        <v>26</v>
      </c>
      <c r="Q1158" t="s">
        <v>27</v>
      </c>
      <c r="R1158" t="s">
        <v>931</v>
      </c>
      <c r="S1158" t="s">
        <v>45</v>
      </c>
      <c r="T1158" t="s">
        <v>935</v>
      </c>
      <c r="X1158" t="s">
        <v>43</v>
      </c>
      <c r="Y1158">
        <v>1719278</v>
      </c>
      <c r="Z1158">
        <v>20251002</v>
      </c>
    </row>
    <row r="1159" spans="3:26" x14ac:dyDescent="0.25">
      <c r="C1159">
        <v>10000001</v>
      </c>
      <c r="D1159" t="s">
        <v>841</v>
      </c>
      <c r="F1159">
        <v>12008112</v>
      </c>
      <c r="H1159" t="s">
        <v>841</v>
      </c>
      <c r="I1159">
        <v>50</v>
      </c>
      <c r="J1159" s="1">
        <v>-200000</v>
      </c>
      <c r="K1159" t="s">
        <v>26</v>
      </c>
      <c r="L1159" s="1">
        <v>-200000</v>
      </c>
      <c r="M1159" t="s">
        <v>26</v>
      </c>
      <c r="Q1159" t="s">
        <v>27</v>
      </c>
      <c r="R1159" t="s">
        <v>931</v>
      </c>
      <c r="S1159" t="s">
        <v>45</v>
      </c>
      <c r="T1159" t="s">
        <v>936</v>
      </c>
      <c r="X1159" t="s">
        <v>43</v>
      </c>
      <c r="Y1159">
        <v>1719278</v>
      </c>
      <c r="Z1159">
        <v>20251002</v>
      </c>
    </row>
    <row r="1160" spans="3:26" x14ac:dyDescent="0.25">
      <c r="C1160">
        <v>10000001</v>
      </c>
      <c r="D1160" t="s">
        <v>841</v>
      </c>
      <c r="F1160">
        <v>12008113</v>
      </c>
      <c r="H1160" t="s">
        <v>841</v>
      </c>
      <c r="I1160">
        <v>50</v>
      </c>
      <c r="J1160" s="1">
        <v>-586500</v>
      </c>
      <c r="K1160" t="s">
        <v>26</v>
      </c>
      <c r="L1160" s="1">
        <v>-586500</v>
      </c>
      <c r="M1160" t="s">
        <v>26</v>
      </c>
      <c r="Q1160" t="s">
        <v>27</v>
      </c>
      <c r="R1160" t="s">
        <v>937</v>
      </c>
      <c r="S1160" t="s">
        <v>64</v>
      </c>
      <c r="T1160" t="s">
        <v>938</v>
      </c>
      <c r="X1160" t="s">
        <v>43</v>
      </c>
      <c r="Y1160">
        <v>1719278</v>
      </c>
      <c r="Z1160">
        <v>20251002</v>
      </c>
    </row>
    <row r="1161" spans="3:26" x14ac:dyDescent="0.25">
      <c r="C1161">
        <v>10000001</v>
      </c>
      <c r="D1161" t="s">
        <v>841</v>
      </c>
      <c r="F1161">
        <v>12008114</v>
      </c>
      <c r="H1161" t="s">
        <v>841</v>
      </c>
      <c r="I1161">
        <v>50</v>
      </c>
      <c r="J1161" s="1">
        <v>-145000</v>
      </c>
      <c r="K1161" t="s">
        <v>26</v>
      </c>
      <c r="L1161" s="1">
        <v>-145000</v>
      </c>
      <c r="M1161" t="s">
        <v>26</v>
      </c>
      <c r="Q1161" t="s">
        <v>27</v>
      </c>
      <c r="R1161" t="s">
        <v>939</v>
      </c>
      <c r="S1161" t="s">
        <v>126</v>
      </c>
      <c r="T1161" t="s">
        <v>940</v>
      </c>
      <c r="X1161" t="s">
        <v>43</v>
      </c>
      <c r="Y1161">
        <v>1719278</v>
      </c>
      <c r="Z1161">
        <v>20251002</v>
      </c>
    </row>
    <row r="1162" spans="3:26" x14ac:dyDescent="0.25">
      <c r="C1162">
        <v>10000001</v>
      </c>
      <c r="D1162" t="s">
        <v>841</v>
      </c>
      <c r="F1162">
        <v>12008115</v>
      </c>
      <c r="H1162" t="s">
        <v>841</v>
      </c>
      <c r="I1162">
        <v>50</v>
      </c>
      <c r="J1162" s="1">
        <v>-234000</v>
      </c>
      <c r="K1162" t="s">
        <v>26</v>
      </c>
      <c r="L1162" s="1">
        <v>-234000</v>
      </c>
      <c r="M1162" t="s">
        <v>26</v>
      </c>
      <c r="Q1162" t="s">
        <v>27</v>
      </c>
      <c r="R1162" t="s">
        <v>941</v>
      </c>
      <c r="S1162" t="s">
        <v>67</v>
      </c>
      <c r="T1162" t="s">
        <v>942</v>
      </c>
      <c r="X1162" t="s">
        <v>43</v>
      </c>
      <c r="Y1162">
        <v>1719278</v>
      </c>
      <c r="Z1162">
        <v>20251002</v>
      </c>
    </row>
    <row r="1163" spans="3:26" x14ac:dyDescent="0.25">
      <c r="C1163">
        <v>10000001</v>
      </c>
      <c r="D1163" t="s">
        <v>841</v>
      </c>
      <c r="F1163">
        <v>12008116</v>
      </c>
      <c r="H1163" t="s">
        <v>841</v>
      </c>
      <c r="I1163">
        <v>50</v>
      </c>
      <c r="J1163" s="1">
        <v>-15000</v>
      </c>
      <c r="K1163" t="s">
        <v>26</v>
      </c>
      <c r="L1163" s="1">
        <v>-15000</v>
      </c>
      <c r="M1163" t="s">
        <v>26</v>
      </c>
      <c r="Q1163" t="s">
        <v>27</v>
      </c>
      <c r="R1163" t="s">
        <v>941</v>
      </c>
      <c r="S1163" t="s">
        <v>64</v>
      </c>
      <c r="T1163" t="s">
        <v>943</v>
      </c>
      <c r="X1163" t="s">
        <v>43</v>
      </c>
      <c r="Y1163">
        <v>1719278</v>
      </c>
      <c r="Z1163">
        <v>20251002</v>
      </c>
    </row>
    <row r="1164" spans="3:26" x14ac:dyDescent="0.25">
      <c r="C1164">
        <v>10000001</v>
      </c>
      <c r="D1164" t="s">
        <v>841</v>
      </c>
      <c r="F1164">
        <v>12008117</v>
      </c>
      <c r="H1164" t="s">
        <v>841</v>
      </c>
      <c r="I1164">
        <v>50</v>
      </c>
      <c r="J1164" s="1">
        <v>-50000</v>
      </c>
      <c r="K1164" t="s">
        <v>26</v>
      </c>
      <c r="L1164" s="1">
        <v>-50000</v>
      </c>
      <c r="M1164" t="s">
        <v>26</v>
      </c>
      <c r="Q1164" t="s">
        <v>27</v>
      </c>
      <c r="R1164" t="s">
        <v>944</v>
      </c>
      <c r="S1164" t="s">
        <v>45</v>
      </c>
      <c r="T1164" t="s">
        <v>945</v>
      </c>
      <c r="X1164" t="s">
        <v>43</v>
      </c>
      <c r="Y1164">
        <v>1719278</v>
      </c>
      <c r="Z1164">
        <v>20251002</v>
      </c>
    </row>
    <row r="1165" spans="3:26" x14ac:dyDescent="0.25">
      <c r="C1165">
        <v>10000001</v>
      </c>
      <c r="D1165" t="s">
        <v>841</v>
      </c>
      <c r="F1165">
        <v>12008118</v>
      </c>
      <c r="H1165" t="s">
        <v>841</v>
      </c>
      <c r="I1165">
        <v>50</v>
      </c>
      <c r="J1165" s="1">
        <v>-640000</v>
      </c>
      <c r="K1165" t="s">
        <v>26</v>
      </c>
      <c r="L1165" s="1">
        <v>-640000</v>
      </c>
      <c r="M1165" t="s">
        <v>26</v>
      </c>
      <c r="Q1165" t="s">
        <v>27</v>
      </c>
      <c r="R1165" t="s">
        <v>946</v>
      </c>
      <c r="S1165" t="s">
        <v>96</v>
      </c>
      <c r="T1165" t="s">
        <v>947</v>
      </c>
      <c r="X1165" t="s">
        <v>43</v>
      </c>
      <c r="Y1165">
        <v>1719278</v>
      </c>
      <c r="Z1165">
        <v>20251002</v>
      </c>
    </row>
    <row r="1166" spans="3:26" x14ac:dyDescent="0.25">
      <c r="C1166">
        <v>10000001</v>
      </c>
      <c r="D1166" t="s">
        <v>841</v>
      </c>
      <c r="F1166">
        <v>12008119</v>
      </c>
      <c r="H1166" t="s">
        <v>841</v>
      </c>
      <c r="I1166">
        <v>50</v>
      </c>
      <c r="J1166" s="1">
        <v>-359500</v>
      </c>
      <c r="K1166" t="s">
        <v>26</v>
      </c>
      <c r="L1166" s="1">
        <v>-359500</v>
      </c>
      <c r="M1166" t="s">
        <v>26</v>
      </c>
      <c r="Q1166" t="s">
        <v>27</v>
      </c>
      <c r="R1166" t="s">
        <v>946</v>
      </c>
      <c r="S1166" t="s">
        <v>67</v>
      </c>
      <c r="T1166" t="s">
        <v>98</v>
      </c>
      <c r="X1166" t="s">
        <v>43</v>
      </c>
      <c r="Y1166">
        <v>1719278</v>
      </c>
      <c r="Z1166">
        <v>20251002</v>
      </c>
    </row>
    <row r="1167" spans="3:26" x14ac:dyDescent="0.25">
      <c r="C1167">
        <v>10000001</v>
      </c>
      <c r="D1167" t="s">
        <v>841</v>
      </c>
      <c r="F1167">
        <v>12008185</v>
      </c>
      <c r="H1167" t="s">
        <v>841</v>
      </c>
      <c r="I1167">
        <v>50</v>
      </c>
      <c r="J1167" s="1">
        <v>-50000</v>
      </c>
      <c r="K1167" t="s">
        <v>26</v>
      </c>
      <c r="L1167" s="1">
        <v>-50000</v>
      </c>
      <c r="M1167" t="s">
        <v>26</v>
      </c>
      <c r="Q1167" t="s">
        <v>27</v>
      </c>
      <c r="R1167" t="s">
        <v>931</v>
      </c>
      <c r="S1167" t="s">
        <v>45</v>
      </c>
      <c r="T1167" t="s">
        <v>948</v>
      </c>
      <c r="X1167" t="s">
        <v>43</v>
      </c>
      <c r="Y1167">
        <v>1719278</v>
      </c>
      <c r="Z1167">
        <v>20251002</v>
      </c>
    </row>
    <row r="1168" spans="3:26" x14ac:dyDescent="0.25">
      <c r="C1168">
        <v>10000001</v>
      </c>
      <c r="D1168" t="s">
        <v>838</v>
      </c>
      <c r="F1168">
        <v>12008120</v>
      </c>
      <c r="H1168" t="s">
        <v>838</v>
      </c>
      <c r="I1168">
        <v>50</v>
      </c>
      <c r="J1168" s="1">
        <v>-50000</v>
      </c>
      <c r="K1168" t="s">
        <v>26</v>
      </c>
      <c r="L1168" s="1">
        <v>-50000</v>
      </c>
      <c r="M1168" t="s">
        <v>26</v>
      </c>
      <c r="Q1168" t="s">
        <v>27</v>
      </c>
      <c r="R1168" t="s">
        <v>949</v>
      </c>
      <c r="S1168" t="s">
        <v>45</v>
      </c>
      <c r="T1168" t="s">
        <v>950</v>
      </c>
      <c r="X1168" t="s">
        <v>43</v>
      </c>
      <c r="Y1168">
        <v>1719278</v>
      </c>
      <c r="Z1168">
        <v>20251003</v>
      </c>
    </row>
    <row r="1169" spans="3:26" x14ac:dyDescent="0.25">
      <c r="C1169">
        <v>10000001</v>
      </c>
      <c r="D1169" t="s">
        <v>838</v>
      </c>
      <c r="F1169">
        <v>12008121</v>
      </c>
      <c r="H1169" t="s">
        <v>838</v>
      </c>
      <c r="I1169">
        <v>50</v>
      </c>
      <c r="J1169" s="1">
        <v>-50000</v>
      </c>
      <c r="K1169" t="s">
        <v>26</v>
      </c>
      <c r="L1169" s="1">
        <v>-50000</v>
      </c>
      <c r="M1169" t="s">
        <v>26</v>
      </c>
      <c r="Q1169" t="s">
        <v>27</v>
      </c>
      <c r="R1169" t="s">
        <v>949</v>
      </c>
      <c r="S1169" t="s">
        <v>45</v>
      </c>
      <c r="T1169" t="s">
        <v>951</v>
      </c>
      <c r="X1169" t="s">
        <v>43</v>
      </c>
      <c r="Y1169">
        <v>1719278</v>
      </c>
      <c r="Z1169">
        <v>20251003</v>
      </c>
    </row>
    <row r="1170" spans="3:26" x14ac:dyDescent="0.25">
      <c r="C1170">
        <v>10000001</v>
      </c>
      <c r="D1170" t="s">
        <v>838</v>
      </c>
      <c r="F1170">
        <v>12008122</v>
      </c>
      <c r="H1170" t="s">
        <v>838</v>
      </c>
      <c r="I1170">
        <v>50</v>
      </c>
      <c r="J1170" s="1">
        <v>-50000</v>
      </c>
      <c r="K1170" t="s">
        <v>26</v>
      </c>
      <c r="L1170" s="1">
        <v>-50000</v>
      </c>
      <c r="M1170" t="s">
        <v>26</v>
      </c>
      <c r="Q1170" t="s">
        <v>27</v>
      </c>
      <c r="R1170" t="s">
        <v>949</v>
      </c>
      <c r="S1170" t="s">
        <v>45</v>
      </c>
      <c r="T1170" t="s">
        <v>952</v>
      </c>
      <c r="X1170" t="s">
        <v>43</v>
      </c>
      <c r="Y1170">
        <v>1719278</v>
      </c>
      <c r="Z1170">
        <v>20251003</v>
      </c>
    </row>
    <row r="1171" spans="3:26" x14ac:dyDescent="0.25">
      <c r="C1171">
        <v>10000001</v>
      </c>
      <c r="D1171" t="s">
        <v>838</v>
      </c>
      <c r="F1171">
        <v>12008123</v>
      </c>
      <c r="H1171" t="s">
        <v>838</v>
      </c>
      <c r="I1171">
        <v>50</v>
      </c>
      <c r="J1171" s="1">
        <v>-50000</v>
      </c>
      <c r="K1171" t="s">
        <v>26</v>
      </c>
      <c r="L1171" s="1">
        <v>-50000</v>
      </c>
      <c r="M1171" t="s">
        <v>26</v>
      </c>
      <c r="Q1171" t="s">
        <v>27</v>
      </c>
      <c r="R1171" t="s">
        <v>949</v>
      </c>
      <c r="S1171" t="s">
        <v>45</v>
      </c>
      <c r="T1171" t="s">
        <v>953</v>
      </c>
      <c r="X1171" t="s">
        <v>43</v>
      </c>
      <c r="Y1171">
        <v>1719278</v>
      </c>
      <c r="Z1171">
        <v>20251003</v>
      </c>
    </row>
    <row r="1172" spans="3:26" x14ac:dyDescent="0.25">
      <c r="C1172">
        <v>10000001</v>
      </c>
      <c r="D1172" t="s">
        <v>838</v>
      </c>
      <c r="F1172">
        <v>12008124</v>
      </c>
      <c r="H1172" t="s">
        <v>838</v>
      </c>
      <c r="I1172">
        <v>50</v>
      </c>
      <c r="J1172" s="1">
        <v>-50000</v>
      </c>
      <c r="K1172" t="s">
        <v>26</v>
      </c>
      <c r="L1172" s="1">
        <v>-50000</v>
      </c>
      <c r="M1172" t="s">
        <v>26</v>
      </c>
      <c r="Q1172" t="s">
        <v>27</v>
      </c>
      <c r="R1172" t="s">
        <v>949</v>
      </c>
      <c r="S1172" t="s">
        <v>45</v>
      </c>
      <c r="T1172" t="s">
        <v>954</v>
      </c>
      <c r="X1172" t="s">
        <v>43</v>
      </c>
      <c r="Y1172">
        <v>1719278</v>
      </c>
      <c r="Z1172">
        <v>20251003</v>
      </c>
    </row>
    <row r="1173" spans="3:26" x14ac:dyDescent="0.25">
      <c r="C1173">
        <v>10000001</v>
      </c>
      <c r="D1173" t="s">
        <v>838</v>
      </c>
      <c r="F1173">
        <v>12008125</v>
      </c>
      <c r="H1173" t="s">
        <v>838</v>
      </c>
      <c r="I1173">
        <v>50</v>
      </c>
      <c r="J1173" s="1">
        <v>-14000</v>
      </c>
      <c r="K1173" t="s">
        <v>26</v>
      </c>
      <c r="L1173" s="1">
        <v>-14000</v>
      </c>
      <c r="M1173" t="s">
        <v>26</v>
      </c>
      <c r="Q1173" t="s">
        <v>27</v>
      </c>
      <c r="R1173" t="s">
        <v>949</v>
      </c>
      <c r="S1173" t="s">
        <v>334</v>
      </c>
      <c r="T1173" t="s">
        <v>955</v>
      </c>
      <c r="X1173" t="s">
        <v>43</v>
      </c>
      <c r="Y1173">
        <v>1719278</v>
      </c>
      <c r="Z1173">
        <v>20251003</v>
      </c>
    </row>
    <row r="1174" spans="3:26" x14ac:dyDescent="0.25">
      <c r="C1174">
        <v>10000001</v>
      </c>
      <c r="D1174" t="s">
        <v>838</v>
      </c>
      <c r="F1174">
        <v>12008126</v>
      </c>
      <c r="H1174" t="s">
        <v>838</v>
      </c>
      <c r="I1174">
        <v>50</v>
      </c>
      <c r="J1174" s="1">
        <v>-80000</v>
      </c>
      <c r="K1174" t="s">
        <v>26</v>
      </c>
      <c r="L1174" s="1">
        <v>-80000</v>
      </c>
      <c r="M1174" t="s">
        <v>26</v>
      </c>
      <c r="Q1174" t="s">
        <v>27</v>
      </c>
      <c r="R1174" t="s">
        <v>956</v>
      </c>
      <c r="S1174" t="s">
        <v>59</v>
      </c>
      <c r="T1174" t="s">
        <v>957</v>
      </c>
      <c r="X1174" t="s">
        <v>43</v>
      </c>
      <c r="Y1174">
        <v>1719278</v>
      </c>
      <c r="Z1174">
        <v>20251003</v>
      </c>
    </row>
    <row r="1175" spans="3:26" x14ac:dyDescent="0.25">
      <c r="C1175">
        <v>10000001</v>
      </c>
      <c r="D1175" t="s">
        <v>838</v>
      </c>
      <c r="F1175">
        <v>12008127</v>
      </c>
      <c r="H1175" t="s">
        <v>838</v>
      </c>
      <c r="I1175">
        <v>50</v>
      </c>
      <c r="J1175" s="1">
        <v>-40000</v>
      </c>
      <c r="K1175" t="s">
        <v>26</v>
      </c>
      <c r="L1175" s="1">
        <v>-40000</v>
      </c>
      <c r="M1175" t="s">
        <v>26</v>
      </c>
      <c r="Q1175" t="s">
        <v>27</v>
      </c>
      <c r="R1175" t="s">
        <v>958</v>
      </c>
      <c r="S1175" t="s">
        <v>59</v>
      </c>
      <c r="T1175" t="s">
        <v>959</v>
      </c>
      <c r="X1175" t="s">
        <v>43</v>
      </c>
      <c r="Y1175">
        <v>1719278</v>
      </c>
      <c r="Z1175">
        <v>20251003</v>
      </c>
    </row>
    <row r="1176" spans="3:26" x14ac:dyDescent="0.25">
      <c r="C1176">
        <v>10000001</v>
      </c>
      <c r="D1176" t="s">
        <v>838</v>
      </c>
      <c r="F1176">
        <v>12008128</v>
      </c>
      <c r="H1176" t="s">
        <v>838</v>
      </c>
      <c r="I1176">
        <v>50</v>
      </c>
      <c r="J1176" s="1">
        <v>-188000</v>
      </c>
      <c r="K1176" t="s">
        <v>26</v>
      </c>
      <c r="L1176" s="1">
        <v>-188000</v>
      </c>
      <c r="M1176" t="s">
        <v>26</v>
      </c>
      <c r="Q1176" t="s">
        <v>27</v>
      </c>
      <c r="R1176" t="s">
        <v>960</v>
      </c>
      <c r="S1176" t="s">
        <v>67</v>
      </c>
      <c r="T1176" t="s">
        <v>961</v>
      </c>
      <c r="X1176" t="s">
        <v>43</v>
      </c>
      <c r="Y1176">
        <v>1719278</v>
      </c>
      <c r="Z1176">
        <v>20251003</v>
      </c>
    </row>
    <row r="1177" spans="3:26" x14ac:dyDescent="0.25">
      <c r="C1177">
        <v>10000001</v>
      </c>
      <c r="D1177" t="s">
        <v>838</v>
      </c>
      <c r="F1177">
        <v>12008129</v>
      </c>
      <c r="H1177" t="s">
        <v>838</v>
      </c>
      <c r="I1177">
        <v>50</v>
      </c>
      <c r="J1177" s="1">
        <v>-50000</v>
      </c>
      <c r="K1177" t="s">
        <v>26</v>
      </c>
      <c r="L1177" s="1">
        <v>-50000</v>
      </c>
      <c r="M1177" t="s">
        <v>26</v>
      </c>
      <c r="Q1177" t="s">
        <v>27</v>
      </c>
      <c r="R1177" t="s">
        <v>962</v>
      </c>
      <c r="S1177" t="s">
        <v>45</v>
      </c>
      <c r="T1177" t="s">
        <v>963</v>
      </c>
      <c r="X1177" t="s">
        <v>43</v>
      </c>
      <c r="Y1177">
        <v>1719278</v>
      </c>
      <c r="Z1177">
        <v>20251003</v>
      </c>
    </row>
    <row r="1178" spans="3:26" x14ac:dyDescent="0.25">
      <c r="C1178">
        <v>10000001</v>
      </c>
      <c r="D1178" t="s">
        <v>838</v>
      </c>
      <c r="F1178">
        <v>12008130</v>
      </c>
      <c r="H1178" t="s">
        <v>838</v>
      </c>
      <c r="I1178">
        <v>50</v>
      </c>
      <c r="J1178" s="1">
        <v>-50000</v>
      </c>
      <c r="K1178" t="s">
        <v>26</v>
      </c>
      <c r="L1178" s="1">
        <v>-50000</v>
      </c>
      <c r="M1178" t="s">
        <v>26</v>
      </c>
      <c r="Q1178" t="s">
        <v>27</v>
      </c>
      <c r="R1178" t="s">
        <v>962</v>
      </c>
      <c r="S1178" t="s">
        <v>45</v>
      </c>
      <c r="T1178" t="s">
        <v>964</v>
      </c>
      <c r="X1178" t="s">
        <v>43</v>
      </c>
      <c r="Y1178">
        <v>1719278</v>
      </c>
      <c r="Z1178">
        <v>20251003</v>
      </c>
    </row>
    <row r="1179" spans="3:26" x14ac:dyDescent="0.25">
      <c r="C1179">
        <v>10000001</v>
      </c>
      <c r="D1179" t="s">
        <v>838</v>
      </c>
      <c r="F1179">
        <v>12008131</v>
      </c>
      <c r="H1179" t="s">
        <v>838</v>
      </c>
      <c r="I1179">
        <v>50</v>
      </c>
      <c r="J1179" s="1">
        <v>-50000</v>
      </c>
      <c r="K1179" t="s">
        <v>26</v>
      </c>
      <c r="L1179" s="1">
        <v>-50000</v>
      </c>
      <c r="M1179" t="s">
        <v>26</v>
      </c>
      <c r="Q1179" t="s">
        <v>27</v>
      </c>
      <c r="R1179" t="s">
        <v>962</v>
      </c>
      <c r="S1179" t="s">
        <v>45</v>
      </c>
      <c r="T1179" t="s">
        <v>965</v>
      </c>
      <c r="X1179" t="s">
        <v>43</v>
      </c>
      <c r="Y1179">
        <v>1719278</v>
      </c>
      <c r="Z1179">
        <v>20251003</v>
      </c>
    </row>
    <row r="1180" spans="3:26" x14ac:dyDescent="0.25">
      <c r="C1180">
        <v>10000001</v>
      </c>
      <c r="D1180" t="s">
        <v>838</v>
      </c>
      <c r="F1180">
        <v>12008132</v>
      </c>
      <c r="H1180" t="s">
        <v>838</v>
      </c>
      <c r="I1180">
        <v>50</v>
      </c>
      <c r="J1180" s="1">
        <v>-50000</v>
      </c>
      <c r="K1180" t="s">
        <v>26</v>
      </c>
      <c r="L1180" s="1">
        <v>-50000</v>
      </c>
      <c r="M1180" t="s">
        <v>26</v>
      </c>
      <c r="Q1180" t="s">
        <v>27</v>
      </c>
      <c r="R1180" t="s">
        <v>962</v>
      </c>
      <c r="S1180" t="s">
        <v>45</v>
      </c>
      <c r="T1180" t="s">
        <v>966</v>
      </c>
      <c r="X1180" t="s">
        <v>43</v>
      </c>
      <c r="Y1180">
        <v>1719278</v>
      </c>
      <c r="Z1180">
        <v>20251003</v>
      </c>
    </row>
    <row r="1181" spans="3:26" x14ac:dyDescent="0.25">
      <c r="C1181">
        <v>10000001</v>
      </c>
      <c r="D1181" t="s">
        <v>838</v>
      </c>
      <c r="F1181">
        <v>12008133</v>
      </c>
      <c r="H1181" t="s">
        <v>838</v>
      </c>
      <c r="I1181">
        <v>50</v>
      </c>
      <c r="J1181" s="1">
        <v>-50000</v>
      </c>
      <c r="K1181" t="s">
        <v>26</v>
      </c>
      <c r="L1181" s="1">
        <v>-50000</v>
      </c>
      <c r="M1181" t="s">
        <v>26</v>
      </c>
      <c r="Q1181" t="s">
        <v>27</v>
      </c>
      <c r="R1181" t="s">
        <v>967</v>
      </c>
      <c r="S1181" t="s">
        <v>45</v>
      </c>
      <c r="T1181" t="s">
        <v>968</v>
      </c>
      <c r="X1181" t="s">
        <v>43</v>
      </c>
      <c r="Y1181">
        <v>1719278</v>
      </c>
      <c r="Z1181">
        <v>20251003</v>
      </c>
    </row>
    <row r="1182" spans="3:26" x14ac:dyDescent="0.25">
      <c r="C1182">
        <v>10000001</v>
      </c>
      <c r="D1182" t="s">
        <v>838</v>
      </c>
      <c r="F1182">
        <v>12008134</v>
      </c>
      <c r="H1182" t="s">
        <v>838</v>
      </c>
      <c r="I1182">
        <v>50</v>
      </c>
      <c r="J1182" s="1">
        <v>-50000</v>
      </c>
      <c r="K1182" t="s">
        <v>26</v>
      </c>
      <c r="L1182" s="1">
        <v>-50000</v>
      </c>
      <c r="M1182" t="s">
        <v>26</v>
      </c>
      <c r="Q1182" t="s">
        <v>27</v>
      </c>
      <c r="R1182" t="s">
        <v>967</v>
      </c>
      <c r="S1182" t="s">
        <v>45</v>
      </c>
      <c r="T1182" t="s">
        <v>969</v>
      </c>
      <c r="X1182" t="s">
        <v>43</v>
      </c>
      <c r="Y1182">
        <v>1719278</v>
      </c>
      <c r="Z1182">
        <v>20251003</v>
      </c>
    </row>
    <row r="1183" spans="3:26" x14ac:dyDescent="0.25">
      <c r="C1183">
        <v>10000001</v>
      </c>
      <c r="D1183" t="s">
        <v>838</v>
      </c>
      <c r="F1183">
        <v>12008135</v>
      </c>
      <c r="H1183" t="s">
        <v>838</v>
      </c>
      <c r="I1183">
        <v>50</v>
      </c>
      <c r="J1183" s="1">
        <v>-942500</v>
      </c>
      <c r="K1183" t="s">
        <v>26</v>
      </c>
      <c r="L1183" s="1">
        <v>-942500</v>
      </c>
      <c r="M1183" t="s">
        <v>26</v>
      </c>
      <c r="Q1183" t="s">
        <v>27</v>
      </c>
      <c r="R1183" t="s">
        <v>970</v>
      </c>
      <c r="S1183" t="s">
        <v>57</v>
      </c>
      <c r="T1183" t="s">
        <v>971</v>
      </c>
      <c r="X1183" t="s">
        <v>43</v>
      </c>
      <c r="Y1183">
        <v>1719278</v>
      </c>
      <c r="Z1183">
        <v>20251003</v>
      </c>
    </row>
    <row r="1184" spans="3:26" x14ac:dyDescent="0.25">
      <c r="C1184">
        <v>10000001</v>
      </c>
      <c r="D1184" t="s">
        <v>838</v>
      </c>
      <c r="F1184">
        <v>12008136</v>
      </c>
      <c r="H1184" t="s">
        <v>838</v>
      </c>
      <c r="I1184">
        <v>50</v>
      </c>
      <c r="J1184" s="1">
        <v>-997235</v>
      </c>
      <c r="K1184" t="s">
        <v>26</v>
      </c>
      <c r="L1184" s="1">
        <v>-997235</v>
      </c>
      <c r="M1184" t="s">
        <v>26</v>
      </c>
      <c r="Q1184" t="s">
        <v>27</v>
      </c>
      <c r="R1184" t="s">
        <v>972</v>
      </c>
      <c r="S1184" t="s">
        <v>126</v>
      </c>
      <c r="T1184" t="s">
        <v>973</v>
      </c>
      <c r="X1184" t="s">
        <v>43</v>
      </c>
      <c r="Y1184">
        <v>1719278</v>
      </c>
      <c r="Z1184">
        <v>20251003</v>
      </c>
    </row>
    <row r="1185" spans="3:26" x14ac:dyDescent="0.25">
      <c r="C1185">
        <v>10000001</v>
      </c>
      <c r="D1185" t="s">
        <v>838</v>
      </c>
      <c r="F1185">
        <v>12008137</v>
      </c>
      <c r="H1185" t="s">
        <v>838</v>
      </c>
      <c r="I1185">
        <v>50</v>
      </c>
      <c r="J1185" s="1">
        <v>-400000</v>
      </c>
      <c r="K1185" t="s">
        <v>26</v>
      </c>
      <c r="L1185" s="1">
        <v>-400000</v>
      </c>
      <c r="M1185" t="s">
        <v>26</v>
      </c>
      <c r="Q1185" t="s">
        <v>27</v>
      </c>
      <c r="R1185" t="s">
        <v>974</v>
      </c>
      <c r="S1185" t="s">
        <v>41</v>
      </c>
      <c r="T1185" t="s">
        <v>975</v>
      </c>
      <c r="X1185" t="s">
        <v>43</v>
      </c>
      <c r="Y1185">
        <v>1719278</v>
      </c>
      <c r="Z1185">
        <v>20251003</v>
      </c>
    </row>
    <row r="1186" spans="3:26" x14ac:dyDescent="0.25">
      <c r="C1186">
        <v>10000001</v>
      </c>
      <c r="D1186" t="s">
        <v>838</v>
      </c>
      <c r="F1186">
        <v>12008138</v>
      </c>
      <c r="H1186" t="s">
        <v>838</v>
      </c>
      <c r="I1186">
        <v>50</v>
      </c>
      <c r="J1186" s="1">
        <v>-50000</v>
      </c>
      <c r="K1186" t="s">
        <v>26</v>
      </c>
      <c r="L1186" s="1">
        <v>-50000</v>
      </c>
      <c r="M1186" t="s">
        <v>26</v>
      </c>
      <c r="Q1186" t="s">
        <v>27</v>
      </c>
      <c r="R1186" t="s">
        <v>976</v>
      </c>
      <c r="S1186" t="s">
        <v>45</v>
      </c>
      <c r="T1186" t="s">
        <v>977</v>
      </c>
      <c r="X1186" t="s">
        <v>43</v>
      </c>
      <c r="Y1186">
        <v>1719278</v>
      </c>
      <c r="Z1186">
        <v>20251003</v>
      </c>
    </row>
    <row r="1187" spans="3:26" x14ac:dyDescent="0.25">
      <c r="C1187">
        <v>10000001</v>
      </c>
      <c r="D1187" t="s">
        <v>838</v>
      </c>
      <c r="F1187">
        <v>12008139</v>
      </c>
      <c r="H1187" t="s">
        <v>838</v>
      </c>
      <c r="I1187">
        <v>50</v>
      </c>
      <c r="J1187" s="1">
        <v>-348280</v>
      </c>
      <c r="K1187" t="s">
        <v>26</v>
      </c>
      <c r="L1187" s="1">
        <v>-348280</v>
      </c>
      <c r="M1187" t="s">
        <v>26</v>
      </c>
      <c r="Q1187" t="s">
        <v>27</v>
      </c>
      <c r="R1187" t="s">
        <v>978</v>
      </c>
      <c r="S1187" t="s">
        <v>57</v>
      </c>
      <c r="T1187" t="s">
        <v>979</v>
      </c>
      <c r="X1187" t="s">
        <v>43</v>
      </c>
      <c r="Y1187">
        <v>1719278</v>
      </c>
      <c r="Z1187">
        <v>20251003</v>
      </c>
    </row>
    <row r="1188" spans="3:26" x14ac:dyDescent="0.25">
      <c r="C1188">
        <v>10000001</v>
      </c>
      <c r="D1188" t="s">
        <v>838</v>
      </c>
      <c r="F1188">
        <v>12008140</v>
      </c>
      <c r="H1188" t="s">
        <v>838</v>
      </c>
      <c r="I1188">
        <v>50</v>
      </c>
      <c r="J1188" s="1">
        <v>-463000</v>
      </c>
      <c r="K1188" t="s">
        <v>26</v>
      </c>
      <c r="L1188" s="1">
        <v>-463000</v>
      </c>
      <c r="M1188" t="s">
        <v>26</v>
      </c>
      <c r="Q1188" t="s">
        <v>27</v>
      </c>
      <c r="R1188" t="s">
        <v>980</v>
      </c>
      <c r="S1188" t="s">
        <v>129</v>
      </c>
      <c r="T1188" t="s">
        <v>981</v>
      </c>
      <c r="X1188" t="s">
        <v>43</v>
      </c>
      <c r="Y1188">
        <v>1719278</v>
      </c>
      <c r="Z1188">
        <v>20251003</v>
      </c>
    </row>
    <row r="1189" spans="3:26" x14ac:dyDescent="0.25">
      <c r="C1189">
        <v>10000001</v>
      </c>
      <c r="D1189" t="s">
        <v>838</v>
      </c>
      <c r="F1189">
        <v>12008141</v>
      </c>
      <c r="H1189" t="s">
        <v>838</v>
      </c>
      <c r="I1189">
        <v>50</v>
      </c>
      <c r="J1189" s="1">
        <v>-50000</v>
      </c>
      <c r="K1189" t="s">
        <v>26</v>
      </c>
      <c r="L1189" s="1">
        <v>-50000</v>
      </c>
      <c r="M1189" t="s">
        <v>26</v>
      </c>
      <c r="Q1189" t="s">
        <v>27</v>
      </c>
      <c r="R1189" t="s">
        <v>982</v>
      </c>
      <c r="S1189" t="s">
        <v>45</v>
      </c>
      <c r="T1189" t="s">
        <v>983</v>
      </c>
      <c r="X1189" t="s">
        <v>43</v>
      </c>
      <c r="Y1189">
        <v>1719278</v>
      </c>
      <c r="Z1189">
        <v>20251003</v>
      </c>
    </row>
    <row r="1190" spans="3:26" x14ac:dyDescent="0.25">
      <c r="C1190">
        <v>10000001</v>
      </c>
      <c r="D1190" t="s">
        <v>838</v>
      </c>
      <c r="F1190">
        <v>12008142</v>
      </c>
      <c r="H1190" t="s">
        <v>838</v>
      </c>
      <c r="I1190">
        <v>50</v>
      </c>
      <c r="J1190" s="1">
        <v>-50000</v>
      </c>
      <c r="K1190" t="s">
        <v>26</v>
      </c>
      <c r="L1190" s="1">
        <v>-50000</v>
      </c>
      <c r="M1190" t="s">
        <v>26</v>
      </c>
      <c r="Q1190" t="s">
        <v>27</v>
      </c>
      <c r="R1190" t="s">
        <v>982</v>
      </c>
      <c r="S1190" t="s">
        <v>45</v>
      </c>
      <c r="T1190" t="s">
        <v>984</v>
      </c>
      <c r="X1190" t="s">
        <v>43</v>
      </c>
      <c r="Y1190">
        <v>1719278</v>
      </c>
      <c r="Z1190">
        <v>20251003</v>
      </c>
    </row>
    <row r="1191" spans="3:26" x14ac:dyDescent="0.25">
      <c r="C1191">
        <v>10000001</v>
      </c>
      <c r="D1191" t="s">
        <v>838</v>
      </c>
      <c r="F1191">
        <v>12008143</v>
      </c>
      <c r="H1191" t="s">
        <v>838</v>
      </c>
      <c r="I1191">
        <v>50</v>
      </c>
      <c r="J1191" s="1">
        <v>-50000</v>
      </c>
      <c r="K1191" t="s">
        <v>26</v>
      </c>
      <c r="L1191" s="1">
        <v>-50000</v>
      </c>
      <c r="M1191" t="s">
        <v>26</v>
      </c>
      <c r="Q1191" t="s">
        <v>27</v>
      </c>
      <c r="R1191" t="s">
        <v>982</v>
      </c>
      <c r="S1191" t="s">
        <v>45</v>
      </c>
      <c r="T1191" t="s">
        <v>985</v>
      </c>
      <c r="X1191" t="s">
        <v>43</v>
      </c>
      <c r="Y1191">
        <v>1719278</v>
      </c>
      <c r="Z1191">
        <v>20251003</v>
      </c>
    </row>
    <row r="1192" spans="3:26" x14ac:dyDescent="0.25">
      <c r="C1192">
        <v>10000001</v>
      </c>
      <c r="D1192" t="s">
        <v>838</v>
      </c>
      <c r="F1192">
        <v>12008144</v>
      </c>
      <c r="H1192" t="s">
        <v>838</v>
      </c>
      <c r="I1192">
        <v>50</v>
      </c>
      <c r="J1192" s="1">
        <v>-740000</v>
      </c>
      <c r="K1192" t="s">
        <v>26</v>
      </c>
      <c r="L1192" s="1">
        <v>-740000</v>
      </c>
      <c r="M1192" t="s">
        <v>26</v>
      </c>
      <c r="Q1192" t="s">
        <v>27</v>
      </c>
      <c r="R1192" t="s">
        <v>986</v>
      </c>
      <c r="S1192" t="s">
        <v>96</v>
      </c>
      <c r="T1192" t="s">
        <v>987</v>
      </c>
      <c r="X1192" t="s">
        <v>43</v>
      </c>
      <c r="Y1192">
        <v>1719278</v>
      </c>
      <c r="Z1192">
        <v>20251003</v>
      </c>
    </row>
    <row r="1193" spans="3:26" x14ac:dyDescent="0.25">
      <c r="C1193">
        <v>10000001</v>
      </c>
      <c r="D1193" t="s">
        <v>838</v>
      </c>
      <c r="F1193">
        <v>12008145</v>
      </c>
      <c r="H1193" t="s">
        <v>838</v>
      </c>
      <c r="I1193">
        <v>50</v>
      </c>
      <c r="J1193" s="1">
        <v>-260000</v>
      </c>
      <c r="K1193" t="s">
        <v>26</v>
      </c>
      <c r="L1193" s="1">
        <v>-260000</v>
      </c>
      <c r="M1193" t="s">
        <v>26</v>
      </c>
      <c r="Q1193" t="s">
        <v>27</v>
      </c>
      <c r="R1193" t="s">
        <v>986</v>
      </c>
      <c r="S1193" t="s">
        <v>67</v>
      </c>
      <c r="T1193" t="s">
        <v>98</v>
      </c>
      <c r="X1193" t="s">
        <v>43</v>
      </c>
      <c r="Y1193">
        <v>1719278</v>
      </c>
      <c r="Z1193">
        <v>20251003</v>
      </c>
    </row>
    <row r="1194" spans="3:26" x14ac:dyDescent="0.25">
      <c r="C1194">
        <v>10000001</v>
      </c>
      <c r="D1194" t="s">
        <v>838</v>
      </c>
      <c r="F1194">
        <v>12008146</v>
      </c>
      <c r="H1194" t="s">
        <v>838</v>
      </c>
      <c r="I1194">
        <v>50</v>
      </c>
      <c r="J1194" s="1">
        <v>-862500</v>
      </c>
      <c r="K1194" t="s">
        <v>26</v>
      </c>
      <c r="L1194" s="1">
        <v>-862500</v>
      </c>
      <c r="M1194" t="s">
        <v>26</v>
      </c>
      <c r="Q1194" t="s">
        <v>27</v>
      </c>
      <c r="R1194" t="s">
        <v>988</v>
      </c>
      <c r="S1194" t="s">
        <v>126</v>
      </c>
      <c r="T1194" t="s">
        <v>989</v>
      </c>
      <c r="X1194" t="s">
        <v>43</v>
      </c>
      <c r="Y1194">
        <v>1719278</v>
      </c>
      <c r="Z1194">
        <v>20251003</v>
      </c>
    </row>
    <row r="1195" spans="3:26" x14ac:dyDescent="0.25">
      <c r="C1195">
        <v>10000001</v>
      </c>
      <c r="D1195" t="s">
        <v>838</v>
      </c>
      <c r="F1195">
        <v>12008147</v>
      </c>
      <c r="H1195" t="s">
        <v>838</v>
      </c>
      <c r="I1195">
        <v>50</v>
      </c>
      <c r="J1195" s="1">
        <v>-600000</v>
      </c>
      <c r="K1195" t="s">
        <v>26</v>
      </c>
      <c r="L1195" s="1">
        <v>-600000</v>
      </c>
      <c r="M1195" t="s">
        <v>26</v>
      </c>
      <c r="Q1195" t="s">
        <v>27</v>
      </c>
      <c r="R1195" t="s">
        <v>990</v>
      </c>
      <c r="S1195" t="s">
        <v>57</v>
      </c>
      <c r="T1195" t="s">
        <v>991</v>
      </c>
      <c r="X1195" t="s">
        <v>43</v>
      </c>
      <c r="Y1195">
        <v>1719278</v>
      </c>
      <c r="Z1195">
        <v>20251003</v>
      </c>
    </row>
    <row r="1196" spans="3:26" x14ac:dyDescent="0.25">
      <c r="C1196">
        <v>10000001</v>
      </c>
      <c r="D1196" t="s">
        <v>838</v>
      </c>
      <c r="F1196">
        <v>12008148</v>
      </c>
      <c r="H1196" t="s">
        <v>838</v>
      </c>
      <c r="I1196">
        <v>50</v>
      </c>
      <c r="J1196" s="1">
        <v>-163700</v>
      </c>
      <c r="K1196" t="s">
        <v>26</v>
      </c>
      <c r="L1196" s="1">
        <v>-163700</v>
      </c>
      <c r="M1196" t="s">
        <v>26</v>
      </c>
      <c r="Q1196" t="s">
        <v>27</v>
      </c>
      <c r="R1196" t="s">
        <v>992</v>
      </c>
      <c r="S1196" t="s">
        <v>146</v>
      </c>
      <c r="T1196" t="s">
        <v>993</v>
      </c>
      <c r="X1196" t="s">
        <v>43</v>
      </c>
      <c r="Y1196">
        <v>1719278</v>
      </c>
      <c r="Z1196">
        <v>20251003</v>
      </c>
    </row>
    <row r="1197" spans="3:26" x14ac:dyDescent="0.25">
      <c r="C1197">
        <v>10000001</v>
      </c>
      <c r="D1197" t="s">
        <v>838</v>
      </c>
      <c r="F1197">
        <v>12008149</v>
      </c>
      <c r="H1197" t="s">
        <v>838</v>
      </c>
      <c r="I1197">
        <v>50</v>
      </c>
      <c r="J1197" s="1">
        <v>-86000</v>
      </c>
      <c r="K1197" t="s">
        <v>26</v>
      </c>
      <c r="L1197" s="1">
        <v>-86000</v>
      </c>
      <c r="M1197" t="s">
        <v>26</v>
      </c>
      <c r="Q1197" t="s">
        <v>27</v>
      </c>
      <c r="R1197" t="s">
        <v>992</v>
      </c>
      <c r="S1197" t="s">
        <v>518</v>
      </c>
      <c r="T1197" t="s">
        <v>902</v>
      </c>
      <c r="X1197" t="s">
        <v>43</v>
      </c>
      <c r="Y1197">
        <v>1719278</v>
      </c>
      <c r="Z1197">
        <v>20251003</v>
      </c>
    </row>
    <row r="1198" spans="3:26" x14ac:dyDescent="0.25">
      <c r="C1198">
        <v>10000001</v>
      </c>
      <c r="D1198" t="s">
        <v>838</v>
      </c>
      <c r="F1198">
        <v>12008150</v>
      </c>
      <c r="H1198" t="s">
        <v>838</v>
      </c>
      <c r="I1198">
        <v>50</v>
      </c>
      <c r="J1198" s="1">
        <v>-190700</v>
      </c>
      <c r="K1198" t="s">
        <v>26</v>
      </c>
      <c r="L1198" s="1">
        <v>-190700</v>
      </c>
      <c r="M1198" t="s">
        <v>26</v>
      </c>
      <c r="Q1198" t="s">
        <v>27</v>
      </c>
      <c r="R1198" t="s">
        <v>992</v>
      </c>
      <c r="S1198" t="s">
        <v>59</v>
      </c>
      <c r="T1198" t="s">
        <v>994</v>
      </c>
      <c r="X1198" t="s">
        <v>43</v>
      </c>
      <c r="Y1198">
        <v>1719278</v>
      </c>
      <c r="Z1198">
        <v>20251003</v>
      </c>
    </row>
    <row r="1199" spans="3:26" x14ac:dyDescent="0.25">
      <c r="C1199">
        <v>10000001</v>
      </c>
      <c r="D1199" t="s">
        <v>838</v>
      </c>
      <c r="F1199">
        <v>12008151</v>
      </c>
      <c r="H1199" t="s">
        <v>838</v>
      </c>
      <c r="I1199">
        <v>50</v>
      </c>
      <c r="J1199" s="1">
        <v>-185500</v>
      </c>
      <c r="K1199" t="s">
        <v>26</v>
      </c>
      <c r="L1199" s="1">
        <v>-185500</v>
      </c>
      <c r="M1199" t="s">
        <v>26</v>
      </c>
      <c r="Q1199" t="s">
        <v>27</v>
      </c>
      <c r="R1199" t="s">
        <v>992</v>
      </c>
      <c r="S1199" t="s">
        <v>126</v>
      </c>
      <c r="T1199" t="s">
        <v>995</v>
      </c>
      <c r="X1199" t="s">
        <v>43</v>
      </c>
      <c r="Y1199">
        <v>1719278</v>
      </c>
      <c r="Z1199">
        <v>20251003</v>
      </c>
    </row>
    <row r="1200" spans="3:26" x14ac:dyDescent="0.25">
      <c r="C1200">
        <v>10000001</v>
      </c>
      <c r="D1200" t="s">
        <v>838</v>
      </c>
      <c r="F1200">
        <v>12008152</v>
      </c>
      <c r="H1200" t="s">
        <v>838</v>
      </c>
      <c r="I1200">
        <v>50</v>
      </c>
      <c r="J1200" s="1">
        <v>-604000</v>
      </c>
      <c r="K1200" t="s">
        <v>26</v>
      </c>
      <c r="L1200" s="1">
        <v>-604000</v>
      </c>
      <c r="M1200" t="s">
        <v>26</v>
      </c>
      <c r="Q1200" t="s">
        <v>27</v>
      </c>
      <c r="R1200" t="s">
        <v>996</v>
      </c>
      <c r="S1200" t="s">
        <v>59</v>
      </c>
      <c r="T1200" t="s">
        <v>997</v>
      </c>
      <c r="X1200" t="s">
        <v>43</v>
      </c>
      <c r="Y1200">
        <v>1719278</v>
      </c>
      <c r="Z1200">
        <v>20251003</v>
      </c>
    </row>
    <row r="1201" spans="3:26" x14ac:dyDescent="0.25">
      <c r="C1201">
        <v>10000001</v>
      </c>
      <c r="D1201" t="s">
        <v>838</v>
      </c>
      <c r="F1201">
        <v>12008153</v>
      </c>
      <c r="H1201" t="s">
        <v>838</v>
      </c>
      <c r="I1201">
        <v>50</v>
      </c>
      <c r="J1201" s="1">
        <v>-50000</v>
      </c>
      <c r="K1201" t="s">
        <v>26</v>
      </c>
      <c r="L1201" s="1">
        <v>-50000</v>
      </c>
      <c r="M1201" t="s">
        <v>26</v>
      </c>
      <c r="Q1201" t="s">
        <v>27</v>
      </c>
      <c r="R1201" t="s">
        <v>998</v>
      </c>
      <c r="S1201" t="s">
        <v>45</v>
      </c>
      <c r="T1201" t="s">
        <v>999</v>
      </c>
      <c r="X1201" t="s">
        <v>43</v>
      </c>
      <c r="Y1201">
        <v>1719278</v>
      </c>
      <c r="Z1201">
        <v>20251003</v>
      </c>
    </row>
    <row r="1202" spans="3:26" x14ac:dyDescent="0.25">
      <c r="C1202">
        <v>10000001</v>
      </c>
      <c r="D1202" t="s">
        <v>838</v>
      </c>
      <c r="F1202">
        <v>12008154</v>
      </c>
      <c r="H1202" t="s">
        <v>838</v>
      </c>
      <c r="I1202">
        <v>50</v>
      </c>
      <c r="J1202" s="1">
        <v>-50000</v>
      </c>
      <c r="K1202" t="s">
        <v>26</v>
      </c>
      <c r="L1202" s="1">
        <v>-50000</v>
      </c>
      <c r="M1202" t="s">
        <v>26</v>
      </c>
      <c r="Q1202" t="s">
        <v>27</v>
      </c>
      <c r="R1202" t="s">
        <v>998</v>
      </c>
      <c r="S1202" t="s">
        <v>45</v>
      </c>
      <c r="T1202" t="s">
        <v>1000</v>
      </c>
      <c r="X1202" t="s">
        <v>43</v>
      </c>
      <c r="Y1202">
        <v>1719278</v>
      </c>
      <c r="Z1202">
        <v>20251003</v>
      </c>
    </row>
    <row r="1203" spans="3:26" x14ac:dyDescent="0.25">
      <c r="C1203">
        <v>10000001</v>
      </c>
      <c r="D1203" t="s">
        <v>838</v>
      </c>
      <c r="F1203">
        <v>12008155</v>
      </c>
      <c r="H1203" t="s">
        <v>838</v>
      </c>
      <c r="I1203">
        <v>50</v>
      </c>
      <c r="J1203" s="1">
        <v>-50000</v>
      </c>
      <c r="K1203" t="s">
        <v>26</v>
      </c>
      <c r="L1203" s="1">
        <v>-50000</v>
      </c>
      <c r="M1203" t="s">
        <v>26</v>
      </c>
      <c r="Q1203" t="s">
        <v>27</v>
      </c>
      <c r="R1203" t="s">
        <v>998</v>
      </c>
      <c r="S1203" t="s">
        <v>45</v>
      </c>
      <c r="T1203" t="s">
        <v>1001</v>
      </c>
      <c r="X1203" t="s">
        <v>43</v>
      </c>
      <c r="Y1203">
        <v>1719278</v>
      </c>
      <c r="Z1203">
        <v>20251003</v>
      </c>
    </row>
    <row r="1204" spans="3:26" x14ac:dyDescent="0.25">
      <c r="C1204">
        <v>10000001</v>
      </c>
      <c r="D1204" t="s">
        <v>838</v>
      </c>
      <c r="F1204">
        <v>12008156</v>
      </c>
      <c r="H1204" t="s">
        <v>838</v>
      </c>
      <c r="I1204">
        <v>50</v>
      </c>
      <c r="J1204" s="1">
        <v>-50000</v>
      </c>
      <c r="K1204" t="s">
        <v>26</v>
      </c>
      <c r="L1204" s="1">
        <v>-50000</v>
      </c>
      <c r="M1204" t="s">
        <v>26</v>
      </c>
      <c r="Q1204" t="s">
        <v>27</v>
      </c>
      <c r="R1204" t="s">
        <v>998</v>
      </c>
      <c r="S1204" t="s">
        <v>45</v>
      </c>
      <c r="T1204" t="s">
        <v>1002</v>
      </c>
      <c r="X1204" t="s">
        <v>43</v>
      </c>
      <c r="Y1204">
        <v>1719278</v>
      </c>
      <c r="Z1204">
        <v>20251003</v>
      </c>
    </row>
    <row r="1205" spans="3:26" x14ac:dyDescent="0.25">
      <c r="C1205">
        <v>10000001</v>
      </c>
      <c r="D1205" t="s">
        <v>838</v>
      </c>
      <c r="F1205">
        <v>12008157</v>
      </c>
      <c r="H1205" t="s">
        <v>838</v>
      </c>
      <c r="I1205">
        <v>50</v>
      </c>
      <c r="J1205" s="1">
        <v>-50000</v>
      </c>
      <c r="K1205" t="s">
        <v>26</v>
      </c>
      <c r="L1205" s="1">
        <v>-50000</v>
      </c>
      <c r="M1205" t="s">
        <v>26</v>
      </c>
      <c r="Q1205" t="s">
        <v>27</v>
      </c>
      <c r="R1205" t="s">
        <v>998</v>
      </c>
      <c r="S1205" t="s">
        <v>45</v>
      </c>
      <c r="T1205" t="s">
        <v>1003</v>
      </c>
      <c r="X1205" t="s">
        <v>43</v>
      </c>
      <c r="Y1205">
        <v>1719278</v>
      </c>
      <c r="Z1205">
        <v>20251003</v>
      </c>
    </row>
    <row r="1206" spans="3:26" x14ac:dyDescent="0.25">
      <c r="C1206">
        <v>10000001</v>
      </c>
      <c r="D1206" t="s">
        <v>838</v>
      </c>
      <c r="F1206">
        <v>12008158</v>
      </c>
      <c r="H1206" t="s">
        <v>838</v>
      </c>
      <c r="I1206">
        <v>50</v>
      </c>
      <c r="J1206" s="1">
        <v>-50000</v>
      </c>
      <c r="K1206" t="s">
        <v>26</v>
      </c>
      <c r="L1206" s="1">
        <v>-50000</v>
      </c>
      <c r="M1206" t="s">
        <v>26</v>
      </c>
      <c r="Q1206" t="s">
        <v>27</v>
      </c>
      <c r="R1206" t="s">
        <v>998</v>
      </c>
      <c r="S1206" t="s">
        <v>45</v>
      </c>
      <c r="T1206" t="s">
        <v>1004</v>
      </c>
      <c r="X1206" t="s">
        <v>43</v>
      </c>
      <c r="Y1206">
        <v>1719278</v>
      </c>
      <c r="Z1206">
        <v>20251003</v>
      </c>
    </row>
    <row r="1207" spans="3:26" x14ac:dyDescent="0.25">
      <c r="C1207">
        <v>10000001</v>
      </c>
      <c r="D1207" t="s">
        <v>838</v>
      </c>
      <c r="F1207">
        <v>12008159</v>
      </c>
      <c r="H1207" t="s">
        <v>838</v>
      </c>
      <c r="I1207">
        <v>50</v>
      </c>
      <c r="J1207" s="1">
        <v>-200000</v>
      </c>
      <c r="K1207" t="s">
        <v>26</v>
      </c>
      <c r="L1207" s="1">
        <v>-200000</v>
      </c>
      <c r="M1207" t="s">
        <v>26</v>
      </c>
      <c r="Q1207" t="s">
        <v>27</v>
      </c>
      <c r="R1207" t="s">
        <v>998</v>
      </c>
      <c r="S1207" t="s">
        <v>45</v>
      </c>
      <c r="T1207" t="s">
        <v>1005</v>
      </c>
      <c r="X1207" t="s">
        <v>43</v>
      </c>
      <c r="Y1207">
        <v>1719278</v>
      </c>
      <c r="Z1207">
        <v>20251003</v>
      </c>
    </row>
    <row r="1208" spans="3:26" x14ac:dyDescent="0.25">
      <c r="C1208">
        <v>10000001</v>
      </c>
      <c r="D1208" t="s">
        <v>838</v>
      </c>
      <c r="F1208">
        <v>12008160</v>
      </c>
      <c r="H1208" t="s">
        <v>838</v>
      </c>
      <c r="I1208">
        <v>50</v>
      </c>
      <c r="J1208" s="1">
        <v>-932000</v>
      </c>
      <c r="K1208" t="s">
        <v>26</v>
      </c>
      <c r="L1208" s="1">
        <v>-932000</v>
      </c>
      <c r="M1208" t="s">
        <v>26</v>
      </c>
      <c r="Q1208" t="s">
        <v>27</v>
      </c>
      <c r="R1208" t="s">
        <v>1006</v>
      </c>
      <c r="S1208" t="s">
        <v>57</v>
      </c>
      <c r="T1208" t="s">
        <v>1007</v>
      </c>
      <c r="X1208" t="s">
        <v>43</v>
      </c>
      <c r="Y1208">
        <v>1719278</v>
      </c>
      <c r="Z1208">
        <v>20251003</v>
      </c>
    </row>
    <row r="1209" spans="3:26" x14ac:dyDescent="0.25">
      <c r="C1209">
        <v>10000001</v>
      </c>
      <c r="D1209" t="s">
        <v>838</v>
      </c>
      <c r="F1209">
        <v>12008161</v>
      </c>
      <c r="H1209" t="s">
        <v>838</v>
      </c>
      <c r="I1209">
        <v>50</v>
      </c>
      <c r="J1209" s="1">
        <v>-927000</v>
      </c>
      <c r="K1209" t="s">
        <v>26</v>
      </c>
      <c r="L1209" s="1">
        <v>-927000</v>
      </c>
      <c r="M1209" t="s">
        <v>26</v>
      </c>
      <c r="Q1209" t="s">
        <v>27</v>
      </c>
      <c r="R1209" t="s">
        <v>1008</v>
      </c>
      <c r="S1209" t="s">
        <v>57</v>
      </c>
      <c r="T1209" t="s">
        <v>1009</v>
      </c>
      <c r="X1209" t="s">
        <v>43</v>
      </c>
      <c r="Y1209">
        <v>1719278</v>
      </c>
      <c r="Z1209">
        <v>20251003</v>
      </c>
    </row>
    <row r="1210" spans="3:26" x14ac:dyDescent="0.25">
      <c r="C1210">
        <v>10000001</v>
      </c>
      <c r="D1210" t="s">
        <v>838</v>
      </c>
      <c r="F1210">
        <v>12008162</v>
      </c>
      <c r="H1210" t="s">
        <v>838</v>
      </c>
      <c r="I1210">
        <v>50</v>
      </c>
      <c r="J1210" s="1">
        <v>-50000</v>
      </c>
      <c r="K1210" t="s">
        <v>26</v>
      </c>
      <c r="L1210" s="1">
        <v>-50000</v>
      </c>
      <c r="M1210" t="s">
        <v>26</v>
      </c>
      <c r="Q1210" t="s">
        <v>27</v>
      </c>
      <c r="R1210" t="s">
        <v>1010</v>
      </c>
      <c r="S1210" t="s">
        <v>45</v>
      </c>
      <c r="T1210" t="s">
        <v>1011</v>
      </c>
      <c r="X1210" t="s">
        <v>43</v>
      </c>
      <c r="Y1210">
        <v>1719278</v>
      </c>
      <c r="Z1210">
        <v>20251003</v>
      </c>
    </row>
    <row r="1211" spans="3:26" x14ac:dyDescent="0.25">
      <c r="C1211">
        <v>10000001</v>
      </c>
      <c r="D1211" t="s">
        <v>838</v>
      </c>
      <c r="F1211">
        <v>12008163</v>
      </c>
      <c r="H1211" t="s">
        <v>838</v>
      </c>
      <c r="I1211">
        <v>50</v>
      </c>
      <c r="J1211" s="1">
        <v>-50000</v>
      </c>
      <c r="K1211" t="s">
        <v>26</v>
      </c>
      <c r="L1211" s="1">
        <v>-50000</v>
      </c>
      <c r="M1211" t="s">
        <v>26</v>
      </c>
      <c r="Q1211" t="s">
        <v>27</v>
      </c>
      <c r="R1211" t="s">
        <v>1010</v>
      </c>
      <c r="S1211" t="s">
        <v>45</v>
      </c>
      <c r="T1211" t="s">
        <v>1012</v>
      </c>
      <c r="X1211" t="s">
        <v>43</v>
      </c>
      <c r="Y1211">
        <v>1719278</v>
      </c>
      <c r="Z1211">
        <v>20251003</v>
      </c>
    </row>
    <row r="1212" spans="3:26" x14ac:dyDescent="0.25">
      <c r="C1212">
        <v>10000001</v>
      </c>
      <c r="D1212" t="s">
        <v>838</v>
      </c>
      <c r="F1212">
        <v>12008164</v>
      </c>
      <c r="H1212" t="s">
        <v>838</v>
      </c>
      <c r="I1212">
        <v>50</v>
      </c>
      <c r="J1212" s="1">
        <v>-50000</v>
      </c>
      <c r="K1212" t="s">
        <v>26</v>
      </c>
      <c r="L1212" s="1">
        <v>-50000</v>
      </c>
      <c r="M1212" t="s">
        <v>26</v>
      </c>
      <c r="Q1212" t="s">
        <v>27</v>
      </c>
      <c r="R1212" t="s">
        <v>1010</v>
      </c>
      <c r="S1212" t="s">
        <v>45</v>
      </c>
      <c r="T1212" t="s">
        <v>1013</v>
      </c>
      <c r="X1212" t="s">
        <v>43</v>
      </c>
      <c r="Y1212">
        <v>1719278</v>
      </c>
      <c r="Z1212">
        <v>20251003</v>
      </c>
    </row>
    <row r="1213" spans="3:26" x14ac:dyDescent="0.25">
      <c r="C1213">
        <v>10000001</v>
      </c>
      <c r="D1213" t="s">
        <v>838</v>
      </c>
      <c r="F1213">
        <v>12008165</v>
      </c>
      <c r="H1213" t="s">
        <v>838</v>
      </c>
      <c r="I1213">
        <v>50</v>
      </c>
      <c r="J1213" s="1">
        <v>-50000</v>
      </c>
      <c r="K1213" t="s">
        <v>26</v>
      </c>
      <c r="L1213" s="1">
        <v>-50000</v>
      </c>
      <c r="M1213" t="s">
        <v>26</v>
      </c>
      <c r="Q1213" t="s">
        <v>27</v>
      </c>
      <c r="R1213" t="s">
        <v>1010</v>
      </c>
      <c r="S1213" t="s">
        <v>45</v>
      </c>
      <c r="T1213" t="s">
        <v>1014</v>
      </c>
      <c r="X1213" t="s">
        <v>43</v>
      </c>
      <c r="Y1213">
        <v>1719278</v>
      </c>
      <c r="Z1213">
        <v>20251003</v>
      </c>
    </row>
    <row r="1214" spans="3:26" x14ac:dyDescent="0.25">
      <c r="C1214">
        <v>10000001</v>
      </c>
      <c r="D1214" t="s">
        <v>838</v>
      </c>
      <c r="F1214">
        <v>12008166</v>
      </c>
      <c r="H1214" t="s">
        <v>838</v>
      </c>
      <c r="I1214">
        <v>50</v>
      </c>
      <c r="J1214" s="1">
        <v>-665500</v>
      </c>
      <c r="K1214" t="s">
        <v>26</v>
      </c>
      <c r="L1214" s="1">
        <v>-665500</v>
      </c>
      <c r="M1214" t="s">
        <v>26</v>
      </c>
      <c r="Q1214" t="s">
        <v>27</v>
      </c>
      <c r="R1214" t="s">
        <v>1015</v>
      </c>
      <c r="S1214" t="s">
        <v>126</v>
      </c>
      <c r="T1214" t="s">
        <v>1016</v>
      </c>
      <c r="X1214" t="s">
        <v>43</v>
      </c>
      <c r="Y1214">
        <v>1719278</v>
      </c>
      <c r="Z1214">
        <v>20251003</v>
      </c>
    </row>
    <row r="1215" spans="3:26" x14ac:dyDescent="0.25">
      <c r="C1215">
        <v>10000001</v>
      </c>
      <c r="D1215" t="s">
        <v>838</v>
      </c>
      <c r="F1215">
        <v>12008167</v>
      </c>
      <c r="H1215" t="s">
        <v>838</v>
      </c>
      <c r="I1215">
        <v>50</v>
      </c>
      <c r="J1215" s="1">
        <v>-35000</v>
      </c>
      <c r="K1215" t="s">
        <v>26</v>
      </c>
      <c r="L1215" s="1">
        <v>-35000</v>
      </c>
      <c r="M1215" t="s">
        <v>26</v>
      </c>
      <c r="Q1215" t="s">
        <v>27</v>
      </c>
      <c r="R1215" t="s">
        <v>1017</v>
      </c>
      <c r="S1215" t="s">
        <v>59</v>
      </c>
      <c r="T1215" t="s">
        <v>1018</v>
      </c>
      <c r="X1215" t="s">
        <v>43</v>
      </c>
      <c r="Y1215">
        <v>1719278</v>
      </c>
      <c r="Z1215">
        <v>20251003</v>
      </c>
    </row>
    <row r="1216" spans="3:26" x14ac:dyDescent="0.25">
      <c r="C1216">
        <v>10000001</v>
      </c>
      <c r="D1216" t="s">
        <v>838</v>
      </c>
      <c r="F1216">
        <v>12008168</v>
      </c>
      <c r="H1216" t="s">
        <v>838</v>
      </c>
      <c r="I1216">
        <v>50</v>
      </c>
      <c r="J1216" s="1">
        <v>-147000</v>
      </c>
      <c r="K1216" t="s">
        <v>26</v>
      </c>
      <c r="L1216" s="1">
        <v>-147000</v>
      </c>
      <c r="M1216" t="s">
        <v>26</v>
      </c>
      <c r="Q1216" t="s">
        <v>27</v>
      </c>
      <c r="R1216" t="s">
        <v>1019</v>
      </c>
      <c r="S1216" t="s">
        <v>59</v>
      </c>
      <c r="T1216" t="s">
        <v>1020</v>
      </c>
      <c r="X1216" t="s">
        <v>43</v>
      </c>
      <c r="Y1216">
        <v>1719278</v>
      </c>
      <c r="Z1216">
        <v>20251003</v>
      </c>
    </row>
    <row r="1217" spans="3:26" x14ac:dyDescent="0.25">
      <c r="C1217">
        <v>10000001</v>
      </c>
      <c r="D1217" t="s">
        <v>838</v>
      </c>
      <c r="F1217">
        <v>12008169</v>
      </c>
      <c r="H1217" t="s">
        <v>838</v>
      </c>
      <c r="I1217">
        <v>50</v>
      </c>
      <c r="J1217" s="1">
        <v>-350000</v>
      </c>
      <c r="K1217" t="s">
        <v>26</v>
      </c>
      <c r="L1217" s="1">
        <v>-350000</v>
      </c>
      <c r="M1217" t="s">
        <v>26</v>
      </c>
      <c r="Q1217" t="s">
        <v>27</v>
      </c>
      <c r="R1217" t="s">
        <v>1021</v>
      </c>
      <c r="S1217" t="s">
        <v>45</v>
      </c>
      <c r="T1217" t="s">
        <v>1022</v>
      </c>
      <c r="X1217" t="s">
        <v>43</v>
      </c>
      <c r="Y1217">
        <v>1719278</v>
      </c>
      <c r="Z1217">
        <v>20251003</v>
      </c>
    </row>
    <row r="1218" spans="3:26" x14ac:dyDescent="0.25">
      <c r="C1218">
        <v>10000001</v>
      </c>
      <c r="D1218" t="s">
        <v>838</v>
      </c>
      <c r="F1218">
        <v>12008170</v>
      </c>
      <c r="H1218" t="s">
        <v>838</v>
      </c>
      <c r="I1218">
        <v>50</v>
      </c>
      <c r="J1218" s="1">
        <v>-150000</v>
      </c>
      <c r="K1218" t="s">
        <v>26</v>
      </c>
      <c r="L1218" s="1">
        <v>-150000</v>
      </c>
      <c r="M1218" t="s">
        <v>26</v>
      </c>
      <c r="Q1218" t="s">
        <v>27</v>
      </c>
      <c r="R1218" t="s">
        <v>1021</v>
      </c>
      <c r="S1218" t="s">
        <v>45</v>
      </c>
      <c r="T1218" t="s">
        <v>1023</v>
      </c>
      <c r="X1218" t="s">
        <v>43</v>
      </c>
      <c r="Y1218">
        <v>1719278</v>
      </c>
      <c r="Z1218">
        <v>20251003</v>
      </c>
    </row>
    <row r="1219" spans="3:26" x14ac:dyDescent="0.25">
      <c r="C1219">
        <v>10000001</v>
      </c>
      <c r="D1219" t="s">
        <v>838</v>
      </c>
      <c r="F1219">
        <v>12008171</v>
      </c>
      <c r="H1219" t="s">
        <v>838</v>
      </c>
      <c r="I1219">
        <v>50</v>
      </c>
      <c r="J1219" s="1">
        <v>-100000</v>
      </c>
      <c r="K1219" t="s">
        <v>26</v>
      </c>
      <c r="L1219" s="1">
        <v>-100000</v>
      </c>
      <c r="M1219" t="s">
        <v>26</v>
      </c>
      <c r="Q1219" t="s">
        <v>27</v>
      </c>
      <c r="R1219" t="s">
        <v>1021</v>
      </c>
      <c r="S1219" t="s">
        <v>45</v>
      </c>
      <c r="T1219" t="s">
        <v>1024</v>
      </c>
      <c r="X1219" t="s">
        <v>43</v>
      </c>
      <c r="Y1219">
        <v>1719278</v>
      </c>
      <c r="Z1219">
        <v>20251003</v>
      </c>
    </row>
    <row r="1220" spans="3:26" x14ac:dyDescent="0.25">
      <c r="C1220">
        <v>10000001</v>
      </c>
      <c r="D1220" t="s">
        <v>838</v>
      </c>
      <c r="F1220">
        <v>12008172</v>
      </c>
      <c r="H1220" t="s">
        <v>838</v>
      </c>
      <c r="I1220">
        <v>50</v>
      </c>
      <c r="J1220" s="1">
        <v>-100000</v>
      </c>
      <c r="K1220" t="s">
        <v>26</v>
      </c>
      <c r="L1220" s="1">
        <v>-100000</v>
      </c>
      <c r="M1220" t="s">
        <v>26</v>
      </c>
      <c r="Q1220" t="s">
        <v>27</v>
      </c>
      <c r="R1220" t="s">
        <v>1021</v>
      </c>
      <c r="S1220" t="s">
        <v>45</v>
      </c>
      <c r="T1220" t="s">
        <v>1025</v>
      </c>
      <c r="X1220" t="s">
        <v>43</v>
      </c>
      <c r="Y1220">
        <v>1719278</v>
      </c>
      <c r="Z1220">
        <v>20251003</v>
      </c>
    </row>
    <row r="1221" spans="3:26" x14ac:dyDescent="0.25">
      <c r="C1221">
        <v>10000001</v>
      </c>
      <c r="D1221" t="s">
        <v>838</v>
      </c>
      <c r="F1221">
        <v>12008173</v>
      </c>
      <c r="H1221" t="s">
        <v>838</v>
      </c>
      <c r="I1221">
        <v>50</v>
      </c>
      <c r="J1221" s="1">
        <v>-100000</v>
      </c>
      <c r="K1221" t="s">
        <v>26</v>
      </c>
      <c r="L1221" s="1">
        <v>-100000</v>
      </c>
      <c r="M1221" t="s">
        <v>26</v>
      </c>
      <c r="Q1221" t="s">
        <v>27</v>
      </c>
      <c r="R1221" t="s">
        <v>1021</v>
      </c>
      <c r="S1221" t="s">
        <v>45</v>
      </c>
      <c r="T1221" t="s">
        <v>1026</v>
      </c>
      <c r="X1221" t="s">
        <v>43</v>
      </c>
      <c r="Y1221">
        <v>1719278</v>
      </c>
      <c r="Z1221">
        <v>20251003</v>
      </c>
    </row>
    <row r="1222" spans="3:26" x14ac:dyDescent="0.25">
      <c r="C1222">
        <v>10000001</v>
      </c>
      <c r="D1222" t="s">
        <v>838</v>
      </c>
      <c r="F1222">
        <v>12008174</v>
      </c>
      <c r="H1222" t="s">
        <v>838</v>
      </c>
      <c r="I1222">
        <v>50</v>
      </c>
      <c r="J1222" s="1">
        <v>-50000</v>
      </c>
      <c r="K1222" t="s">
        <v>26</v>
      </c>
      <c r="L1222" s="1">
        <v>-50000</v>
      </c>
      <c r="M1222" t="s">
        <v>26</v>
      </c>
      <c r="Q1222" t="s">
        <v>27</v>
      </c>
      <c r="R1222" t="s">
        <v>1027</v>
      </c>
      <c r="S1222" t="s">
        <v>45</v>
      </c>
      <c r="T1222" t="s">
        <v>1028</v>
      </c>
      <c r="X1222" t="s">
        <v>43</v>
      </c>
      <c r="Y1222">
        <v>1719278</v>
      </c>
      <c r="Z1222">
        <v>20251003</v>
      </c>
    </row>
    <row r="1223" spans="3:26" x14ac:dyDescent="0.25">
      <c r="C1223">
        <v>10000001</v>
      </c>
      <c r="D1223" t="s">
        <v>838</v>
      </c>
      <c r="F1223">
        <v>12008175</v>
      </c>
      <c r="H1223" t="s">
        <v>838</v>
      </c>
      <c r="I1223">
        <v>50</v>
      </c>
      <c r="J1223" s="1">
        <v>-50000</v>
      </c>
      <c r="K1223" t="s">
        <v>26</v>
      </c>
      <c r="L1223" s="1">
        <v>-50000</v>
      </c>
      <c r="M1223" t="s">
        <v>26</v>
      </c>
      <c r="Q1223" t="s">
        <v>27</v>
      </c>
      <c r="R1223" t="s">
        <v>1029</v>
      </c>
      <c r="S1223" t="s">
        <v>45</v>
      </c>
      <c r="T1223" t="s">
        <v>1030</v>
      </c>
      <c r="X1223" t="s">
        <v>43</v>
      </c>
      <c r="Y1223">
        <v>1719278</v>
      </c>
      <c r="Z1223">
        <v>20251003</v>
      </c>
    </row>
    <row r="1224" spans="3:26" x14ac:dyDescent="0.25">
      <c r="C1224">
        <v>10000001</v>
      </c>
      <c r="D1224" t="s">
        <v>838</v>
      </c>
      <c r="F1224">
        <v>12008176</v>
      </c>
      <c r="H1224" t="s">
        <v>838</v>
      </c>
      <c r="I1224">
        <v>50</v>
      </c>
      <c r="J1224" s="1">
        <v>-50000</v>
      </c>
      <c r="K1224" t="s">
        <v>26</v>
      </c>
      <c r="L1224" s="1">
        <v>-50000</v>
      </c>
      <c r="M1224" t="s">
        <v>26</v>
      </c>
      <c r="Q1224" t="s">
        <v>27</v>
      </c>
      <c r="R1224" t="s">
        <v>1029</v>
      </c>
      <c r="S1224" t="s">
        <v>45</v>
      </c>
      <c r="T1224" t="s">
        <v>1031</v>
      </c>
      <c r="X1224" t="s">
        <v>43</v>
      </c>
      <c r="Y1224">
        <v>1719278</v>
      </c>
      <c r="Z1224">
        <v>20251003</v>
      </c>
    </row>
    <row r="1225" spans="3:26" x14ac:dyDescent="0.25">
      <c r="C1225">
        <v>10000001</v>
      </c>
      <c r="D1225" t="s">
        <v>838</v>
      </c>
      <c r="F1225">
        <v>12008177</v>
      </c>
      <c r="H1225" t="s">
        <v>838</v>
      </c>
      <c r="I1225">
        <v>50</v>
      </c>
      <c r="J1225" s="1">
        <v>-50000</v>
      </c>
      <c r="K1225" t="s">
        <v>26</v>
      </c>
      <c r="L1225" s="1">
        <v>-50000</v>
      </c>
      <c r="M1225" t="s">
        <v>26</v>
      </c>
      <c r="Q1225" t="s">
        <v>27</v>
      </c>
      <c r="R1225" t="s">
        <v>1029</v>
      </c>
      <c r="S1225" t="s">
        <v>45</v>
      </c>
      <c r="T1225" t="s">
        <v>1032</v>
      </c>
      <c r="X1225" t="s">
        <v>43</v>
      </c>
      <c r="Y1225">
        <v>1719278</v>
      </c>
      <c r="Z1225">
        <v>20251003</v>
      </c>
    </row>
    <row r="1226" spans="3:26" x14ac:dyDescent="0.25">
      <c r="C1226">
        <v>10000001</v>
      </c>
      <c r="D1226" t="s">
        <v>838</v>
      </c>
      <c r="F1226">
        <v>12008178</v>
      </c>
      <c r="H1226" t="s">
        <v>838</v>
      </c>
      <c r="I1226">
        <v>50</v>
      </c>
      <c r="J1226" s="1">
        <v>-50000</v>
      </c>
      <c r="K1226" t="s">
        <v>26</v>
      </c>
      <c r="L1226" s="1">
        <v>-50000</v>
      </c>
      <c r="M1226" t="s">
        <v>26</v>
      </c>
      <c r="Q1226" t="s">
        <v>27</v>
      </c>
      <c r="R1226" t="s">
        <v>1029</v>
      </c>
      <c r="S1226" t="s">
        <v>45</v>
      </c>
      <c r="T1226" t="s">
        <v>1033</v>
      </c>
      <c r="X1226" t="s">
        <v>43</v>
      </c>
      <c r="Y1226">
        <v>1719278</v>
      </c>
      <c r="Z1226">
        <v>20251003</v>
      </c>
    </row>
    <row r="1227" spans="3:26" x14ac:dyDescent="0.25">
      <c r="C1227">
        <v>10000001</v>
      </c>
      <c r="D1227" t="s">
        <v>838</v>
      </c>
      <c r="F1227">
        <v>12008179</v>
      </c>
      <c r="H1227" t="s">
        <v>838</v>
      </c>
      <c r="I1227">
        <v>50</v>
      </c>
      <c r="J1227" s="1">
        <v>-50000</v>
      </c>
      <c r="K1227" t="s">
        <v>26</v>
      </c>
      <c r="L1227" s="1">
        <v>-50000</v>
      </c>
      <c r="M1227" t="s">
        <v>26</v>
      </c>
      <c r="Q1227" t="s">
        <v>27</v>
      </c>
      <c r="R1227" t="s">
        <v>1029</v>
      </c>
      <c r="S1227" t="s">
        <v>45</v>
      </c>
      <c r="T1227" t="s">
        <v>1034</v>
      </c>
      <c r="X1227" t="s">
        <v>43</v>
      </c>
      <c r="Y1227">
        <v>1719278</v>
      </c>
      <c r="Z1227">
        <v>20251003</v>
      </c>
    </row>
    <row r="1228" spans="3:26" x14ac:dyDescent="0.25">
      <c r="C1228">
        <v>10000001</v>
      </c>
      <c r="D1228" t="s">
        <v>838</v>
      </c>
      <c r="F1228">
        <v>12008180</v>
      </c>
      <c r="H1228" t="s">
        <v>838</v>
      </c>
      <c r="I1228">
        <v>50</v>
      </c>
      <c r="J1228" s="1">
        <v>-50000</v>
      </c>
      <c r="K1228" t="s">
        <v>26</v>
      </c>
      <c r="L1228" s="1">
        <v>-50000</v>
      </c>
      <c r="M1228" t="s">
        <v>26</v>
      </c>
      <c r="Q1228" t="s">
        <v>27</v>
      </c>
      <c r="R1228" t="s">
        <v>1029</v>
      </c>
      <c r="S1228" t="s">
        <v>45</v>
      </c>
      <c r="T1228" t="s">
        <v>1035</v>
      </c>
      <c r="X1228" t="s">
        <v>43</v>
      </c>
      <c r="Y1228">
        <v>1719278</v>
      </c>
      <c r="Z1228">
        <v>20251003</v>
      </c>
    </row>
    <row r="1229" spans="3:26" x14ac:dyDescent="0.25">
      <c r="C1229">
        <v>10000001</v>
      </c>
      <c r="D1229" t="s">
        <v>838</v>
      </c>
      <c r="F1229">
        <v>12008181</v>
      </c>
      <c r="H1229" t="s">
        <v>838</v>
      </c>
      <c r="I1229">
        <v>50</v>
      </c>
      <c r="J1229" s="1">
        <v>-545000</v>
      </c>
      <c r="K1229" t="s">
        <v>26</v>
      </c>
      <c r="L1229" s="1">
        <v>-545000</v>
      </c>
      <c r="M1229" t="s">
        <v>26</v>
      </c>
      <c r="Q1229" t="s">
        <v>27</v>
      </c>
      <c r="R1229" t="s">
        <v>1029</v>
      </c>
      <c r="S1229" t="s">
        <v>375</v>
      </c>
      <c r="T1229" t="s">
        <v>1036</v>
      </c>
      <c r="X1229" t="s">
        <v>43</v>
      </c>
      <c r="Y1229">
        <v>1719278</v>
      </c>
      <c r="Z1229">
        <v>20251003</v>
      </c>
    </row>
    <row r="1230" spans="3:26" x14ac:dyDescent="0.25">
      <c r="C1230">
        <v>10000001</v>
      </c>
      <c r="D1230" t="s">
        <v>838</v>
      </c>
      <c r="F1230">
        <v>12008182</v>
      </c>
      <c r="H1230" t="s">
        <v>838</v>
      </c>
      <c r="I1230">
        <v>50</v>
      </c>
      <c r="J1230" s="1">
        <v>-198106</v>
      </c>
      <c r="K1230" t="s">
        <v>26</v>
      </c>
      <c r="L1230" s="1">
        <v>-198106</v>
      </c>
      <c r="M1230" t="s">
        <v>26</v>
      </c>
      <c r="Q1230" t="s">
        <v>27</v>
      </c>
      <c r="R1230" t="s">
        <v>1037</v>
      </c>
      <c r="S1230" t="s">
        <v>375</v>
      </c>
      <c r="T1230" t="s">
        <v>1038</v>
      </c>
      <c r="X1230" t="s">
        <v>43</v>
      </c>
      <c r="Y1230">
        <v>1719278</v>
      </c>
      <c r="Z1230">
        <v>20251003</v>
      </c>
    </row>
    <row r="1231" spans="3:26" x14ac:dyDescent="0.25">
      <c r="C1231">
        <v>10000001</v>
      </c>
      <c r="D1231" t="s">
        <v>838</v>
      </c>
      <c r="F1231">
        <v>12008183</v>
      </c>
      <c r="H1231" t="s">
        <v>838</v>
      </c>
      <c r="I1231">
        <v>50</v>
      </c>
      <c r="J1231" s="1">
        <v>-516150</v>
      </c>
      <c r="K1231" t="s">
        <v>26</v>
      </c>
      <c r="L1231" s="1">
        <v>-516150</v>
      </c>
      <c r="M1231" t="s">
        <v>26</v>
      </c>
      <c r="Q1231" t="s">
        <v>27</v>
      </c>
      <c r="R1231" t="s">
        <v>1039</v>
      </c>
      <c r="S1231" t="s">
        <v>375</v>
      </c>
      <c r="T1231" t="s">
        <v>1040</v>
      </c>
      <c r="X1231" t="s">
        <v>43</v>
      </c>
      <c r="Y1231">
        <v>1719278</v>
      </c>
      <c r="Z1231">
        <v>20251003</v>
      </c>
    </row>
    <row r="1232" spans="3:26" x14ac:dyDescent="0.25">
      <c r="C1232">
        <v>10000001</v>
      </c>
      <c r="D1232" t="s">
        <v>838</v>
      </c>
      <c r="F1232">
        <v>12008184</v>
      </c>
      <c r="H1232" t="s">
        <v>838</v>
      </c>
      <c r="I1232">
        <v>50</v>
      </c>
      <c r="J1232" s="1">
        <v>-80000</v>
      </c>
      <c r="K1232" t="s">
        <v>26</v>
      </c>
      <c r="L1232" s="1">
        <v>-80000</v>
      </c>
      <c r="M1232" t="s">
        <v>26</v>
      </c>
      <c r="Q1232" t="s">
        <v>27</v>
      </c>
      <c r="R1232" t="s">
        <v>1041</v>
      </c>
      <c r="S1232" t="s">
        <v>375</v>
      </c>
      <c r="T1232" t="s">
        <v>1042</v>
      </c>
      <c r="X1232" t="s">
        <v>43</v>
      </c>
      <c r="Y1232">
        <v>1719278</v>
      </c>
      <c r="Z1232">
        <v>20251003</v>
      </c>
    </row>
    <row r="1233" spans="3:26" x14ac:dyDescent="0.25">
      <c r="C1233">
        <v>10000001</v>
      </c>
      <c r="D1233" t="s">
        <v>1043</v>
      </c>
      <c r="F1233">
        <v>12008186</v>
      </c>
      <c r="H1233" t="s">
        <v>1043</v>
      </c>
      <c r="I1233">
        <v>40</v>
      </c>
      <c r="J1233" s="1">
        <v>32378366</v>
      </c>
      <c r="K1233" t="s">
        <v>26</v>
      </c>
      <c r="L1233" s="1">
        <v>32378366</v>
      </c>
      <c r="M1233" t="s">
        <v>26</v>
      </c>
      <c r="Q1233" t="s">
        <v>27</v>
      </c>
      <c r="S1233" t="s">
        <v>249</v>
      </c>
      <c r="T1233" t="s">
        <v>1044</v>
      </c>
      <c r="X1233" t="s">
        <v>43</v>
      </c>
      <c r="Y1233">
        <v>1719278</v>
      </c>
      <c r="Z1233">
        <v>20251006</v>
      </c>
    </row>
    <row r="1234" spans="3:26" x14ac:dyDescent="0.25">
      <c r="C1234">
        <v>10000001</v>
      </c>
      <c r="D1234" t="s">
        <v>1045</v>
      </c>
      <c r="F1234">
        <v>12008511</v>
      </c>
      <c r="H1234" t="s">
        <v>1045</v>
      </c>
      <c r="I1234">
        <v>50</v>
      </c>
      <c r="J1234" s="1">
        <v>-977000</v>
      </c>
      <c r="K1234" t="s">
        <v>26</v>
      </c>
      <c r="L1234" s="1">
        <v>-977000</v>
      </c>
      <c r="M1234" t="s">
        <v>26</v>
      </c>
      <c r="Q1234" t="s">
        <v>27</v>
      </c>
      <c r="R1234" t="s">
        <v>1046</v>
      </c>
      <c r="S1234" t="s">
        <v>57</v>
      </c>
      <c r="T1234" t="s">
        <v>1047</v>
      </c>
      <c r="X1234" t="s">
        <v>43</v>
      </c>
      <c r="Y1234">
        <v>1719278</v>
      </c>
      <c r="Z1234">
        <v>20251014</v>
      </c>
    </row>
    <row r="1235" spans="3:26" x14ac:dyDescent="0.25">
      <c r="C1235">
        <v>10000001</v>
      </c>
      <c r="D1235" t="s">
        <v>1045</v>
      </c>
      <c r="F1235">
        <v>12008512</v>
      </c>
      <c r="H1235" t="s">
        <v>1045</v>
      </c>
      <c r="I1235">
        <v>50</v>
      </c>
      <c r="J1235" s="1">
        <v>-900000</v>
      </c>
      <c r="K1235" t="s">
        <v>26</v>
      </c>
      <c r="L1235" s="1">
        <v>-900000</v>
      </c>
      <c r="M1235" t="s">
        <v>26</v>
      </c>
      <c r="Q1235" t="s">
        <v>27</v>
      </c>
      <c r="R1235" t="s">
        <v>1048</v>
      </c>
      <c r="S1235" t="s">
        <v>57</v>
      </c>
      <c r="T1235" t="s">
        <v>1049</v>
      </c>
      <c r="X1235" t="s">
        <v>43</v>
      </c>
      <c r="Y1235">
        <v>1719278</v>
      </c>
      <c r="Z1235">
        <v>20251014</v>
      </c>
    </row>
    <row r="1236" spans="3:26" x14ac:dyDescent="0.25">
      <c r="C1236">
        <v>10000001</v>
      </c>
      <c r="D1236" t="s">
        <v>1045</v>
      </c>
      <c r="F1236">
        <v>12008513</v>
      </c>
      <c r="H1236" t="s">
        <v>1045</v>
      </c>
      <c r="I1236">
        <v>50</v>
      </c>
      <c r="J1236" s="1">
        <v>-728000</v>
      </c>
      <c r="K1236" t="s">
        <v>26</v>
      </c>
      <c r="L1236" s="1">
        <v>-728000</v>
      </c>
      <c r="M1236" t="s">
        <v>26</v>
      </c>
      <c r="Q1236" t="s">
        <v>27</v>
      </c>
      <c r="R1236" t="s">
        <v>1050</v>
      </c>
      <c r="S1236" t="s">
        <v>59</v>
      </c>
      <c r="T1236" t="s">
        <v>1051</v>
      </c>
      <c r="X1236" t="s">
        <v>43</v>
      </c>
      <c r="Y1236">
        <v>1719278</v>
      </c>
      <c r="Z1236">
        <v>20251014</v>
      </c>
    </row>
    <row r="1237" spans="3:26" x14ac:dyDescent="0.25">
      <c r="C1237">
        <v>10000001</v>
      </c>
      <c r="D1237" t="s">
        <v>1045</v>
      </c>
      <c r="F1237">
        <v>12008514</v>
      </c>
      <c r="H1237" t="s">
        <v>1045</v>
      </c>
      <c r="I1237">
        <v>50</v>
      </c>
      <c r="J1237" s="1">
        <v>-859500</v>
      </c>
      <c r="K1237" t="s">
        <v>26</v>
      </c>
      <c r="L1237" s="1">
        <v>-859500</v>
      </c>
      <c r="M1237" t="s">
        <v>26</v>
      </c>
      <c r="Q1237" t="s">
        <v>27</v>
      </c>
      <c r="R1237" t="s">
        <v>1052</v>
      </c>
      <c r="S1237" t="s">
        <v>57</v>
      </c>
      <c r="T1237" t="s">
        <v>1053</v>
      </c>
      <c r="X1237" t="s">
        <v>43</v>
      </c>
      <c r="Y1237">
        <v>1719278</v>
      </c>
      <c r="Z1237">
        <v>20251014</v>
      </c>
    </row>
    <row r="1238" spans="3:26" x14ac:dyDescent="0.25">
      <c r="C1238">
        <v>10000001</v>
      </c>
      <c r="D1238" t="s">
        <v>1045</v>
      </c>
      <c r="F1238">
        <v>12008515</v>
      </c>
      <c r="H1238" t="s">
        <v>1045</v>
      </c>
      <c r="I1238">
        <v>50</v>
      </c>
      <c r="J1238" s="1">
        <v>-375000</v>
      </c>
      <c r="K1238" t="s">
        <v>26</v>
      </c>
      <c r="L1238" s="1">
        <v>-375000</v>
      </c>
      <c r="M1238" t="s">
        <v>26</v>
      </c>
      <c r="Q1238" t="s">
        <v>27</v>
      </c>
      <c r="R1238" t="s">
        <v>1054</v>
      </c>
      <c r="S1238" t="s">
        <v>57</v>
      </c>
      <c r="T1238" t="s">
        <v>179</v>
      </c>
      <c r="X1238" t="s">
        <v>43</v>
      </c>
      <c r="Y1238">
        <v>1719278</v>
      </c>
      <c r="Z1238">
        <v>20251014</v>
      </c>
    </row>
    <row r="1239" spans="3:26" x14ac:dyDescent="0.25">
      <c r="C1239">
        <v>10000001</v>
      </c>
      <c r="D1239" t="s">
        <v>1045</v>
      </c>
      <c r="F1239">
        <v>12008516</v>
      </c>
      <c r="H1239" t="s">
        <v>1045</v>
      </c>
      <c r="I1239">
        <v>50</v>
      </c>
      <c r="J1239" s="1">
        <v>-477000</v>
      </c>
      <c r="K1239" t="s">
        <v>26</v>
      </c>
      <c r="L1239" s="1">
        <v>-477000</v>
      </c>
      <c r="M1239" t="s">
        <v>26</v>
      </c>
      <c r="Q1239" t="s">
        <v>27</v>
      </c>
      <c r="R1239" t="s">
        <v>1055</v>
      </c>
      <c r="S1239" t="s">
        <v>126</v>
      </c>
      <c r="T1239" t="s">
        <v>1056</v>
      </c>
      <c r="X1239" t="s">
        <v>43</v>
      </c>
      <c r="Y1239">
        <v>1719278</v>
      </c>
      <c r="Z1239">
        <v>20251014</v>
      </c>
    </row>
    <row r="1240" spans="3:26" x14ac:dyDescent="0.25">
      <c r="C1240">
        <v>10000001</v>
      </c>
      <c r="D1240" t="s">
        <v>1045</v>
      </c>
      <c r="F1240">
        <v>12008517</v>
      </c>
      <c r="H1240" t="s">
        <v>1045</v>
      </c>
      <c r="I1240">
        <v>50</v>
      </c>
      <c r="J1240" s="1">
        <v>-995000</v>
      </c>
      <c r="K1240" t="s">
        <v>26</v>
      </c>
      <c r="L1240" s="1">
        <v>-995000</v>
      </c>
      <c r="M1240" t="s">
        <v>26</v>
      </c>
      <c r="Q1240" t="s">
        <v>27</v>
      </c>
      <c r="R1240" t="s">
        <v>1057</v>
      </c>
      <c r="S1240" t="s">
        <v>57</v>
      </c>
      <c r="T1240" t="s">
        <v>1058</v>
      </c>
      <c r="X1240" t="s">
        <v>43</v>
      </c>
      <c r="Y1240">
        <v>1719278</v>
      </c>
      <c r="Z1240">
        <v>20251014</v>
      </c>
    </row>
    <row r="1241" spans="3:26" x14ac:dyDescent="0.25">
      <c r="C1241">
        <v>10000001</v>
      </c>
      <c r="D1241" t="s">
        <v>1045</v>
      </c>
      <c r="F1241">
        <v>12008518</v>
      </c>
      <c r="H1241" t="s">
        <v>1045</v>
      </c>
      <c r="I1241">
        <v>50</v>
      </c>
      <c r="J1241" s="1">
        <v>-908000</v>
      </c>
      <c r="K1241" t="s">
        <v>26</v>
      </c>
      <c r="L1241" s="1">
        <v>-908000</v>
      </c>
      <c r="M1241" t="s">
        <v>26</v>
      </c>
      <c r="Q1241" t="s">
        <v>27</v>
      </c>
      <c r="R1241" t="s">
        <v>1059</v>
      </c>
      <c r="S1241" t="s">
        <v>57</v>
      </c>
      <c r="T1241" t="s">
        <v>1060</v>
      </c>
      <c r="X1241" t="s">
        <v>43</v>
      </c>
      <c r="Y1241">
        <v>1719278</v>
      </c>
      <c r="Z1241">
        <v>20251014</v>
      </c>
    </row>
    <row r="1242" spans="3:26" x14ac:dyDescent="0.25">
      <c r="C1242">
        <v>10000001</v>
      </c>
      <c r="D1242" t="s">
        <v>1045</v>
      </c>
      <c r="F1242">
        <v>12008519</v>
      </c>
      <c r="H1242" t="s">
        <v>1045</v>
      </c>
      <c r="I1242">
        <v>50</v>
      </c>
      <c r="J1242" s="1">
        <v>-57800</v>
      </c>
      <c r="K1242" t="s">
        <v>26</v>
      </c>
      <c r="L1242" s="1">
        <v>-57800</v>
      </c>
      <c r="M1242" t="s">
        <v>26</v>
      </c>
      <c r="Q1242" t="s">
        <v>27</v>
      </c>
      <c r="R1242" t="s">
        <v>1061</v>
      </c>
      <c r="S1242" t="s">
        <v>193</v>
      </c>
      <c r="T1242" t="s">
        <v>1062</v>
      </c>
      <c r="X1242" t="s">
        <v>43</v>
      </c>
      <c r="Y1242">
        <v>1719278</v>
      </c>
      <c r="Z1242">
        <v>20251014</v>
      </c>
    </row>
    <row r="1243" spans="3:26" x14ac:dyDescent="0.25">
      <c r="C1243">
        <v>10000001</v>
      </c>
      <c r="D1243" t="s">
        <v>1045</v>
      </c>
      <c r="F1243">
        <v>12008520</v>
      </c>
      <c r="H1243" t="s">
        <v>1045</v>
      </c>
      <c r="I1243">
        <v>50</v>
      </c>
      <c r="J1243" s="1">
        <v>-740000</v>
      </c>
      <c r="K1243" t="s">
        <v>26</v>
      </c>
      <c r="L1243" s="1">
        <v>-740000</v>
      </c>
      <c r="M1243" t="s">
        <v>26</v>
      </c>
      <c r="Q1243" t="s">
        <v>27</v>
      </c>
      <c r="R1243" t="s">
        <v>1063</v>
      </c>
      <c r="S1243" t="s">
        <v>96</v>
      </c>
      <c r="T1243" t="s">
        <v>1064</v>
      </c>
      <c r="X1243" t="s">
        <v>43</v>
      </c>
      <c r="Y1243">
        <v>1719278</v>
      </c>
      <c r="Z1243">
        <v>20251014</v>
      </c>
    </row>
    <row r="1244" spans="3:26" x14ac:dyDescent="0.25">
      <c r="C1244">
        <v>10000001</v>
      </c>
      <c r="D1244" t="s">
        <v>1045</v>
      </c>
      <c r="F1244">
        <v>12008521</v>
      </c>
      <c r="H1244" t="s">
        <v>1045</v>
      </c>
      <c r="I1244">
        <v>50</v>
      </c>
      <c r="J1244" s="1">
        <v>-260000</v>
      </c>
      <c r="K1244" t="s">
        <v>26</v>
      </c>
      <c r="L1244" s="1">
        <v>-260000</v>
      </c>
      <c r="M1244" t="s">
        <v>26</v>
      </c>
      <c r="Q1244" t="s">
        <v>27</v>
      </c>
      <c r="R1244" t="s">
        <v>1063</v>
      </c>
      <c r="S1244" t="s">
        <v>67</v>
      </c>
      <c r="T1244" t="s">
        <v>98</v>
      </c>
      <c r="X1244" t="s">
        <v>43</v>
      </c>
      <c r="Y1244">
        <v>1719278</v>
      </c>
      <c r="Z1244">
        <v>20251014</v>
      </c>
    </row>
    <row r="1245" spans="3:26" x14ac:dyDescent="0.25">
      <c r="C1245">
        <v>10000001</v>
      </c>
      <c r="D1245" t="s">
        <v>1045</v>
      </c>
      <c r="F1245">
        <v>12008522</v>
      </c>
      <c r="H1245" t="s">
        <v>1045</v>
      </c>
      <c r="I1245">
        <v>50</v>
      </c>
      <c r="J1245" s="1">
        <v>-50000</v>
      </c>
      <c r="K1245" t="s">
        <v>26</v>
      </c>
      <c r="L1245" s="1">
        <v>-50000</v>
      </c>
      <c r="M1245" t="s">
        <v>26</v>
      </c>
      <c r="Q1245" t="s">
        <v>27</v>
      </c>
      <c r="R1245" t="s">
        <v>1065</v>
      </c>
      <c r="S1245" t="s">
        <v>45</v>
      </c>
      <c r="T1245" t="s">
        <v>1066</v>
      </c>
      <c r="X1245" t="s">
        <v>43</v>
      </c>
      <c r="Y1245">
        <v>1719278</v>
      </c>
      <c r="Z1245">
        <v>20251014</v>
      </c>
    </row>
    <row r="1246" spans="3:26" x14ac:dyDescent="0.25">
      <c r="C1246">
        <v>10000001</v>
      </c>
      <c r="D1246" t="s">
        <v>1045</v>
      </c>
      <c r="F1246">
        <v>12008523</v>
      </c>
      <c r="H1246" t="s">
        <v>1045</v>
      </c>
      <c r="I1246">
        <v>50</v>
      </c>
      <c r="J1246" s="1">
        <v>-50000</v>
      </c>
      <c r="K1246" t="s">
        <v>26</v>
      </c>
      <c r="L1246" s="1">
        <v>-50000</v>
      </c>
      <c r="M1246" t="s">
        <v>26</v>
      </c>
      <c r="Q1246" t="s">
        <v>27</v>
      </c>
      <c r="R1246" t="s">
        <v>1065</v>
      </c>
      <c r="S1246" t="s">
        <v>45</v>
      </c>
      <c r="T1246" t="s">
        <v>1067</v>
      </c>
      <c r="X1246" t="s">
        <v>43</v>
      </c>
      <c r="Y1246">
        <v>1719278</v>
      </c>
      <c r="Z1246">
        <v>20251014</v>
      </c>
    </row>
    <row r="1247" spans="3:26" x14ac:dyDescent="0.25">
      <c r="C1247">
        <v>10000001</v>
      </c>
      <c r="D1247" t="s">
        <v>1045</v>
      </c>
      <c r="F1247">
        <v>12008524</v>
      </c>
      <c r="H1247" t="s">
        <v>1045</v>
      </c>
      <c r="I1247">
        <v>50</v>
      </c>
      <c r="J1247" s="1">
        <v>-50000</v>
      </c>
      <c r="K1247" t="s">
        <v>26</v>
      </c>
      <c r="L1247" s="1">
        <v>-50000</v>
      </c>
      <c r="M1247" t="s">
        <v>26</v>
      </c>
      <c r="Q1247" t="s">
        <v>27</v>
      </c>
      <c r="R1247" t="s">
        <v>1068</v>
      </c>
      <c r="S1247" t="s">
        <v>45</v>
      </c>
      <c r="T1247" t="s">
        <v>1069</v>
      </c>
      <c r="X1247" t="s">
        <v>43</v>
      </c>
      <c r="Y1247">
        <v>1719278</v>
      </c>
      <c r="Z1247">
        <v>20251014</v>
      </c>
    </row>
    <row r="1248" spans="3:26" x14ac:dyDescent="0.25">
      <c r="C1248">
        <v>10000001</v>
      </c>
      <c r="D1248" t="s">
        <v>1045</v>
      </c>
      <c r="F1248">
        <v>12008525</v>
      </c>
      <c r="H1248" t="s">
        <v>1045</v>
      </c>
      <c r="I1248">
        <v>50</v>
      </c>
      <c r="J1248" s="1">
        <v>-100000</v>
      </c>
      <c r="K1248" t="s">
        <v>26</v>
      </c>
      <c r="L1248" s="1">
        <v>-100000</v>
      </c>
      <c r="M1248" t="s">
        <v>26</v>
      </c>
      <c r="Q1248" t="s">
        <v>27</v>
      </c>
      <c r="R1248" t="s">
        <v>1068</v>
      </c>
      <c r="S1248" t="s">
        <v>45</v>
      </c>
      <c r="T1248" t="s">
        <v>1070</v>
      </c>
      <c r="X1248" t="s">
        <v>43</v>
      </c>
      <c r="Y1248">
        <v>1719278</v>
      </c>
      <c r="Z1248">
        <v>20251014</v>
      </c>
    </row>
    <row r="1249" spans="3:26" x14ac:dyDescent="0.25">
      <c r="C1249">
        <v>10000001</v>
      </c>
      <c r="D1249" t="s">
        <v>1045</v>
      </c>
      <c r="F1249">
        <v>12008526</v>
      </c>
      <c r="H1249" t="s">
        <v>1045</v>
      </c>
      <c r="I1249">
        <v>50</v>
      </c>
      <c r="J1249" s="1">
        <v>-50000</v>
      </c>
      <c r="K1249" t="s">
        <v>26</v>
      </c>
      <c r="L1249" s="1">
        <v>-50000</v>
      </c>
      <c r="M1249" t="s">
        <v>26</v>
      </c>
      <c r="Q1249" t="s">
        <v>27</v>
      </c>
      <c r="R1249" t="s">
        <v>1071</v>
      </c>
      <c r="S1249" t="s">
        <v>45</v>
      </c>
      <c r="T1249" t="s">
        <v>1072</v>
      </c>
      <c r="X1249" t="s">
        <v>43</v>
      </c>
      <c r="Y1249">
        <v>1719278</v>
      </c>
      <c r="Z1249">
        <v>20251014</v>
      </c>
    </row>
    <row r="1250" spans="3:26" x14ac:dyDescent="0.25">
      <c r="C1250">
        <v>10000001</v>
      </c>
      <c r="D1250" t="s">
        <v>1045</v>
      </c>
      <c r="F1250">
        <v>12008527</v>
      </c>
      <c r="H1250" t="s">
        <v>1045</v>
      </c>
      <c r="I1250">
        <v>50</v>
      </c>
      <c r="J1250" s="1">
        <v>-50000</v>
      </c>
      <c r="K1250" t="s">
        <v>26</v>
      </c>
      <c r="L1250" s="1">
        <v>-50000</v>
      </c>
      <c r="M1250" t="s">
        <v>26</v>
      </c>
      <c r="Q1250" t="s">
        <v>27</v>
      </c>
      <c r="R1250" t="s">
        <v>1071</v>
      </c>
      <c r="S1250" t="s">
        <v>45</v>
      </c>
      <c r="T1250" t="s">
        <v>1073</v>
      </c>
      <c r="X1250" t="s">
        <v>43</v>
      </c>
      <c r="Y1250">
        <v>1719278</v>
      </c>
      <c r="Z1250">
        <v>20251014</v>
      </c>
    </row>
    <row r="1251" spans="3:26" x14ac:dyDescent="0.25">
      <c r="C1251">
        <v>10000001</v>
      </c>
      <c r="D1251" t="s">
        <v>1074</v>
      </c>
      <c r="F1251">
        <v>12008528</v>
      </c>
      <c r="H1251" t="s">
        <v>1074</v>
      </c>
      <c r="I1251">
        <v>50</v>
      </c>
      <c r="J1251" s="1">
        <v>-50000</v>
      </c>
      <c r="K1251" t="s">
        <v>26</v>
      </c>
      <c r="L1251" s="1">
        <v>-50000</v>
      </c>
      <c r="M1251" t="s">
        <v>26</v>
      </c>
      <c r="Q1251" t="s">
        <v>27</v>
      </c>
      <c r="R1251" t="s">
        <v>1075</v>
      </c>
      <c r="S1251" t="s">
        <v>45</v>
      </c>
      <c r="T1251" t="s">
        <v>1076</v>
      </c>
      <c r="X1251" t="s">
        <v>43</v>
      </c>
      <c r="Y1251">
        <v>1719278</v>
      </c>
      <c r="Z1251">
        <v>20251015</v>
      </c>
    </row>
    <row r="1252" spans="3:26" x14ac:dyDescent="0.25">
      <c r="C1252">
        <v>10000001</v>
      </c>
      <c r="D1252" t="s">
        <v>1074</v>
      </c>
      <c r="F1252">
        <v>12008529</v>
      </c>
      <c r="H1252" t="s">
        <v>1074</v>
      </c>
      <c r="I1252">
        <v>50</v>
      </c>
      <c r="J1252" s="1">
        <v>-50000</v>
      </c>
      <c r="K1252" t="s">
        <v>26</v>
      </c>
      <c r="L1252" s="1">
        <v>-50000</v>
      </c>
      <c r="M1252" t="s">
        <v>26</v>
      </c>
      <c r="Q1252" t="s">
        <v>27</v>
      </c>
      <c r="R1252" t="s">
        <v>1075</v>
      </c>
      <c r="S1252" t="s">
        <v>45</v>
      </c>
      <c r="T1252" t="s">
        <v>1077</v>
      </c>
      <c r="X1252" t="s">
        <v>43</v>
      </c>
      <c r="Y1252">
        <v>1719278</v>
      </c>
      <c r="Z1252">
        <v>20251015</v>
      </c>
    </row>
    <row r="1253" spans="3:26" x14ac:dyDescent="0.25">
      <c r="C1253">
        <v>10000001</v>
      </c>
      <c r="D1253" t="s">
        <v>1074</v>
      </c>
      <c r="F1253">
        <v>12008530</v>
      </c>
      <c r="H1253" t="s">
        <v>1074</v>
      </c>
      <c r="I1253">
        <v>50</v>
      </c>
      <c r="J1253" s="1">
        <v>-50000</v>
      </c>
      <c r="K1253" t="s">
        <v>26</v>
      </c>
      <c r="L1253" s="1">
        <v>-50000</v>
      </c>
      <c r="M1253" t="s">
        <v>26</v>
      </c>
      <c r="Q1253" t="s">
        <v>27</v>
      </c>
      <c r="R1253" t="s">
        <v>1075</v>
      </c>
      <c r="S1253" t="s">
        <v>45</v>
      </c>
      <c r="T1253" t="s">
        <v>1078</v>
      </c>
      <c r="X1253" t="s">
        <v>43</v>
      </c>
      <c r="Y1253">
        <v>1719278</v>
      </c>
      <c r="Z1253">
        <v>20251015</v>
      </c>
    </row>
    <row r="1254" spans="3:26" x14ac:dyDescent="0.25">
      <c r="C1254">
        <v>10000001</v>
      </c>
      <c r="D1254" t="s">
        <v>1074</v>
      </c>
      <c r="F1254">
        <v>12008531</v>
      </c>
      <c r="H1254" t="s">
        <v>1074</v>
      </c>
      <c r="I1254">
        <v>50</v>
      </c>
      <c r="J1254" s="1">
        <v>-50000</v>
      </c>
      <c r="K1254" t="s">
        <v>26</v>
      </c>
      <c r="L1254" s="1">
        <v>-50000</v>
      </c>
      <c r="M1254" t="s">
        <v>26</v>
      </c>
      <c r="Q1254" t="s">
        <v>27</v>
      </c>
      <c r="R1254" t="s">
        <v>1075</v>
      </c>
      <c r="S1254" t="s">
        <v>45</v>
      </c>
      <c r="T1254" t="s">
        <v>1079</v>
      </c>
      <c r="X1254" t="s">
        <v>43</v>
      </c>
      <c r="Y1254">
        <v>1719278</v>
      </c>
      <c r="Z1254">
        <v>20251015</v>
      </c>
    </row>
    <row r="1255" spans="3:26" x14ac:dyDescent="0.25">
      <c r="C1255">
        <v>10000001</v>
      </c>
      <c r="D1255" t="s">
        <v>1074</v>
      </c>
      <c r="F1255">
        <v>12008532</v>
      </c>
      <c r="H1255" t="s">
        <v>1074</v>
      </c>
      <c r="I1255">
        <v>50</v>
      </c>
      <c r="J1255" s="1">
        <v>-50000</v>
      </c>
      <c r="K1255" t="s">
        <v>26</v>
      </c>
      <c r="L1255" s="1">
        <v>-50000</v>
      </c>
      <c r="M1255" t="s">
        <v>26</v>
      </c>
      <c r="Q1255" t="s">
        <v>27</v>
      </c>
      <c r="R1255" t="s">
        <v>1075</v>
      </c>
      <c r="S1255" t="s">
        <v>45</v>
      </c>
      <c r="T1255" t="s">
        <v>1080</v>
      </c>
      <c r="X1255" t="s">
        <v>43</v>
      </c>
      <c r="Y1255">
        <v>1719278</v>
      </c>
      <c r="Z1255">
        <v>20251015</v>
      </c>
    </row>
    <row r="1256" spans="3:26" x14ac:dyDescent="0.25">
      <c r="C1256">
        <v>10000001</v>
      </c>
      <c r="D1256" t="s">
        <v>1074</v>
      </c>
      <c r="F1256">
        <v>12008533</v>
      </c>
      <c r="H1256" t="s">
        <v>1074</v>
      </c>
      <c r="I1256">
        <v>50</v>
      </c>
      <c r="J1256" s="1">
        <v>-50000</v>
      </c>
      <c r="K1256" t="s">
        <v>26</v>
      </c>
      <c r="L1256" s="1">
        <v>-50000</v>
      </c>
      <c r="M1256" t="s">
        <v>26</v>
      </c>
      <c r="Q1256" t="s">
        <v>27</v>
      </c>
      <c r="R1256" t="s">
        <v>1075</v>
      </c>
      <c r="S1256" t="s">
        <v>45</v>
      </c>
      <c r="T1256" t="s">
        <v>1081</v>
      </c>
      <c r="X1256" t="s">
        <v>43</v>
      </c>
      <c r="Y1256">
        <v>1719278</v>
      </c>
      <c r="Z1256">
        <v>20251015</v>
      </c>
    </row>
    <row r="1257" spans="3:26" x14ac:dyDescent="0.25">
      <c r="C1257">
        <v>10000001</v>
      </c>
      <c r="D1257" t="s">
        <v>1074</v>
      </c>
      <c r="F1257">
        <v>12008534</v>
      </c>
      <c r="H1257" t="s">
        <v>1074</v>
      </c>
      <c r="I1257">
        <v>50</v>
      </c>
      <c r="J1257" s="1">
        <v>-50000</v>
      </c>
      <c r="K1257" t="s">
        <v>26</v>
      </c>
      <c r="L1257" s="1">
        <v>-50000</v>
      </c>
      <c r="M1257" t="s">
        <v>26</v>
      </c>
      <c r="Q1257" t="s">
        <v>27</v>
      </c>
      <c r="R1257" t="s">
        <v>1075</v>
      </c>
      <c r="S1257" t="s">
        <v>45</v>
      </c>
      <c r="T1257" t="s">
        <v>1082</v>
      </c>
      <c r="X1257" t="s">
        <v>43</v>
      </c>
      <c r="Y1257">
        <v>1719278</v>
      </c>
      <c r="Z1257">
        <v>20251015</v>
      </c>
    </row>
    <row r="1258" spans="3:26" x14ac:dyDescent="0.25">
      <c r="C1258">
        <v>10000001</v>
      </c>
      <c r="D1258" t="s">
        <v>1074</v>
      </c>
      <c r="F1258">
        <v>12008535</v>
      </c>
      <c r="H1258" t="s">
        <v>1074</v>
      </c>
      <c r="I1258">
        <v>50</v>
      </c>
      <c r="J1258" s="1">
        <v>-50000</v>
      </c>
      <c r="K1258" t="s">
        <v>26</v>
      </c>
      <c r="L1258" s="1">
        <v>-50000</v>
      </c>
      <c r="M1258" t="s">
        <v>26</v>
      </c>
      <c r="Q1258" t="s">
        <v>27</v>
      </c>
      <c r="R1258" t="s">
        <v>1075</v>
      </c>
      <c r="S1258" t="s">
        <v>45</v>
      </c>
      <c r="T1258" t="s">
        <v>1083</v>
      </c>
      <c r="X1258" t="s">
        <v>43</v>
      </c>
      <c r="Y1258">
        <v>1719278</v>
      </c>
      <c r="Z1258">
        <v>20251015</v>
      </c>
    </row>
    <row r="1259" spans="3:26" x14ac:dyDescent="0.25">
      <c r="C1259">
        <v>10000001</v>
      </c>
      <c r="D1259" t="s">
        <v>1074</v>
      </c>
      <c r="F1259">
        <v>12008536</v>
      </c>
      <c r="H1259" t="s">
        <v>1074</v>
      </c>
      <c r="I1259">
        <v>50</v>
      </c>
      <c r="J1259" s="1">
        <v>-50000</v>
      </c>
      <c r="K1259" t="s">
        <v>26</v>
      </c>
      <c r="L1259" s="1">
        <v>-50000</v>
      </c>
      <c r="M1259" t="s">
        <v>26</v>
      </c>
      <c r="Q1259" t="s">
        <v>27</v>
      </c>
      <c r="R1259" t="s">
        <v>1075</v>
      </c>
      <c r="S1259" t="s">
        <v>45</v>
      </c>
      <c r="T1259" t="s">
        <v>1084</v>
      </c>
      <c r="X1259" t="s">
        <v>43</v>
      </c>
      <c r="Y1259">
        <v>1719278</v>
      </c>
      <c r="Z1259">
        <v>20251015</v>
      </c>
    </row>
    <row r="1260" spans="3:26" x14ac:dyDescent="0.25">
      <c r="C1260">
        <v>10000001</v>
      </c>
      <c r="D1260" t="s">
        <v>1074</v>
      </c>
      <c r="F1260">
        <v>12008537</v>
      </c>
      <c r="H1260" t="s">
        <v>1074</v>
      </c>
      <c r="I1260">
        <v>50</v>
      </c>
      <c r="J1260" s="1">
        <v>-4000</v>
      </c>
      <c r="K1260" t="s">
        <v>26</v>
      </c>
      <c r="L1260" s="1">
        <v>-4000</v>
      </c>
      <c r="M1260" t="s">
        <v>26</v>
      </c>
      <c r="Q1260" t="s">
        <v>27</v>
      </c>
      <c r="R1260" t="s">
        <v>1075</v>
      </c>
      <c r="S1260" t="s">
        <v>334</v>
      </c>
      <c r="T1260" t="s">
        <v>1085</v>
      </c>
      <c r="X1260" t="s">
        <v>43</v>
      </c>
      <c r="Y1260">
        <v>1719278</v>
      </c>
      <c r="Z1260">
        <v>20251015</v>
      </c>
    </row>
    <row r="1261" spans="3:26" x14ac:dyDescent="0.25">
      <c r="C1261">
        <v>10000001</v>
      </c>
      <c r="D1261" t="s">
        <v>1074</v>
      </c>
      <c r="F1261">
        <v>12008538</v>
      </c>
      <c r="H1261" t="s">
        <v>1074</v>
      </c>
      <c r="I1261">
        <v>50</v>
      </c>
      <c r="J1261" s="1">
        <v>-200000</v>
      </c>
      <c r="K1261" t="s">
        <v>26</v>
      </c>
      <c r="L1261" s="1">
        <v>-200000</v>
      </c>
      <c r="M1261" t="s">
        <v>26</v>
      </c>
      <c r="Q1261" t="s">
        <v>27</v>
      </c>
      <c r="R1261" t="s">
        <v>1086</v>
      </c>
      <c r="S1261" t="s">
        <v>126</v>
      </c>
      <c r="T1261" t="s">
        <v>1087</v>
      </c>
      <c r="X1261" t="s">
        <v>43</v>
      </c>
      <c r="Y1261">
        <v>1719278</v>
      </c>
      <c r="Z1261">
        <v>20251015</v>
      </c>
    </row>
    <row r="1262" spans="3:26" x14ac:dyDescent="0.25">
      <c r="C1262">
        <v>10000001</v>
      </c>
      <c r="D1262" t="s">
        <v>1074</v>
      </c>
      <c r="F1262">
        <v>12008539</v>
      </c>
      <c r="H1262" t="s">
        <v>1074</v>
      </c>
      <c r="I1262">
        <v>50</v>
      </c>
      <c r="J1262" s="1">
        <v>-331000</v>
      </c>
      <c r="K1262" t="s">
        <v>26</v>
      </c>
      <c r="L1262" s="1">
        <v>-331000</v>
      </c>
      <c r="M1262" t="s">
        <v>26</v>
      </c>
      <c r="Q1262" t="s">
        <v>27</v>
      </c>
      <c r="R1262" t="s">
        <v>1086</v>
      </c>
      <c r="S1262" t="s">
        <v>59</v>
      </c>
      <c r="T1262" t="s">
        <v>1088</v>
      </c>
      <c r="X1262" t="s">
        <v>43</v>
      </c>
      <c r="Y1262">
        <v>1719278</v>
      </c>
      <c r="Z1262">
        <v>20251015</v>
      </c>
    </row>
    <row r="1263" spans="3:26" x14ac:dyDescent="0.25">
      <c r="C1263">
        <v>10000001</v>
      </c>
      <c r="D1263" t="s">
        <v>1074</v>
      </c>
      <c r="F1263">
        <v>12008540</v>
      </c>
      <c r="H1263" t="s">
        <v>1074</v>
      </c>
      <c r="I1263">
        <v>50</v>
      </c>
      <c r="J1263" s="1">
        <v>-931500</v>
      </c>
      <c r="K1263" t="s">
        <v>26</v>
      </c>
      <c r="L1263" s="1">
        <v>-931500</v>
      </c>
      <c r="M1263" t="s">
        <v>26</v>
      </c>
      <c r="Q1263" t="s">
        <v>27</v>
      </c>
      <c r="R1263" t="s">
        <v>1089</v>
      </c>
      <c r="S1263" t="s">
        <v>67</v>
      </c>
      <c r="T1263" t="s">
        <v>1090</v>
      </c>
      <c r="X1263" t="s">
        <v>43</v>
      </c>
      <c r="Y1263">
        <v>1719278</v>
      </c>
      <c r="Z1263">
        <v>20251015</v>
      </c>
    </row>
    <row r="1264" spans="3:26" x14ac:dyDescent="0.25">
      <c r="C1264">
        <v>10000001</v>
      </c>
      <c r="D1264" t="s">
        <v>1074</v>
      </c>
      <c r="F1264">
        <v>12008541</v>
      </c>
      <c r="H1264" t="s">
        <v>1074</v>
      </c>
      <c r="I1264">
        <v>50</v>
      </c>
      <c r="J1264" s="1">
        <v>-590000</v>
      </c>
      <c r="K1264" t="s">
        <v>26</v>
      </c>
      <c r="L1264" s="1">
        <v>-590000</v>
      </c>
      <c r="M1264" t="s">
        <v>26</v>
      </c>
      <c r="Q1264" t="s">
        <v>27</v>
      </c>
      <c r="R1264" t="s">
        <v>1091</v>
      </c>
      <c r="S1264" t="s">
        <v>96</v>
      </c>
      <c r="T1264" t="s">
        <v>1092</v>
      </c>
      <c r="X1264" t="s">
        <v>43</v>
      </c>
      <c r="Y1264">
        <v>1719278</v>
      </c>
      <c r="Z1264">
        <v>20251015</v>
      </c>
    </row>
    <row r="1265" spans="3:26" x14ac:dyDescent="0.25">
      <c r="C1265">
        <v>10000001</v>
      </c>
      <c r="D1265" t="s">
        <v>1074</v>
      </c>
      <c r="F1265">
        <v>12008542</v>
      </c>
      <c r="H1265" t="s">
        <v>1074</v>
      </c>
      <c r="I1265">
        <v>50</v>
      </c>
      <c r="J1265" s="1">
        <v>-409000</v>
      </c>
      <c r="K1265" t="s">
        <v>26</v>
      </c>
      <c r="L1265" s="1">
        <v>-409000</v>
      </c>
      <c r="M1265" t="s">
        <v>26</v>
      </c>
      <c r="Q1265" t="s">
        <v>27</v>
      </c>
      <c r="R1265" t="s">
        <v>1091</v>
      </c>
      <c r="S1265" t="s">
        <v>67</v>
      </c>
      <c r="T1265" t="s">
        <v>98</v>
      </c>
      <c r="X1265" t="s">
        <v>43</v>
      </c>
      <c r="Y1265">
        <v>1719278</v>
      </c>
      <c r="Z1265">
        <v>20251015</v>
      </c>
    </row>
    <row r="1266" spans="3:26" x14ac:dyDescent="0.25">
      <c r="C1266">
        <v>10000001</v>
      </c>
      <c r="D1266" t="s">
        <v>1074</v>
      </c>
      <c r="F1266">
        <v>12008543</v>
      </c>
      <c r="H1266" t="s">
        <v>1074</v>
      </c>
      <c r="I1266">
        <v>50</v>
      </c>
      <c r="J1266" s="1">
        <v>-300000</v>
      </c>
      <c r="K1266" t="s">
        <v>26</v>
      </c>
      <c r="L1266" s="1">
        <v>-300000</v>
      </c>
      <c r="M1266" t="s">
        <v>26</v>
      </c>
      <c r="Q1266" t="s">
        <v>27</v>
      </c>
      <c r="R1266" t="s">
        <v>1093</v>
      </c>
      <c r="S1266" t="s">
        <v>57</v>
      </c>
      <c r="T1266" t="s">
        <v>181</v>
      </c>
      <c r="X1266" t="s">
        <v>43</v>
      </c>
      <c r="Y1266">
        <v>1719278</v>
      </c>
      <c r="Z1266">
        <v>20251015</v>
      </c>
    </row>
    <row r="1267" spans="3:26" x14ac:dyDescent="0.25">
      <c r="C1267">
        <v>10000001</v>
      </c>
      <c r="D1267" t="s">
        <v>1074</v>
      </c>
      <c r="F1267">
        <v>12008544</v>
      </c>
      <c r="H1267" t="s">
        <v>1074</v>
      </c>
      <c r="I1267">
        <v>50</v>
      </c>
      <c r="J1267" s="1">
        <v>-361000</v>
      </c>
      <c r="K1267" t="s">
        <v>26</v>
      </c>
      <c r="L1267" s="1">
        <v>-361000</v>
      </c>
      <c r="M1267" t="s">
        <v>26</v>
      </c>
      <c r="Q1267" t="s">
        <v>27</v>
      </c>
      <c r="R1267" t="s">
        <v>1094</v>
      </c>
      <c r="S1267" t="s">
        <v>57</v>
      </c>
      <c r="T1267" t="s">
        <v>1095</v>
      </c>
      <c r="X1267" t="s">
        <v>43</v>
      </c>
      <c r="Y1267">
        <v>1719278</v>
      </c>
      <c r="Z1267">
        <v>20251015</v>
      </c>
    </row>
    <row r="1268" spans="3:26" x14ac:dyDescent="0.25">
      <c r="C1268">
        <v>10000001</v>
      </c>
      <c r="D1268" t="s">
        <v>1074</v>
      </c>
      <c r="F1268">
        <v>12008545</v>
      </c>
      <c r="H1268" t="s">
        <v>1074</v>
      </c>
      <c r="I1268">
        <v>50</v>
      </c>
      <c r="J1268" s="1">
        <v>-610000</v>
      </c>
      <c r="K1268" t="s">
        <v>26</v>
      </c>
      <c r="L1268" s="1">
        <v>-610000</v>
      </c>
      <c r="M1268" t="s">
        <v>26</v>
      </c>
      <c r="Q1268" t="s">
        <v>27</v>
      </c>
      <c r="R1268" t="s">
        <v>1096</v>
      </c>
      <c r="S1268" t="s">
        <v>96</v>
      </c>
      <c r="T1268" t="s">
        <v>1097</v>
      </c>
      <c r="X1268" t="s">
        <v>43</v>
      </c>
      <c r="Y1268">
        <v>1719278</v>
      </c>
      <c r="Z1268">
        <v>20251015</v>
      </c>
    </row>
    <row r="1269" spans="3:26" x14ac:dyDescent="0.25">
      <c r="C1269">
        <v>10000001</v>
      </c>
      <c r="D1269" t="s">
        <v>1074</v>
      </c>
      <c r="F1269">
        <v>12008546</v>
      </c>
      <c r="H1269" t="s">
        <v>1074</v>
      </c>
      <c r="I1269">
        <v>50</v>
      </c>
      <c r="J1269" s="1">
        <v>-389500</v>
      </c>
      <c r="K1269" t="s">
        <v>26</v>
      </c>
      <c r="L1269" s="1">
        <v>-389500</v>
      </c>
      <c r="M1269" t="s">
        <v>26</v>
      </c>
      <c r="Q1269" t="s">
        <v>27</v>
      </c>
      <c r="R1269" t="s">
        <v>1096</v>
      </c>
      <c r="S1269" t="s">
        <v>67</v>
      </c>
      <c r="T1269" t="s">
        <v>98</v>
      </c>
      <c r="X1269" t="s">
        <v>43</v>
      </c>
      <c r="Y1269">
        <v>1719278</v>
      </c>
      <c r="Z1269">
        <v>20251015</v>
      </c>
    </row>
    <row r="1270" spans="3:26" x14ac:dyDescent="0.25">
      <c r="C1270">
        <v>10000001</v>
      </c>
      <c r="D1270" t="s">
        <v>1074</v>
      </c>
      <c r="F1270">
        <v>12008547</v>
      </c>
      <c r="H1270" t="s">
        <v>1074</v>
      </c>
      <c r="I1270">
        <v>50</v>
      </c>
      <c r="J1270" s="1">
        <v>-100000</v>
      </c>
      <c r="K1270" t="s">
        <v>26</v>
      </c>
      <c r="L1270" s="1">
        <v>-100000</v>
      </c>
      <c r="M1270" t="s">
        <v>26</v>
      </c>
      <c r="Q1270" t="s">
        <v>27</v>
      </c>
      <c r="R1270" t="s">
        <v>1098</v>
      </c>
      <c r="S1270" t="s">
        <v>45</v>
      </c>
      <c r="T1270" t="s">
        <v>1099</v>
      </c>
      <c r="X1270" t="s">
        <v>43</v>
      </c>
      <c r="Y1270">
        <v>1719278</v>
      </c>
      <c r="Z1270">
        <v>20251015</v>
      </c>
    </row>
    <row r="1271" spans="3:26" x14ac:dyDescent="0.25">
      <c r="C1271">
        <v>10000001</v>
      </c>
      <c r="D1271" t="s">
        <v>1074</v>
      </c>
      <c r="F1271">
        <v>12008548</v>
      </c>
      <c r="H1271" t="s">
        <v>1074</v>
      </c>
      <c r="I1271">
        <v>50</v>
      </c>
      <c r="J1271" s="1">
        <v>-100000</v>
      </c>
      <c r="K1271" t="s">
        <v>26</v>
      </c>
      <c r="L1271" s="1">
        <v>-100000</v>
      </c>
      <c r="M1271" t="s">
        <v>26</v>
      </c>
      <c r="Q1271" t="s">
        <v>27</v>
      </c>
      <c r="R1271" t="s">
        <v>1098</v>
      </c>
      <c r="S1271" t="s">
        <v>45</v>
      </c>
      <c r="T1271" t="s">
        <v>1100</v>
      </c>
      <c r="X1271" t="s">
        <v>43</v>
      </c>
      <c r="Y1271">
        <v>1719278</v>
      </c>
      <c r="Z1271">
        <v>20251015</v>
      </c>
    </row>
    <row r="1272" spans="3:26" x14ac:dyDescent="0.25">
      <c r="C1272">
        <v>10000001</v>
      </c>
      <c r="D1272" t="s">
        <v>1074</v>
      </c>
      <c r="F1272">
        <v>12008549</v>
      </c>
      <c r="H1272" t="s">
        <v>1074</v>
      </c>
      <c r="I1272">
        <v>50</v>
      </c>
      <c r="J1272" s="1">
        <v>-75000</v>
      </c>
      <c r="K1272" t="s">
        <v>26</v>
      </c>
      <c r="L1272" s="1">
        <v>-75000</v>
      </c>
      <c r="M1272" t="s">
        <v>26</v>
      </c>
      <c r="Q1272" t="s">
        <v>27</v>
      </c>
      <c r="R1272" t="s">
        <v>1101</v>
      </c>
      <c r="S1272" t="s">
        <v>126</v>
      </c>
      <c r="T1272" t="s">
        <v>1102</v>
      </c>
      <c r="X1272" t="s">
        <v>43</v>
      </c>
      <c r="Y1272">
        <v>1719278</v>
      </c>
      <c r="Z1272">
        <v>20251015</v>
      </c>
    </row>
    <row r="1273" spans="3:26" x14ac:dyDescent="0.25">
      <c r="C1273">
        <v>10000001</v>
      </c>
      <c r="D1273" t="s">
        <v>1074</v>
      </c>
      <c r="F1273">
        <v>12008550</v>
      </c>
      <c r="H1273" t="s">
        <v>1074</v>
      </c>
      <c r="I1273">
        <v>50</v>
      </c>
      <c r="J1273" s="1">
        <v>-50000</v>
      </c>
      <c r="K1273" t="s">
        <v>26</v>
      </c>
      <c r="L1273" s="1">
        <v>-50000</v>
      </c>
      <c r="M1273" t="s">
        <v>26</v>
      </c>
      <c r="Q1273" t="s">
        <v>27</v>
      </c>
      <c r="R1273" t="s">
        <v>1103</v>
      </c>
      <c r="S1273" t="s">
        <v>126</v>
      </c>
      <c r="T1273" t="s">
        <v>1104</v>
      </c>
      <c r="X1273" t="s">
        <v>43</v>
      </c>
      <c r="Y1273">
        <v>1719278</v>
      </c>
      <c r="Z1273">
        <v>20251015</v>
      </c>
    </row>
    <row r="1274" spans="3:26" x14ac:dyDescent="0.25">
      <c r="C1274">
        <v>10000001</v>
      </c>
      <c r="D1274" t="s">
        <v>1074</v>
      </c>
      <c r="F1274">
        <v>12008551</v>
      </c>
      <c r="H1274" t="s">
        <v>1074</v>
      </c>
      <c r="I1274">
        <v>50</v>
      </c>
      <c r="J1274" s="1">
        <v>-202500</v>
      </c>
      <c r="K1274" t="s">
        <v>26</v>
      </c>
      <c r="L1274" s="1">
        <v>-202500</v>
      </c>
      <c r="M1274" t="s">
        <v>26</v>
      </c>
      <c r="Q1274" t="s">
        <v>27</v>
      </c>
      <c r="R1274" t="s">
        <v>1103</v>
      </c>
      <c r="S1274" t="s">
        <v>67</v>
      </c>
      <c r="T1274" t="s">
        <v>1105</v>
      </c>
      <c r="X1274" t="s">
        <v>43</v>
      </c>
      <c r="Y1274">
        <v>1719278</v>
      </c>
      <c r="Z1274">
        <v>20251015</v>
      </c>
    </row>
    <row r="1275" spans="3:26" x14ac:dyDescent="0.25">
      <c r="C1275">
        <v>10000001</v>
      </c>
      <c r="D1275" t="s">
        <v>1074</v>
      </c>
      <c r="F1275">
        <v>12008552</v>
      </c>
      <c r="H1275" t="s">
        <v>1074</v>
      </c>
      <c r="I1275">
        <v>50</v>
      </c>
      <c r="J1275" s="1">
        <v>-25000</v>
      </c>
      <c r="K1275" t="s">
        <v>26</v>
      </c>
      <c r="L1275" s="1">
        <v>-25000</v>
      </c>
      <c r="M1275" t="s">
        <v>26</v>
      </c>
      <c r="Q1275" t="s">
        <v>27</v>
      </c>
      <c r="R1275" t="s">
        <v>1106</v>
      </c>
      <c r="S1275" t="s">
        <v>126</v>
      </c>
      <c r="T1275" t="s">
        <v>1107</v>
      </c>
      <c r="X1275" t="s">
        <v>43</v>
      </c>
      <c r="Y1275">
        <v>1719278</v>
      </c>
      <c r="Z1275">
        <v>20251015</v>
      </c>
    </row>
    <row r="1276" spans="3:26" x14ac:dyDescent="0.25">
      <c r="C1276">
        <v>10000001</v>
      </c>
      <c r="D1276" t="s">
        <v>1074</v>
      </c>
      <c r="F1276">
        <v>12008553</v>
      </c>
      <c r="H1276" t="s">
        <v>1074</v>
      </c>
      <c r="I1276">
        <v>50</v>
      </c>
      <c r="J1276" s="1">
        <v>-706000</v>
      </c>
      <c r="K1276" t="s">
        <v>26</v>
      </c>
      <c r="L1276" s="1">
        <v>-706000</v>
      </c>
      <c r="M1276" t="s">
        <v>26</v>
      </c>
      <c r="Q1276" t="s">
        <v>27</v>
      </c>
      <c r="R1276" t="s">
        <v>1108</v>
      </c>
      <c r="S1276" t="s">
        <v>57</v>
      </c>
      <c r="T1276" t="s">
        <v>1109</v>
      </c>
      <c r="X1276" t="s">
        <v>43</v>
      </c>
      <c r="Y1276">
        <v>1719278</v>
      </c>
      <c r="Z1276">
        <v>20251015</v>
      </c>
    </row>
    <row r="1277" spans="3:26" x14ac:dyDescent="0.25">
      <c r="C1277">
        <v>10000001</v>
      </c>
      <c r="D1277" t="s">
        <v>1074</v>
      </c>
      <c r="F1277">
        <v>12008554</v>
      </c>
      <c r="H1277" t="s">
        <v>1074</v>
      </c>
      <c r="I1277">
        <v>50</v>
      </c>
      <c r="J1277" s="1">
        <v>-972500</v>
      </c>
      <c r="K1277" t="s">
        <v>26</v>
      </c>
      <c r="L1277" s="1">
        <v>-972500</v>
      </c>
      <c r="M1277" t="s">
        <v>26</v>
      </c>
      <c r="Q1277" t="s">
        <v>27</v>
      </c>
      <c r="R1277" t="s">
        <v>1110</v>
      </c>
      <c r="S1277" t="s">
        <v>59</v>
      </c>
      <c r="T1277" t="s">
        <v>1111</v>
      </c>
      <c r="X1277" t="s">
        <v>43</v>
      </c>
      <c r="Y1277">
        <v>1719278</v>
      </c>
      <c r="Z1277">
        <v>20251015</v>
      </c>
    </row>
    <row r="1278" spans="3:26" x14ac:dyDescent="0.25">
      <c r="C1278">
        <v>10000001</v>
      </c>
      <c r="D1278" t="s">
        <v>1074</v>
      </c>
      <c r="F1278">
        <v>12008555</v>
      </c>
      <c r="H1278" t="s">
        <v>1074</v>
      </c>
      <c r="I1278">
        <v>50</v>
      </c>
      <c r="J1278" s="1">
        <v>-25000</v>
      </c>
      <c r="K1278" t="s">
        <v>26</v>
      </c>
      <c r="L1278" s="1">
        <v>-25000</v>
      </c>
      <c r="M1278" t="s">
        <v>26</v>
      </c>
      <c r="Q1278" t="s">
        <v>27</v>
      </c>
      <c r="R1278" t="s">
        <v>1112</v>
      </c>
      <c r="S1278" t="s">
        <v>126</v>
      </c>
      <c r="T1278" t="s">
        <v>1113</v>
      </c>
      <c r="X1278" t="s">
        <v>43</v>
      </c>
      <c r="Y1278">
        <v>1719278</v>
      </c>
      <c r="Z1278">
        <v>20251015</v>
      </c>
    </row>
    <row r="1279" spans="3:26" x14ac:dyDescent="0.25">
      <c r="C1279">
        <v>10000001</v>
      </c>
      <c r="D1279" t="s">
        <v>1074</v>
      </c>
      <c r="F1279">
        <v>12008556</v>
      </c>
      <c r="H1279" t="s">
        <v>1074</v>
      </c>
      <c r="I1279">
        <v>50</v>
      </c>
      <c r="J1279" s="1">
        <v>-984580</v>
      </c>
      <c r="K1279" t="s">
        <v>26</v>
      </c>
      <c r="L1279" s="1">
        <v>-984580</v>
      </c>
      <c r="M1279" t="s">
        <v>26</v>
      </c>
      <c r="Q1279" t="s">
        <v>27</v>
      </c>
      <c r="R1279" t="s">
        <v>1114</v>
      </c>
      <c r="S1279" t="s">
        <v>59</v>
      </c>
      <c r="T1279" t="s">
        <v>1115</v>
      </c>
      <c r="X1279" t="s">
        <v>43</v>
      </c>
      <c r="Y1279">
        <v>1719278</v>
      </c>
      <c r="Z1279">
        <v>20251015</v>
      </c>
    </row>
    <row r="1280" spans="3:26" x14ac:dyDescent="0.25">
      <c r="C1280">
        <v>10000001</v>
      </c>
      <c r="D1280" t="s">
        <v>1074</v>
      </c>
      <c r="F1280">
        <v>12008557</v>
      </c>
      <c r="H1280" t="s">
        <v>1074</v>
      </c>
      <c r="I1280">
        <v>50</v>
      </c>
      <c r="J1280" s="1">
        <v>-50000</v>
      </c>
      <c r="K1280" t="s">
        <v>26</v>
      </c>
      <c r="L1280" s="1">
        <v>-50000</v>
      </c>
      <c r="M1280" t="s">
        <v>26</v>
      </c>
      <c r="Q1280" t="s">
        <v>27</v>
      </c>
      <c r="R1280" t="s">
        <v>1116</v>
      </c>
      <c r="S1280" t="s">
        <v>45</v>
      </c>
      <c r="T1280" t="s">
        <v>1117</v>
      </c>
      <c r="X1280" t="s">
        <v>43</v>
      </c>
      <c r="Y1280">
        <v>1719278</v>
      </c>
      <c r="Z1280">
        <v>20251015</v>
      </c>
    </row>
    <row r="1281" spans="3:26" x14ac:dyDescent="0.25">
      <c r="C1281">
        <v>10000001</v>
      </c>
      <c r="D1281" t="s">
        <v>1074</v>
      </c>
      <c r="F1281">
        <v>12008558</v>
      </c>
      <c r="H1281" t="s">
        <v>1074</v>
      </c>
      <c r="I1281">
        <v>50</v>
      </c>
      <c r="J1281" s="1">
        <v>-50000</v>
      </c>
      <c r="K1281" t="s">
        <v>26</v>
      </c>
      <c r="L1281" s="1">
        <v>-50000</v>
      </c>
      <c r="M1281" t="s">
        <v>26</v>
      </c>
      <c r="Q1281" t="s">
        <v>27</v>
      </c>
      <c r="R1281" t="s">
        <v>1116</v>
      </c>
      <c r="S1281" t="s">
        <v>45</v>
      </c>
      <c r="T1281" t="s">
        <v>1118</v>
      </c>
      <c r="X1281" t="s">
        <v>43</v>
      </c>
      <c r="Y1281">
        <v>1719278</v>
      </c>
      <c r="Z1281">
        <v>20251015</v>
      </c>
    </row>
    <row r="1282" spans="3:26" x14ac:dyDescent="0.25">
      <c r="C1282">
        <v>10000001</v>
      </c>
      <c r="D1282" t="s">
        <v>1074</v>
      </c>
      <c r="F1282">
        <v>12008559</v>
      </c>
      <c r="H1282" t="s">
        <v>1074</v>
      </c>
      <c r="I1282">
        <v>50</v>
      </c>
      <c r="J1282" s="1">
        <v>-50000</v>
      </c>
      <c r="K1282" t="s">
        <v>26</v>
      </c>
      <c r="L1282" s="1">
        <v>-50000</v>
      </c>
      <c r="M1282" t="s">
        <v>26</v>
      </c>
      <c r="Q1282" t="s">
        <v>27</v>
      </c>
      <c r="R1282" t="s">
        <v>1116</v>
      </c>
      <c r="S1282" t="s">
        <v>45</v>
      </c>
      <c r="T1282" t="s">
        <v>1119</v>
      </c>
      <c r="X1282" t="s">
        <v>43</v>
      </c>
      <c r="Y1282">
        <v>1719278</v>
      </c>
      <c r="Z1282">
        <v>20251015</v>
      </c>
    </row>
    <row r="1283" spans="3:26" x14ac:dyDescent="0.25">
      <c r="C1283">
        <v>10000001</v>
      </c>
      <c r="D1283" t="s">
        <v>1074</v>
      </c>
      <c r="F1283">
        <v>12008560</v>
      </c>
      <c r="H1283" t="s">
        <v>1074</v>
      </c>
      <c r="I1283">
        <v>50</v>
      </c>
      <c r="J1283" s="1">
        <v>-50000</v>
      </c>
      <c r="K1283" t="s">
        <v>26</v>
      </c>
      <c r="L1283" s="1">
        <v>-50000</v>
      </c>
      <c r="M1283" t="s">
        <v>26</v>
      </c>
      <c r="Q1283" t="s">
        <v>27</v>
      </c>
      <c r="R1283" t="s">
        <v>1116</v>
      </c>
      <c r="S1283" t="s">
        <v>45</v>
      </c>
      <c r="T1283" t="s">
        <v>1120</v>
      </c>
      <c r="X1283" t="s">
        <v>43</v>
      </c>
      <c r="Y1283">
        <v>1719278</v>
      </c>
      <c r="Z1283">
        <v>20251015</v>
      </c>
    </row>
    <row r="1284" spans="3:26" x14ac:dyDescent="0.25">
      <c r="C1284">
        <v>10000001</v>
      </c>
      <c r="D1284" t="s">
        <v>1074</v>
      </c>
      <c r="F1284">
        <v>12008561</v>
      </c>
      <c r="H1284" t="s">
        <v>1074</v>
      </c>
      <c r="I1284">
        <v>50</v>
      </c>
      <c r="J1284" s="1">
        <v>-200000</v>
      </c>
      <c r="K1284" t="s">
        <v>26</v>
      </c>
      <c r="L1284" s="1">
        <v>-200000</v>
      </c>
      <c r="M1284" t="s">
        <v>26</v>
      </c>
      <c r="Q1284" t="s">
        <v>27</v>
      </c>
      <c r="R1284" t="s">
        <v>1116</v>
      </c>
      <c r="S1284" t="s">
        <v>45</v>
      </c>
      <c r="T1284" t="s">
        <v>1121</v>
      </c>
      <c r="X1284" t="s">
        <v>43</v>
      </c>
      <c r="Y1284">
        <v>1719278</v>
      </c>
      <c r="Z1284">
        <v>20251015</v>
      </c>
    </row>
    <row r="1285" spans="3:26" x14ac:dyDescent="0.25">
      <c r="C1285">
        <v>10000001</v>
      </c>
      <c r="D1285" t="s">
        <v>1122</v>
      </c>
      <c r="F1285">
        <v>12008562</v>
      </c>
      <c r="H1285" t="s">
        <v>1122</v>
      </c>
      <c r="I1285">
        <v>50</v>
      </c>
      <c r="J1285" s="1">
        <v>-290500</v>
      </c>
      <c r="K1285" t="s">
        <v>26</v>
      </c>
      <c r="L1285" s="1">
        <v>-290500</v>
      </c>
      <c r="M1285" t="s">
        <v>26</v>
      </c>
      <c r="Q1285" t="s">
        <v>27</v>
      </c>
      <c r="R1285" t="s">
        <v>1123</v>
      </c>
      <c r="S1285" t="s">
        <v>254</v>
      </c>
      <c r="T1285" t="s">
        <v>1124</v>
      </c>
      <c r="X1285" t="s">
        <v>43</v>
      </c>
      <c r="Y1285">
        <v>1719278</v>
      </c>
      <c r="Z1285">
        <v>20251016</v>
      </c>
    </row>
    <row r="1286" spans="3:26" x14ac:dyDescent="0.25">
      <c r="C1286">
        <v>10000001</v>
      </c>
      <c r="D1286" t="s">
        <v>1122</v>
      </c>
      <c r="F1286">
        <v>12008563</v>
      </c>
      <c r="H1286" t="s">
        <v>1122</v>
      </c>
      <c r="I1286">
        <v>50</v>
      </c>
      <c r="J1286" s="1">
        <v>-50000</v>
      </c>
      <c r="K1286" t="s">
        <v>26</v>
      </c>
      <c r="L1286" s="1">
        <v>-50000</v>
      </c>
      <c r="M1286" t="s">
        <v>26</v>
      </c>
      <c r="Q1286" t="s">
        <v>27</v>
      </c>
      <c r="R1286" t="s">
        <v>1125</v>
      </c>
      <c r="S1286" t="s">
        <v>45</v>
      </c>
      <c r="T1286" t="s">
        <v>1126</v>
      </c>
      <c r="X1286" t="s">
        <v>43</v>
      </c>
      <c r="Y1286">
        <v>1719278</v>
      </c>
      <c r="Z1286">
        <v>20251016</v>
      </c>
    </row>
    <row r="1287" spans="3:26" x14ac:dyDescent="0.25">
      <c r="C1287">
        <v>10000001</v>
      </c>
      <c r="D1287" t="s">
        <v>1122</v>
      </c>
      <c r="F1287">
        <v>12008564</v>
      </c>
      <c r="H1287" t="s">
        <v>1122</v>
      </c>
      <c r="I1287">
        <v>50</v>
      </c>
      <c r="J1287" s="1">
        <v>-50000</v>
      </c>
      <c r="K1287" t="s">
        <v>26</v>
      </c>
      <c r="L1287" s="1">
        <v>-50000</v>
      </c>
      <c r="M1287" t="s">
        <v>26</v>
      </c>
      <c r="Q1287" t="s">
        <v>27</v>
      </c>
      <c r="R1287" t="s">
        <v>1125</v>
      </c>
      <c r="S1287" t="s">
        <v>45</v>
      </c>
      <c r="T1287" t="s">
        <v>1127</v>
      </c>
      <c r="X1287" t="s">
        <v>43</v>
      </c>
      <c r="Y1287">
        <v>1719278</v>
      </c>
      <c r="Z1287">
        <v>20251016</v>
      </c>
    </row>
    <row r="1288" spans="3:26" x14ac:dyDescent="0.25">
      <c r="C1288">
        <v>10000001</v>
      </c>
      <c r="D1288" t="s">
        <v>1122</v>
      </c>
      <c r="F1288">
        <v>12008565</v>
      </c>
      <c r="H1288" t="s">
        <v>1122</v>
      </c>
      <c r="I1288">
        <v>50</v>
      </c>
      <c r="J1288" s="1">
        <v>-50000</v>
      </c>
      <c r="K1288" t="s">
        <v>26</v>
      </c>
      <c r="L1288" s="1">
        <v>-50000</v>
      </c>
      <c r="M1288" t="s">
        <v>26</v>
      </c>
      <c r="Q1288" t="s">
        <v>27</v>
      </c>
      <c r="R1288" t="s">
        <v>1125</v>
      </c>
      <c r="S1288" t="s">
        <v>45</v>
      </c>
      <c r="T1288" t="s">
        <v>1128</v>
      </c>
      <c r="X1288" t="s">
        <v>43</v>
      </c>
      <c r="Y1288">
        <v>1719278</v>
      </c>
      <c r="Z1288">
        <v>20251016</v>
      </c>
    </row>
    <row r="1289" spans="3:26" x14ac:dyDescent="0.25">
      <c r="C1289">
        <v>10000001</v>
      </c>
      <c r="D1289" t="s">
        <v>1122</v>
      </c>
      <c r="F1289">
        <v>12008566</v>
      </c>
      <c r="H1289" t="s">
        <v>1122</v>
      </c>
      <c r="I1289">
        <v>50</v>
      </c>
      <c r="J1289" s="1">
        <v>-50000</v>
      </c>
      <c r="K1289" t="s">
        <v>26</v>
      </c>
      <c r="L1289" s="1">
        <v>-50000</v>
      </c>
      <c r="M1289" t="s">
        <v>26</v>
      </c>
      <c r="Q1289" t="s">
        <v>27</v>
      </c>
      <c r="R1289" t="s">
        <v>1129</v>
      </c>
      <c r="S1289" t="s">
        <v>45</v>
      </c>
      <c r="T1289" t="s">
        <v>1130</v>
      </c>
      <c r="X1289" t="s">
        <v>43</v>
      </c>
      <c r="Y1289">
        <v>1719278</v>
      </c>
      <c r="Z1289">
        <v>20251016</v>
      </c>
    </row>
    <row r="1290" spans="3:26" x14ac:dyDescent="0.25">
      <c r="C1290">
        <v>10000001</v>
      </c>
      <c r="D1290" t="s">
        <v>1122</v>
      </c>
      <c r="F1290">
        <v>12008567</v>
      </c>
      <c r="H1290" t="s">
        <v>1122</v>
      </c>
      <c r="I1290">
        <v>50</v>
      </c>
      <c r="J1290" s="1">
        <v>-152000</v>
      </c>
      <c r="K1290" t="s">
        <v>26</v>
      </c>
      <c r="L1290" s="1">
        <v>-152000</v>
      </c>
      <c r="M1290" t="s">
        <v>26</v>
      </c>
      <c r="Q1290" t="s">
        <v>27</v>
      </c>
      <c r="R1290" t="s">
        <v>1131</v>
      </c>
      <c r="S1290" t="s">
        <v>57</v>
      </c>
      <c r="T1290" t="s">
        <v>1132</v>
      </c>
      <c r="X1290" t="s">
        <v>43</v>
      </c>
      <c r="Y1290">
        <v>1719278</v>
      </c>
      <c r="Z1290">
        <v>20251016</v>
      </c>
    </row>
    <row r="1291" spans="3:26" x14ac:dyDescent="0.25">
      <c r="C1291">
        <v>10000001</v>
      </c>
      <c r="D1291" t="s">
        <v>1122</v>
      </c>
      <c r="F1291">
        <v>12008568</v>
      </c>
      <c r="H1291" t="s">
        <v>1122</v>
      </c>
      <c r="I1291">
        <v>50</v>
      </c>
      <c r="J1291" s="1">
        <v>-530000</v>
      </c>
      <c r="K1291" t="s">
        <v>26</v>
      </c>
      <c r="L1291" s="1">
        <v>-530000</v>
      </c>
      <c r="M1291" t="s">
        <v>26</v>
      </c>
      <c r="Q1291" t="s">
        <v>27</v>
      </c>
      <c r="R1291" t="s">
        <v>1133</v>
      </c>
      <c r="S1291" t="s">
        <v>96</v>
      </c>
      <c r="T1291" t="s">
        <v>1134</v>
      </c>
      <c r="X1291" t="s">
        <v>43</v>
      </c>
      <c r="Y1291">
        <v>1719278</v>
      </c>
      <c r="Z1291">
        <v>20251016</v>
      </c>
    </row>
    <row r="1292" spans="3:26" x14ac:dyDescent="0.25">
      <c r="C1292">
        <v>10000001</v>
      </c>
      <c r="D1292" t="s">
        <v>1122</v>
      </c>
      <c r="F1292">
        <v>12008569</v>
      </c>
      <c r="H1292" t="s">
        <v>1122</v>
      </c>
      <c r="I1292">
        <v>50</v>
      </c>
      <c r="J1292" s="1">
        <v>-469500</v>
      </c>
      <c r="K1292" t="s">
        <v>26</v>
      </c>
      <c r="L1292" s="1">
        <v>-469500</v>
      </c>
      <c r="M1292" t="s">
        <v>26</v>
      </c>
      <c r="Q1292" t="s">
        <v>27</v>
      </c>
      <c r="R1292" t="s">
        <v>1133</v>
      </c>
      <c r="S1292" t="s">
        <v>67</v>
      </c>
      <c r="T1292" t="s">
        <v>98</v>
      </c>
      <c r="X1292" t="s">
        <v>43</v>
      </c>
      <c r="Y1292">
        <v>1719278</v>
      </c>
      <c r="Z1292">
        <v>20251016</v>
      </c>
    </row>
    <row r="1293" spans="3:26" x14ac:dyDescent="0.25">
      <c r="C1293">
        <v>10000001</v>
      </c>
      <c r="D1293" t="s">
        <v>1122</v>
      </c>
      <c r="F1293">
        <v>12008570</v>
      </c>
      <c r="H1293" t="s">
        <v>1122</v>
      </c>
      <c r="I1293">
        <v>50</v>
      </c>
      <c r="J1293" s="1">
        <v>-600000</v>
      </c>
      <c r="K1293" t="s">
        <v>26</v>
      </c>
      <c r="L1293" s="1">
        <v>-600000</v>
      </c>
      <c r="M1293" t="s">
        <v>26</v>
      </c>
      <c r="Q1293" t="s">
        <v>27</v>
      </c>
      <c r="R1293" t="s">
        <v>1135</v>
      </c>
      <c r="S1293" t="s">
        <v>439</v>
      </c>
      <c r="T1293" t="s">
        <v>1136</v>
      </c>
      <c r="X1293" t="s">
        <v>43</v>
      </c>
      <c r="Y1293">
        <v>1719278</v>
      </c>
      <c r="Z1293">
        <v>20251016</v>
      </c>
    </row>
    <row r="1294" spans="3:26" x14ac:dyDescent="0.25">
      <c r="C1294">
        <v>10000001</v>
      </c>
      <c r="D1294" t="s">
        <v>1122</v>
      </c>
      <c r="F1294">
        <v>12008571</v>
      </c>
      <c r="H1294" t="s">
        <v>1122</v>
      </c>
      <c r="I1294">
        <v>50</v>
      </c>
      <c r="J1294" s="1">
        <v>-519520</v>
      </c>
      <c r="K1294" t="s">
        <v>26</v>
      </c>
      <c r="L1294" s="1">
        <v>-519520</v>
      </c>
      <c r="M1294" t="s">
        <v>26</v>
      </c>
      <c r="Q1294" t="s">
        <v>27</v>
      </c>
      <c r="R1294" t="s">
        <v>1137</v>
      </c>
      <c r="S1294" t="s">
        <v>126</v>
      </c>
      <c r="T1294" t="s">
        <v>1138</v>
      </c>
      <c r="X1294" t="s">
        <v>43</v>
      </c>
      <c r="Y1294">
        <v>1719278</v>
      </c>
      <c r="Z1294">
        <v>20251016</v>
      </c>
    </row>
    <row r="1295" spans="3:26" x14ac:dyDescent="0.25">
      <c r="C1295">
        <v>10000001</v>
      </c>
      <c r="D1295" t="s">
        <v>1122</v>
      </c>
      <c r="F1295">
        <v>12008572</v>
      </c>
      <c r="H1295" t="s">
        <v>1122</v>
      </c>
      <c r="I1295">
        <v>50</v>
      </c>
      <c r="J1295" s="1">
        <v>-916000</v>
      </c>
      <c r="K1295" t="s">
        <v>26</v>
      </c>
      <c r="L1295" s="1">
        <v>-916000</v>
      </c>
      <c r="M1295" t="s">
        <v>26</v>
      </c>
      <c r="Q1295" t="s">
        <v>27</v>
      </c>
      <c r="R1295" t="s">
        <v>1139</v>
      </c>
      <c r="S1295" t="s">
        <v>1140</v>
      </c>
      <c r="T1295" t="s">
        <v>1141</v>
      </c>
      <c r="X1295" t="s">
        <v>43</v>
      </c>
      <c r="Y1295">
        <v>1719278</v>
      </c>
      <c r="Z1295">
        <v>20251016</v>
      </c>
    </row>
    <row r="1296" spans="3:26" x14ac:dyDescent="0.25">
      <c r="C1296">
        <v>10000001</v>
      </c>
      <c r="D1296" t="s">
        <v>1122</v>
      </c>
      <c r="F1296">
        <v>12008573</v>
      </c>
      <c r="H1296" t="s">
        <v>1122</v>
      </c>
      <c r="I1296">
        <v>50</v>
      </c>
      <c r="J1296" s="1">
        <v>-690000</v>
      </c>
      <c r="K1296" t="s">
        <v>26</v>
      </c>
      <c r="L1296" s="1">
        <v>-690000</v>
      </c>
      <c r="M1296" t="s">
        <v>26</v>
      </c>
      <c r="Q1296" t="s">
        <v>27</v>
      </c>
      <c r="R1296" t="s">
        <v>1142</v>
      </c>
      <c r="S1296" t="s">
        <v>96</v>
      </c>
      <c r="T1296" t="s">
        <v>1143</v>
      </c>
      <c r="X1296" t="s">
        <v>43</v>
      </c>
      <c r="Y1296">
        <v>1719278</v>
      </c>
      <c r="Z1296">
        <v>20251016</v>
      </c>
    </row>
    <row r="1297" spans="3:26" x14ac:dyDescent="0.25">
      <c r="C1297">
        <v>10000001</v>
      </c>
      <c r="D1297" t="s">
        <v>1122</v>
      </c>
      <c r="F1297">
        <v>12008574</v>
      </c>
      <c r="H1297" t="s">
        <v>1122</v>
      </c>
      <c r="I1297">
        <v>50</v>
      </c>
      <c r="J1297" s="1">
        <v>-307500</v>
      </c>
      <c r="K1297" t="s">
        <v>26</v>
      </c>
      <c r="L1297" s="1">
        <v>-307500</v>
      </c>
      <c r="M1297" t="s">
        <v>26</v>
      </c>
      <c r="Q1297" t="s">
        <v>27</v>
      </c>
      <c r="R1297" t="s">
        <v>1142</v>
      </c>
      <c r="S1297" t="s">
        <v>67</v>
      </c>
      <c r="T1297" t="s">
        <v>98</v>
      </c>
      <c r="X1297" t="s">
        <v>43</v>
      </c>
      <c r="Y1297">
        <v>1719278</v>
      </c>
      <c r="Z1297">
        <v>20251016</v>
      </c>
    </row>
    <row r="1298" spans="3:26" x14ac:dyDescent="0.25">
      <c r="C1298">
        <v>10000001</v>
      </c>
      <c r="D1298" t="s">
        <v>1122</v>
      </c>
      <c r="F1298">
        <v>12008575</v>
      </c>
      <c r="H1298" t="s">
        <v>1122</v>
      </c>
      <c r="I1298">
        <v>50</v>
      </c>
      <c r="J1298" s="1">
        <v>-500000</v>
      </c>
      <c r="K1298" t="s">
        <v>26</v>
      </c>
      <c r="L1298" s="1">
        <v>-500000</v>
      </c>
      <c r="M1298" t="s">
        <v>26</v>
      </c>
      <c r="Q1298" t="s">
        <v>27</v>
      </c>
      <c r="R1298" t="s">
        <v>1144</v>
      </c>
      <c r="S1298" t="s">
        <v>41</v>
      </c>
      <c r="T1298" t="s">
        <v>1145</v>
      </c>
      <c r="X1298" t="s">
        <v>43</v>
      </c>
      <c r="Y1298">
        <v>1719278</v>
      </c>
      <c r="Z1298">
        <v>20251016</v>
      </c>
    </row>
    <row r="1299" spans="3:26" x14ac:dyDescent="0.25">
      <c r="C1299">
        <v>10000001</v>
      </c>
      <c r="D1299" t="s">
        <v>1122</v>
      </c>
      <c r="F1299">
        <v>12008576</v>
      </c>
      <c r="H1299" t="s">
        <v>1122</v>
      </c>
      <c r="I1299">
        <v>50</v>
      </c>
      <c r="J1299" s="1">
        <v>-500000</v>
      </c>
      <c r="K1299" t="s">
        <v>26</v>
      </c>
      <c r="L1299" s="1">
        <v>-500000</v>
      </c>
      <c r="M1299" t="s">
        <v>26</v>
      </c>
      <c r="Q1299" t="s">
        <v>27</v>
      </c>
      <c r="R1299" t="s">
        <v>1146</v>
      </c>
      <c r="S1299" t="s">
        <v>41</v>
      </c>
      <c r="T1299" t="s">
        <v>1147</v>
      </c>
      <c r="X1299" t="s">
        <v>43</v>
      </c>
      <c r="Y1299">
        <v>1719278</v>
      </c>
      <c r="Z1299">
        <v>20251016</v>
      </c>
    </row>
    <row r="1300" spans="3:26" x14ac:dyDescent="0.25">
      <c r="C1300">
        <v>10000001</v>
      </c>
      <c r="D1300" t="s">
        <v>1148</v>
      </c>
      <c r="F1300">
        <v>12008577</v>
      </c>
      <c r="H1300" t="s">
        <v>1148</v>
      </c>
      <c r="I1300">
        <v>50</v>
      </c>
      <c r="J1300" s="1">
        <v>-350000</v>
      </c>
      <c r="K1300" t="s">
        <v>26</v>
      </c>
      <c r="L1300" s="1">
        <v>-350000</v>
      </c>
      <c r="M1300" t="s">
        <v>26</v>
      </c>
      <c r="Q1300" t="s">
        <v>27</v>
      </c>
      <c r="R1300" t="s">
        <v>1149</v>
      </c>
      <c r="S1300" t="s">
        <v>45</v>
      </c>
      <c r="T1300" t="s">
        <v>1150</v>
      </c>
      <c r="X1300" t="s">
        <v>43</v>
      </c>
      <c r="Y1300">
        <v>1719278</v>
      </c>
      <c r="Z1300">
        <v>20251017</v>
      </c>
    </row>
    <row r="1301" spans="3:26" x14ac:dyDescent="0.25">
      <c r="C1301">
        <v>10000001</v>
      </c>
      <c r="D1301" t="s">
        <v>1148</v>
      </c>
      <c r="F1301">
        <v>12008578</v>
      </c>
      <c r="H1301" t="s">
        <v>1148</v>
      </c>
      <c r="I1301">
        <v>50</v>
      </c>
      <c r="J1301" s="1">
        <v>-50000</v>
      </c>
      <c r="K1301" t="s">
        <v>26</v>
      </c>
      <c r="L1301" s="1">
        <v>-50000</v>
      </c>
      <c r="M1301" t="s">
        <v>26</v>
      </c>
      <c r="Q1301" t="s">
        <v>27</v>
      </c>
      <c r="R1301" t="s">
        <v>1149</v>
      </c>
      <c r="S1301" t="s">
        <v>45</v>
      </c>
      <c r="T1301" t="s">
        <v>1151</v>
      </c>
      <c r="X1301" t="s">
        <v>43</v>
      </c>
      <c r="Y1301">
        <v>1719278</v>
      </c>
      <c r="Z1301">
        <v>20251017</v>
      </c>
    </row>
    <row r="1302" spans="3:26" x14ac:dyDescent="0.25">
      <c r="C1302">
        <v>10000001</v>
      </c>
      <c r="D1302" t="s">
        <v>1148</v>
      </c>
      <c r="F1302">
        <v>12008579</v>
      </c>
      <c r="H1302" t="s">
        <v>1148</v>
      </c>
      <c r="I1302">
        <v>50</v>
      </c>
      <c r="J1302" s="1">
        <v>-100000</v>
      </c>
      <c r="K1302" t="s">
        <v>26</v>
      </c>
      <c r="L1302" s="1">
        <v>-100000</v>
      </c>
      <c r="M1302" t="s">
        <v>26</v>
      </c>
      <c r="Q1302" t="s">
        <v>27</v>
      </c>
      <c r="R1302" t="s">
        <v>1149</v>
      </c>
      <c r="S1302" t="s">
        <v>45</v>
      </c>
      <c r="T1302" t="s">
        <v>1152</v>
      </c>
      <c r="X1302" t="s">
        <v>43</v>
      </c>
      <c r="Y1302">
        <v>1719278</v>
      </c>
      <c r="Z1302">
        <v>20251017</v>
      </c>
    </row>
    <row r="1303" spans="3:26" x14ac:dyDescent="0.25">
      <c r="C1303">
        <v>10000001</v>
      </c>
      <c r="D1303" t="s">
        <v>1148</v>
      </c>
      <c r="F1303">
        <v>12008580</v>
      </c>
      <c r="H1303" t="s">
        <v>1148</v>
      </c>
      <c r="I1303">
        <v>50</v>
      </c>
      <c r="J1303" s="1">
        <v>-100000</v>
      </c>
      <c r="K1303" t="s">
        <v>26</v>
      </c>
      <c r="L1303" s="1">
        <v>-100000</v>
      </c>
      <c r="M1303" t="s">
        <v>26</v>
      </c>
      <c r="Q1303" t="s">
        <v>27</v>
      </c>
      <c r="R1303" t="s">
        <v>1149</v>
      </c>
      <c r="S1303" t="s">
        <v>45</v>
      </c>
      <c r="T1303" t="s">
        <v>1153</v>
      </c>
      <c r="X1303" t="s">
        <v>43</v>
      </c>
      <c r="Y1303">
        <v>1719278</v>
      </c>
      <c r="Z1303">
        <v>20251017</v>
      </c>
    </row>
    <row r="1304" spans="3:26" x14ac:dyDescent="0.25">
      <c r="C1304">
        <v>10000001</v>
      </c>
      <c r="D1304" t="s">
        <v>1148</v>
      </c>
      <c r="F1304">
        <v>12008581</v>
      </c>
      <c r="H1304" t="s">
        <v>1148</v>
      </c>
      <c r="I1304">
        <v>50</v>
      </c>
      <c r="J1304" s="1">
        <v>-100000</v>
      </c>
      <c r="K1304" t="s">
        <v>26</v>
      </c>
      <c r="L1304" s="1">
        <v>-100000</v>
      </c>
      <c r="M1304" t="s">
        <v>26</v>
      </c>
      <c r="Q1304" t="s">
        <v>27</v>
      </c>
      <c r="R1304" t="s">
        <v>1149</v>
      </c>
      <c r="S1304" t="s">
        <v>45</v>
      </c>
      <c r="T1304" t="s">
        <v>1154</v>
      </c>
      <c r="X1304" t="s">
        <v>43</v>
      </c>
      <c r="Y1304">
        <v>1719278</v>
      </c>
      <c r="Z1304">
        <v>20251017</v>
      </c>
    </row>
    <row r="1305" spans="3:26" x14ac:dyDescent="0.25">
      <c r="C1305">
        <v>10000001</v>
      </c>
      <c r="D1305" t="s">
        <v>1148</v>
      </c>
      <c r="F1305">
        <v>12008582</v>
      </c>
      <c r="H1305" t="s">
        <v>1148</v>
      </c>
      <c r="I1305">
        <v>50</v>
      </c>
      <c r="J1305" s="1">
        <v>-100000</v>
      </c>
      <c r="K1305" t="s">
        <v>26</v>
      </c>
      <c r="L1305" s="1">
        <v>-100000</v>
      </c>
      <c r="M1305" t="s">
        <v>26</v>
      </c>
      <c r="Q1305" t="s">
        <v>27</v>
      </c>
      <c r="R1305" t="s">
        <v>1149</v>
      </c>
      <c r="S1305" t="s">
        <v>45</v>
      </c>
      <c r="T1305" t="s">
        <v>1155</v>
      </c>
      <c r="X1305" t="s">
        <v>43</v>
      </c>
      <c r="Y1305">
        <v>1719278</v>
      </c>
      <c r="Z1305">
        <v>20251017</v>
      </c>
    </row>
    <row r="1306" spans="3:26" x14ac:dyDescent="0.25">
      <c r="C1306">
        <v>10000001</v>
      </c>
      <c r="D1306" t="s">
        <v>1148</v>
      </c>
      <c r="F1306">
        <v>12008583</v>
      </c>
      <c r="H1306" t="s">
        <v>1148</v>
      </c>
      <c r="I1306">
        <v>50</v>
      </c>
      <c r="J1306" s="1">
        <v>-152000</v>
      </c>
      <c r="K1306" t="s">
        <v>26</v>
      </c>
      <c r="L1306" s="1">
        <v>-152000</v>
      </c>
      <c r="M1306" t="s">
        <v>26</v>
      </c>
      <c r="Q1306" t="s">
        <v>27</v>
      </c>
      <c r="R1306" t="s">
        <v>1156</v>
      </c>
      <c r="S1306" t="s">
        <v>59</v>
      </c>
      <c r="T1306" t="s">
        <v>1157</v>
      </c>
      <c r="X1306" t="s">
        <v>43</v>
      </c>
      <c r="Y1306">
        <v>1719278</v>
      </c>
      <c r="Z1306">
        <v>20251017</v>
      </c>
    </row>
    <row r="1307" spans="3:26" x14ac:dyDescent="0.25">
      <c r="C1307">
        <v>10000001</v>
      </c>
      <c r="D1307" t="s">
        <v>1148</v>
      </c>
      <c r="F1307">
        <v>12008584</v>
      </c>
      <c r="H1307" t="s">
        <v>1148</v>
      </c>
      <c r="I1307">
        <v>50</v>
      </c>
      <c r="J1307" s="1">
        <v>-150000</v>
      </c>
      <c r="K1307" t="s">
        <v>26</v>
      </c>
      <c r="L1307" s="1">
        <v>-150000</v>
      </c>
      <c r="M1307" t="s">
        <v>26</v>
      </c>
      <c r="Q1307" t="s">
        <v>27</v>
      </c>
      <c r="R1307" t="s">
        <v>1158</v>
      </c>
      <c r="S1307" t="s">
        <v>126</v>
      </c>
      <c r="T1307" t="s">
        <v>1159</v>
      </c>
      <c r="X1307" t="s">
        <v>43</v>
      </c>
      <c r="Y1307">
        <v>1719278</v>
      </c>
      <c r="Z1307">
        <v>20251017</v>
      </c>
    </row>
    <row r="1308" spans="3:26" x14ac:dyDescent="0.25">
      <c r="C1308">
        <v>10000001</v>
      </c>
      <c r="D1308" t="s">
        <v>1148</v>
      </c>
      <c r="F1308">
        <v>12008585</v>
      </c>
      <c r="H1308" t="s">
        <v>1148</v>
      </c>
      <c r="I1308">
        <v>50</v>
      </c>
      <c r="J1308" s="1">
        <v>-630000</v>
      </c>
      <c r="K1308" t="s">
        <v>26</v>
      </c>
      <c r="L1308" s="1">
        <v>-630000</v>
      </c>
      <c r="M1308" t="s">
        <v>26</v>
      </c>
      <c r="Q1308" t="s">
        <v>27</v>
      </c>
      <c r="R1308" t="s">
        <v>1160</v>
      </c>
      <c r="S1308" t="s">
        <v>96</v>
      </c>
      <c r="T1308" t="s">
        <v>1161</v>
      </c>
      <c r="X1308" t="s">
        <v>43</v>
      </c>
      <c r="Y1308">
        <v>1719278</v>
      </c>
      <c r="Z1308">
        <v>20251017</v>
      </c>
    </row>
    <row r="1309" spans="3:26" x14ac:dyDescent="0.25">
      <c r="C1309">
        <v>10000001</v>
      </c>
      <c r="D1309" t="s">
        <v>1148</v>
      </c>
      <c r="F1309">
        <v>12008586</v>
      </c>
      <c r="H1309" t="s">
        <v>1148</v>
      </c>
      <c r="I1309">
        <v>50</v>
      </c>
      <c r="J1309" s="1">
        <v>-369500</v>
      </c>
      <c r="K1309" t="s">
        <v>26</v>
      </c>
      <c r="L1309" s="1">
        <v>-369500</v>
      </c>
      <c r="M1309" t="s">
        <v>26</v>
      </c>
      <c r="Q1309" t="s">
        <v>27</v>
      </c>
      <c r="R1309" t="s">
        <v>1160</v>
      </c>
      <c r="S1309" t="s">
        <v>67</v>
      </c>
      <c r="T1309" t="s">
        <v>98</v>
      </c>
      <c r="X1309" t="s">
        <v>43</v>
      </c>
      <c r="Y1309">
        <v>1719278</v>
      </c>
      <c r="Z1309">
        <v>20251017</v>
      </c>
    </row>
    <row r="1310" spans="3:26" x14ac:dyDescent="0.25">
      <c r="C1310">
        <v>10000001</v>
      </c>
      <c r="D1310" t="s">
        <v>1148</v>
      </c>
      <c r="F1310">
        <v>12008587</v>
      </c>
      <c r="H1310" t="s">
        <v>1148</v>
      </c>
      <c r="I1310">
        <v>50</v>
      </c>
      <c r="J1310" s="1">
        <v>-704000</v>
      </c>
      <c r="K1310" t="s">
        <v>26</v>
      </c>
      <c r="L1310" s="1">
        <v>-704000</v>
      </c>
      <c r="M1310" t="s">
        <v>26</v>
      </c>
      <c r="Q1310" t="s">
        <v>27</v>
      </c>
      <c r="R1310" t="s">
        <v>1162</v>
      </c>
      <c r="S1310" t="s">
        <v>57</v>
      </c>
      <c r="T1310" t="s">
        <v>1163</v>
      </c>
      <c r="X1310" t="s">
        <v>43</v>
      </c>
      <c r="Y1310">
        <v>1719278</v>
      </c>
      <c r="Z1310">
        <v>20251017</v>
      </c>
    </row>
    <row r="1311" spans="3:26" x14ac:dyDescent="0.25">
      <c r="C1311">
        <v>10000001</v>
      </c>
      <c r="D1311" t="s">
        <v>1148</v>
      </c>
      <c r="F1311">
        <v>12008588</v>
      </c>
      <c r="H1311" t="s">
        <v>1148</v>
      </c>
      <c r="I1311">
        <v>50</v>
      </c>
      <c r="J1311" s="1">
        <v>-800000</v>
      </c>
      <c r="K1311" t="s">
        <v>26</v>
      </c>
      <c r="L1311" s="1">
        <v>-800000</v>
      </c>
      <c r="M1311" t="s">
        <v>26</v>
      </c>
      <c r="Q1311" t="s">
        <v>27</v>
      </c>
      <c r="R1311" t="s">
        <v>1164</v>
      </c>
      <c r="S1311" t="s">
        <v>254</v>
      </c>
      <c r="T1311" t="s">
        <v>1165</v>
      </c>
      <c r="X1311" t="s">
        <v>43</v>
      </c>
      <c r="Y1311">
        <v>1719278</v>
      </c>
      <c r="Z1311">
        <v>20251017</v>
      </c>
    </row>
    <row r="1312" spans="3:26" x14ac:dyDescent="0.25">
      <c r="C1312">
        <v>10000001</v>
      </c>
      <c r="D1312" t="s">
        <v>1166</v>
      </c>
      <c r="F1312">
        <v>12008589</v>
      </c>
      <c r="H1312" t="s">
        <v>1166</v>
      </c>
      <c r="I1312">
        <v>50</v>
      </c>
      <c r="J1312" s="1">
        <v>-977000</v>
      </c>
      <c r="K1312" t="s">
        <v>26</v>
      </c>
      <c r="L1312" s="1">
        <v>-977000</v>
      </c>
      <c r="M1312" t="s">
        <v>26</v>
      </c>
      <c r="Q1312" t="s">
        <v>27</v>
      </c>
      <c r="R1312" t="s">
        <v>1167</v>
      </c>
      <c r="S1312" t="s">
        <v>57</v>
      </c>
      <c r="T1312" t="s">
        <v>1168</v>
      </c>
      <c r="X1312" t="s">
        <v>43</v>
      </c>
      <c r="Y1312">
        <v>1719278</v>
      </c>
      <c r="Z1312">
        <v>20251020</v>
      </c>
    </row>
    <row r="1313" spans="3:26" x14ac:dyDescent="0.25">
      <c r="C1313">
        <v>10000001</v>
      </c>
      <c r="D1313" t="s">
        <v>1166</v>
      </c>
      <c r="F1313">
        <v>12008590</v>
      </c>
      <c r="H1313" t="s">
        <v>1166</v>
      </c>
      <c r="I1313">
        <v>50</v>
      </c>
      <c r="J1313" s="1">
        <v>-200000</v>
      </c>
      <c r="K1313" t="s">
        <v>26</v>
      </c>
      <c r="L1313" s="1">
        <v>-200000</v>
      </c>
      <c r="M1313" t="s">
        <v>26</v>
      </c>
      <c r="Q1313" t="s">
        <v>27</v>
      </c>
      <c r="R1313" t="s">
        <v>1169</v>
      </c>
      <c r="S1313" t="s">
        <v>45</v>
      </c>
      <c r="T1313" t="s">
        <v>1170</v>
      </c>
      <c r="X1313" t="s">
        <v>43</v>
      </c>
      <c r="Y1313">
        <v>1719278</v>
      </c>
      <c r="Z1313">
        <v>20251020</v>
      </c>
    </row>
    <row r="1314" spans="3:26" x14ac:dyDescent="0.25">
      <c r="C1314">
        <v>10000001</v>
      </c>
      <c r="D1314" t="s">
        <v>1166</v>
      </c>
      <c r="F1314">
        <v>12008591</v>
      </c>
      <c r="H1314" t="s">
        <v>1166</v>
      </c>
      <c r="I1314">
        <v>50</v>
      </c>
      <c r="J1314" s="1">
        <v>-150000</v>
      </c>
      <c r="K1314" t="s">
        <v>26</v>
      </c>
      <c r="L1314" s="1">
        <v>-150000</v>
      </c>
      <c r="M1314" t="s">
        <v>26</v>
      </c>
      <c r="Q1314" t="s">
        <v>27</v>
      </c>
      <c r="R1314" t="s">
        <v>1169</v>
      </c>
      <c r="S1314" t="s">
        <v>45</v>
      </c>
      <c r="T1314" t="s">
        <v>1171</v>
      </c>
      <c r="X1314" t="s">
        <v>43</v>
      </c>
      <c r="Y1314">
        <v>1719278</v>
      </c>
      <c r="Z1314">
        <v>20251020</v>
      </c>
    </row>
    <row r="1315" spans="3:26" x14ac:dyDescent="0.25">
      <c r="C1315">
        <v>10000001</v>
      </c>
      <c r="D1315" t="s">
        <v>1166</v>
      </c>
      <c r="F1315">
        <v>12008592</v>
      </c>
      <c r="H1315" t="s">
        <v>1166</v>
      </c>
      <c r="I1315">
        <v>50</v>
      </c>
      <c r="J1315" s="1">
        <v>-50000</v>
      </c>
      <c r="K1315" t="s">
        <v>26</v>
      </c>
      <c r="L1315" s="1">
        <v>-50000</v>
      </c>
      <c r="M1315" t="s">
        <v>26</v>
      </c>
      <c r="Q1315" t="s">
        <v>27</v>
      </c>
      <c r="R1315" t="s">
        <v>1169</v>
      </c>
      <c r="S1315" t="s">
        <v>45</v>
      </c>
      <c r="T1315" t="s">
        <v>1172</v>
      </c>
      <c r="X1315" t="s">
        <v>43</v>
      </c>
      <c r="Y1315">
        <v>1719278</v>
      </c>
      <c r="Z1315">
        <v>20251020</v>
      </c>
    </row>
    <row r="1316" spans="3:26" x14ac:dyDescent="0.25">
      <c r="C1316">
        <v>10000001</v>
      </c>
      <c r="D1316" t="s">
        <v>1166</v>
      </c>
      <c r="F1316">
        <v>12008593</v>
      </c>
      <c r="H1316" t="s">
        <v>1166</v>
      </c>
      <c r="I1316">
        <v>50</v>
      </c>
      <c r="J1316" s="1">
        <v>-50000</v>
      </c>
      <c r="K1316" t="s">
        <v>26</v>
      </c>
      <c r="L1316" s="1">
        <v>-50000</v>
      </c>
      <c r="M1316" t="s">
        <v>26</v>
      </c>
      <c r="Q1316" t="s">
        <v>27</v>
      </c>
      <c r="R1316" t="s">
        <v>1169</v>
      </c>
      <c r="S1316" t="s">
        <v>45</v>
      </c>
      <c r="T1316" t="s">
        <v>1173</v>
      </c>
      <c r="X1316" t="s">
        <v>43</v>
      </c>
      <c r="Y1316">
        <v>1719278</v>
      </c>
      <c r="Z1316">
        <v>20251020</v>
      </c>
    </row>
    <row r="1317" spans="3:26" x14ac:dyDescent="0.25">
      <c r="C1317">
        <v>10000001</v>
      </c>
      <c r="D1317" t="s">
        <v>1166</v>
      </c>
      <c r="F1317">
        <v>12008594</v>
      </c>
      <c r="H1317" t="s">
        <v>1166</v>
      </c>
      <c r="I1317">
        <v>50</v>
      </c>
      <c r="J1317" s="1">
        <v>-50000</v>
      </c>
      <c r="K1317" t="s">
        <v>26</v>
      </c>
      <c r="L1317" s="1">
        <v>-50000</v>
      </c>
      <c r="M1317" t="s">
        <v>26</v>
      </c>
      <c r="Q1317" t="s">
        <v>27</v>
      </c>
      <c r="R1317" t="s">
        <v>1169</v>
      </c>
      <c r="S1317" t="s">
        <v>45</v>
      </c>
      <c r="T1317" t="s">
        <v>1174</v>
      </c>
      <c r="X1317" t="s">
        <v>43</v>
      </c>
      <c r="Y1317">
        <v>1719278</v>
      </c>
      <c r="Z1317">
        <v>20251020</v>
      </c>
    </row>
    <row r="1318" spans="3:26" x14ac:dyDescent="0.25">
      <c r="C1318">
        <v>10000001</v>
      </c>
      <c r="D1318" t="s">
        <v>1166</v>
      </c>
      <c r="F1318">
        <v>12008595</v>
      </c>
      <c r="H1318" t="s">
        <v>1166</v>
      </c>
      <c r="I1318">
        <v>50</v>
      </c>
      <c r="J1318" s="1">
        <v>-50000</v>
      </c>
      <c r="K1318" t="s">
        <v>26</v>
      </c>
      <c r="L1318" s="1">
        <v>-50000</v>
      </c>
      <c r="M1318" t="s">
        <v>26</v>
      </c>
      <c r="Q1318" t="s">
        <v>27</v>
      </c>
      <c r="R1318" t="s">
        <v>1169</v>
      </c>
      <c r="S1318" t="s">
        <v>45</v>
      </c>
      <c r="T1318" t="s">
        <v>1175</v>
      </c>
      <c r="X1318" t="s">
        <v>43</v>
      </c>
      <c r="Y1318">
        <v>1719278</v>
      </c>
      <c r="Z1318">
        <v>20251020</v>
      </c>
    </row>
    <row r="1319" spans="3:26" x14ac:dyDescent="0.25">
      <c r="C1319">
        <v>10000001</v>
      </c>
      <c r="D1319" t="s">
        <v>1166</v>
      </c>
      <c r="F1319">
        <v>12008596</v>
      </c>
      <c r="H1319" t="s">
        <v>1166</v>
      </c>
      <c r="I1319">
        <v>50</v>
      </c>
      <c r="J1319" s="1">
        <v>-50000</v>
      </c>
      <c r="K1319" t="s">
        <v>26</v>
      </c>
      <c r="L1319" s="1">
        <v>-50000</v>
      </c>
      <c r="M1319" t="s">
        <v>26</v>
      </c>
      <c r="Q1319" t="s">
        <v>27</v>
      </c>
      <c r="R1319" t="s">
        <v>1169</v>
      </c>
      <c r="S1319" t="s">
        <v>45</v>
      </c>
      <c r="T1319" t="s">
        <v>1176</v>
      </c>
      <c r="X1319" t="s">
        <v>43</v>
      </c>
      <c r="Y1319">
        <v>1719278</v>
      </c>
      <c r="Z1319">
        <v>20251020</v>
      </c>
    </row>
    <row r="1320" spans="3:26" x14ac:dyDescent="0.25">
      <c r="C1320">
        <v>10000001</v>
      </c>
      <c r="D1320" t="s">
        <v>1166</v>
      </c>
      <c r="F1320">
        <v>12008597</v>
      </c>
      <c r="H1320" t="s">
        <v>1166</v>
      </c>
      <c r="I1320">
        <v>50</v>
      </c>
      <c r="J1320" s="1">
        <v>-470000</v>
      </c>
      <c r="K1320" t="s">
        <v>26</v>
      </c>
      <c r="L1320" s="1">
        <v>-470000</v>
      </c>
      <c r="M1320" t="s">
        <v>26</v>
      </c>
      <c r="Q1320" t="s">
        <v>27</v>
      </c>
      <c r="R1320" t="s">
        <v>1177</v>
      </c>
      <c r="S1320" t="s">
        <v>126</v>
      </c>
      <c r="T1320" t="s">
        <v>1178</v>
      </c>
      <c r="X1320" t="s">
        <v>43</v>
      </c>
      <c r="Y1320">
        <v>1719278</v>
      </c>
      <c r="Z1320">
        <v>20251020</v>
      </c>
    </row>
    <row r="1321" spans="3:26" x14ac:dyDescent="0.25">
      <c r="C1321">
        <v>10000001</v>
      </c>
      <c r="D1321" t="s">
        <v>1166</v>
      </c>
      <c r="F1321">
        <v>12008598</v>
      </c>
      <c r="H1321" t="s">
        <v>1166</v>
      </c>
      <c r="I1321">
        <v>50</v>
      </c>
      <c r="J1321" s="1">
        <v>-50000</v>
      </c>
      <c r="K1321" t="s">
        <v>26</v>
      </c>
      <c r="L1321" s="1">
        <v>-50000</v>
      </c>
      <c r="M1321" t="s">
        <v>26</v>
      </c>
      <c r="Q1321" t="s">
        <v>27</v>
      </c>
      <c r="R1321" t="s">
        <v>1179</v>
      </c>
      <c r="S1321" t="s">
        <v>45</v>
      </c>
      <c r="T1321" t="s">
        <v>1180</v>
      </c>
      <c r="X1321" t="s">
        <v>43</v>
      </c>
      <c r="Y1321">
        <v>1719278</v>
      </c>
      <c r="Z1321">
        <v>20251020</v>
      </c>
    </row>
    <row r="1322" spans="3:26" x14ac:dyDescent="0.25">
      <c r="C1322">
        <v>10000001</v>
      </c>
      <c r="D1322" t="s">
        <v>1166</v>
      </c>
      <c r="F1322">
        <v>12008599</v>
      </c>
      <c r="H1322" t="s">
        <v>1166</v>
      </c>
      <c r="I1322">
        <v>50</v>
      </c>
      <c r="J1322" s="1">
        <v>-50000</v>
      </c>
      <c r="K1322" t="s">
        <v>26</v>
      </c>
      <c r="L1322" s="1">
        <v>-50000</v>
      </c>
      <c r="M1322" t="s">
        <v>26</v>
      </c>
      <c r="Q1322" t="s">
        <v>27</v>
      </c>
      <c r="R1322" t="s">
        <v>1179</v>
      </c>
      <c r="S1322" t="s">
        <v>45</v>
      </c>
      <c r="T1322" t="s">
        <v>1181</v>
      </c>
      <c r="X1322" t="s">
        <v>43</v>
      </c>
      <c r="Y1322">
        <v>1719278</v>
      </c>
      <c r="Z1322">
        <v>20251020</v>
      </c>
    </row>
    <row r="1323" spans="3:26" x14ac:dyDescent="0.25">
      <c r="C1323">
        <v>10000001</v>
      </c>
      <c r="D1323" t="s">
        <v>1166</v>
      </c>
      <c r="F1323">
        <v>12008600</v>
      </c>
      <c r="H1323" t="s">
        <v>1166</v>
      </c>
      <c r="I1323">
        <v>50</v>
      </c>
      <c r="J1323" s="1">
        <v>-50000</v>
      </c>
      <c r="K1323" t="s">
        <v>26</v>
      </c>
      <c r="L1323" s="1">
        <v>-50000</v>
      </c>
      <c r="M1323" t="s">
        <v>26</v>
      </c>
      <c r="Q1323" t="s">
        <v>27</v>
      </c>
      <c r="R1323" t="s">
        <v>1179</v>
      </c>
      <c r="S1323" t="s">
        <v>45</v>
      </c>
      <c r="T1323" t="s">
        <v>1182</v>
      </c>
      <c r="X1323" t="s">
        <v>43</v>
      </c>
      <c r="Y1323">
        <v>1719278</v>
      </c>
      <c r="Z1323">
        <v>20251020</v>
      </c>
    </row>
    <row r="1324" spans="3:26" x14ac:dyDescent="0.25">
      <c r="C1324">
        <v>10000001</v>
      </c>
      <c r="D1324" t="s">
        <v>1183</v>
      </c>
      <c r="F1324">
        <v>12008601</v>
      </c>
      <c r="H1324" t="s">
        <v>1183</v>
      </c>
      <c r="I1324">
        <v>50</v>
      </c>
      <c r="J1324" s="1">
        <v>-293655</v>
      </c>
      <c r="K1324" t="s">
        <v>26</v>
      </c>
      <c r="L1324" s="1">
        <v>-293655</v>
      </c>
      <c r="M1324" t="s">
        <v>26</v>
      </c>
      <c r="Q1324" t="s">
        <v>27</v>
      </c>
      <c r="R1324" t="s">
        <v>1184</v>
      </c>
      <c r="S1324" t="s">
        <v>59</v>
      </c>
      <c r="T1324" t="s">
        <v>1185</v>
      </c>
      <c r="X1324" t="s">
        <v>43</v>
      </c>
      <c r="Y1324">
        <v>1719278</v>
      </c>
      <c r="Z1324">
        <v>20251021</v>
      </c>
    </row>
    <row r="1325" spans="3:26" x14ac:dyDescent="0.25">
      <c r="C1325">
        <v>10000001</v>
      </c>
      <c r="D1325" t="s">
        <v>1183</v>
      </c>
      <c r="F1325">
        <v>12008602</v>
      </c>
      <c r="H1325" t="s">
        <v>1183</v>
      </c>
      <c r="I1325">
        <v>50</v>
      </c>
      <c r="J1325" s="1">
        <v>-135000</v>
      </c>
      <c r="K1325" t="s">
        <v>26</v>
      </c>
      <c r="L1325" s="1">
        <v>-135000</v>
      </c>
      <c r="M1325" t="s">
        <v>26</v>
      </c>
      <c r="Q1325" t="s">
        <v>27</v>
      </c>
      <c r="R1325" t="s">
        <v>1186</v>
      </c>
      <c r="S1325" t="s">
        <v>1187</v>
      </c>
      <c r="T1325" t="s">
        <v>1188</v>
      </c>
      <c r="X1325" t="s">
        <v>43</v>
      </c>
      <c r="Y1325">
        <v>1719278</v>
      </c>
      <c r="Z1325">
        <v>20251021</v>
      </c>
    </row>
    <row r="1326" spans="3:26" x14ac:dyDescent="0.25">
      <c r="C1326">
        <v>10000001</v>
      </c>
      <c r="D1326" t="s">
        <v>1183</v>
      </c>
      <c r="F1326">
        <v>12008603</v>
      </c>
      <c r="H1326" t="s">
        <v>1183</v>
      </c>
      <c r="I1326">
        <v>50</v>
      </c>
      <c r="J1326" s="1">
        <v>-971000</v>
      </c>
      <c r="K1326" t="s">
        <v>26</v>
      </c>
      <c r="L1326" s="1">
        <v>-971000</v>
      </c>
      <c r="M1326" t="s">
        <v>26</v>
      </c>
      <c r="Q1326" t="s">
        <v>27</v>
      </c>
      <c r="R1326" t="s">
        <v>1189</v>
      </c>
      <c r="S1326" t="s">
        <v>274</v>
      </c>
      <c r="T1326" t="s">
        <v>1190</v>
      </c>
      <c r="X1326" t="s">
        <v>43</v>
      </c>
      <c r="Y1326">
        <v>1719278</v>
      </c>
      <c r="Z1326">
        <v>20251021</v>
      </c>
    </row>
    <row r="1327" spans="3:26" x14ac:dyDescent="0.25">
      <c r="C1327">
        <v>10000001</v>
      </c>
      <c r="D1327" t="s">
        <v>1183</v>
      </c>
      <c r="F1327">
        <v>12008604</v>
      </c>
      <c r="H1327" t="s">
        <v>1183</v>
      </c>
      <c r="I1327">
        <v>50</v>
      </c>
      <c r="J1327" s="1">
        <v>-760000</v>
      </c>
      <c r="K1327" t="s">
        <v>26</v>
      </c>
      <c r="L1327" s="1">
        <v>-760000</v>
      </c>
      <c r="M1327" t="s">
        <v>26</v>
      </c>
      <c r="Q1327" t="s">
        <v>27</v>
      </c>
      <c r="R1327" t="s">
        <v>1191</v>
      </c>
      <c r="S1327" t="s">
        <v>274</v>
      </c>
      <c r="T1327" t="s">
        <v>1192</v>
      </c>
      <c r="X1327" t="s">
        <v>43</v>
      </c>
      <c r="Y1327">
        <v>1719278</v>
      </c>
      <c r="Z1327">
        <v>20251021</v>
      </c>
    </row>
    <row r="1328" spans="3:26" x14ac:dyDescent="0.25">
      <c r="C1328">
        <v>10000001</v>
      </c>
      <c r="D1328" t="s">
        <v>1183</v>
      </c>
      <c r="F1328">
        <v>12008605</v>
      </c>
      <c r="H1328" t="s">
        <v>1183</v>
      </c>
      <c r="I1328">
        <v>50</v>
      </c>
      <c r="J1328" s="1">
        <v>-560000</v>
      </c>
      <c r="K1328" t="s">
        <v>26</v>
      </c>
      <c r="L1328" s="1">
        <v>-560000</v>
      </c>
      <c r="M1328" t="s">
        <v>26</v>
      </c>
      <c r="Q1328" t="s">
        <v>27</v>
      </c>
      <c r="R1328" t="s">
        <v>1193</v>
      </c>
      <c r="S1328" t="s">
        <v>96</v>
      </c>
      <c r="T1328" t="s">
        <v>1194</v>
      </c>
      <c r="X1328" t="s">
        <v>43</v>
      </c>
      <c r="Y1328">
        <v>1719278</v>
      </c>
      <c r="Z1328">
        <v>20251021</v>
      </c>
    </row>
    <row r="1329" spans="3:26" x14ac:dyDescent="0.25">
      <c r="C1329">
        <v>10000001</v>
      </c>
      <c r="D1329" t="s">
        <v>1183</v>
      </c>
      <c r="F1329">
        <v>12008606</v>
      </c>
      <c r="H1329" t="s">
        <v>1183</v>
      </c>
      <c r="I1329">
        <v>50</v>
      </c>
      <c r="J1329" s="1">
        <v>-439000</v>
      </c>
      <c r="K1329" t="s">
        <v>26</v>
      </c>
      <c r="L1329" s="1">
        <v>-439000</v>
      </c>
      <c r="M1329" t="s">
        <v>26</v>
      </c>
      <c r="Q1329" t="s">
        <v>27</v>
      </c>
      <c r="R1329" t="s">
        <v>1193</v>
      </c>
      <c r="S1329" t="s">
        <v>67</v>
      </c>
      <c r="T1329" t="s">
        <v>98</v>
      </c>
      <c r="X1329" t="s">
        <v>43</v>
      </c>
      <c r="Y1329">
        <v>1719278</v>
      </c>
      <c r="Z1329">
        <v>20251021</v>
      </c>
    </row>
    <row r="1330" spans="3:26" x14ac:dyDescent="0.25">
      <c r="C1330">
        <v>10000001</v>
      </c>
      <c r="D1330" t="s">
        <v>1183</v>
      </c>
      <c r="F1330">
        <v>12008607</v>
      </c>
      <c r="H1330" t="s">
        <v>1183</v>
      </c>
      <c r="I1330">
        <v>50</v>
      </c>
      <c r="J1330" s="1">
        <v>-227000</v>
      </c>
      <c r="K1330" t="s">
        <v>26</v>
      </c>
      <c r="L1330" s="1">
        <v>-227000</v>
      </c>
      <c r="M1330" t="s">
        <v>26</v>
      </c>
      <c r="Q1330" t="s">
        <v>27</v>
      </c>
      <c r="R1330" t="s">
        <v>1195</v>
      </c>
      <c r="S1330" t="s">
        <v>126</v>
      </c>
      <c r="T1330" t="s">
        <v>1196</v>
      </c>
      <c r="X1330" t="s">
        <v>43</v>
      </c>
      <c r="Y1330">
        <v>1719278</v>
      </c>
      <c r="Z1330">
        <v>20251021</v>
      </c>
    </row>
    <row r="1331" spans="3:26" x14ac:dyDescent="0.25">
      <c r="C1331">
        <v>10000001</v>
      </c>
      <c r="D1331" t="s">
        <v>1183</v>
      </c>
      <c r="F1331">
        <v>12008608</v>
      </c>
      <c r="H1331" t="s">
        <v>1183</v>
      </c>
      <c r="I1331">
        <v>50</v>
      </c>
      <c r="J1331" s="1">
        <v>-50000</v>
      </c>
      <c r="K1331" t="s">
        <v>26</v>
      </c>
      <c r="L1331" s="1">
        <v>-50000</v>
      </c>
      <c r="M1331" t="s">
        <v>26</v>
      </c>
      <c r="Q1331" t="s">
        <v>27</v>
      </c>
      <c r="R1331" t="s">
        <v>1197</v>
      </c>
      <c r="S1331" t="s">
        <v>45</v>
      </c>
      <c r="T1331" t="s">
        <v>1198</v>
      </c>
      <c r="X1331" t="s">
        <v>43</v>
      </c>
      <c r="Y1331">
        <v>1719278</v>
      </c>
      <c r="Z1331">
        <v>20251021</v>
      </c>
    </row>
    <row r="1332" spans="3:26" x14ac:dyDescent="0.25">
      <c r="C1332">
        <v>10000001</v>
      </c>
      <c r="D1332" t="s">
        <v>1183</v>
      </c>
      <c r="F1332">
        <v>12008609</v>
      </c>
      <c r="H1332" t="s">
        <v>1183</v>
      </c>
      <c r="I1332">
        <v>50</v>
      </c>
      <c r="J1332" s="1">
        <v>-50000</v>
      </c>
      <c r="K1332" t="s">
        <v>26</v>
      </c>
      <c r="L1332" s="1">
        <v>-50000</v>
      </c>
      <c r="M1332" t="s">
        <v>26</v>
      </c>
      <c r="Q1332" t="s">
        <v>27</v>
      </c>
      <c r="R1332" t="s">
        <v>1197</v>
      </c>
      <c r="S1332" t="s">
        <v>45</v>
      </c>
      <c r="T1332" t="s">
        <v>1199</v>
      </c>
      <c r="X1332" t="s">
        <v>43</v>
      </c>
      <c r="Y1332">
        <v>1719278</v>
      </c>
      <c r="Z1332">
        <v>20251021</v>
      </c>
    </row>
    <row r="1333" spans="3:26" x14ac:dyDescent="0.25">
      <c r="C1333">
        <v>10000001</v>
      </c>
      <c r="D1333" t="s">
        <v>1183</v>
      </c>
      <c r="F1333">
        <v>12008610</v>
      </c>
      <c r="H1333" t="s">
        <v>1183</v>
      </c>
      <c r="I1333">
        <v>50</v>
      </c>
      <c r="J1333" s="1">
        <v>-50000</v>
      </c>
      <c r="K1333" t="s">
        <v>26</v>
      </c>
      <c r="L1333" s="1">
        <v>-50000</v>
      </c>
      <c r="M1333" t="s">
        <v>26</v>
      </c>
      <c r="Q1333" t="s">
        <v>27</v>
      </c>
      <c r="R1333" t="s">
        <v>1197</v>
      </c>
      <c r="S1333" t="s">
        <v>45</v>
      </c>
      <c r="T1333" t="s">
        <v>1200</v>
      </c>
      <c r="X1333" t="s">
        <v>43</v>
      </c>
      <c r="Y1333">
        <v>1719278</v>
      </c>
      <c r="Z1333">
        <v>20251021</v>
      </c>
    </row>
    <row r="1334" spans="3:26" x14ac:dyDescent="0.25">
      <c r="C1334">
        <v>10000001</v>
      </c>
      <c r="D1334" t="s">
        <v>1183</v>
      </c>
      <c r="F1334">
        <v>12008611</v>
      </c>
      <c r="H1334" t="s">
        <v>1183</v>
      </c>
      <c r="I1334">
        <v>50</v>
      </c>
      <c r="J1334" s="1">
        <v>-50000</v>
      </c>
      <c r="K1334" t="s">
        <v>26</v>
      </c>
      <c r="L1334" s="1">
        <v>-50000</v>
      </c>
      <c r="M1334" t="s">
        <v>26</v>
      </c>
      <c r="Q1334" t="s">
        <v>27</v>
      </c>
      <c r="R1334" t="s">
        <v>1197</v>
      </c>
      <c r="S1334" t="s">
        <v>45</v>
      </c>
      <c r="T1334" t="s">
        <v>1201</v>
      </c>
      <c r="X1334" t="s">
        <v>43</v>
      </c>
      <c r="Y1334">
        <v>1719278</v>
      </c>
      <c r="Z1334">
        <v>20251021</v>
      </c>
    </row>
    <row r="1335" spans="3:26" x14ac:dyDescent="0.25">
      <c r="C1335">
        <v>10000001</v>
      </c>
      <c r="D1335" t="s">
        <v>1183</v>
      </c>
      <c r="F1335">
        <v>12008612</v>
      </c>
      <c r="H1335" t="s">
        <v>1183</v>
      </c>
      <c r="I1335">
        <v>50</v>
      </c>
      <c r="J1335" s="1">
        <v>-50000</v>
      </c>
      <c r="K1335" t="s">
        <v>26</v>
      </c>
      <c r="L1335" s="1">
        <v>-50000</v>
      </c>
      <c r="M1335" t="s">
        <v>26</v>
      </c>
      <c r="Q1335" t="s">
        <v>27</v>
      </c>
      <c r="R1335" t="s">
        <v>1197</v>
      </c>
      <c r="S1335" t="s">
        <v>45</v>
      </c>
      <c r="T1335" t="s">
        <v>1202</v>
      </c>
      <c r="X1335" t="s">
        <v>43</v>
      </c>
      <c r="Y1335">
        <v>1719278</v>
      </c>
      <c r="Z1335">
        <v>20251021</v>
      </c>
    </row>
    <row r="1336" spans="3:26" x14ac:dyDescent="0.25">
      <c r="C1336">
        <v>10000001</v>
      </c>
      <c r="D1336" t="s">
        <v>1183</v>
      </c>
      <c r="F1336">
        <v>12008613</v>
      </c>
      <c r="H1336" t="s">
        <v>1183</v>
      </c>
      <c r="I1336">
        <v>50</v>
      </c>
      <c r="J1336" s="1">
        <v>-48300</v>
      </c>
      <c r="K1336" t="s">
        <v>26</v>
      </c>
      <c r="L1336" s="1">
        <v>-48300</v>
      </c>
      <c r="M1336" t="s">
        <v>26</v>
      </c>
      <c r="Q1336" t="s">
        <v>27</v>
      </c>
      <c r="R1336" t="s">
        <v>1203</v>
      </c>
      <c r="S1336" t="s">
        <v>375</v>
      </c>
      <c r="T1336" t="s">
        <v>1204</v>
      </c>
      <c r="X1336" t="s">
        <v>43</v>
      </c>
      <c r="Y1336">
        <v>1719278</v>
      </c>
      <c r="Z1336">
        <v>20251021</v>
      </c>
    </row>
    <row r="1337" spans="3:26" x14ac:dyDescent="0.25">
      <c r="C1337">
        <v>10000001</v>
      </c>
      <c r="D1337" t="s">
        <v>1183</v>
      </c>
      <c r="F1337">
        <v>12008614</v>
      </c>
      <c r="H1337" t="s">
        <v>1183</v>
      </c>
      <c r="I1337">
        <v>50</v>
      </c>
      <c r="J1337" s="1">
        <v>-82100</v>
      </c>
      <c r="K1337" t="s">
        <v>26</v>
      </c>
      <c r="L1337" s="1">
        <v>-82100</v>
      </c>
      <c r="M1337" t="s">
        <v>26</v>
      </c>
      <c r="Q1337" t="s">
        <v>27</v>
      </c>
      <c r="R1337" t="s">
        <v>1203</v>
      </c>
      <c r="S1337" t="s">
        <v>375</v>
      </c>
      <c r="T1337" t="s">
        <v>1205</v>
      </c>
      <c r="X1337" t="s">
        <v>43</v>
      </c>
      <c r="Y1337">
        <v>1719278</v>
      </c>
      <c r="Z1337">
        <v>20251021</v>
      </c>
    </row>
    <row r="1338" spans="3:26" x14ac:dyDescent="0.25">
      <c r="C1338">
        <v>10000001</v>
      </c>
      <c r="D1338" t="s">
        <v>1183</v>
      </c>
      <c r="F1338">
        <v>12008669</v>
      </c>
      <c r="H1338" t="s">
        <v>1183</v>
      </c>
      <c r="I1338">
        <v>40</v>
      </c>
      <c r="J1338" s="1">
        <v>31087455</v>
      </c>
      <c r="K1338" t="s">
        <v>26</v>
      </c>
      <c r="L1338" s="1">
        <v>31087455</v>
      </c>
      <c r="M1338" t="s">
        <v>26</v>
      </c>
      <c r="Q1338" t="s">
        <v>27</v>
      </c>
      <c r="S1338" t="s">
        <v>249</v>
      </c>
      <c r="T1338" t="s">
        <v>1206</v>
      </c>
      <c r="X1338" t="s">
        <v>43</v>
      </c>
      <c r="Y1338">
        <v>1719278</v>
      </c>
      <c r="Z1338">
        <v>20251021</v>
      </c>
    </row>
    <row r="1339" spans="3:26" x14ac:dyDescent="0.25">
      <c r="C1339">
        <v>10000001</v>
      </c>
      <c r="D1339" t="s">
        <v>1207</v>
      </c>
      <c r="F1339">
        <v>1719278</v>
      </c>
      <c r="H1339" t="s">
        <v>1207</v>
      </c>
      <c r="I1339">
        <v>40</v>
      </c>
      <c r="J1339" s="1">
        <v>135000</v>
      </c>
      <c r="K1339" t="s">
        <v>26</v>
      </c>
      <c r="L1339" s="1">
        <v>135000</v>
      </c>
      <c r="M1339" t="s">
        <v>26</v>
      </c>
      <c r="Q1339" t="s">
        <v>27</v>
      </c>
      <c r="T1339" t="s">
        <v>1188</v>
      </c>
      <c r="X1339" t="s">
        <v>30</v>
      </c>
      <c r="Y1339">
        <v>1719278</v>
      </c>
      <c r="Z1339">
        <v>20251031</v>
      </c>
    </row>
    <row r="1340" spans="3:26" x14ac:dyDescent="0.25">
      <c r="C1340">
        <v>10000001</v>
      </c>
      <c r="D1340" t="s">
        <v>1207</v>
      </c>
      <c r="F1340">
        <v>1719278</v>
      </c>
      <c r="H1340" t="s">
        <v>1207</v>
      </c>
      <c r="I1340">
        <v>40</v>
      </c>
      <c r="J1340" s="1">
        <v>516150</v>
      </c>
      <c r="K1340" t="s">
        <v>26</v>
      </c>
      <c r="L1340" s="1">
        <v>516150</v>
      </c>
      <c r="M1340" t="s">
        <v>26</v>
      </c>
      <c r="Q1340" t="s">
        <v>27</v>
      </c>
      <c r="T1340" t="s">
        <v>1040</v>
      </c>
      <c r="X1340" t="s">
        <v>30</v>
      </c>
      <c r="Y1340">
        <v>1719278</v>
      </c>
      <c r="Z1340">
        <v>20251031</v>
      </c>
    </row>
    <row r="1341" spans="3:26" x14ac:dyDescent="0.25">
      <c r="C1341">
        <v>10000001</v>
      </c>
      <c r="D1341" t="s">
        <v>1207</v>
      </c>
      <c r="F1341">
        <v>1719278</v>
      </c>
      <c r="H1341" t="s">
        <v>1207</v>
      </c>
      <c r="I1341">
        <v>40</v>
      </c>
      <c r="J1341" s="1">
        <v>200000</v>
      </c>
      <c r="K1341" t="s">
        <v>26</v>
      </c>
      <c r="L1341" s="1">
        <v>200000</v>
      </c>
      <c r="M1341" t="s">
        <v>26</v>
      </c>
      <c r="Q1341" t="s">
        <v>27</v>
      </c>
      <c r="T1341" t="s">
        <v>875</v>
      </c>
      <c r="X1341" t="s">
        <v>30</v>
      </c>
      <c r="Y1341">
        <v>1719278</v>
      </c>
      <c r="Z1341">
        <v>20251031</v>
      </c>
    </row>
    <row r="1342" spans="3:26" x14ac:dyDescent="0.25">
      <c r="C1342">
        <v>10000001</v>
      </c>
      <c r="D1342" t="s">
        <v>1207</v>
      </c>
      <c r="F1342">
        <v>1719278</v>
      </c>
      <c r="H1342" t="s">
        <v>1207</v>
      </c>
      <c r="I1342">
        <v>40</v>
      </c>
      <c r="J1342" s="1">
        <v>200000</v>
      </c>
      <c r="K1342" t="s">
        <v>26</v>
      </c>
      <c r="L1342" s="1">
        <v>200000</v>
      </c>
      <c r="M1342" t="s">
        <v>26</v>
      </c>
      <c r="Q1342" t="s">
        <v>27</v>
      </c>
      <c r="T1342" t="s">
        <v>1005</v>
      </c>
      <c r="X1342" t="s">
        <v>30</v>
      </c>
      <c r="Y1342">
        <v>1719278</v>
      </c>
      <c r="Z1342">
        <v>20251031</v>
      </c>
    </row>
    <row r="1343" spans="3:26" x14ac:dyDescent="0.25">
      <c r="C1343">
        <v>10000001</v>
      </c>
      <c r="D1343" t="s">
        <v>1207</v>
      </c>
      <c r="F1343">
        <v>1719278</v>
      </c>
      <c r="H1343" t="s">
        <v>1207</v>
      </c>
      <c r="I1343">
        <v>40</v>
      </c>
      <c r="J1343" s="1">
        <v>200000</v>
      </c>
      <c r="K1343" t="s">
        <v>26</v>
      </c>
      <c r="L1343" s="1">
        <v>200000</v>
      </c>
      <c r="M1343" t="s">
        <v>26</v>
      </c>
      <c r="Q1343" t="s">
        <v>27</v>
      </c>
      <c r="T1343" t="s">
        <v>855</v>
      </c>
      <c r="X1343" t="s">
        <v>30</v>
      </c>
      <c r="Y1343">
        <v>1719278</v>
      </c>
      <c r="Z1343">
        <v>20251031</v>
      </c>
    </row>
    <row r="1344" spans="3:26" x14ac:dyDescent="0.25">
      <c r="C1344">
        <v>10000001</v>
      </c>
      <c r="D1344" t="s">
        <v>1207</v>
      </c>
      <c r="F1344">
        <v>1719278</v>
      </c>
      <c r="H1344" t="s">
        <v>1207</v>
      </c>
      <c r="I1344">
        <v>40</v>
      </c>
      <c r="J1344" s="1">
        <v>200000</v>
      </c>
      <c r="K1344" t="s">
        <v>26</v>
      </c>
      <c r="L1344" s="1">
        <v>200000</v>
      </c>
      <c r="M1344" t="s">
        <v>26</v>
      </c>
      <c r="Q1344" t="s">
        <v>27</v>
      </c>
      <c r="T1344" t="s">
        <v>1170</v>
      </c>
      <c r="X1344" t="s">
        <v>30</v>
      </c>
      <c r="Y1344">
        <v>1719278</v>
      </c>
      <c r="Z1344">
        <v>20251031</v>
      </c>
    </row>
    <row r="1345" spans="3:26" x14ac:dyDescent="0.25">
      <c r="C1345">
        <v>10000001</v>
      </c>
      <c r="D1345" t="s">
        <v>1207</v>
      </c>
      <c r="F1345">
        <v>1719278</v>
      </c>
      <c r="H1345" t="s">
        <v>1207</v>
      </c>
      <c r="I1345">
        <v>40</v>
      </c>
      <c r="J1345" s="1">
        <v>150000</v>
      </c>
      <c r="K1345" t="s">
        <v>26</v>
      </c>
      <c r="L1345" s="1">
        <v>150000</v>
      </c>
      <c r="M1345" t="s">
        <v>26</v>
      </c>
      <c r="Q1345" t="s">
        <v>27</v>
      </c>
      <c r="T1345" t="s">
        <v>1171</v>
      </c>
      <c r="X1345" t="s">
        <v>30</v>
      </c>
      <c r="Y1345">
        <v>1719278</v>
      </c>
      <c r="Z1345">
        <v>20251031</v>
      </c>
    </row>
    <row r="1346" spans="3:26" x14ac:dyDescent="0.25">
      <c r="C1346">
        <v>10000001</v>
      </c>
      <c r="D1346" t="s">
        <v>1207</v>
      </c>
      <c r="F1346">
        <v>1719278</v>
      </c>
      <c r="H1346" t="s">
        <v>1207</v>
      </c>
      <c r="I1346">
        <v>40</v>
      </c>
      <c r="J1346" s="1">
        <v>350000</v>
      </c>
      <c r="K1346" t="s">
        <v>26</v>
      </c>
      <c r="L1346" s="1">
        <v>350000</v>
      </c>
      <c r="M1346" t="s">
        <v>26</v>
      </c>
      <c r="Q1346" t="s">
        <v>27</v>
      </c>
      <c r="T1346" t="s">
        <v>854</v>
      </c>
      <c r="X1346" t="s">
        <v>30</v>
      </c>
      <c r="Y1346">
        <v>1719278</v>
      </c>
      <c r="Z1346">
        <v>20251031</v>
      </c>
    </row>
    <row r="1347" spans="3:26" x14ac:dyDescent="0.25">
      <c r="C1347">
        <v>10000001</v>
      </c>
      <c r="D1347" t="s">
        <v>1207</v>
      </c>
      <c r="F1347">
        <v>1719278</v>
      </c>
      <c r="H1347" t="s">
        <v>1207</v>
      </c>
      <c r="I1347">
        <v>40</v>
      </c>
      <c r="J1347" s="1">
        <v>350000</v>
      </c>
      <c r="K1347" t="s">
        <v>26</v>
      </c>
      <c r="L1347" s="1">
        <v>350000</v>
      </c>
      <c r="M1347" t="s">
        <v>26</v>
      </c>
      <c r="Q1347" t="s">
        <v>27</v>
      </c>
      <c r="T1347" t="s">
        <v>1022</v>
      </c>
      <c r="X1347" t="s">
        <v>30</v>
      </c>
      <c r="Y1347">
        <v>1719278</v>
      </c>
      <c r="Z1347">
        <v>20251031</v>
      </c>
    </row>
    <row r="1348" spans="3:26" x14ac:dyDescent="0.25">
      <c r="C1348">
        <v>10000001</v>
      </c>
      <c r="D1348" t="s">
        <v>1207</v>
      </c>
      <c r="F1348">
        <v>1719278</v>
      </c>
      <c r="H1348" t="s">
        <v>1207</v>
      </c>
      <c r="I1348">
        <v>40</v>
      </c>
      <c r="J1348" s="1">
        <v>200000</v>
      </c>
      <c r="K1348" t="s">
        <v>26</v>
      </c>
      <c r="L1348" s="1">
        <v>200000</v>
      </c>
      <c r="M1348" t="s">
        <v>26</v>
      </c>
      <c r="Q1348" t="s">
        <v>27</v>
      </c>
      <c r="T1348" t="s">
        <v>874</v>
      </c>
      <c r="X1348" t="s">
        <v>30</v>
      </c>
      <c r="Y1348">
        <v>1719278</v>
      </c>
      <c r="Z1348">
        <v>20251031</v>
      </c>
    </row>
    <row r="1349" spans="3:26" x14ac:dyDescent="0.25">
      <c r="C1349">
        <v>10000001</v>
      </c>
      <c r="D1349" t="s">
        <v>1207</v>
      </c>
      <c r="F1349">
        <v>1719278</v>
      </c>
      <c r="H1349" t="s">
        <v>1207</v>
      </c>
      <c r="I1349">
        <v>40</v>
      </c>
      <c r="J1349" s="1">
        <v>350000</v>
      </c>
      <c r="K1349" t="s">
        <v>26</v>
      </c>
      <c r="L1349" s="1">
        <v>350000</v>
      </c>
      <c r="M1349" t="s">
        <v>26</v>
      </c>
      <c r="Q1349" t="s">
        <v>27</v>
      </c>
      <c r="T1349" t="s">
        <v>1150</v>
      </c>
      <c r="X1349" t="s">
        <v>30</v>
      </c>
      <c r="Y1349">
        <v>1719278</v>
      </c>
      <c r="Z1349">
        <v>20251031</v>
      </c>
    </row>
    <row r="1350" spans="3:26" x14ac:dyDescent="0.25">
      <c r="C1350">
        <v>10000001</v>
      </c>
      <c r="D1350" t="s">
        <v>1207</v>
      </c>
      <c r="F1350">
        <v>1719278</v>
      </c>
      <c r="H1350" t="s">
        <v>1207</v>
      </c>
      <c r="I1350">
        <v>40</v>
      </c>
      <c r="J1350" s="1">
        <v>200000</v>
      </c>
      <c r="K1350" t="s">
        <v>26</v>
      </c>
      <c r="L1350" s="1">
        <v>200000</v>
      </c>
      <c r="M1350" t="s">
        <v>26</v>
      </c>
      <c r="Q1350" t="s">
        <v>27</v>
      </c>
      <c r="T1350" t="s">
        <v>1121</v>
      </c>
      <c r="X1350" t="s">
        <v>30</v>
      </c>
      <c r="Y1350">
        <v>1719278</v>
      </c>
      <c r="Z1350">
        <v>20251031</v>
      </c>
    </row>
    <row r="1351" spans="3:26" x14ac:dyDescent="0.25">
      <c r="C1351">
        <v>10000001</v>
      </c>
      <c r="D1351" t="s">
        <v>1207</v>
      </c>
      <c r="F1351">
        <v>1719278</v>
      </c>
      <c r="H1351" t="s">
        <v>1207</v>
      </c>
      <c r="I1351">
        <v>40</v>
      </c>
      <c r="J1351" s="1">
        <v>100000</v>
      </c>
      <c r="K1351" t="s">
        <v>26</v>
      </c>
      <c r="L1351" s="1">
        <v>100000</v>
      </c>
      <c r="M1351" t="s">
        <v>26</v>
      </c>
      <c r="Q1351" t="s">
        <v>27</v>
      </c>
      <c r="T1351" t="s">
        <v>1099</v>
      </c>
      <c r="X1351" t="s">
        <v>30</v>
      </c>
      <c r="Y1351">
        <v>1719278</v>
      </c>
      <c r="Z1351">
        <v>20251031</v>
      </c>
    </row>
    <row r="1352" spans="3:26" x14ac:dyDescent="0.25">
      <c r="C1352">
        <v>10000001</v>
      </c>
      <c r="D1352" t="s">
        <v>1207</v>
      </c>
      <c r="F1352">
        <v>1719278</v>
      </c>
      <c r="H1352" t="s">
        <v>1207</v>
      </c>
      <c r="I1352">
        <v>40</v>
      </c>
      <c r="J1352" s="1">
        <v>100000</v>
      </c>
      <c r="K1352" t="s">
        <v>26</v>
      </c>
      <c r="L1352" s="1">
        <v>100000</v>
      </c>
      <c r="M1352" t="s">
        <v>26</v>
      </c>
      <c r="Q1352" t="s">
        <v>27</v>
      </c>
      <c r="T1352" t="s">
        <v>1100</v>
      </c>
      <c r="X1352" t="s">
        <v>30</v>
      </c>
      <c r="Y1352">
        <v>1719278</v>
      </c>
      <c r="Z1352">
        <v>20251031</v>
      </c>
    </row>
    <row r="1353" spans="3:26" x14ac:dyDescent="0.25">
      <c r="C1353">
        <v>10000001</v>
      </c>
      <c r="D1353" t="s">
        <v>1207</v>
      </c>
      <c r="F1353">
        <v>1719278</v>
      </c>
      <c r="H1353" t="s">
        <v>1207</v>
      </c>
      <c r="I1353">
        <v>40</v>
      </c>
      <c r="J1353" s="1">
        <v>200000</v>
      </c>
      <c r="K1353" t="s">
        <v>26</v>
      </c>
      <c r="L1353" s="1">
        <v>200000</v>
      </c>
      <c r="M1353" t="s">
        <v>26</v>
      </c>
      <c r="Q1353" t="s">
        <v>27</v>
      </c>
      <c r="T1353" t="s">
        <v>936</v>
      </c>
      <c r="X1353" t="s">
        <v>30</v>
      </c>
      <c r="Y1353">
        <v>1719278</v>
      </c>
      <c r="Z1353">
        <v>20251031</v>
      </c>
    </row>
    <row r="1354" spans="3:26" x14ac:dyDescent="0.25">
      <c r="C1354">
        <v>10000001</v>
      </c>
      <c r="D1354" t="s">
        <v>1207</v>
      </c>
      <c r="F1354">
        <v>1719278</v>
      </c>
      <c r="H1354" t="s">
        <v>1207</v>
      </c>
      <c r="I1354">
        <v>40</v>
      </c>
      <c r="J1354" s="1">
        <v>927000</v>
      </c>
      <c r="K1354" t="s">
        <v>26</v>
      </c>
      <c r="L1354" s="1">
        <v>927000</v>
      </c>
      <c r="M1354" t="s">
        <v>26</v>
      </c>
      <c r="Q1354" t="s">
        <v>27</v>
      </c>
      <c r="T1354" t="s">
        <v>1009</v>
      </c>
      <c r="X1354" t="s">
        <v>30</v>
      </c>
      <c r="Y1354">
        <v>1719278</v>
      </c>
      <c r="Z1354">
        <v>20251031</v>
      </c>
    </row>
    <row r="1355" spans="3:26" x14ac:dyDescent="0.25">
      <c r="C1355">
        <v>10000001</v>
      </c>
      <c r="D1355" t="s">
        <v>1207</v>
      </c>
      <c r="F1355">
        <v>1719278</v>
      </c>
      <c r="H1355" t="s">
        <v>1207</v>
      </c>
      <c r="I1355">
        <v>40</v>
      </c>
      <c r="J1355" s="1">
        <v>82100</v>
      </c>
      <c r="K1355" t="s">
        <v>26</v>
      </c>
      <c r="L1355" s="1">
        <v>82100</v>
      </c>
      <c r="M1355" t="s">
        <v>26</v>
      </c>
      <c r="Q1355" t="s">
        <v>27</v>
      </c>
      <c r="T1355" t="s">
        <v>1205</v>
      </c>
      <c r="X1355" t="s">
        <v>30</v>
      </c>
      <c r="Y1355">
        <v>1719278</v>
      </c>
      <c r="Z1355">
        <v>20251031</v>
      </c>
    </row>
    <row r="1356" spans="3:26" x14ac:dyDescent="0.25">
      <c r="C1356">
        <v>10000001</v>
      </c>
      <c r="D1356" t="s">
        <v>1207</v>
      </c>
      <c r="F1356">
        <v>1719278</v>
      </c>
      <c r="H1356" t="s">
        <v>1207</v>
      </c>
      <c r="I1356">
        <v>40</v>
      </c>
      <c r="J1356" s="1">
        <v>48300</v>
      </c>
      <c r="K1356" t="s">
        <v>26</v>
      </c>
      <c r="L1356" s="1">
        <v>48300</v>
      </c>
      <c r="M1356" t="s">
        <v>26</v>
      </c>
      <c r="Q1356" t="s">
        <v>27</v>
      </c>
      <c r="T1356" t="s">
        <v>1204</v>
      </c>
      <c r="X1356" t="s">
        <v>30</v>
      </c>
      <c r="Y1356">
        <v>1719278</v>
      </c>
      <c r="Z1356">
        <v>20251031</v>
      </c>
    </row>
    <row r="1357" spans="3:26" x14ac:dyDescent="0.25">
      <c r="C1357">
        <v>10000001</v>
      </c>
      <c r="D1357" t="s">
        <v>1207</v>
      </c>
      <c r="F1357">
        <v>1719278</v>
      </c>
      <c r="H1357" t="s">
        <v>1207</v>
      </c>
      <c r="I1357">
        <v>40</v>
      </c>
      <c r="J1357" s="1">
        <v>15000</v>
      </c>
      <c r="K1357" t="s">
        <v>26</v>
      </c>
      <c r="L1357" s="1">
        <v>15000</v>
      </c>
      <c r="M1357" t="s">
        <v>26</v>
      </c>
      <c r="Q1357" t="s">
        <v>27</v>
      </c>
      <c r="T1357" t="s">
        <v>943</v>
      </c>
      <c r="X1357" t="s">
        <v>30</v>
      </c>
      <c r="Y1357">
        <v>1719278</v>
      </c>
      <c r="Z1357">
        <v>20251031</v>
      </c>
    </row>
    <row r="1358" spans="3:26" x14ac:dyDescent="0.25">
      <c r="C1358">
        <v>10000001</v>
      </c>
      <c r="D1358" t="s">
        <v>1207</v>
      </c>
      <c r="F1358">
        <v>1719278</v>
      </c>
      <c r="H1358" t="s">
        <v>1207</v>
      </c>
      <c r="I1358">
        <v>40</v>
      </c>
      <c r="J1358" s="1">
        <v>50000</v>
      </c>
      <c r="K1358" t="s">
        <v>26</v>
      </c>
      <c r="L1358" s="1">
        <v>50000</v>
      </c>
      <c r="M1358" t="s">
        <v>26</v>
      </c>
      <c r="Q1358" t="s">
        <v>27</v>
      </c>
      <c r="T1358" t="s">
        <v>969</v>
      </c>
      <c r="X1358" t="s">
        <v>30</v>
      </c>
      <c r="Y1358">
        <v>1719278</v>
      </c>
      <c r="Z1358">
        <v>20251031</v>
      </c>
    </row>
    <row r="1359" spans="3:26" x14ac:dyDescent="0.25">
      <c r="C1359">
        <v>10000001</v>
      </c>
      <c r="D1359" t="s">
        <v>1207</v>
      </c>
      <c r="F1359">
        <v>1719278</v>
      </c>
      <c r="H1359" t="s">
        <v>1207</v>
      </c>
      <c r="I1359">
        <v>40</v>
      </c>
      <c r="J1359" s="1">
        <v>100000</v>
      </c>
      <c r="K1359" t="s">
        <v>26</v>
      </c>
      <c r="L1359" s="1">
        <v>100000</v>
      </c>
      <c r="M1359" t="s">
        <v>26</v>
      </c>
      <c r="Q1359" t="s">
        <v>27</v>
      </c>
      <c r="T1359" t="s">
        <v>921</v>
      </c>
      <c r="X1359" t="s">
        <v>30</v>
      </c>
      <c r="Y1359">
        <v>1719278</v>
      </c>
      <c r="Z1359">
        <v>20251031</v>
      </c>
    </row>
    <row r="1360" spans="3:26" x14ac:dyDescent="0.25">
      <c r="C1360">
        <v>10000001</v>
      </c>
      <c r="D1360" t="s">
        <v>1207</v>
      </c>
      <c r="F1360">
        <v>1719278</v>
      </c>
      <c r="H1360" t="s">
        <v>1207</v>
      </c>
      <c r="I1360">
        <v>40</v>
      </c>
      <c r="J1360" s="1">
        <v>100000</v>
      </c>
      <c r="K1360" t="s">
        <v>26</v>
      </c>
      <c r="L1360" s="1">
        <v>100000</v>
      </c>
      <c r="M1360" t="s">
        <v>26</v>
      </c>
      <c r="Q1360" t="s">
        <v>27</v>
      </c>
      <c r="T1360" t="s">
        <v>865</v>
      </c>
      <c r="X1360" t="s">
        <v>30</v>
      </c>
      <c r="Y1360">
        <v>1719278</v>
      </c>
      <c r="Z1360">
        <v>20251031</v>
      </c>
    </row>
    <row r="1361" spans="3:26" x14ac:dyDescent="0.25">
      <c r="C1361">
        <v>10000001</v>
      </c>
      <c r="D1361" t="s">
        <v>1207</v>
      </c>
      <c r="F1361">
        <v>1719278</v>
      </c>
      <c r="H1361" t="s">
        <v>1207</v>
      </c>
      <c r="I1361">
        <v>40</v>
      </c>
      <c r="J1361" s="1">
        <v>50000</v>
      </c>
      <c r="K1361" t="s">
        <v>26</v>
      </c>
      <c r="L1361" s="1">
        <v>50000</v>
      </c>
      <c r="M1361" t="s">
        <v>26</v>
      </c>
      <c r="Q1361" t="s">
        <v>27</v>
      </c>
      <c r="T1361" t="s">
        <v>873</v>
      </c>
      <c r="X1361" t="s">
        <v>30</v>
      </c>
      <c r="Y1361">
        <v>1719278</v>
      </c>
      <c r="Z1361">
        <v>20251031</v>
      </c>
    </row>
    <row r="1362" spans="3:26" x14ac:dyDescent="0.25">
      <c r="C1362">
        <v>10000001</v>
      </c>
      <c r="D1362" t="s">
        <v>1207</v>
      </c>
      <c r="F1362">
        <v>1719278</v>
      </c>
      <c r="H1362" t="s">
        <v>1207</v>
      </c>
      <c r="I1362">
        <v>40</v>
      </c>
      <c r="J1362" s="1">
        <v>50000</v>
      </c>
      <c r="K1362" t="s">
        <v>26</v>
      </c>
      <c r="L1362" s="1">
        <v>50000</v>
      </c>
      <c r="M1362" t="s">
        <v>26</v>
      </c>
      <c r="Q1362" t="s">
        <v>27</v>
      </c>
      <c r="T1362" t="s">
        <v>1000</v>
      </c>
      <c r="X1362" t="s">
        <v>30</v>
      </c>
      <c r="Y1362">
        <v>1719278</v>
      </c>
      <c r="Z1362">
        <v>20251031</v>
      </c>
    </row>
    <row r="1363" spans="3:26" x14ac:dyDescent="0.25">
      <c r="C1363">
        <v>10000001</v>
      </c>
      <c r="D1363" t="s">
        <v>1207</v>
      </c>
      <c r="F1363">
        <v>1719278</v>
      </c>
      <c r="H1363" t="s">
        <v>1207</v>
      </c>
      <c r="I1363">
        <v>40</v>
      </c>
      <c r="J1363" s="1">
        <v>50000</v>
      </c>
      <c r="K1363" t="s">
        <v>26</v>
      </c>
      <c r="L1363" s="1">
        <v>50000</v>
      </c>
      <c r="M1363" t="s">
        <v>26</v>
      </c>
      <c r="Q1363" t="s">
        <v>27</v>
      </c>
      <c r="T1363" t="s">
        <v>913</v>
      </c>
      <c r="X1363" t="s">
        <v>30</v>
      </c>
      <c r="Y1363">
        <v>1719278</v>
      </c>
      <c r="Z1363">
        <v>20251031</v>
      </c>
    </row>
    <row r="1364" spans="3:26" x14ac:dyDescent="0.25">
      <c r="C1364">
        <v>10000001</v>
      </c>
      <c r="D1364" t="s">
        <v>1207</v>
      </c>
      <c r="F1364">
        <v>1719278</v>
      </c>
      <c r="H1364" t="s">
        <v>1207</v>
      </c>
      <c r="I1364">
        <v>40</v>
      </c>
      <c r="J1364" s="1">
        <v>50000</v>
      </c>
      <c r="K1364" t="s">
        <v>26</v>
      </c>
      <c r="L1364" s="1">
        <v>50000</v>
      </c>
      <c r="M1364" t="s">
        <v>26</v>
      </c>
      <c r="Q1364" t="s">
        <v>27</v>
      </c>
      <c r="T1364" t="s">
        <v>910</v>
      </c>
      <c r="X1364" t="s">
        <v>30</v>
      </c>
      <c r="Y1364">
        <v>1719278</v>
      </c>
      <c r="Z1364">
        <v>20251031</v>
      </c>
    </row>
    <row r="1365" spans="3:26" x14ac:dyDescent="0.25">
      <c r="C1365">
        <v>10000001</v>
      </c>
      <c r="D1365" t="s">
        <v>1207</v>
      </c>
      <c r="F1365">
        <v>1719278</v>
      </c>
      <c r="H1365" t="s">
        <v>1207</v>
      </c>
      <c r="I1365">
        <v>40</v>
      </c>
      <c r="J1365" s="1">
        <v>50000</v>
      </c>
      <c r="K1365" t="s">
        <v>26</v>
      </c>
      <c r="L1365" s="1">
        <v>50000</v>
      </c>
      <c r="M1365" t="s">
        <v>26</v>
      </c>
      <c r="Q1365" t="s">
        <v>27</v>
      </c>
      <c r="T1365" t="s">
        <v>911</v>
      </c>
      <c r="X1365" t="s">
        <v>30</v>
      </c>
      <c r="Y1365">
        <v>1719278</v>
      </c>
      <c r="Z1365">
        <v>20251031</v>
      </c>
    </row>
    <row r="1366" spans="3:26" x14ac:dyDescent="0.25">
      <c r="C1366">
        <v>10000001</v>
      </c>
      <c r="D1366" t="s">
        <v>1207</v>
      </c>
      <c r="F1366">
        <v>1719278</v>
      </c>
      <c r="H1366" t="s">
        <v>1207</v>
      </c>
      <c r="I1366">
        <v>40</v>
      </c>
      <c r="J1366" s="1">
        <v>50000</v>
      </c>
      <c r="K1366" t="s">
        <v>26</v>
      </c>
      <c r="L1366" s="1">
        <v>50000</v>
      </c>
      <c r="M1366" t="s">
        <v>26</v>
      </c>
      <c r="Q1366" t="s">
        <v>27</v>
      </c>
      <c r="T1366" t="s">
        <v>912</v>
      </c>
      <c r="X1366" t="s">
        <v>30</v>
      </c>
      <c r="Y1366">
        <v>1719278</v>
      </c>
      <c r="Z1366">
        <v>20251031</v>
      </c>
    </row>
    <row r="1367" spans="3:26" x14ac:dyDescent="0.25">
      <c r="C1367">
        <v>10000001</v>
      </c>
      <c r="D1367" t="s">
        <v>1207</v>
      </c>
      <c r="F1367">
        <v>1719278</v>
      </c>
      <c r="H1367" t="s">
        <v>1207</v>
      </c>
      <c r="I1367">
        <v>40</v>
      </c>
      <c r="J1367" s="1">
        <v>150000</v>
      </c>
      <c r="K1367" t="s">
        <v>26</v>
      </c>
      <c r="L1367" s="1">
        <v>150000</v>
      </c>
      <c r="M1367" t="s">
        <v>26</v>
      </c>
      <c r="Q1367" t="s">
        <v>27</v>
      </c>
      <c r="T1367" t="s">
        <v>1023</v>
      </c>
      <c r="X1367" t="s">
        <v>30</v>
      </c>
      <c r="Y1367">
        <v>1719278</v>
      </c>
      <c r="Z1367">
        <v>20251031</v>
      </c>
    </row>
    <row r="1368" spans="3:26" x14ac:dyDescent="0.25">
      <c r="C1368">
        <v>10000001</v>
      </c>
      <c r="D1368" t="s">
        <v>1207</v>
      </c>
      <c r="F1368">
        <v>1719278</v>
      </c>
      <c r="H1368" t="s">
        <v>1207</v>
      </c>
      <c r="I1368">
        <v>40</v>
      </c>
      <c r="J1368" s="1">
        <v>50000</v>
      </c>
      <c r="K1368" t="s">
        <v>26</v>
      </c>
      <c r="L1368" s="1">
        <v>50000</v>
      </c>
      <c r="M1368" t="s">
        <v>26</v>
      </c>
      <c r="Q1368" t="s">
        <v>27</v>
      </c>
      <c r="T1368" t="s">
        <v>1172</v>
      </c>
      <c r="X1368" t="s">
        <v>30</v>
      </c>
      <c r="Y1368">
        <v>1719278</v>
      </c>
      <c r="Z1368">
        <v>20251031</v>
      </c>
    </row>
    <row r="1369" spans="3:26" x14ac:dyDescent="0.25">
      <c r="C1369">
        <v>10000001</v>
      </c>
      <c r="D1369" t="s">
        <v>1207</v>
      </c>
      <c r="F1369">
        <v>1719278</v>
      </c>
      <c r="H1369" t="s">
        <v>1207</v>
      </c>
      <c r="I1369">
        <v>40</v>
      </c>
      <c r="J1369" s="1">
        <v>50000</v>
      </c>
      <c r="K1369" t="s">
        <v>26</v>
      </c>
      <c r="L1369" s="1">
        <v>50000</v>
      </c>
      <c r="M1369" t="s">
        <v>26</v>
      </c>
      <c r="Q1369" t="s">
        <v>27</v>
      </c>
      <c r="T1369" t="s">
        <v>1173</v>
      </c>
      <c r="X1369" t="s">
        <v>30</v>
      </c>
      <c r="Y1369">
        <v>1719278</v>
      </c>
      <c r="Z1369">
        <v>20251031</v>
      </c>
    </row>
    <row r="1370" spans="3:26" x14ac:dyDescent="0.25">
      <c r="C1370">
        <v>10000001</v>
      </c>
      <c r="D1370" t="s">
        <v>1207</v>
      </c>
      <c r="F1370">
        <v>1719278</v>
      </c>
      <c r="H1370" t="s">
        <v>1207</v>
      </c>
      <c r="I1370">
        <v>40</v>
      </c>
      <c r="J1370" s="1">
        <v>50000</v>
      </c>
      <c r="K1370" t="s">
        <v>26</v>
      </c>
      <c r="L1370" s="1">
        <v>50000</v>
      </c>
      <c r="M1370" t="s">
        <v>26</v>
      </c>
      <c r="Q1370" t="s">
        <v>27</v>
      </c>
      <c r="T1370" t="s">
        <v>872</v>
      </c>
      <c r="X1370" t="s">
        <v>30</v>
      </c>
      <c r="Y1370">
        <v>1719278</v>
      </c>
      <c r="Z1370">
        <v>20251031</v>
      </c>
    </row>
    <row r="1371" spans="3:26" x14ac:dyDescent="0.25">
      <c r="C1371">
        <v>10000001</v>
      </c>
      <c r="D1371" t="s">
        <v>1207</v>
      </c>
      <c r="F1371">
        <v>1719278</v>
      </c>
      <c r="H1371" t="s">
        <v>1207</v>
      </c>
      <c r="I1371">
        <v>40</v>
      </c>
      <c r="J1371" s="1">
        <v>50000</v>
      </c>
      <c r="K1371" t="s">
        <v>26</v>
      </c>
      <c r="L1371" s="1">
        <v>50000</v>
      </c>
      <c r="M1371" t="s">
        <v>26</v>
      </c>
      <c r="Q1371" t="s">
        <v>27</v>
      </c>
      <c r="T1371" t="s">
        <v>1073</v>
      </c>
      <c r="X1371" t="s">
        <v>30</v>
      </c>
      <c r="Y1371">
        <v>1719278</v>
      </c>
      <c r="Z1371">
        <v>20251031</v>
      </c>
    </row>
    <row r="1372" spans="3:26" x14ac:dyDescent="0.25">
      <c r="C1372">
        <v>10000001</v>
      </c>
      <c r="D1372" t="s">
        <v>1207</v>
      </c>
      <c r="F1372">
        <v>1719278</v>
      </c>
      <c r="H1372" t="s">
        <v>1207</v>
      </c>
      <c r="I1372">
        <v>40</v>
      </c>
      <c r="J1372" s="1">
        <v>50000</v>
      </c>
      <c r="K1372" t="s">
        <v>26</v>
      </c>
      <c r="L1372" s="1">
        <v>50000</v>
      </c>
      <c r="M1372" t="s">
        <v>26</v>
      </c>
      <c r="Q1372" t="s">
        <v>27</v>
      </c>
      <c r="T1372" t="s">
        <v>1072</v>
      </c>
      <c r="X1372" t="s">
        <v>30</v>
      </c>
      <c r="Y1372">
        <v>1719278</v>
      </c>
      <c r="Z1372">
        <v>20251031</v>
      </c>
    </row>
    <row r="1373" spans="3:26" x14ac:dyDescent="0.25">
      <c r="C1373">
        <v>10000001</v>
      </c>
      <c r="D1373" t="s">
        <v>1207</v>
      </c>
      <c r="F1373">
        <v>1719278</v>
      </c>
      <c r="H1373" t="s">
        <v>1207</v>
      </c>
      <c r="I1373">
        <v>40</v>
      </c>
      <c r="J1373" s="1">
        <v>100000</v>
      </c>
      <c r="K1373" t="s">
        <v>26</v>
      </c>
      <c r="L1373" s="1">
        <v>100000</v>
      </c>
      <c r="M1373" t="s">
        <v>26</v>
      </c>
      <c r="Q1373" t="s">
        <v>27</v>
      </c>
      <c r="T1373" t="s">
        <v>853</v>
      </c>
      <c r="X1373" t="s">
        <v>30</v>
      </c>
      <c r="Y1373">
        <v>1719278</v>
      </c>
      <c r="Z1373">
        <v>20251031</v>
      </c>
    </row>
    <row r="1374" spans="3:26" x14ac:dyDescent="0.25">
      <c r="C1374">
        <v>10000001</v>
      </c>
      <c r="D1374" t="s">
        <v>1207</v>
      </c>
      <c r="F1374">
        <v>1719278</v>
      </c>
      <c r="H1374" t="s">
        <v>1207</v>
      </c>
      <c r="I1374">
        <v>40</v>
      </c>
      <c r="J1374" s="1">
        <v>100000</v>
      </c>
      <c r="K1374" t="s">
        <v>26</v>
      </c>
      <c r="L1374" s="1">
        <v>100000</v>
      </c>
      <c r="M1374" t="s">
        <v>26</v>
      </c>
      <c r="Q1374" t="s">
        <v>27</v>
      </c>
      <c r="T1374" t="s">
        <v>1024</v>
      </c>
      <c r="X1374" t="s">
        <v>30</v>
      </c>
      <c r="Y1374">
        <v>1719278</v>
      </c>
      <c r="Z1374">
        <v>20251031</v>
      </c>
    </row>
    <row r="1375" spans="3:26" x14ac:dyDescent="0.25">
      <c r="C1375">
        <v>10000001</v>
      </c>
      <c r="D1375" t="s">
        <v>1207</v>
      </c>
      <c r="F1375">
        <v>1719278</v>
      </c>
      <c r="H1375" t="s">
        <v>1207</v>
      </c>
      <c r="I1375">
        <v>40</v>
      </c>
      <c r="J1375" s="1">
        <v>100000</v>
      </c>
      <c r="K1375" t="s">
        <v>26</v>
      </c>
      <c r="L1375" s="1">
        <v>100000</v>
      </c>
      <c r="M1375" t="s">
        <v>26</v>
      </c>
      <c r="Q1375" t="s">
        <v>27</v>
      </c>
      <c r="T1375" t="s">
        <v>1025</v>
      </c>
      <c r="X1375" t="s">
        <v>30</v>
      </c>
      <c r="Y1375">
        <v>1719278</v>
      </c>
      <c r="Z1375">
        <v>20251031</v>
      </c>
    </row>
    <row r="1376" spans="3:26" x14ac:dyDescent="0.25">
      <c r="C1376">
        <v>10000001</v>
      </c>
      <c r="D1376" t="s">
        <v>1207</v>
      </c>
      <c r="F1376">
        <v>1719278</v>
      </c>
      <c r="H1376" t="s">
        <v>1207</v>
      </c>
      <c r="I1376">
        <v>40</v>
      </c>
      <c r="J1376" s="1">
        <v>100000</v>
      </c>
      <c r="K1376" t="s">
        <v>26</v>
      </c>
      <c r="L1376" s="1">
        <v>100000</v>
      </c>
      <c r="M1376" t="s">
        <v>26</v>
      </c>
      <c r="Q1376" t="s">
        <v>27</v>
      </c>
      <c r="T1376" t="s">
        <v>1026</v>
      </c>
      <c r="X1376" t="s">
        <v>30</v>
      </c>
      <c r="Y1376">
        <v>1719278</v>
      </c>
      <c r="Z1376">
        <v>20251031</v>
      </c>
    </row>
    <row r="1377" spans="3:26" x14ac:dyDescent="0.25">
      <c r="C1377">
        <v>10000001</v>
      </c>
      <c r="D1377" t="s">
        <v>1207</v>
      </c>
      <c r="F1377">
        <v>1719278</v>
      </c>
      <c r="H1377" t="s">
        <v>1207</v>
      </c>
      <c r="I1377">
        <v>40</v>
      </c>
      <c r="J1377" s="1">
        <v>100000</v>
      </c>
      <c r="K1377" t="s">
        <v>26</v>
      </c>
      <c r="L1377" s="1">
        <v>100000</v>
      </c>
      <c r="M1377" t="s">
        <v>26</v>
      </c>
      <c r="Q1377" t="s">
        <v>27</v>
      </c>
      <c r="T1377" t="s">
        <v>1152</v>
      </c>
      <c r="X1377" t="s">
        <v>30</v>
      </c>
      <c r="Y1377">
        <v>1719278</v>
      </c>
      <c r="Z1377">
        <v>20251031</v>
      </c>
    </row>
    <row r="1378" spans="3:26" x14ac:dyDescent="0.25">
      <c r="C1378">
        <v>10000001</v>
      </c>
      <c r="D1378" t="s">
        <v>1207</v>
      </c>
      <c r="F1378">
        <v>1719278</v>
      </c>
      <c r="H1378" t="s">
        <v>1207</v>
      </c>
      <c r="I1378">
        <v>40</v>
      </c>
      <c r="J1378" s="1">
        <v>100000</v>
      </c>
      <c r="K1378" t="s">
        <v>26</v>
      </c>
      <c r="L1378" s="1">
        <v>100000</v>
      </c>
      <c r="M1378" t="s">
        <v>26</v>
      </c>
      <c r="Q1378" t="s">
        <v>27</v>
      </c>
      <c r="T1378" t="s">
        <v>1153</v>
      </c>
      <c r="X1378" t="s">
        <v>30</v>
      </c>
      <c r="Y1378">
        <v>1719278</v>
      </c>
      <c r="Z1378">
        <v>20251031</v>
      </c>
    </row>
    <row r="1379" spans="3:26" x14ac:dyDescent="0.25">
      <c r="C1379">
        <v>10000001</v>
      </c>
      <c r="D1379" t="s">
        <v>1207</v>
      </c>
      <c r="F1379">
        <v>1719278</v>
      </c>
      <c r="H1379" t="s">
        <v>1207</v>
      </c>
      <c r="I1379">
        <v>40</v>
      </c>
      <c r="J1379" s="1">
        <v>100000</v>
      </c>
      <c r="K1379" t="s">
        <v>26</v>
      </c>
      <c r="L1379" s="1">
        <v>100000</v>
      </c>
      <c r="M1379" t="s">
        <v>26</v>
      </c>
      <c r="Q1379" t="s">
        <v>27</v>
      </c>
      <c r="T1379" t="s">
        <v>1070</v>
      </c>
      <c r="X1379" t="s">
        <v>30</v>
      </c>
      <c r="Y1379">
        <v>1719278</v>
      </c>
      <c r="Z1379">
        <v>20251031</v>
      </c>
    </row>
    <row r="1380" spans="3:26" x14ac:dyDescent="0.25">
      <c r="C1380">
        <v>10000001</v>
      </c>
      <c r="D1380" t="s">
        <v>1207</v>
      </c>
      <c r="F1380">
        <v>1719278</v>
      </c>
      <c r="H1380" t="s">
        <v>1207</v>
      </c>
      <c r="I1380">
        <v>40</v>
      </c>
      <c r="J1380" s="1">
        <v>100000</v>
      </c>
      <c r="K1380" t="s">
        <v>26</v>
      </c>
      <c r="L1380" s="1">
        <v>100000</v>
      </c>
      <c r="M1380" t="s">
        <v>26</v>
      </c>
      <c r="Q1380" t="s">
        <v>27</v>
      </c>
      <c r="T1380" t="s">
        <v>1154</v>
      </c>
      <c r="X1380" t="s">
        <v>30</v>
      </c>
      <c r="Y1380">
        <v>1719278</v>
      </c>
      <c r="Z1380">
        <v>20251031</v>
      </c>
    </row>
    <row r="1381" spans="3:26" x14ac:dyDescent="0.25">
      <c r="C1381">
        <v>10000001</v>
      </c>
      <c r="D1381" t="s">
        <v>1207</v>
      </c>
      <c r="F1381">
        <v>1719278</v>
      </c>
      <c r="H1381" t="s">
        <v>1207</v>
      </c>
      <c r="I1381">
        <v>40</v>
      </c>
      <c r="J1381" s="1">
        <v>100000</v>
      </c>
      <c r="K1381" t="s">
        <v>26</v>
      </c>
      <c r="L1381" s="1">
        <v>100000</v>
      </c>
      <c r="M1381" t="s">
        <v>26</v>
      </c>
      <c r="Q1381" t="s">
        <v>27</v>
      </c>
      <c r="T1381" t="s">
        <v>1155</v>
      </c>
      <c r="X1381" t="s">
        <v>30</v>
      </c>
      <c r="Y1381">
        <v>1719278</v>
      </c>
      <c r="Z1381">
        <v>20251031</v>
      </c>
    </row>
    <row r="1382" spans="3:26" x14ac:dyDescent="0.25">
      <c r="C1382">
        <v>10000001</v>
      </c>
      <c r="D1382" t="s">
        <v>1207</v>
      </c>
      <c r="F1382">
        <v>1719278</v>
      </c>
      <c r="H1382" t="s">
        <v>1207</v>
      </c>
      <c r="I1382">
        <v>40</v>
      </c>
      <c r="J1382" s="1">
        <v>50000</v>
      </c>
      <c r="K1382" t="s">
        <v>26</v>
      </c>
      <c r="L1382" s="1">
        <v>50000</v>
      </c>
      <c r="M1382" t="s">
        <v>26</v>
      </c>
      <c r="Q1382" t="s">
        <v>27</v>
      </c>
      <c r="T1382" t="s">
        <v>1030</v>
      </c>
      <c r="X1382" t="s">
        <v>30</v>
      </c>
      <c r="Y1382">
        <v>1719278</v>
      </c>
      <c r="Z1382">
        <v>20251031</v>
      </c>
    </row>
    <row r="1383" spans="3:26" x14ac:dyDescent="0.25">
      <c r="C1383">
        <v>10000001</v>
      </c>
      <c r="D1383" t="s">
        <v>1207</v>
      </c>
      <c r="F1383">
        <v>1719278</v>
      </c>
      <c r="H1383" t="s">
        <v>1207</v>
      </c>
      <c r="I1383">
        <v>40</v>
      </c>
      <c r="J1383" s="1">
        <v>50000</v>
      </c>
      <c r="K1383" t="s">
        <v>26</v>
      </c>
      <c r="L1383" s="1">
        <v>50000</v>
      </c>
      <c r="M1383" t="s">
        <v>26</v>
      </c>
      <c r="Q1383" t="s">
        <v>27</v>
      </c>
      <c r="T1383" t="s">
        <v>859</v>
      </c>
      <c r="X1383" t="s">
        <v>30</v>
      </c>
      <c r="Y1383">
        <v>1719278</v>
      </c>
      <c r="Z1383">
        <v>20251031</v>
      </c>
    </row>
    <row r="1384" spans="3:26" x14ac:dyDescent="0.25">
      <c r="C1384">
        <v>10000001</v>
      </c>
      <c r="D1384" t="s">
        <v>1207</v>
      </c>
      <c r="F1384">
        <v>1719278</v>
      </c>
      <c r="H1384" t="s">
        <v>1207</v>
      </c>
      <c r="I1384">
        <v>40</v>
      </c>
      <c r="J1384" s="1">
        <v>50000</v>
      </c>
      <c r="K1384" t="s">
        <v>26</v>
      </c>
      <c r="L1384" s="1">
        <v>50000</v>
      </c>
      <c r="M1384" t="s">
        <v>26</v>
      </c>
      <c r="Q1384" t="s">
        <v>27</v>
      </c>
      <c r="T1384" t="s">
        <v>858</v>
      </c>
      <c r="X1384" t="s">
        <v>30</v>
      </c>
      <c r="Y1384">
        <v>1719278</v>
      </c>
      <c r="Z1384">
        <v>20251031</v>
      </c>
    </row>
    <row r="1385" spans="3:26" x14ac:dyDescent="0.25">
      <c r="C1385">
        <v>10000001</v>
      </c>
      <c r="D1385" t="s">
        <v>1207</v>
      </c>
      <c r="F1385">
        <v>1719278</v>
      </c>
      <c r="H1385" t="s">
        <v>1207</v>
      </c>
      <c r="I1385">
        <v>40</v>
      </c>
      <c r="J1385" s="1">
        <v>50000</v>
      </c>
      <c r="K1385" t="s">
        <v>26</v>
      </c>
      <c r="L1385" s="1">
        <v>50000</v>
      </c>
      <c r="M1385" t="s">
        <v>26</v>
      </c>
      <c r="Q1385" t="s">
        <v>27</v>
      </c>
      <c r="T1385" t="s">
        <v>952</v>
      </c>
      <c r="X1385" t="s">
        <v>30</v>
      </c>
      <c r="Y1385">
        <v>1719278</v>
      </c>
      <c r="Z1385">
        <v>20251031</v>
      </c>
    </row>
    <row r="1386" spans="3:26" x14ac:dyDescent="0.25">
      <c r="C1386">
        <v>10000001</v>
      </c>
      <c r="D1386" t="s">
        <v>1207</v>
      </c>
      <c r="F1386">
        <v>1719278</v>
      </c>
      <c r="H1386" t="s">
        <v>1207</v>
      </c>
      <c r="I1386">
        <v>40</v>
      </c>
      <c r="J1386" s="1">
        <v>50000</v>
      </c>
      <c r="K1386" t="s">
        <v>26</v>
      </c>
      <c r="L1386" s="1">
        <v>50000</v>
      </c>
      <c r="M1386" t="s">
        <v>26</v>
      </c>
      <c r="Q1386" t="s">
        <v>27</v>
      </c>
      <c r="T1386" t="s">
        <v>1175</v>
      </c>
      <c r="X1386" t="s">
        <v>30</v>
      </c>
      <c r="Y1386">
        <v>1719278</v>
      </c>
      <c r="Z1386">
        <v>20251031</v>
      </c>
    </row>
    <row r="1387" spans="3:26" x14ac:dyDescent="0.25">
      <c r="C1387">
        <v>10000001</v>
      </c>
      <c r="D1387" t="s">
        <v>1207</v>
      </c>
      <c r="F1387">
        <v>1719278</v>
      </c>
      <c r="H1387" t="s">
        <v>1207</v>
      </c>
      <c r="I1387">
        <v>40</v>
      </c>
      <c r="J1387" s="1">
        <v>50000</v>
      </c>
      <c r="K1387" t="s">
        <v>26</v>
      </c>
      <c r="L1387" s="1">
        <v>50000</v>
      </c>
      <c r="M1387" t="s">
        <v>26</v>
      </c>
      <c r="Q1387" t="s">
        <v>27</v>
      </c>
      <c r="T1387" t="s">
        <v>1001</v>
      </c>
      <c r="X1387" t="s">
        <v>30</v>
      </c>
      <c r="Y1387">
        <v>1719278</v>
      </c>
      <c r="Z1387">
        <v>20251031</v>
      </c>
    </row>
    <row r="1388" spans="3:26" x14ac:dyDescent="0.25">
      <c r="C1388">
        <v>10000001</v>
      </c>
      <c r="D1388" t="s">
        <v>1207</v>
      </c>
      <c r="F1388">
        <v>1719278</v>
      </c>
      <c r="H1388" t="s">
        <v>1207</v>
      </c>
      <c r="I1388">
        <v>40</v>
      </c>
      <c r="J1388" s="1">
        <v>50000</v>
      </c>
      <c r="K1388" t="s">
        <v>26</v>
      </c>
      <c r="L1388" s="1">
        <v>50000</v>
      </c>
      <c r="M1388" t="s">
        <v>26</v>
      </c>
      <c r="Q1388" t="s">
        <v>27</v>
      </c>
      <c r="T1388" t="s">
        <v>890</v>
      </c>
      <c r="X1388" t="s">
        <v>30</v>
      </c>
      <c r="Y1388">
        <v>1719278</v>
      </c>
      <c r="Z1388">
        <v>20251031</v>
      </c>
    </row>
    <row r="1389" spans="3:26" x14ac:dyDescent="0.25">
      <c r="C1389">
        <v>10000001</v>
      </c>
      <c r="D1389" t="s">
        <v>1207</v>
      </c>
      <c r="F1389">
        <v>1719278</v>
      </c>
      <c r="H1389" t="s">
        <v>1207</v>
      </c>
      <c r="I1389">
        <v>40</v>
      </c>
      <c r="J1389" s="1">
        <v>50000</v>
      </c>
      <c r="K1389" t="s">
        <v>26</v>
      </c>
      <c r="L1389" s="1">
        <v>50000</v>
      </c>
      <c r="M1389" t="s">
        <v>26</v>
      </c>
      <c r="Q1389" t="s">
        <v>27</v>
      </c>
      <c r="T1389" t="s">
        <v>977</v>
      </c>
      <c r="X1389" t="s">
        <v>30</v>
      </c>
      <c r="Y1389">
        <v>1719278</v>
      </c>
      <c r="Z1389">
        <v>20251031</v>
      </c>
    </row>
    <row r="1390" spans="3:26" x14ac:dyDescent="0.25">
      <c r="C1390">
        <v>10000001</v>
      </c>
      <c r="D1390" t="s">
        <v>1207</v>
      </c>
      <c r="F1390">
        <v>1719278</v>
      </c>
      <c r="H1390" t="s">
        <v>1207</v>
      </c>
      <c r="I1390">
        <v>40</v>
      </c>
      <c r="J1390" s="1">
        <v>50000</v>
      </c>
      <c r="K1390" t="s">
        <v>26</v>
      </c>
      <c r="L1390" s="1">
        <v>50000</v>
      </c>
      <c r="M1390" t="s">
        <v>26</v>
      </c>
      <c r="Q1390" t="s">
        <v>27</v>
      </c>
      <c r="T1390" t="s">
        <v>950</v>
      </c>
      <c r="X1390" t="s">
        <v>30</v>
      </c>
      <c r="Y1390">
        <v>1719278</v>
      </c>
      <c r="Z1390">
        <v>20251031</v>
      </c>
    </row>
    <row r="1391" spans="3:26" x14ac:dyDescent="0.25">
      <c r="C1391">
        <v>10000001</v>
      </c>
      <c r="D1391" t="s">
        <v>1207</v>
      </c>
      <c r="F1391">
        <v>1719278</v>
      </c>
      <c r="H1391" t="s">
        <v>1207</v>
      </c>
      <c r="I1391">
        <v>40</v>
      </c>
      <c r="J1391" s="1">
        <v>50000</v>
      </c>
      <c r="K1391" t="s">
        <v>26</v>
      </c>
      <c r="L1391" s="1">
        <v>50000</v>
      </c>
      <c r="M1391" t="s">
        <v>26</v>
      </c>
      <c r="Q1391" t="s">
        <v>27</v>
      </c>
      <c r="T1391" t="s">
        <v>880</v>
      </c>
      <c r="X1391" t="s">
        <v>30</v>
      </c>
      <c r="Y1391">
        <v>1719278</v>
      </c>
      <c r="Z1391">
        <v>20251031</v>
      </c>
    </row>
    <row r="1392" spans="3:26" x14ac:dyDescent="0.25">
      <c r="C1392">
        <v>10000001</v>
      </c>
      <c r="D1392" t="s">
        <v>1207</v>
      </c>
      <c r="F1392">
        <v>1719278</v>
      </c>
      <c r="H1392" t="s">
        <v>1207</v>
      </c>
      <c r="I1392">
        <v>40</v>
      </c>
      <c r="J1392" s="1">
        <v>50000</v>
      </c>
      <c r="K1392" t="s">
        <v>26</v>
      </c>
      <c r="L1392" s="1">
        <v>50000</v>
      </c>
      <c r="M1392" t="s">
        <v>26</v>
      </c>
      <c r="Q1392" t="s">
        <v>27</v>
      </c>
      <c r="T1392" t="s">
        <v>1151</v>
      </c>
      <c r="X1392" t="s">
        <v>30</v>
      </c>
      <c r="Y1392">
        <v>1719278</v>
      </c>
      <c r="Z1392">
        <v>20251031</v>
      </c>
    </row>
    <row r="1393" spans="3:26" x14ac:dyDescent="0.25">
      <c r="C1393">
        <v>10000001</v>
      </c>
      <c r="D1393" t="s">
        <v>1207</v>
      </c>
      <c r="F1393">
        <v>1719278</v>
      </c>
      <c r="H1393" t="s">
        <v>1207</v>
      </c>
      <c r="I1393">
        <v>40</v>
      </c>
      <c r="J1393" s="1">
        <v>50000</v>
      </c>
      <c r="K1393" t="s">
        <v>26</v>
      </c>
      <c r="L1393" s="1">
        <v>50000</v>
      </c>
      <c r="M1393" t="s">
        <v>26</v>
      </c>
      <c r="Q1393" t="s">
        <v>27</v>
      </c>
      <c r="T1393" t="s">
        <v>1080</v>
      </c>
      <c r="X1393" t="s">
        <v>30</v>
      </c>
      <c r="Y1393">
        <v>1719278</v>
      </c>
      <c r="Z1393">
        <v>20251031</v>
      </c>
    </row>
    <row r="1394" spans="3:26" x14ac:dyDescent="0.25">
      <c r="C1394">
        <v>10000001</v>
      </c>
      <c r="D1394" t="s">
        <v>1207</v>
      </c>
      <c r="F1394">
        <v>1719278</v>
      </c>
      <c r="H1394" t="s">
        <v>1207</v>
      </c>
      <c r="I1394">
        <v>40</v>
      </c>
      <c r="J1394" s="1">
        <v>50000</v>
      </c>
      <c r="K1394" t="s">
        <v>26</v>
      </c>
      <c r="L1394" s="1">
        <v>50000</v>
      </c>
      <c r="M1394" t="s">
        <v>26</v>
      </c>
      <c r="Q1394" t="s">
        <v>27</v>
      </c>
      <c r="T1394" t="s">
        <v>1031</v>
      </c>
      <c r="X1394" t="s">
        <v>30</v>
      </c>
      <c r="Y1394">
        <v>1719278</v>
      </c>
      <c r="Z1394">
        <v>20251031</v>
      </c>
    </row>
    <row r="1395" spans="3:26" x14ac:dyDescent="0.25">
      <c r="C1395">
        <v>10000001</v>
      </c>
      <c r="D1395" t="s">
        <v>1207</v>
      </c>
      <c r="F1395">
        <v>1719278</v>
      </c>
      <c r="H1395" t="s">
        <v>1207</v>
      </c>
      <c r="I1395">
        <v>40</v>
      </c>
      <c r="J1395" s="1">
        <v>50000</v>
      </c>
      <c r="K1395" t="s">
        <v>26</v>
      </c>
      <c r="L1395" s="1">
        <v>50000</v>
      </c>
      <c r="M1395" t="s">
        <v>26</v>
      </c>
      <c r="Q1395" t="s">
        <v>27</v>
      </c>
      <c r="T1395" t="s">
        <v>1032</v>
      </c>
      <c r="X1395" t="s">
        <v>30</v>
      </c>
      <c r="Y1395">
        <v>1719278</v>
      </c>
      <c r="Z1395">
        <v>20251031</v>
      </c>
    </row>
    <row r="1396" spans="3:26" x14ac:dyDescent="0.25">
      <c r="C1396">
        <v>10000001</v>
      </c>
      <c r="D1396" t="s">
        <v>1207</v>
      </c>
      <c r="F1396">
        <v>1719278</v>
      </c>
      <c r="H1396" t="s">
        <v>1207</v>
      </c>
      <c r="I1396">
        <v>40</v>
      </c>
      <c r="J1396" s="1">
        <v>50000</v>
      </c>
      <c r="K1396" t="s">
        <v>26</v>
      </c>
      <c r="L1396" s="1">
        <v>50000</v>
      </c>
      <c r="M1396" t="s">
        <v>26</v>
      </c>
      <c r="Q1396" t="s">
        <v>27</v>
      </c>
      <c r="T1396" t="s">
        <v>1199</v>
      </c>
      <c r="X1396" t="s">
        <v>30</v>
      </c>
      <c r="Y1396">
        <v>1719278</v>
      </c>
      <c r="Z1396">
        <v>20251031</v>
      </c>
    </row>
    <row r="1397" spans="3:26" x14ac:dyDescent="0.25">
      <c r="C1397">
        <v>10000001</v>
      </c>
      <c r="D1397" t="s">
        <v>1207</v>
      </c>
      <c r="F1397">
        <v>1719278</v>
      </c>
      <c r="H1397" t="s">
        <v>1207</v>
      </c>
      <c r="I1397">
        <v>40</v>
      </c>
      <c r="J1397" s="1">
        <v>50000</v>
      </c>
      <c r="K1397" t="s">
        <v>26</v>
      </c>
      <c r="L1397" s="1">
        <v>50000</v>
      </c>
      <c r="M1397" t="s">
        <v>26</v>
      </c>
      <c r="Q1397" t="s">
        <v>27</v>
      </c>
      <c r="T1397" t="s">
        <v>1200</v>
      </c>
      <c r="X1397" t="s">
        <v>30</v>
      </c>
      <c r="Y1397">
        <v>1719278</v>
      </c>
      <c r="Z1397">
        <v>20251031</v>
      </c>
    </row>
    <row r="1398" spans="3:26" x14ac:dyDescent="0.25">
      <c r="C1398">
        <v>10000001</v>
      </c>
      <c r="D1398" t="s">
        <v>1207</v>
      </c>
      <c r="F1398">
        <v>1719278</v>
      </c>
      <c r="H1398" t="s">
        <v>1207</v>
      </c>
      <c r="I1398">
        <v>40</v>
      </c>
      <c r="J1398" s="1">
        <v>50000</v>
      </c>
      <c r="K1398" t="s">
        <v>26</v>
      </c>
      <c r="L1398" s="1">
        <v>50000</v>
      </c>
      <c r="M1398" t="s">
        <v>26</v>
      </c>
      <c r="Q1398" t="s">
        <v>27</v>
      </c>
      <c r="T1398" t="s">
        <v>1198</v>
      </c>
      <c r="X1398" t="s">
        <v>30</v>
      </c>
      <c r="Y1398">
        <v>1719278</v>
      </c>
      <c r="Z1398">
        <v>20251031</v>
      </c>
    </row>
    <row r="1399" spans="3:26" x14ac:dyDescent="0.25">
      <c r="C1399">
        <v>10000001</v>
      </c>
      <c r="D1399" t="s">
        <v>1207</v>
      </c>
      <c r="F1399">
        <v>1719278</v>
      </c>
      <c r="H1399" t="s">
        <v>1207</v>
      </c>
      <c r="I1399">
        <v>40</v>
      </c>
      <c r="J1399" s="1">
        <v>50000</v>
      </c>
      <c r="K1399" t="s">
        <v>26</v>
      </c>
      <c r="L1399" s="1">
        <v>50000</v>
      </c>
      <c r="M1399" t="s">
        <v>26</v>
      </c>
      <c r="Q1399" t="s">
        <v>27</v>
      </c>
      <c r="T1399" t="s">
        <v>1202</v>
      </c>
      <c r="X1399" t="s">
        <v>30</v>
      </c>
      <c r="Y1399">
        <v>1719278</v>
      </c>
      <c r="Z1399">
        <v>20251031</v>
      </c>
    </row>
    <row r="1400" spans="3:26" x14ac:dyDescent="0.25">
      <c r="C1400">
        <v>10000001</v>
      </c>
      <c r="D1400" t="s">
        <v>1207</v>
      </c>
      <c r="F1400">
        <v>1719278</v>
      </c>
      <c r="H1400" t="s">
        <v>1207</v>
      </c>
      <c r="I1400">
        <v>40</v>
      </c>
      <c r="J1400" s="1">
        <v>50000</v>
      </c>
      <c r="K1400" t="s">
        <v>26</v>
      </c>
      <c r="L1400" s="1">
        <v>50000</v>
      </c>
      <c r="M1400" t="s">
        <v>26</v>
      </c>
      <c r="Q1400" t="s">
        <v>27</v>
      </c>
      <c r="T1400" t="s">
        <v>860</v>
      </c>
      <c r="X1400" t="s">
        <v>30</v>
      </c>
      <c r="Y1400">
        <v>1719278</v>
      </c>
      <c r="Z1400">
        <v>20251031</v>
      </c>
    </row>
    <row r="1401" spans="3:26" x14ac:dyDescent="0.25">
      <c r="C1401">
        <v>10000001</v>
      </c>
      <c r="D1401" t="s">
        <v>1207</v>
      </c>
      <c r="F1401">
        <v>1719278</v>
      </c>
      <c r="H1401" t="s">
        <v>1207</v>
      </c>
      <c r="I1401">
        <v>40</v>
      </c>
      <c r="J1401" s="1">
        <v>50000</v>
      </c>
      <c r="K1401" t="s">
        <v>26</v>
      </c>
      <c r="L1401" s="1">
        <v>50000</v>
      </c>
      <c r="M1401" t="s">
        <v>26</v>
      </c>
      <c r="Q1401" t="s">
        <v>27</v>
      </c>
      <c r="T1401" t="s">
        <v>933</v>
      </c>
      <c r="X1401" t="s">
        <v>30</v>
      </c>
      <c r="Y1401">
        <v>1719278</v>
      </c>
      <c r="Z1401">
        <v>20251031</v>
      </c>
    </row>
    <row r="1402" spans="3:26" x14ac:dyDescent="0.25">
      <c r="C1402">
        <v>10000001</v>
      </c>
      <c r="D1402" t="s">
        <v>1207</v>
      </c>
      <c r="F1402">
        <v>1719278</v>
      </c>
      <c r="H1402" t="s">
        <v>1207</v>
      </c>
      <c r="I1402">
        <v>40</v>
      </c>
      <c r="J1402" s="1">
        <v>50000</v>
      </c>
      <c r="K1402" t="s">
        <v>26</v>
      </c>
      <c r="L1402" s="1">
        <v>50000</v>
      </c>
      <c r="M1402" t="s">
        <v>26</v>
      </c>
      <c r="Q1402" t="s">
        <v>27</v>
      </c>
      <c r="T1402" t="s">
        <v>964</v>
      </c>
      <c r="X1402" t="s">
        <v>30</v>
      </c>
      <c r="Y1402">
        <v>1719278</v>
      </c>
      <c r="Z1402">
        <v>20251031</v>
      </c>
    </row>
    <row r="1403" spans="3:26" x14ac:dyDescent="0.25">
      <c r="C1403">
        <v>10000001</v>
      </c>
      <c r="D1403" t="s">
        <v>1207</v>
      </c>
      <c r="F1403">
        <v>1719278</v>
      </c>
      <c r="H1403" t="s">
        <v>1207</v>
      </c>
      <c r="I1403">
        <v>40</v>
      </c>
      <c r="J1403" s="1">
        <v>50000</v>
      </c>
      <c r="K1403" t="s">
        <v>26</v>
      </c>
      <c r="L1403" s="1">
        <v>50000</v>
      </c>
      <c r="M1403" t="s">
        <v>26</v>
      </c>
      <c r="Q1403" t="s">
        <v>27</v>
      </c>
      <c r="T1403" t="s">
        <v>963</v>
      </c>
      <c r="X1403" t="s">
        <v>30</v>
      </c>
      <c r="Y1403">
        <v>1719278</v>
      </c>
      <c r="Z1403">
        <v>20251031</v>
      </c>
    </row>
    <row r="1404" spans="3:26" x14ac:dyDescent="0.25">
      <c r="C1404">
        <v>10000001</v>
      </c>
      <c r="D1404" t="s">
        <v>1207</v>
      </c>
      <c r="F1404">
        <v>1719278</v>
      </c>
      <c r="H1404" t="s">
        <v>1207</v>
      </c>
      <c r="I1404">
        <v>40</v>
      </c>
      <c r="J1404" s="1">
        <v>50000</v>
      </c>
      <c r="K1404" t="s">
        <v>26</v>
      </c>
      <c r="L1404" s="1">
        <v>50000</v>
      </c>
      <c r="M1404" t="s">
        <v>26</v>
      </c>
      <c r="Q1404" t="s">
        <v>27</v>
      </c>
      <c r="T1404" t="s">
        <v>965</v>
      </c>
      <c r="X1404" t="s">
        <v>30</v>
      </c>
      <c r="Y1404">
        <v>1719278</v>
      </c>
      <c r="Z1404">
        <v>20251031</v>
      </c>
    </row>
    <row r="1405" spans="3:26" x14ac:dyDescent="0.25">
      <c r="C1405">
        <v>10000001</v>
      </c>
      <c r="D1405" t="s">
        <v>1207</v>
      </c>
      <c r="F1405">
        <v>1719278</v>
      </c>
      <c r="H1405" t="s">
        <v>1207</v>
      </c>
      <c r="I1405">
        <v>40</v>
      </c>
      <c r="J1405" s="1">
        <v>50000</v>
      </c>
      <c r="K1405" t="s">
        <v>26</v>
      </c>
      <c r="L1405" s="1">
        <v>50000</v>
      </c>
      <c r="M1405" t="s">
        <v>26</v>
      </c>
      <c r="Q1405" t="s">
        <v>27</v>
      </c>
      <c r="T1405" t="s">
        <v>1011</v>
      </c>
      <c r="X1405" t="s">
        <v>30</v>
      </c>
      <c r="Y1405">
        <v>1719278</v>
      </c>
      <c r="Z1405">
        <v>20251031</v>
      </c>
    </row>
    <row r="1406" spans="3:26" x14ac:dyDescent="0.25">
      <c r="C1406">
        <v>10000001</v>
      </c>
      <c r="D1406" t="s">
        <v>1207</v>
      </c>
      <c r="F1406">
        <v>1719278</v>
      </c>
      <c r="H1406" t="s">
        <v>1207</v>
      </c>
      <c r="I1406">
        <v>40</v>
      </c>
      <c r="J1406" s="1">
        <v>50000</v>
      </c>
      <c r="K1406" t="s">
        <v>26</v>
      </c>
      <c r="L1406" s="1">
        <v>50000</v>
      </c>
      <c r="M1406" t="s">
        <v>26</v>
      </c>
      <c r="Q1406" t="s">
        <v>27</v>
      </c>
      <c r="T1406" t="s">
        <v>1012</v>
      </c>
      <c r="X1406" t="s">
        <v>30</v>
      </c>
      <c r="Y1406">
        <v>1719278</v>
      </c>
      <c r="Z1406">
        <v>20251031</v>
      </c>
    </row>
    <row r="1407" spans="3:26" x14ac:dyDescent="0.25">
      <c r="C1407">
        <v>10000001</v>
      </c>
      <c r="D1407" t="s">
        <v>1207</v>
      </c>
      <c r="F1407">
        <v>1719278</v>
      </c>
      <c r="H1407" t="s">
        <v>1207</v>
      </c>
      <c r="I1407">
        <v>40</v>
      </c>
      <c r="J1407" s="1">
        <v>50000</v>
      </c>
      <c r="K1407" t="s">
        <v>26</v>
      </c>
      <c r="L1407" s="1">
        <v>50000</v>
      </c>
      <c r="M1407" t="s">
        <v>26</v>
      </c>
      <c r="Q1407" t="s">
        <v>27</v>
      </c>
      <c r="T1407" t="s">
        <v>1003</v>
      </c>
      <c r="X1407" t="s">
        <v>30</v>
      </c>
      <c r="Y1407">
        <v>1719278</v>
      </c>
      <c r="Z1407">
        <v>20251031</v>
      </c>
    </row>
    <row r="1408" spans="3:26" x14ac:dyDescent="0.25">
      <c r="C1408">
        <v>10000001</v>
      </c>
      <c r="D1408" t="s">
        <v>1207</v>
      </c>
      <c r="F1408">
        <v>1719278</v>
      </c>
      <c r="H1408" t="s">
        <v>1207</v>
      </c>
      <c r="I1408">
        <v>40</v>
      </c>
      <c r="J1408" s="1">
        <v>50000</v>
      </c>
      <c r="K1408" t="s">
        <v>26</v>
      </c>
      <c r="L1408" s="1">
        <v>50000</v>
      </c>
      <c r="M1408" t="s">
        <v>26</v>
      </c>
      <c r="Q1408" t="s">
        <v>27</v>
      </c>
      <c r="T1408" t="s">
        <v>1081</v>
      </c>
      <c r="X1408" t="s">
        <v>30</v>
      </c>
      <c r="Y1408">
        <v>1719278</v>
      </c>
      <c r="Z1408">
        <v>20251031</v>
      </c>
    </row>
    <row r="1409" spans="3:26" x14ac:dyDescent="0.25">
      <c r="C1409">
        <v>10000001</v>
      </c>
      <c r="D1409" t="s">
        <v>1207</v>
      </c>
      <c r="F1409">
        <v>1719278</v>
      </c>
      <c r="H1409" t="s">
        <v>1207</v>
      </c>
      <c r="I1409">
        <v>40</v>
      </c>
      <c r="J1409" s="1">
        <v>50000</v>
      </c>
      <c r="K1409" t="s">
        <v>26</v>
      </c>
      <c r="L1409" s="1">
        <v>50000</v>
      </c>
      <c r="M1409" t="s">
        <v>26</v>
      </c>
      <c r="Q1409" t="s">
        <v>27</v>
      </c>
      <c r="T1409" t="s">
        <v>966</v>
      </c>
      <c r="X1409" t="s">
        <v>30</v>
      </c>
      <c r="Y1409">
        <v>1719278</v>
      </c>
      <c r="Z1409">
        <v>20251031</v>
      </c>
    </row>
    <row r="1410" spans="3:26" x14ac:dyDescent="0.25">
      <c r="C1410">
        <v>10000001</v>
      </c>
      <c r="D1410" t="s">
        <v>1207</v>
      </c>
      <c r="F1410">
        <v>1719278</v>
      </c>
      <c r="H1410" t="s">
        <v>1207</v>
      </c>
      <c r="I1410">
        <v>40</v>
      </c>
      <c r="J1410" s="1">
        <v>50000</v>
      </c>
      <c r="K1410" t="s">
        <v>26</v>
      </c>
      <c r="L1410" s="1">
        <v>50000</v>
      </c>
      <c r="M1410" t="s">
        <v>26</v>
      </c>
      <c r="Q1410" t="s">
        <v>27</v>
      </c>
      <c r="T1410" t="s">
        <v>1082</v>
      </c>
      <c r="X1410" t="s">
        <v>30</v>
      </c>
      <c r="Y1410">
        <v>1719278</v>
      </c>
      <c r="Z1410">
        <v>20251031</v>
      </c>
    </row>
    <row r="1411" spans="3:26" x14ac:dyDescent="0.25">
      <c r="C1411">
        <v>10000001</v>
      </c>
      <c r="D1411" t="s">
        <v>1207</v>
      </c>
      <c r="F1411">
        <v>1719278</v>
      </c>
      <c r="H1411" t="s">
        <v>1207</v>
      </c>
      <c r="I1411">
        <v>40</v>
      </c>
      <c r="J1411" s="1">
        <v>50000</v>
      </c>
      <c r="K1411" t="s">
        <v>26</v>
      </c>
      <c r="L1411" s="1">
        <v>50000</v>
      </c>
      <c r="M1411" t="s">
        <v>26</v>
      </c>
      <c r="Q1411" t="s">
        <v>27</v>
      </c>
      <c r="T1411" t="s">
        <v>1077</v>
      </c>
      <c r="X1411" t="s">
        <v>30</v>
      </c>
      <c r="Y1411">
        <v>1719278</v>
      </c>
      <c r="Z1411">
        <v>20251031</v>
      </c>
    </row>
    <row r="1412" spans="3:26" x14ac:dyDescent="0.25">
      <c r="C1412">
        <v>10000001</v>
      </c>
      <c r="D1412" t="s">
        <v>1207</v>
      </c>
      <c r="F1412">
        <v>1719278</v>
      </c>
      <c r="H1412" t="s">
        <v>1207</v>
      </c>
      <c r="I1412">
        <v>40</v>
      </c>
      <c r="J1412" s="1">
        <v>50000</v>
      </c>
      <c r="K1412" t="s">
        <v>26</v>
      </c>
      <c r="L1412" s="1">
        <v>50000</v>
      </c>
      <c r="M1412" t="s">
        <v>26</v>
      </c>
      <c r="Q1412" t="s">
        <v>27</v>
      </c>
      <c r="T1412" t="s">
        <v>1079</v>
      </c>
      <c r="X1412" t="s">
        <v>30</v>
      </c>
      <c r="Y1412">
        <v>1719278</v>
      </c>
      <c r="Z1412">
        <v>20251031</v>
      </c>
    </row>
    <row r="1413" spans="3:26" x14ac:dyDescent="0.25">
      <c r="C1413">
        <v>10000001</v>
      </c>
      <c r="D1413" t="s">
        <v>1207</v>
      </c>
      <c r="F1413">
        <v>1719278</v>
      </c>
      <c r="H1413" t="s">
        <v>1207</v>
      </c>
      <c r="I1413">
        <v>40</v>
      </c>
      <c r="J1413" s="1">
        <v>50000</v>
      </c>
      <c r="K1413" t="s">
        <v>26</v>
      </c>
      <c r="L1413" s="1">
        <v>50000</v>
      </c>
      <c r="M1413" t="s">
        <v>26</v>
      </c>
      <c r="Q1413" t="s">
        <v>27</v>
      </c>
      <c r="T1413" t="s">
        <v>1083</v>
      </c>
      <c r="X1413" t="s">
        <v>30</v>
      </c>
      <c r="Y1413">
        <v>1719278</v>
      </c>
      <c r="Z1413">
        <v>20251031</v>
      </c>
    </row>
    <row r="1414" spans="3:26" x14ac:dyDescent="0.25">
      <c r="C1414">
        <v>10000001</v>
      </c>
      <c r="D1414" t="s">
        <v>1207</v>
      </c>
      <c r="F1414">
        <v>1719278</v>
      </c>
      <c r="H1414" t="s">
        <v>1207</v>
      </c>
      <c r="I1414">
        <v>40</v>
      </c>
      <c r="J1414" s="1">
        <v>50000</v>
      </c>
      <c r="K1414" t="s">
        <v>26</v>
      </c>
      <c r="L1414" s="1">
        <v>50000</v>
      </c>
      <c r="M1414" t="s">
        <v>26</v>
      </c>
      <c r="Q1414" t="s">
        <v>27</v>
      </c>
      <c r="T1414" t="s">
        <v>1117</v>
      </c>
      <c r="X1414" t="s">
        <v>30</v>
      </c>
      <c r="Y1414">
        <v>1719278</v>
      </c>
      <c r="Z1414">
        <v>20251031</v>
      </c>
    </row>
    <row r="1415" spans="3:26" x14ac:dyDescent="0.25">
      <c r="C1415">
        <v>10000001</v>
      </c>
      <c r="D1415" t="s">
        <v>1207</v>
      </c>
      <c r="F1415">
        <v>1719278</v>
      </c>
      <c r="H1415" t="s">
        <v>1207</v>
      </c>
      <c r="I1415">
        <v>40</v>
      </c>
      <c r="J1415" s="1">
        <v>50000</v>
      </c>
      <c r="K1415" t="s">
        <v>26</v>
      </c>
      <c r="L1415" s="1">
        <v>50000</v>
      </c>
      <c r="M1415" t="s">
        <v>26</v>
      </c>
      <c r="Q1415" t="s">
        <v>27</v>
      </c>
      <c r="T1415" t="s">
        <v>1067</v>
      </c>
      <c r="X1415" t="s">
        <v>30</v>
      </c>
      <c r="Y1415">
        <v>1719278</v>
      </c>
      <c r="Z1415">
        <v>20251031</v>
      </c>
    </row>
    <row r="1416" spans="3:26" x14ac:dyDescent="0.25">
      <c r="C1416">
        <v>10000001</v>
      </c>
      <c r="D1416" t="s">
        <v>1207</v>
      </c>
      <c r="F1416">
        <v>1719278</v>
      </c>
      <c r="H1416" t="s">
        <v>1207</v>
      </c>
      <c r="I1416">
        <v>40</v>
      </c>
      <c r="J1416" s="1">
        <v>50000</v>
      </c>
      <c r="K1416" t="s">
        <v>26</v>
      </c>
      <c r="L1416" s="1">
        <v>50000</v>
      </c>
      <c r="M1416" t="s">
        <v>26</v>
      </c>
      <c r="Q1416" t="s">
        <v>27</v>
      </c>
      <c r="T1416" t="s">
        <v>1126</v>
      </c>
      <c r="X1416" t="s">
        <v>30</v>
      </c>
      <c r="Y1416">
        <v>1719278</v>
      </c>
      <c r="Z1416">
        <v>20251031</v>
      </c>
    </row>
    <row r="1417" spans="3:26" x14ac:dyDescent="0.25">
      <c r="C1417">
        <v>10000001</v>
      </c>
      <c r="D1417" t="s">
        <v>1207</v>
      </c>
      <c r="F1417">
        <v>1719278</v>
      </c>
      <c r="H1417" t="s">
        <v>1207</v>
      </c>
      <c r="I1417">
        <v>40</v>
      </c>
      <c r="J1417" s="1">
        <v>200000</v>
      </c>
      <c r="K1417" t="s">
        <v>26</v>
      </c>
      <c r="L1417" s="1">
        <v>200000</v>
      </c>
      <c r="M1417" t="s">
        <v>26</v>
      </c>
      <c r="Q1417" t="s">
        <v>27</v>
      </c>
      <c r="T1417" t="s">
        <v>886</v>
      </c>
      <c r="X1417" t="s">
        <v>30</v>
      </c>
      <c r="Y1417">
        <v>1719278</v>
      </c>
      <c r="Z1417">
        <v>20251031</v>
      </c>
    </row>
    <row r="1418" spans="3:26" x14ac:dyDescent="0.25">
      <c r="C1418">
        <v>10000001</v>
      </c>
      <c r="D1418" t="s">
        <v>1207</v>
      </c>
      <c r="F1418">
        <v>1719278</v>
      </c>
      <c r="H1418" t="s">
        <v>1207</v>
      </c>
      <c r="I1418">
        <v>40</v>
      </c>
      <c r="J1418" s="1">
        <v>50000</v>
      </c>
      <c r="K1418" t="s">
        <v>26</v>
      </c>
      <c r="L1418" s="1">
        <v>50000</v>
      </c>
      <c r="M1418" t="s">
        <v>26</v>
      </c>
      <c r="Q1418" t="s">
        <v>27</v>
      </c>
      <c r="T1418" t="s">
        <v>1176</v>
      </c>
      <c r="X1418" t="s">
        <v>30</v>
      </c>
      <c r="Y1418">
        <v>1719278</v>
      </c>
      <c r="Z1418">
        <v>20251031</v>
      </c>
    </row>
    <row r="1419" spans="3:26" x14ac:dyDescent="0.25">
      <c r="C1419">
        <v>10000001</v>
      </c>
      <c r="D1419" t="s">
        <v>1207</v>
      </c>
      <c r="F1419">
        <v>1719278</v>
      </c>
      <c r="H1419" t="s">
        <v>1207</v>
      </c>
      <c r="I1419">
        <v>40</v>
      </c>
      <c r="J1419" s="1">
        <v>50000</v>
      </c>
      <c r="K1419" t="s">
        <v>26</v>
      </c>
      <c r="L1419" s="1">
        <v>50000</v>
      </c>
      <c r="M1419" t="s">
        <v>26</v>
      </c>
      <c r="Q1419" t="s">
        <v>27</v>
      </c>
      <c r="T1419" t="s">
        <v>1180</v>
      </c>
      <c r="X1419" t="s">
        <v>30</v>
      </c>
      <c r="Y1419">
        <v>1719278</v>
      </c>
      <c r="Z1419">
        <v>20251031</v>
      </c>
    </row>
    <row r="1420" spans="3:26" x14ac:dyDescent="0.25">
      <c r="C1420">
        <v>10000001</v>
      </c>
      <c r="D1420" t="s">
        <v>1207</v>
      </c>
      <c r="F1420">
        <v>1719278</v>
      </c>
      <c r="H1420" t="s">
        <v>1207</v>
      </c>
      <c r="I1420">
        <v>40</v>
      </c>
      <c r="J1420" s="1">
        <v>50000</v>
      </c>
      <c r="K1420" t="s">
        <v>26</v>
      </c>
      <c r="L1420" s="1">
        <v>50000</v>
      </c>
      <c r="M1420" t="s">
        <v>26</v>
      </c>
      <c r="Q1420" t="s">
        <v>27</v>
      </c>
      <c r="T1420" t="s">
        <v>882</v>
      </c>
      <c r="X1420" t="s">
        <v>30</v>
      </c>
      <c r="Y1420">
        <v>1719278</v>
      </c>
      <c r="Z1420">
        <v>20251031</v>
      </c>
    </row>
    <row r="1421" spans="3:26" x14ac:dyDescent="0.25">
      <c r="C1421">
        <v>10000001</v>
      </c>
      <c r="D1421" t="s">
        <v>1207</v>
      </c>
      <c r="F1421">
        <v>1719278</v>
      </c>
      <c r="H1421" t="s">
        <v>1207</v>
      </c>
      <c r="I1421">
        <v>40</v>
      </c>
      <c r="J1421" s="1">
        <v>50000</v>
      </c>
      <c r="K1421" t="s">
        <v>26</v>
      </c>
      <c r="L1421" s="1">
        <v>50000</v>
      </c>
      <c r="M1421" t="s">
        <v>26</v>
      </c>
      <c r="Q1421" t="s">
        <v>27</v>
      </c>
      <c r="T1421" t="s">
        <v>945</v>
      </c>
      <c r="X1421" t="s">
        <v>30</v>
      </c>
      <c r="Y1421">
        <v>1719278</v>
      </c>
      <c r="Z1421">
        <v>20251031</v>
      </c>
    </row>
    <row r="1422" spans="3:26" x14ac:dyDescent="0.25">
      <c r="C1422">
        <v>10000001</v>
      </c>
      <c r="D1422" t="s">
        <v>1207</v>
      </c>
      <c r="F1422">
        <v>1719278</v>
      </c>
      <c r="H1422" t="s">
        <v>1207</v>
      </c>
      <c r="I1422">
        <v>40</v>
      </c>
      <c r="J1422" s="1">
        <v>50000</v>
      </c>
      <c r="K1422" t="s">
        <v>26</v>
      </c>
      <c r="L1422" s="1">
        <v>50000</v>
      </c>
      <c r="M1422" t="s">
        <v>26</v>
      </c>
      <c r="Q1422" t="s">
        <v>27</v>
      </c>
      <c r="T1422" t="s">
        <v>983</v>
      </c>
      <c r="X1422" t="s">
        <v>30</v>
      </c>
      <c r="Y1422">
        <v>1719278</v>
      </c>
      <c r="Z1422">
        <v>20251031</v>
      </c>
    </row>
    <row r="1423" spans="3:26" x14ac:dyDescent="0.25">
      <c r="C1423">
        <v>10000001</v>
      </c>
      <c r="D1423" t="s">
        <v>1207</v>
      </c>
      <c r="F1423">
        <v>1719278</v>
      </c>
      <c r="H1423" t="s">
        <v>1207</v>
      </c>
      <c r="I1423">
        <v>40</v>
      </c>
      <c r="J1423" s="1">
        <v>50000</v>
      </c>
      <c r="K1423" t="s">
        <v>26</v>
      </c>
      <c r="L1423" s="1">
        <v>50000</v>
      </c>
      <c r="M1423" t="s">
        <v>26</v>
      </c>
      <c r="Q1423" t="s">
        <v>27</v>
      </c>
      <c r="T1423" t="s">
        <v>934</v>
      </c>
      <c r="X1423" t="s">
        <v>30</v>
      </c>
      <c r="Y1423">
        <v>1719278</v>
      </c>
      <c r="Z1423">
        <v>20251031</v>
      </c>
    </row>
    <row r="1424" spans="3:26" x14ac:dyDescent="0.25">
      <c r="C1424">
        <v>10000001</v>
      </c>
      <c r="D1424" t="s">
        <v>1207</v>
      </c>
      <c r="F1424">
        <v>1719278</v>
      </c>
      <c r="H1424" t="s">
        <v>1207</v>
      </c>
      <c r="I1424">
        <v>40</v>
      </c>
      <c r="J1424" s="1">
        <v>50000</v>
      </c>
      <c r="K1424" t="s">
        <v>26</v>
      </c>
      <c r="L1424" s="1">
        <v>50000</v>
      </c>
      <c r="M1424" t="s">
        <v>26</v>
      </c>
      <c r="Q1424" t="s">
        <v>27</v>
      </c>
      <c r="T1424" t="s">
        <v>1174</v>
      </c>
      <c r="X1424" t="s">
        <v>30</v>
      </c>
      <c r="Y1424">
        <v>1719278</v>
      </c>
      <c r="Z1424">
        <v>20251031</v>
      </c>
    </row>
    <row r="1425" spans="3:26" x14ac:dyDescent="0.25">
      <c r="C1425">
        <v>10000001</v>
      </c>
      <c r="D1425" t="s">
        <v>1207</v>
      </c>
      <c r="F1425">
        <v>1719278</v>
      </c>
      <c r="H1425" t="s">
        <v>1207</v>
      </c>
      <c r="I1425">
        <v>40</v>
      </c>
      <c r="J1425" s="1">
        <v>50000</v>
      </c>
      <c r="K1425" t="s">
        <v>26</v>
      </c>
      <c r="L1425" s="1">
        <v>50000</v>
      </c>
      <c r="M1425" t="s">
        <v>26</v>
      </c>
      <c r="Q1425" t="s">
        <v>27</v>
      </c>
      <c r="T1425" t="s">
        <v>1181</v>
      </c>
      <c r="X1425" t="s">
        <v>30</v>
      </c>
      <c r="Y1425">
        <v>1719278</v>
      </c>
      <c r="Z1425">
        <v>20251031</v>
      </c>
    </row>
    <row r="1426" spans="3:26" x14ac:dyDescent="0.25">
      <c r="C1426">
        <v>10000001</v>
      </c>
      <c r="D1426" t="s">
        <v>1207</v>
      </c>
      <c r="F1426">
        <v>1719278</v>
      </c>
      <c r="H1426" t="s">
        <v>1207</v>
      </c>
      <c r="I1426">
        <v>40</v>
      </c>
      <c r="J1426" s="1">
        <v>50000</v>
      </c>
      <c r="K1426" t="s">
        <v>26</v>
      </c>
      <c r="L1426" s="1">
        <v>50000</v>
      </c>
      <c r="M1426" t="s">
        <v>26</v>
      </c>
      <c r="Q1426" t="s">
        <v>27</v>
      </c>
      <c r="T1426" t="s">
        <v>985</v>
      </c>
      <c r="X1426" t="s">
        <v>30</v>
      </c>
      <c r="Y1426">
        <v>1719278</v>
      </c>
      <c r="Z1426">
        <v>20251031</v>
      </c>
    </row>
    <row r="1427" spans="3:26" x14ac:dyDescent="0.25">
      <c r="C1427">
        <v>10000001</v>
      </c>
      <c r="D1427" t="s">
        <v>1207</v>
      </c>
      <c r="F1427">
        <v>1719278</v>
      </c>
      <c r="H1427" t="s">
        <v>1207</v>
      </c>
      <c r="I1427">
        <v>40</v>
      </c>
      <c r="J1427" s="1">
        <v>50000</v>
      </c>
      <c r="K1427" t="s">
        <v>26</v>
      </c>
      <c r="L1427" s="1">
        <v>50000</v>
      </c>
      <c r="M1427" t="s">
        <v>26</v>
      </c>
      <c r="Q1427" t="s">
        <v>27</v>
      </c>
      <c r="T1427" t="s">
        <v>871</v>
      </c>
      <c r="X1427" t="s">
        <v>30</v>
      </c>
      <c r="Y1427">
        <v>1719278</v>
      </c>
      <c r="Z1427">
        <v>20251031</v>
      </c>
    </row>
    <row r="1428" spans="3:26" x14ac:dyDescent="0.25">
      <c r="C1428">
        <v>10000001</v>
      </c>
      <c r="D1428" t="s">
        <v>1207</v>
      </c>
      <c r="F1428">
        <v>1719278</v>
      </c>
      <c r="H1428" t="s">
        <v>1207</v>
      </c>
      <c r="I1428">
        <v>40</v>
      </c>
      <c r="J1428" s="1">
        <v>50000</v>
      </c>
      <c r="K1428" t="s">
        <v>26</v>
      </c>
      <c r="L1428" s="1">
        <v>50000</v>
      </c>
      <c r="M1428" t="s">
        <v>26</v>
      </c>
      <c r="Q1428" t="s">
        <v>27</v>
      </c>
      <c r="T1428" t="s">
        <v>935</v>
      </c>
      <c r="X1428" t="s">
        <v>30</v>
      </c>
      <c r="Y1428">
        <v>1719278</v>
      </c>
      <c r="Z1428">
        <v>20251031</v>
      </c>
    </row>
    <row r="1429" spans="3:26" x14ac:dyDescent="0.25">
      <c r="C1429">
        <v>10000001</v>
      </c>
      <c r="D1429" t="s">
        <v>1207</v>
      </c>
      <c r="F1429">
        <v>1719278</v>
      </c>
      <c r="H1429" t="s">
        <v>1207</v>
      </c>
      <c r="I1429">
        <v>40</v>
      </c>
      <c r="J1429" s="1">
        <v>50000</v>
      </c>
      <c r="K1429" t="s">
        <v>26</v>
      </c>
      <c r="L1429" s="1">
        <v>50000</v>
      </c>
      <c r="M1429" t="s">
        <v>26</v>
      </c>
      <c r="Q1429" t="s">
        <v>27</v>
      </c>
      <c r="T1429" t="s">
        <v>1004</v>
      </c>
      <c r="X1429" t="s">
        <v>30</v>
      </c>
      <c r="Y1429">
        <v>1719278</v>
      </c>
      <c r="Z1429">
        <v>20251031</v>
      </c>
    </row>
    <row r="1430" spans="3:26" x14ac:dyDescent="0.25">
      <c r="C1430">
        <v>10000001</v>
      </c>
      <c r="D1430" t="s">
        <v>1207</v>
      </c>
      <c r="F1430">
        <v>1719278</v>
      </c>
      <c r="H1430" t="s">
        <v>1207</v>
      </c>
      <c r="I1430">
        <v>40</v>
      </c>
      <c r="J1430" s="1">
        <v>50000</v>
      </c>
      <c r="K1430" t="s">
        <v>26</v>
      </c>
      <c r="L1430" s="1">
        <v>50000</v>
      </c>
      <c r="M1430" t="s">
        <v>26</v>
      </c>
      <c r="Q1430" t="s">
        <v>27</v>
      </c>
      <c r="T1430" t="s">
        <v>1119</v>
      </c>
      <c r="X1430" t="s">
        <v>30</v>
      </c>
      <c r="Y1430">
        <v>1719278</v>
      </c>
      <c r="Z1430">
        <v>20251031</v>
      </c>
    </row>
    <row r="1431" spans="3:26" x14ac:dyDescent="0.25">
      <c r="C1431">
        <v>10000001</v>
      </c>
      <c r="D1431" t="s">
        <v>1207</v>
      </c>
      <c r="F1431">
        <v>1719278</v>
      </c>
      <c r="H1431" t="s">
        <v>1207</v>
      </c>
      <c r="I1431">
        <v>40</v>
      </c>
      <c r="J1431" s="1">
        <v>50000</v>
      </c>
      <c r="K1431" t="s">
        <v>26</v>
      </c>
      <c r="L1431" s="1">
        <v>50000</v>
      </c>
      <c r="M1431" t="s">
        <v>26</v>
      </c>
      <c r="Q1431" t="s">
        <v>27</v>
      </c>
      <c r="T1431" t="s">
        <v>894</v>
      </c>
      <c r="X1431" t="s">
        <v>30</v>
      </c>
      <c r="Y1431">
        <v>1719278</v>
      </c>
      <c r="Z1431">
        <v>20251031</v>
      </c>
    </row>
    <row r="1432" spans="3:26" x14ac:dyDescent="0.25">
      <c r="C1432">
        <v>10000001</v>
      </c>
      <c r="D1432" t="s">
        <v>1207</v>
      </c>
      <c r="F1432">
        <v>1719278</v>
      </c>
      <c r="H1432" t="s">
        <v>1207</v>
      </c>
      <c r="I1432">
        <v>40</v>
      </c>
      <c r="J1432" s="1">
        <v>50000</v>
      </c>
      <c r="K1432" t="s">
        <v>26</v>
      </c>
      <c r="L1432" s="1">
        <v>50000</v>
      </c>
      <c r="M1432" t="s">
        <v>26</v>
      </c>
      <c r="Q1432" t="s">
        <v>27</v>
      </c>
      <c r="T1432" t="s">
        <v>895</v>
      </c>
      <c r="X1432" t="s">
        <v>30</v>
      </c>
      <c r="Y1432">
        <v>1719278</v>
      </c>
      <c r="Z1432">
        <v>20251031</v>
      </c>
    </row>
    <row r="1433" spans="3:26" x14ac:dyDescent="0.25">
      <c r="C1433">
        <v>10000001</v>
      </c>
      <c r="D1433" t="s">
        <v>1207</v>
      </c>
      <c r="F1433">
        <v>1719278</v>
      </c>
      <c r="H1433" t="s">
        <v>1207</v>
      </c>
      <c r="I1433">
        <v>40</v>
      </c>
      <c r="J1433" s="1">
        <v>50000</v>
      </c>
      <c r="K1433" t="s">
        <v>26</v>
      </c>
      <c r="L1433" s="1">
        <v>50000</v>
      </c>
      <c r="M1433" t="s">
        <v>26</v>
      </c>
      <c r="Q1433" t="s">
        <v>27</v>
      </c>
      <c r="T1433" t="s">
        <v>883</v>
      </c>
      <c r="X1433" t="s">
        <v>30</v>
      </c>
      <c r="Y1433">
        <v>1719278</v>
      </c>
      <c r="Z1433">
        <v>20251031</v>
      </c>
    </row>
    <row r="1434" spans="3:26" x14ac:dyDescent="0.25">
      <c r="C1434">
        <v>10000001</v>
      </c>
      <c r="D1434" t="s">
        <v>1207</v>
      </c>
      <c r="F1434">
        <v>1719278</v>
      </c>
      <c r="H1434" t="s">
        <v>1207</v>
      </c>
      <c r="I1434">
        <v>40</v>
      </c>
      <c r="J1434" s="1">
        <v>50000</v>
      </c>
      <c r="K1434" t="s">
        <v>26</v>
      </c>
      <c r="L1434" s="1">
        <v>50000</v>
      </c>
      <c r="M1434" t="s">
        <v>26</v>
      </c>
      <c r="Q1434" t="s">
        <v>27</v>
      </c>
      <c r="T1434" t="s">
        <v>896</v>
      </c>
      <c r="X1434" t="s">
        <v>30</v>
      </c>
      <c r="Y1434">
        <v>1719278</v>
      </c>
      <c r="Z1434">
        <v>20251031</v>
      </c>
    </row>
    <row r="1435" spans="3:26" x14ac:dyDescent="0.25">
      <c r="C1435">
        <v>10000001</v>
      </c>
      <c r="D1435" t="s">
        <v>1207</v>
      </c>
      <c r="F1435">
        <v>1719278</v>
      </c>
      <c r="H1435" t="s">
        <v>1207</v>
      </c>
      <c r="I1435">
        <v>40</v>
      </c>
      <c r="J1435" s="1">
        <v>50000</v>
      </c>
      <c r="K1435" t="s">
        <v>26</v>
      </c>
      <c r="L1435" s="1">
        <v>50000</v>
      </c>
      <c r="M1435" t="s">
        <v>26</v>
      </c>
      <c r="Q1435" t="s">
        <v>27</v>
      </c>
      <c r="T1435" t="s">
        <v>884</v>
      </c>
      <c r="X1435" t="s">
        <v>30</v>
      </c>
      <c r="Y1435">
        <v>1719278</v>
      </c>
      <c r="Z1435">
        <v>20251031</v>
      </c>
    </row>
    <row r="1436" spans="3:26" x14ac:dyDescent="0.25">
      <c r="C1436">
        <v>10000001</v>
      </c>
      <c r="D1436" t="s">
        <v>1207</v>
      </c>
      <c r="F1436">
        <v>1719278</v>
      </c>
      <c r="H1436" t="s">
        <v>1207</v>
      </c>
      <c r="I1436">
        <v>40</v>
      </c>
      <c r="J1436" s="1">
        <v>50000</v>
      </c>
      <c r="K1436" t="s">
        <v>26</v>
      </c>
      <c r="L1436" s="1">
        <v>50000</v>
      </c>
      <c r="M1436" t="s">
        <v>26</v>
      </c>
      <c r="Q1436" t="s">
        <v>27</v>
      </c>
      <c r="T1436" t="s">
        <v>897</v>
      </c>
      <c r="X1436" t="s">
        <v>30</v>
      </c>
      <c r="Y1436">
        <v>1719278</v>
      </c>
      <c r="Z1436">
        <v>20251031</v>
      </c>
    </row>
    <row r="1437" spans="3:26" x14ac:dyDescent="0.25">
      <c r="C1437">
        <v>10000001</v>
      </c>
      <c r="D1437" t="s">
        <v>1207</v>
      </c>
      <c r="F1437">
        <v>1719278</v>
      </c>
      <c r="H1437" t="s">
        <v>1207</v>
      </c>
      <c r="I1437">
        <v>40</v>
      </c>
      <c r="J1437" s="1">
        <v>50000</v>
      </c>
      <c r="K1437" t="s">
        <v>26</v>
      </c>
      <c r="L1437" s="1">
        <v>50000</v>
      </c>
      <c r="M1437" t="s">
        <v>26</v>
      </c>
      <c r="Q1437" t="s">
        <v>27</v>
      </c>
      <c r="T1437" t="s">
        <v>925</v>
      </c>
      <c r="X1437" t="s">
        <v>30</v>
      </c>
      <c r="Y1437">
        <v>1719278</v>
      </c>
      <c r="Z1437">
        <v>20251031</v>
      </c>
    </row>
    <row r="1438" spans="3:26" x14ac:dyDescent="0.25">
      <c r="C1438">
        <v>10000001</v>
      </c>
      <c r="D1438" t="s">
        <v>1207</v>
      </c>
      <c r="F1438">
        <v>1719278</v>
      </c>
      <c r="H1438" t="s">
        <v>1207</v>
      </c>
      <c r="I1438">
        <v>40</v>
      </c>
      <c r="J1438" s="1">
        <v>50000</v>
      </c>
      <c r="K1438" t="s">
        <v>26</v>
      </c>
      <c r="L1438" s="1">
        <v>50000</v>
      </c>
      <c r="M1438" t="s">
        <v>26</v>
      </c>
      <c r="Q1438" t="s">
        <v>27</v>
      </c>
      <c r="T1438" t="s">
        <v>926</v>
      </c>
      <c r="X1438" t="s">
        <v>30</v>
      </c>
      <c r="Y1438">
        <v>1719278</v>
      </c>
      <c r="Z1438">
        <v>20251031</v>
      </c>
    </row>
    <row r="1439" spans="3:26" x14ac:dyDescent="0.25">
      <c r="C1439">
        <v>10000001</v>
      </c>
      <c r="D1439" t="s">
        <v>1207</v>
      </c>
      <c r="F1439">
        <v>1719278</v>
      </c>
      <c r="H1439" t="s">
        <v>1207</v>
      </c>
      <c r="I1439">
        <v>40</v>
      </c>
      <c r="J1439" s="1">
        <v>50000</v>
      </c>
      <c r="K1439" t="s">
        <v>26</v>
      </c>
      <c r="L1439" s="1">
        <v>50000</v>
      </c>
      <c r="M1439" t="s">
        <v>26</v>
      </c>
      <c r="Q1439" t="s">
        <v>27</v>
      </c>
      <c r="T1439" t="s">
        <v>984</v>
      </c>
      <c r="X1439" t="s">
        <v>30</v>
      </c>
      <c r="Y1439">
        <v>1719278</v>
      </c>
      <c r="Z1439">
        <v>20251031</v>
      </c>
    </row>
    <row r="1440" spans="3:26" x14ac:dyDescent="0.25">
      <c r="C1440">
        <v>10000001</v>
      </c>
      <c r="D1440" t="s">
        <v>1207</v>
      </c>
      <c r="F1440">
        <v>1719278</v>
      </c>
      <c r="H1440" t="s">
        <v>1207</v>
      </c>
      <c r="I1440">
        <v>40</v>
      </c>
      <c r="J1440" s="1">
        <v>50000</v>
      </c>
      <c r="K1440" t="s">
        <v>26</v>
      </c>
      <c r="L1440" s="1">
        <v>50000</v>
      </c>
      <c r="M1440" t="s">
        <v>26</v>
      </c>
      <c r="Q1440" t="s">
        <v>27</v>
      </c>
      <c r="T1440" t="s">
        <v>1028</v>
      </c>
      <c r="X1440" t="s">
        <v>30</v>
      </c>
      <c r="Y1440">
        <v>1719278</v>
      </c>
      <c r="Z1440">
        <v>20251031</v>
      </c>
    </row>
    <row r="1441" spans="3:26" x14ac:dyDescent="0.25">
      <c r="C1441">
        <v>10000001</v>
      </c>
      <c r="D1441" t="s">
        <v>1207</v>
      </c>
      <c r="F1441">
        <v>1719278</v>
      </c>
      <c r="H1441" t="s">
        <v>1207</v>
      </c>
      <c r="I1441">
        <v>40</v>
      </c>
      <c r="J1441" s="1">
        <v>50000</v>
      </c>
      <c r="K1441" t="s">
        <v>26</v>
      </c>
      <c r="L1441" s="1">
        <v>50000</v>
      </c>
      <c r="M1441" t="s">
        <v>26</v>
      </c>
      <c r="Q1441" t="s">
        <v>27</v>
      </c>
      <c r="T1441" t="s">
        <v>1013</v>
      </c>
      <c r="X1441" t="s">
        <v>30</v>
      </c>
      <c r="Y1441">
        <v>1719278</v>
      </c>
      <c r="Z1441">
        <v>20251031</v>
      </c>
    </row>
    <row r="1442" spans="3:26" x14ac:dyDescent="0.25">
      <c r="C1442">
        <v>10000001</v>
      </c>
      <c r="D1442" t="s">
        <v>1207</v>
      </c>
      <c r="F1442">
        <v>1719278</v>
      </c>
      <c r="H1442" t="s">
        <v>1207</v>
      </c>
      <c r="I1442">
        <v>40</v>
      </c>
      <c r="J1442" s="1">
        <v>50000</v>
      </c>
      <c r="K1442" t="s">
        <v>26</v>
      </c>
      <c r="L1442" s="1">
        <v>50000</v>
      </c>
      <c r="M1442" t="s">
        <v>26</v>
      </c>
      <c r="Q1442" t="s">
        <v>27</v>
      </c>
      <c r="T1442" t="s">
        <v>1014</v>
      </c>
      <c r="X1442" t="s">
        <v>30</v>
      </c>
      <c r="Y1442">
        <v>1719278</v>
      </c>
      <c r="Z1442">
        <v>20251031</v>
      </c>
    </row>
    <row r="1443" spans="3:26" x14ac:dyDescent="0.25">
      <c r="C1443">
        <v>10000001</v>
      </c>
      <c r="D1443" t="s">
        <v>1207</v>
      </c>
      <c r="F1443">
        <v>1719278</v>
      </c>
      <c r="H1443" t="s">
        <v>1207</v>
      </c>
      <c r="I1443">
        <v>40</v>
      </c>
      <c r="J1443" s="1">
        <v>50000</v>
      </c>
      <c r="K1443" t="s">
        <v>26</v>
      </c>
      <c r="L1443" s="1">
        <v>50000</v>
      </c>
      <c r="M1443" t="s">
        <v>26</v>
      </c>
      <c r="Q1443" t="s">
        <v>27</v>
      </c>
      <c r="T1443" t="s">
        <v>1182</v>
      </c>
      <c r="X1443" t="s">
        <v>30</v>
      </c>
      <c r="Y1443">
        <v>1719278</v>
      </c>
      <c r="Z1443">
        <v>20251031</v>
      </c>
    </row>
    <row r="1444" spans="3:26" x14ac:dyDescent="0.25">
      <c r="C1444">
        <v>10000001</v>
      </c>
      <c r="D1444" t="s">
        <v>1207</v>
      </c>
      <c r="F1444">
        <v>1719278</v>
      </c>
      <c r="H1444" t="s">
        <v>1207</v>
      </c>
      <c r="I1444">
        <v>40</v>
      </c>
      <c r="J1444" s="1">
        <v>50000</v>
      </c>
      <c r="K1444" t="s">
        <v>26</v>
      </c>
      <c r="L1444" s="1">
        <v>50000</v>
      </c>
      <c r="M1444" t="s">
        <v>26</v>
      </c>
      <c r="Q1444" t="s">
        <v>27</v>
      </c>
      <c r="T1444" t="s">
        <v>999</v>
      </c>
      <c r="X1444" t="s">
        <v>30</v>
      </c>
      <c r="Y1444">
        <v>1719278</v>
      </c>
      <c r="Z1444">
        <v>20251031</v>
      </c>
    </row>
    <row r="1445" spans="3:26" x14ac:dyDescent="0.25">
      <c r="C1445">
        <v>10000001</v>
      </c>
      <c r="D1445" t="s">
        <v>1207</v>
      </c>
      <c r="F1445">
        <v>1719278</v>
      </c>
      <c r="H1445" t="s">
        <v>1207</v>
      </c>
      <c r="I1445">
        <v>40</v>
      </c>
      <c r="J1445" s="1">
        <v>50000</v>
      </c>
      <c r="K1445" t="s">
        <v>26</v>
      </c>
      <c r="L1445" s="1">
        <v>50000</v>
      </c>
      <c r="M1445" t="s">
        <v>26</v>
      </c>
      <c r="Q1445" t="s">
        <v>27</v>
      </c>
      <c r="T1445" t="s">
        <v>1201</v>
      </c>
      <c r="X1445" t="s">
        <v>30</v>
      </c>
      <c r="Y1445">
        <v>1719278</v>
      </c>
      <c r="Z1445">
        <v>20251031</v>
      </c>
    </row>
    <row r="1446" spans="3:26" x14ac:dyDescent="0.25">
      <c r="C1446">
        <v>10000001</v>
      </c>
      <c r="D1446" t="s">
        <v>1207</v>
      </c>
      <c r="F1446">
        <v>1719278</v>
      </c>
      <c r="H1446" t="s">
        <v>1207</v>
      </c>
      <c r="I1446">
        <v>40</v>
      </c>
      <c r="J1446" s="1">
        <v>50000</v>
      </c>
      <c r="K1446" t="s">
        <v>26</v>
      </c>
      <c r="L1446" s="1">
        <v>50000</v>
      </c>
      <c r="M1446" t="s">
        <v>26</v>
      </c>
      <c r="Q1446" t="s">
        <v>27</v>
      </c>
      <c r="T1446" t="s">
        <v>861</v>
      </c>
      <c r="X1446" t="s">
        <v>30</v>
      </c>
      <c r="Y1446">
        <v>1719278</v>
      </c>
      <c r="Z1446">
        <v>20251031</v>
      </c>
    </row>
    <row r="1447" spans="3:26" x14ac:dyDescent="0.25">
      <c r="C1447">
        <v>10000001</v>
      </c>
      <c r="D1447" t="s">
        <v>1207</v>
      </c>
      <c r="F1447">
        <v>1719278</v>
      </c>
      <c r="H1447" t="s">
        <v>1207</v>
      </c>
      <c r="I1447">
        <v>40</v>
      </c>
      <c r="J1447" s="1">
        <v>50000</v>
      </c>
      <c r="K1447" t="s">
        <v>26</v>
      </c>
      <c r="L1447" s="1">
        <v>50000</v>
      </c>
      <c r="M1447" t="s">
        <v>26</v>
      </c>
      <c r="Q1447" t="s">
        <v>27</v>
      </c>
      <c r="T1447" t="s">
        <v>857</v>
      </c>
      <c r="X1447" t="s">
        <v>30</v>
      </c>
      <c r="Y1447">
        <v>1719278</v>
      </c>
      <c r="Z1447">
        <v>20251031</v>
      </c>
    </row>
    <row r="1448" spans="3:26" x14ac:dyDescent="0.25">
      <c r="C1448">
        <v>10000001</v>
      </c>
      <c r="D1448" t="s">
        <v>1207</v>
      </c>
      <c r="F1448">
        <v>1719278</v>
      </c>
      <c r="H1448" t="s">
        <v>1207</v>
      </c>
      <c r="I1448">
        <v>40</v>
      </c>
      <c r="J1448" s="1">
        <v>50000</v>
      </c>
      <c r="K1448" t="s">
        <v>26</v>
      </c>
      <c r="L1448" s="1">
        <v>50000</v>
      </c>
      <c r="M1448" t="s">
        <v>26</v>
      </c>
      <c r="Q1448" t="s">
        <v>27</v>
      </c>
      <c r="T1448" t="s">
        <v>878</v>
      </c>
      <c r="X1448" t="s">
        <v>30</v>
      </c>
      <c r="Y1448">
        <v>1719278</v>
      </c>
      <c r="Z1448">
        <v>20251031</v>
      </c>
    </row>
    <row r="1449" spans="3:26" x14ac:dyDescent="0.25">
      <c r="C1449">
        <v>10000001</v>
      </c>
      <c r="D1449" t="s">
        <v>1207</v>
      </c>
      <c r="F1449">
        <v>1719278</v>
      </c>
      <c r="H1449" t="s">
        <v>1207</v>
      </c>
      <c r="I1449">
        <v>40</v>
      </c>
      <c r="J1449" s="1">
        <v>50000</v>
      </c>
      <c r="K1449" t="s">
        <v>26</v>
      </c>
      <c r="L1449" s="1">
        <v>50000</v>
      </c>
      <c r="M1449" t="s">
        <v>26</v>
      </c>
      <c r="Q1449" t="s">
        <v>27</v>
      </c>
      <c r="T1449" t="s">
        <v>870</v>
      </c>
      <c r="X1449" t="s">
        <v>30</v>
      </c>
      <c r="Y1449">
        <v>1719278</v>
      </c>
      <c r="Z1449">
        <v>20251031</v>
      </c>
    </row>
    <row r="1450" spans="3:26" x14ac:dyDescent="0.25">
      <c r="C1450">
        <v>10000001</v>
      </c>
      <c r="D1450" t="s">
        <v>1207</v>
      </c>
      <c r="F1450">
        <v>1719278</v>
      </c>
      <c r="H1450" t="s">
        <v>1207</v>
      </c>
      <c r="I1450">
        <v>40</v>
      </c>
      <c r="J1450" s="1">
        <v>50000</v>
      </c>
      <c r="K1450" t="s">
        <v>26</v>
      </c>
      <c r="L1450" s="1">
        <v>50000</v>
      </c>
      <c r="M1450" t="s">
        <v>26</v>
      </c>
      <c r="Q1450" t="s">
        <v>27</v>
      </c>
      <c r="T1450" t="s">
        <v>948</v>
      </c>
      <c r="X1450" t="s">
        <v>30</v>
      </c>
      <c r="Y1450">
        <v>1719278</v>
      </c>
      <c r="Z1450">
        <v>20251031</v>
      </c>
    </row>
    <row r="1451" spans="3:26" x14ac:dyDescent="0.25">
      <c r="C1451">
        <v>10000001</v>
      </c>
      <c r="D1451" t="s">
        <v>1207</v>
      </c>
      <c r="F1451">
        <v>1719278</v>
      </c>
      <c r="H1451" t="s">
        <v>1207</v>
      </c>
      <c r="I1451">
        <v>40</v>
      </c>
      <c r="J1451" s="1">
        <v>50000</v>
      </c>
      <c r="K1451" t="s">
        <v>26</v>
      </c>
      <c r="L1451" s="1">
        <v>50000</v>
      </c>
      <c r="M1451" t="s">
        <v>26</v>
      </c>
      <c r="Q1451" t="s">
        <v>27</v>
      </c>
      <c r="T1451" t="s">
        <v>932</v>
      </c>
      <c r="X1451" t="s">
        <v>30</v>
      </c>
      <c r="Y1451">
        <v>1719278</v>
      </c>
      <c r="Z1451">
        <v>20251031</v>
      </c>
    </row>
    <row r="1452" spans="3:26" x14ac:dyDescent="0.25">
      <c r="C1452">
        <v>10000001</v>
      </c>
      <c r="D1452" t="s">
        <v>1207</v>
      </c>
      <c r="F1452">
        <v>1719278</v>
      </c>
      <c r="H1452" t="s">
        <v>1207</v>
      </c>
      <c r="I1452">
        <v>40</v>
      </c>
      <c r="J1452" s="1">
        <v>50000</v>
      </c>
      <c r="K1452" t="s">
        <v>26</v>
      </c>
      <c r="L1452" s="1">
        <v>50000</v>
      </c>
      <c r="M1452" t="s">
        <v>26</v>
      </c>
      <c r="Q1452" t="s">
        <v>27</v>
      </c>
      <c r="T1452" t="s">
        <v>954</v>
      </c>
      <c r="X1452" t="s">
        <v>30</v>
      </c>
      <c r="Y1452">
        <v>1719278</v>
      </c>
      <c r="Z1452">
        <v>20251031</v>
      </c>
    </row>
    <row r="1453" spans="3:26" x14ac:dyDescent="0.25">
      <c r="C1453">
        <v>10000001</v>
      </c>
      <c r="D1453" t="s">
        <v>1207</v>
      </c>
      <c r="F1453">
        <v>1719278</v>
      </c>
      <c r="H1453" t="s">
        <v>1207</v>
      </c>
      <c r="I1453">
        <v>40</v>
      </c>
      <c r="J1453" s="1">
        <v>50000</v>
      </c>
      <c r="K1453" t="s">
        <v>26</v>
      </c>
      <c r="L1453" s="1">
        <v>50000</v>
      </c>
      <c r="M1453" t="s">
        <v>26</v>
      </c>
      <c r="Q1453" t="s">
        <v>27</v>
      </c>
      <c r="T1453" t="s">
        <v>968</v>
      </c>
      <c r="X1453" t="s">
        <v>30</v>
      </c>
      <c r="Y1453">
        <v>1719278</v>
      </c>
      <c r="Z1453">
        <v>20251031</v>
      </c>
    </row>
    <row r="1454" spans="3:26" x14ac:dyDescent="0.25">
      <c r="C1454">
        <v>10000001</v>
      </c>
      <c r="D1454" t="s">
        <v>1207</v>
      </c>
      <c r="F1454">
        <v>1719278</v>
      </c>
      <c r="H1454" t="s">
        <v>1207</v>
      </c>
      <c r="I1454">
        <v>40</v>
      </c>
      <c r="J1454" s="1">
        <v>50000</v>
      </c>
      <c r="K1454" t="s">
        <v>26</v>
      </c>
      <c r="L1454" s="1">
        <v>50000</v>
      </c>
      <c r="M1454" t="s">
        <v>26</v>
      </c>
      <c r="Q1454" t="s">
        <v>27</v>
      </c>
      <c r="T1454" t="s">
        <v>951</v>
      </c>
      <c r="X1454" t="s">
        <v>30</v>
      </c>
      <c r="Y1454">
        <v>1719278</v>
      </c>
      <c r="Z1454">
        <v>20251031</v>
      </c>
    </row>
    <row r="1455" spans="3:26" x14ac:dyDescent="0.25">
      <c r="C1455">
        <v>10000001</v>
      </c>
      <c r="D1455" t="s">
        <v>1207</v>
      </c>
      <c r="F1455">
        <v>1719278</v>
      </c>
      <c r="H1455" t="s">
        <v>1207</v>
      </c>
      <c r="I1455">
        <v>40</v>
      </c>
      <c r="J1455" s="1">
        <v>50000</v>
      </c>
      <c r="K1455" t="s">
        <v>26</v>
      </c>
      <c r="L1455" s="1">
        <v>50000</v>
      </c>
      <c r="M1455" t="s">
        <v>26</v>
      </c>
      <c r="Q1455" t="s">
        <v>27</v>
      </c>
      <c r="T1455" t="s">
        <v>953</v>
      </c>
      <c r="X1455" t="s">
        <v>30</v>
      </c>
      <c r="Y1455">
        <v>1719278</v>
      </c>
      <c r="Z1455">
        <v>20251031</v>
      </c>
    </row>
    <row r="1456" spans="3:26" x14ac:dyDescent="0.25">
      <c r="C1456">
        <v>10000001</v>
      </c>
      <c r="D1456" t="s">
        <v>1207</v>
      </c>
      <c r="F1456">
        <v>1719278</v>
      </c>
      <c r="H1456" t="s">
        <v>1207</v>
      </c>
      <c r="I1456">
        <v>40</v>
      </c>
      <c r="J1456" s="1">
        <v>50000</v>
      </c>
      <c r="K1456" t="s">
        <v>26</v>
      </c>
      <c r="L1456" s="1">
        <v>50000</v>
      </c>
      <c r="M1456" t="s">
        <v>26</v>
      </c>
      <c r="Q1456" t="s">
        <v>27</v>
      </c>
      <c r="T1456" t="s">
        <v>1078</v>
      </c>
      <c r="X1456" t="s">
        <v>30</v>
      </c>
      <c r="Y1456">
        <v>1719278</v>
      </c>
      <c r="Z1456">
        <v>20251031</v>
      </c>
    </row>
    <row r="1457" spans="3:26" x14ac:dyDescent="0.25">
      <c r="C1457">
        <v>10000001</v>
      </c>
      <c r="D1457" t="s">
        <v>1207</v>
      </c>
      <c r="F1457">
        <v>1719278</v>
      </c>
      <c r="H1457" t="s">
        <v>1207</v>
      </c>
      <c r="I1457">
        <v>40</v>
      </c>
      <c r="J1457" s="1">
        <v>50000</v>
      </c>
      <c r="K1457" t="s">
        <v>26</v>
      </c>
      <c r="L1457" s="1">
        <v>50000</v>
      </c>
      <c r="M1457" t="s">
        <v>26</v>
      </c>
      <c r="Q1457" t="s">
        <v>27</v>
      </c>
      <c r="T1457" t="s">
        <v>1066</v>
      </c>
      <c r="X1457" t="s">
        <v>30</v>
      </c>
      <c r="Y1457">
        <v>1719278</v>
      </c>
      <c r="Z1457">
        <v>20251031</v>
      </c>
    </row>
    <row r="1458" spans="3:26" x14ac:dyDescent="0.25">
      <c r="C1458">
        <v>10000001</v>
      </c>
      <c r="D1458" t="s">
        <v>1207</v>
      </c>
      <c r="F1458">
        <v>1719278</v>
      </c>
      <c r="H1458" t="s">
        <v>1207</v>
      </c>
      <c r="I1458">
        <v>40</v>
      </c>
      <c r="J1458" s="1">
        <v>50000</v>
      </c>
      <c r="K1458" t="s">
        <v>26</v>
      </c>
      <c r="L1458" s="1">
        <v>50000</v>
      </c>
      <c r="M1458" t="s">
        <v>26</v>
      </c>
      <c r="Q1458" t="s">
        <v>27</v>
      </c>
      <c r="T1458" t="s">
        <v>1069</v>
      </c>
      <c r="X1458" t="s">
        <v>30</v>
      </c>
      <c r="Y1458">
        <v>1719278</v>
      </c>
      <c r="Z1458">
        <v>20251031</v>
      </c>
    </row>
    <row r="1459" spans="3:26" x14ac:dyDescent="0.25">
      <c r="C1459">
        <v>10000001</v>
      </c>
      <c r="D1459" t="s">
        <v>1207</v>
      </c>
      <c r="F1459">
        <v>1719278</v>
      </c>
      <c r="H1459" t="s">
        <v>1207</v>
      </c>
      <c r="I1459">
        <v>40</v>
      </c>
      <c r="J1459" s="1">
        <v>50000</v>
      </c>
      <c r="K1459" t="s">
        <v>26</v>
      </c>
      <c r="L1459" s="1">
        <v>50000</v>
      </c>
      <c r="M1459" t="s">
        <v>26</v>
      </c>
      <c r="Q1459" t="s">
        <v>27</v>
      </c>
      <c r="T1459" t="s">
        <v>1084</v>
      </c>
      <c r="X1459" t="s">
        <v>30</v>
      </c>
      <c r="Y1459">
        <v>1719278</v>
      </c>
      <c r="Z1459">
        <v>20251031</v>
      </c>
    </row>
    <row r="1460" spans="3:26" x14ac:dyDescent="0.25">
      <c r="C1460">
        <v>10000001</v>
      </c>
      <c r="D1460" t="s">
        <v>1207</v>
      </c>
      <c r="F1460">
        <v>1719278</v>
      </c>
      <c r="H1460" t="s">
        <v>1207</v>
      </c>
      <c r="I1460">
        <v>40</v>
      </c>
      <c r="J1460" s="1">
        <v>50000</v>
      </c>
      <c r="K1460" t="s">
        <v>26</v>
      </c>
      <c r="L1460" s="1">
        <v>50000</v>
      </c>
      <c r="M1460" t="s">
        <v>26</v>
      </c>
      <c r="Q1460" t="s">
        <v>27</v>
      </c>
      <c r="T1460" t="s">
        <v>1076</v>
      </c>
      <c r="X1460" t="s">
        <v>30</v>
      </c>
      <c r="Y1460">
        <v>1719278</v>
      </c>
      <c r="Z1460">
        <v>20251031</v>
      </c>
    </row>
    <row r="1461" spans="3:26" x14ac:dyDescent="0.25">
      <c r="C1461">
        <v>10000001</v>
      </c>
      <c r="D1461" t="s">
        <v>1207</v>
      </c>
      <c r="F1461">
        <v>1719278</v>
      </c>
      <c r="H1461" t="s">
        <v>1207</v>
      </c>
      <c r="I1461">
        <v>40</v>
      </c>
      <c r="J1461" s="1">
        <v>50000</v>
      </c>
      <c r="K1461" t="s">
        <v>26</v>
      </c>
      <c r="L1461" s="1">
        <v>50000</v>
      </c>
      <c r="M1461" t="s">
        <v>26</v>
      </c>
      <c r="Q1461" t="s">
        <v>27</v>
      </c>
      <c r="T1461" t="s">
        <v>1118</v>
      </c>
      <c r="X1461" t="s">
        <v>30</v>
      </c>
      <c r="Y1461">
        <v>1719278</v>
      </c>
      <c r="Z1461">
        <v>20251031</v>
      </c>
    </row>
    <row r="1462" spans="3:26" x14ac:dyDescent="0.25">
      <c r="C1462">
        <v>10000001</v>
      </c>
      <c r="D1462" t="s">
        <v>1207</v>
      </c>
      <c r="F1462">
        <v>1719278</v>
      </c>
      <c r="H1462" t="s">
        <v>1207</v>
      </c>
      <c r="I1462">
        <v>40</v>
      </c>
      <c r="J1462" s="1">
        <v>50000</v>
      </c>
      <c r="K1462" t="s">
        <v>26</v>
      </c>
      <c r="L1462" s="1">
        <v>50000</v>
      </c>
      <c r="M1462" t="s">
        <v>26</v>
      </c>
      <c r="Q1462" t="s">
        <v>27</v>
      </c>
      <c r="T1462" t="s">
        <v>1128</v>
      </c>
      <c r="X1462" t="s">
        <v>30</v>
      </c>
      <c r="Y1462">
        <v>1719278</v>
      </c>
      <c r="Z1462">
        <v>20251031</v>
      </c>
    </row>
    <row r="1463" spans="3:26" x14ac:dyDescent="0.25">
      <c r="C1463">
        <v>10000001</v>
      </c>
      <c r="D1463" t="s">
        <v>1207</v>
      </c>
      <c r="F1463">
        <v>1719278</v>
      </c>
      <c r="H1463" t="s">
        <v>1207</v>
      </c>
      <c r="I1463">
        <v>40</v>
      </c>
      <c r="J1463" s="1">
        <v>50000</v>
      </c>
      <c r="K1463" t="s">
        <v>26</v>
      </c>
      <c r="L1463" s="1">
        <v>50000</v>
      </c>
      <c r="M1463" t="s">
        <v>26</v>
      </c>
      <c r="Q1463" t="s">
        <v>27</v>
      </c>
      <c r="T1463" t="s">
        <v>1120</v>
      </c>
      <c r="X1463" t="s">
        <v>30</v>
      </c>
      <c r="Y1463">
        <v>1719278</v>
      </c>
      <c r="Z1463">
        <v>20251031</v>
      </c>
    </row>
    <row r="1464" spans="3:26" x14ac:dyDescent="0.25">
      <c r="C1464">
        <v>10000001</v>
      </c>
      <c r="D1464" t="s">
        <v>1207</v>
      </c>
      <c r="F1464">
        <v>1719278</v>
      </c>
      <c r="H1464" t="s">
        <v>1207</v>
      </c>
      <c r="I1464">
        <v>40</v>
      </c>
      <c r="J1464" s="1">
        <v>50000</v>
      </c>
      <c r="K1464" t="s">
        <v>26</v>
      </c>
      <c r="L1464" s="1">
        <v>50000</v>
      </c>
      <c r="M1464" t="s">
        <v>26</v>
      </c>
      <c r="Q1464" t="s">
        <v>27</v>
      </c>
      <c r="T1464" t="s">
        <v>1127</v>
      </c>
      <c r="X1464" t="s">
        <v>30</v>
      </c>
      <c r="Y1464">
        <v>1719278</v>
      </c>
      <c r="Z1464">
        <v>20251031</v>
      </c>
    </row>
    <row r="1465" spans="3:26" x14ac:dyDescent="0.25">
      <c r="C1465">
        <v>10000001</v>
      </c>
      <c r="D1465" t="s">
        <v>1207</v>
      </c>
      <c r="F1465">
        <v>1719278</v>
      </c>
      <c r="H1465" t="s">
        <v>1207</v>
      </c>
      <c r="I1465">
        <v>40</v>
      </c>
      <c r="J1465" s="1">
        <v>50000</v>
      </c>
      <c r="K1465" t="s">
        <v>26</v>
      </c>
      <c r="L1465" s="1">
        <v>50000</v>
      </c>
      <c r="M1465" t="s">
        <v>26</v>
      </c>
      <c r="Q1465" t="s">
        <v>27</v>
      </c>
      <c r="T1465" t="s">
        <v>1002</v>
      </c>
      <c r="X1465" t="s">
        <v>30</v>
      </c>
      <c r="Y1465">
        <v>1719278</v>
      </c>
      <c r="Z1465">
        <v>20251031</v>
      </c>
    </row>
    <row r="1466" spans="3:26" x14ac:dyDescent="0.25">
      <c r="C1466">
        <v>10000001</v>
      </c>
      <c r="D1466" t="s">
        <v>1207</v>
      </c>
      <c r="F1466">
        <v>1719278</v>
      </c>
      <c r="H1466" t="s">
        <v>1207</v>
      </c>
      <c r="I1466">
        <v>40</v>
      </c>
      <c r="J1466" s="1">
        <v>50000</v>
      </c>
      <c r="K1466" t="s">
        <v>26</v>
      </c>
      <c r="L1466" s="1">
        <v>50000</v>
      </c>
      <c r="M1466" t="s">
        <v>26</v>
      </c>
      <c r="Q1466" t="s">
        <v>27</v>
      </c>
      <c r="T1466" t="s">
        <v>1033</v>
      </c>
      <c r="X1466" t="s">
        <v>30</v>
      </c>
      <c r="Y1466">
        <v>1719278</v>
      </c>
      <c r="Z1466">
        <v>20251031</v>
      </c>
    </row>
    <row r="1467" spans="3:26" x14ac:dyDescent="0.25">
      <c r="C1467">
        <v>10000001</v>
      </c>
      <c r="D1467" t="s">
        <v>1207</v>
      </c>
      <c r="F1467">
        <v>1719278</v>
      </c>
      <c r="H1467" t="s">
        <v>1207</v>
      </c>
      <c r="I1467">
        <v>40</v>
      </c>
      <c r="J1467" s="1">
        <v>50000</v>
      </c>
      <c r="K1467" t="s">
        <v>26</v>
      </c>
      <c r="L1467" s="1">
        <v>50000</v>
      </c>
      <c r="M1467" t="s">
        <v>26</v>
      </c>
      <c r="Q1467" t="s">
        <v>27</v>
      </c>
      <c r="T1467" t="s">
        <v>1034</v>
      </c>
      <c r="X1467" t="s">
        <v>30</v>
      </c>
      <c r="Y1467">
        <v>1719278</v>
      </c>
      <c r="Z1467">
        <v>20251031</v>
      </c>
    </row>
    <row r="1468" spans="3:26" x14ac:dyDescent="0.25">
      <c r="C1468">
        <v>10000001</v>
      </c>
      <c r="D1468" t="s">
        <v>1207</v>
      </c>
      <c r="F1468">
        <v>1719278</v>
      </c>
      <c r="H1468" t="s">
        <v>1207</v>
      </c>
      <c r="I1468">
        <v>40</v>
      </c>
      <c r="J1468" s="1">
        <v>50000</v>
      </c>
      <c r="K1468" t="s">
        <v>26</v>
      </c>
      <c r="L1468" s="1">
        <v>50000</v>
      </c>
      <c r="M1468" t="s">
        <v>26</v>
      </c>
      <c r="Q1468" t="s">
        <v>27</v>
      </c>
      <c r="T1468" t="s">
        <v>879</v>
      </c>
      <c r="X1468" t="s">
        <v>30</v>
      </c>
      <c r="Y1468">
        <v>1719278</v>
      </c>
      <c r="Z1468">
        <v>20251031</v>
      </c>
    </row>
    <row r="1469" spans="3:26" x14ac:dyDescent="0.25">
      <c r="C1469">
        <v>10000001</v>
      </c>
      <c r="D1469" t="s">
        <v>1207</v>
      </c>
      <c r="F1469">
        <v>1719278</v>
      </c>
      <c r="H1469" t="s">
        <v>1207</v>
      </c>
      <c r="I1469">
        <v>40</v>
      </c>
      <c r="J1469" s="1">
        <v>50000</v>
      </c>
      <c r="K1469" t="s">
        <v>26</v>
      </c>
      <c r="L1469" s="1">
        <v>50000</v>
      </c>
      <c r="M1469" t="s">
        <v>26</v>
      </c>
      <c r="Q1469" t="s">
        <v>27</v>
      </c>
      <c r="T1469" t="s">
        <v>877</v>
      </c>
      <c r="X1469" t="s">
        <v>30</v>
      </c>
      <c r="Y1469">
        <v>1719278</v>
      </c>
      <c r="Z1469">
        <v>20251031</v>
      </c>
    </row>
    <row r="1470" spans="3:26" x14ac:dyDescent="0.25">
      <c r="C1470">
        <v>10000001</v>
      </c>
      <c r="D1470" t="s">
        <v>1207</v>
      </c>
      <c r="F1470">
        <v>1719278</v>
      </c>
      <c r="H1470" t="s">
        <v>1207</v>
      </c>
      <c r="I1470">
        <v>40</v>
      </c>
      <c r="J1470" s="1">
        <v>50000</v>
      </c>
      <c r="K1470" t="s">
        <v>26</v>
      </c>
      <c r="L1470" s="1">
        <v>50000</v>
      </c>
      <c r="M1470" t="s">
        <v>26</v>
      </c>
      <c r="Q1470" t="s">
        <v>27</v>
      </c>
      <c r="T1470" t="s">
        <v>869</v>
      </c>
      <c r="X1470" t="s">
        <v>30</v>
      </c>
      <c r="Y1470">
        <v>1719278</v>
      </c>
      <c r="Z1470">
        <v>20251031</v>
      </c>
    </row>
    <row r="1471" spans="3:26" x14ac:dyDescent="0.25">
      <c r="C1471">
        <v>10000001</v>
      </c>
      <c r="D1471" t="s">
        <v>1207</v>
      </c>
      <c r="F1471">
        <v>1719278</v>
      </c>
      <c r="H1471" t="s">
        <v>1207</v>
      </c>
      <c r="I1471">
        <v>40</v>
      </c>
      <c r="J1471" s="1">
        <v>50000</v>
      </c>
      <c r="K1471" t="s">
        <v>26</v>
      </c>
      <c r="L1471" s="1">
        <v>50000</v>
      </c>
      <c r="M1471" t="s">
        <v>26</v>
      </c>
      <c r="Q1471" t="s">
        <v>27</v>
      </c>
      <c r="T1471" t="s">
        <v>1035</v>
      </c>
      <c r="X1471" t="s">
        <v>30</v>
      </c>
      <c r="Y1471">
        <v>1719278</v>
      </c>
      <c r="Z1471">
        <v>20251031</v>
      </c>
    </row>
    <row r="1472" spans="3:26" x14ac:dyDescent="0.25">
      <c r="C1472">
        <v>10000001</v>
      </c>
      <c r="D1472" t="s">
        <v>1207</v>
      </c>
      <c r="F1472">
        <v>1719278</v>
      </c>
      <c r="H1472" t="s">
        <v>1207</v>
      </c>
      <c r="I1472">
        <v>40</v>
      </c>
      <c r="J1472" s="1">
        <v>50000</v>
      </c>
      <c r="K1472" t="s">
        <v>26</v>
      </c>
      <c r="L1472" s="1">
        <v>50000</v>
      </c>
      <c r="M1472" t="s">
        <v>26</v>
      </c>
      <c r="Q1472" t="s">
        <v>27</v>
      </c>
      <c r="T1472" t="s">
        <v>1130</v>
      </c>
      <c r="X1472" t="s">
        <v>30</v>
      </c>
      <c r="Y1472">
        <v>1719278</v>
      </c>
      <c r="Z1472">
        <v>20251031</v>
      </c>
    </row>
    <row r="1473" spans="3:26" x14ac:dyDescent="0.25">
      <c r="C1473">
        <v>10000001</v>
      </c>
      <c r="D1473" t="s">
        <v>1207</v>
      </c>
      <c r="F1473">
        <v>1719278</v>
      </c>
      <c r="H1473" t="s">
        <v>1207</v>
      </c>
      <c r="I1473">
        <v>40</v>
      </c>
      <c r="J1473" s="1">
        <v>800000</v>
      </c>
      <c r="K1473" t="s">
        <v>26</v>
      </c>
      <c r="L1473" s="1">
        <v>800000</v>
      </c>
      <c r="M1473" t="s">
        <v>26</v>
      </c>
      <c r="Q1473" t="s">
        <v>27</v>
      </c>
      <c r="T1473" t="s">
        <v>1165</v>
      </c>
      <c r="X1473" t="s">
        <v>30</v>
      </c>
      <c r="Y1473">
        <v>1719278</v>
      </c>
      <c r="Z1473">
        <v>20251031</v>
      </c>
    </row>
    <row r="1474" spans="3:26" x14ac:dyDescent="0.25">
      <c r="C1474">
        <v>10000001</v>
      </c>
      <c r="D1474" t="s">
        <v>1207</v>
      </c>
      <c r="F1474">
        <v>1719278</v>
      </c>
      <c r="H1474" t="s">
        <v>1207</v>
      </c>
      <c r="I1474">
        <v>40</v>
      </c>
      <c r="J1474" s="1">
        <v>800000</v>
      </c>
      <c r="K1474" t="s">
        <v>26</v>
      </c>
      <c r="L1474" s="1">
        <v>800000</v>
      </c>
      <c r="M1474" t="s">
        <v>26</v>
      </c>
      <c r="Q1474" t="s">
        <v>27</v>
      </c>
      <c r="T1474" t="s">
        <v>888</v>
      </c>
      <c r="X1474" t="s">
        <v>30</v>
      </c>
      <c r="Y1474">
        <v>1719278</v>
      </c>
      <c r="Z1474">
        <v>20251031</v>
      </c>
    </row>
    <row r="1475" spans="3:26" x14ac:dyDescent="0.25">
      <c r="C1475">
        <v>10000001</v>
      </c>
      <c r="D1475" t="s">
        <v>1207</v>
      </c>
      <c r="F1475">
        <v>1719278</v>
      </c>
      <c r="H1475" t="s">
        <v>1207</v>
      </c>
      <c r="I1475">
        <v>40</v>
      </c>
      <c r="J1475" s="1">
        <v>997235</v>
      </c>
      <c r="K1475" t="s">
        <v>26</v>
      </c>
      <c r="L1475" s="1">
        <v>997235</v>
      </c>
      <c r="M1475" t="s">
        <v>26</v>
      </c>
      <c r="Q1475" t="s">
        <v>27</v>
      </c>
      <c r="T1475" t="s">
        <v>973</v>
      </c>
      <c r="X1475" t="s">
        <v>30</v>
      </c>
      <c r="Y1475">
        <v>1719278</v>
      </c>
      <c r="Z1475">
        <v>20251031</v>
      </c>
    </row>
    <row r="1476" spans="3:26" x14ac:dyDescent="0.25">
      <c r="C1476">
        <v>10000001</v>
      </c>
      <c r="D1476" t="s">
        <v>1207</v>
      </c>
      <c r="F1476">
        <v>1719278</v>
      </c>
      <c r="H1476" t="s">
        <v>1207</v>
      </c>
      <c r="I1476">
        <v>40</v>
      </c>
      <c r="J1476" s="1">
        <v>916000</v>
      </c>
      <c r="K1476" t="s">
        <v>26</v>
      </c>
      <c r="L1476" s="1">
        <v>916000</v>
      </c>
      <c r="M1476" t="s">
        <v>26</v>
      </c>
      <c r="Q1476" t="s">
        <v>27</v>
      </c>
      <c r="T1476" t="s">
        <v>1141</v>
      </c>
      <c r="X1476" t="s">
        <v>30</v>
      </c>
      <c r="Y1476">
        <v>1719278</v>
      </c>
      <c r="Z1476">
        <v>20251031</v>
      </c>
    </row>
    <row r="1477" spans="3:26" x14ac:dyDescent="0.25">
      <c r="C1477">
        <v>10000001</v>
      </c>
      <c r="D1477" t="s">
        <v>1207</v>
      </c>
      <c r="F1477">
        <v>1719278</v>
      </c>
      <c r="H1477" t="s">
        <v>1207</v>
      </c>
      <c r="I1477">
        <v>40</v>
      </c>
      <c r="J1477" s="1">
        <v>150000</v>
      </c>
      <c r="K1477" t="s">
        <v>26</v>
      </c>
      <c r="L1477" s="1">
        <v>150000</v>
      </c>
      <c r="M1477" t="s">
        <v>26</v>
      </c>
      <c r="Q1477" t="s">
        <v>27</v>
      </c>
      <c r="T1477" t="s">
        <v>1159</v>
      </c>
      <c r="X1477" t="s">
        <v>30</v>
      </c>
      <c r="Y1477">
        <v>1719278</v>
      </c>
      <c r="Z1477">
        <v>20251031</v>
      </c>
    </row>
    <row r="1478" spans="3:26" x14ac:dyDescent="0.25">
      <c r="C1478">
        <v>10000001</v>
      </c>
      <c r="D1478" t="s">
        <v>1207</v>
      </c>
      <c r="F1478">
        <v>1719278</v>
      </c>
      <c r="H1478" t="s">
        <v>1207</v>
      </c>
      <c r="I1478">
        <v>40</v>
      </c>
      <c r="J1478" s="1">
        <v>665500</v>
      </c>
      <c r="K1478" t="s">
        <v>26</v>
      </c>
      <c r="L1478" s="1">
        <v>665500</v>
      </c>
      <c r="M1478" t="s">
        <v>26</v>
      </c>
      <c r="Q1478" t="s">
        <v>27</v>
      </c>
      <c r="T1478" t="s">
        <v>1016</v>
      </c>
      <c r="X1478" t="s">
        <v>30</v>
      </c>
      <c r="Y1478">
        <v>1719278</v>
      </c>
      <c r="Z1478">
        <v>20251031</v>
      </c>
    </row>
    <row r="1479" spans="3:26" x14ac:dyDescent="0.25">
      <c r="C1479">
        <v>10000001</v>
      </c>
      <c r="D1479" t="s">
        <v>1207</v>
      </c>
      <c r="F1479">
        <v>1719278</v>
      </c>
      <c r="H1479" t="s">
        <v>1207</v>
      </c>
      <c r="I1479">
        <v>40</v>
      </c>
      <c r="J1479" s="1">
        <v>185500</v>
      </c>
      <c r="K1479" t="s">
        <v>26</v>
      </c>
      <c r="L1479" s="1">
        <v>185500</v>
      </c>
      <c r="M1479" t="s">
        <v>26</v>
      </c>
      <c r="Q1479" t="s">
        <v>27</v>
      </c>
      <c r="T1479" t="s">
        <v>995</v>
      </c>
      <c r="X1479" t="s">
        <v>30</v>
      </c>
      <c r="Y1479">
        <v>1719278</v>
      </c>
      <c r="Z1479">
        <v>20251031</v>
      </c>
    </row>
    <row r="1480" spans="3:26" x14ac:dyDescent="0.25">
      <c r="C1480">
        <v>10000001</v>
      </c>
      <c r="D1480" t="s">
        <v>1207</v>
      </c>
      <c r="F1480">
        <v>1719278</v>
      </c>
      <c r="H1480" t="s">
        <v>1207</v>
      </c>
      <c r="I1480">
        <v>40</v>
      </c>
      <c r="J1480" s="1">
        <v>999700</v>
      </c>
      <c r="K1480" t="s">
        <v>26</v>
      </c>
      <c r="L1480" s="1">
        <v>999700</v>
      </c>
      <c r="M1480" t="s">
        <v>26</v>
      </c>
      <c r="Q1480" t="s">
        <v>27</v>
      </c>
      <c r="T1480" t="s">
        <v>904</v>
      </c>
      <c r="X1480" t="s">
        <v>30</v>
      </c>
      <c r="Y1480">
        <v>1719278</v>
      </c>
      <c r="Z1480">
        <v>20251031</v>
      </c>
    </row>
    <row r="1481" spans="3:26" x14ac:dyDescent="0.25">
      <c r="C1481">
        <v>10000001</v>
      </c>
      <c r="D1481" t="s">
        <v>1207</v>
      </c>
      <c r="F1481">
        <v>1719278</v>
      </c>
      <c r="H1481" t="s">
        <v>1207</v>
      </c>
      <c r="I1481">
        <v>40</v>
      </c>
      <c r="J1481" s="1">
        <v>400000</v>
      </c>
      <c r="K1481" t="s">
        <v>26</v>
      </c>
      <c r="L1481" s="1">
        <v>400000</v>
      </c>
      <c r="M1481" t="s">
        <v>26</v>
      </c>
      <c r="Q1481" t="s">
        <v>27</v>
      </c>
      <c r="T1481" t="s">
        <v>906</v>
      </c>
      <c r="X1481" t="s">
        <v>30</v>
      </c>
      <c r="Y1481">
        <v>1719278</v>
      </c>
      <c r="Z1481">
        <v>20251031</v>
      </c>
    </row>
    <row r="1482" spans="3:26" x14ac:dyDescent="0.25">
      <c r="C1482">
        <v>10000001</v>
      </c>
      <c r="D1482" t="s">
        <v>1207</v>
      </c>
      <c r="F1482">
        <v>1719278</v>
      </c>
      <c r="H1482" t="s">
        <v>1207</v>
      </c>
      <c r="I1482">
        <v>40</v>
      </c>
      <c r="J1482" s="1">
        <v>145000</v>
      </c>
      <c r="K1482" t="s">
        <v>26</v>
      </c>
      <c r="L1482" s="1">
        <v>145000</v>
      </c>
      <c r="M1482" t="s">
        <v>26</v>
      </c>
      <c r="Q1482" t="s">
        <v>27</v>
      </c>
      <c r="T1482" t="s">
        <v>940</v>
      </c>
      <c r="X1482" t="s">
        <v>30</v>
      </c>
      <c r="Y1482">
        <v>1719278</v>
      </c>
      <c r="Z1482">
        <v>20251031</v>
      </c>
    </row>
    <row r="1483" spans="3:26" x14ac:dyDescent="0.25">
      <c r="C1483">
        <v>10000001</v>
      </c>
      <c r="D1483" t="s">
        <v>1207</v>
      </c>
      <c r="F1483">
        <v>1719278</v>
      </c>
      <c r="H1483" t="s">
        <v>1207</v>
      </c>
      <c r="I1483">
        <v>40</v>
      </c>
      <c r="J1483" s="1">
        <v>862500</v>
      </c>
      <c r="K1483" t="s">
        <v>26</v>
      </c>
      <c r="L1483" s="1">
        <v>862500</v>
      </c>
      <c r="M1483" t="s">
        <v>26</v>
      </c>
      <c r="Q1483" t="s">
        <v>27</v>
      </c>
      <c r="T1483" t="s">
        <v>989</v>
      </c>
      <c r="X1483" t="s">
        <v>30</v>
      </c>
      <c r="Y1483">
        <v>1719278</v>
      </c>
      <c r="Z1483">
        <v>20251031</v>
      </c>
    </row>
    <row r="1484" spans="3:26" x14ac:dyDescent="0.25">
      <c r="C1484">
        <v>10000001</v>
      </c>
      <c r="D1484" t="s">
        <v>1207</v>
      </c>
      <c r="F1484">
        <v>1719278</v>
      </c>
      <c r="H1484" t="s">
        <v>1207</v>
      </c>
      <c r="I1484">
        <v>40</v>
      </c>
      <c r="J1484" s="1">
        <v>4000</v>
      </c>
      <c r="K1484" t="s">
        <v>26</v>
      </c>
      <c r="L1484" s="1">
        <v>4000</v>
      </c>
      <c r="M1484" t="s">
        <v>26</v>
      </c>
      <c r="Q1484" t="s">
        <v>27</v>
      </c>
      <c r="T1484" t="s">
        <v>1085</v>
      </c>
      <c r="X1484" t="s">
        <v>30</v>
      </c>
      <c r="Y1484">
        <v>1719278</v>
      </c>
      <c r="Z1484">
        <v>20251031</v>
      </c>
    </row>
    <row r="1485" spans="3:26" x14ac:dyDescent="0.25">
      <c r="C1485">
        <v>10000001</v>
      </c>
      <c r="D1485" t="s">
        <v>1207</v>
      </c>
      <c r="F1485">
        <v>1719278</v>
      </c>
      <c r="H1485" t="s">
        <v>1207</v>
      </c>
      <c r="I1485">
        <v>40</v>
      </c>
      <c r="J1485" s="1">
        <v>14000</v>
      </c>
      <c r="K1485" t="s">
        <v>26</v>
      </c>
      <c r="L1485" s="1">
        <v>14000</v>
      </c>
      <c r="M1485" t="s">
        <v>26</v>
      </c>
      <c r="Q1485" t="s">
        <v>27</v>
      </c>
      <c r="T1485" t="s">
        <v>955</v>
      </c>
      <c r="X1485" t="s">
        <v>30</v>
      </c>
      <c r="Y1485">
        <v>1719278</v>
      </c>
      <c r="Z1485">
        <v>20251031</v>
      </c>
    </row>
    <row r="1486" spans="3:26" x14ac:dyDescent="0.25">
      <c r="C1486">
        <v>10000001</v>
      </c>
      <c r="D1486" t="s">
        <v>1207</v>
      </c>
      <c r="F1486">
        <v>1719278</v>
      </c>
      <c r="H1486" t="s">
        <v>1207</v>
      </c>
      <c r="I1486">
        <v>40</v>
      </c>
      <c r="J1486" s="1">
        <v>6000</v>
      </c>
      <c r="K1486" t="s">
        <v>26</v>
      </c>
      <c r="L1486" s="1">
        <v>6000</v>
      </c>
      <c r="M1486" t="s">
        <v>26</v>
      </c>
      <c r="Q1486" t="s">
        <v>27</v>
      </c>
      <c r="T1486" t="s">
        <v>862</v>
      </c>
      <c r="X1486" t="s">
        <v>30</v>
      </c>
      <c r="Y1486">
        <v>1719278</v>
      </c>
      <c r="Z1486">
        <v>20251031</v>
      </c>
    </row>
    <row r="1487" spans="3:26" x14ac:dyDescent="0.25">
      <c r="C1487">
        <v>10000001</v>
      </c>
      <c r="D1487" t="s">
        <v>1207</v>
      </c>
      <c r="F1487">
        <v>1719278</v>
      </c>
      <c r="H1487" t="s">
        <v>1207</v>
      </c>
      <c r="I1487">
        <v>40</v>
      </c>
      <c r="J1487" s="1">
        <v>25000</v>
      </c>
      <c r="K1487" t="s">
        <v>26</v>
      </c>
      <c r="L1487" s="1">
        <v>25000</v>
      </c>
      <c r="M1487" t="s">
        <v>26</v>
      </c>
      <c r="Q1487" t="s">
        <v>27</v>
      </c>
      <c r="T1487" t="s">
        <v>1107</v>
      </c>
      <c r="X1487" t="s">
        <v>30</v>
      </c>
      <c r="Y1487">
        <v>1719278</v>
      </c>
      <c r="Z1487">
        <v>20251031</v>
      </c>
    </row>
    <row r="1488" spans="3:26" x14ac:dyDescent="0.25">
      <c r="C1488">
        <v>10000001</v>
      </c>
      <c r="D1488" t="s">
        <v>1207</v>
      </c>
      <c r="F1488">
        <v>1719278</v>
      </c>
      <c r="H1488" t="s">
        <v>1207</v>
      </c>
      <c r="I1488">
        <v>40</v>
      </c>
      <c r="J1488" s="1">
        <v>75000</v>
      </c>
      <c r="K1488" t="s">
        <v>26</v>
      </c>
      <c r="L1488" s="1">
        <v>75000</v>
      </c>
      <c r="M1488" t="s">
        <v>26</v>
      </c>
      <c r="Q1488" t="s">
        <v>27</v>
      </c>
      <c r="T1488" t="s">
        <v>1102</v>
      </c>
      <c r="X1488" t="s">
        <v>30</v>
      </c>
      <c r="Y1488">
        <v>1719278</v>
      </c>
      <c r="Z1488">
        <v>20251031</v>
      </c>
    </row>
    <row r="1489" spans="3:26" x14ac:dyDescent="0.25">
      <c r="C1489">
        <v>10000001</v>
      </c>
      <c r="D1489" t="s">
        <v>1207</v>
      </c>
      <c r="F1489">
        <v>1719278</v>
      </c>
      <c r="H1489" t="s">
        <v>1207</v>
      </c>
      <c r="I1489">
        <v>40</v>
      </c>
      <c r="J1489" s="1">
        <v>25000</v>
      </c>
      <c r="K1489" t="s">
        <v>26</v>
      </c>
      <c r="L1489" s="1">
        <v>25000</v>
      </c>
      <c r="M1489" t="s">
        <v>26</v>
      </c>
      <c r="Q1489" t="s">
        <v>27</v>
      </c>
      <c r="T1489" t="s">
        <v>1113</v>
      </c>
      <c r="X1489" t="s">
        <v>30</v>
      </c>
      <c r="Y1489">
        <v>1719278</v>
      </c>
      <c r="Z1489">
        <v>20251031</v>
      </c>
    </row>
    <row r="1490" spans="3:26" x14ac:dyDescent="0.25">
      <c r="C1490">
        <v>10000001</v>
      </c>
      <c r="D1490" t="s">
        <v>1207</v>
      </c>
      <c r="F1490">
        <v>1719278</v>
      </c>
      <c r="H1490" t="s">
        <v>1207</v>
      </c>
      <c r="I1490">
        <v>40</v>
      </c>
      <c r="J1490" s="1">
        <v>50000</v>
      </c>
      <c r="K1490" t="s">
        <v>26</v>
      </c>
      <c r="L1490" s="1">
        <v>50000</v>
      </c>
      <c r="M1490" t="s">
        <v>26</v>
      </c>
      <c r="Q1490" t="s">
        <v>27</v>
      </c>
      <c r="T1490" t="s">
        <v>1104</v>
      </c>
      <c r="X1490" t="s">
        <v>30</v>
      </c>
      <c r="Y1490">
        <v>1719278</v>
      </c>
      <c r="Z1490">
        <v>20251031</v>
      </c>
    </row>
    <row r="1491" spans="3:26" x14ac:dyDescent="0.25">
      <c r="C1491">
        <v>10000001</v>
      </c>
      <c r="D1491" t="s">
        <v>1207</v>
      </c>
      <c r="F1491">
        <v>1719278</v>
      </c>
      <c r="H1491" t="s">
        <v>1207</v>
      </c>
      <c r="I1491">
        <v>40</v>
      </c>
      <c r="J1491" s="1">
        <v>25000</v>
      </c>
      <c r="K1491" t="s">
        <v>26</v>
      </c>
      <c r="L1491" s="1">
        <v>25000</v>
      </c>
      <c r="M1491" t="s">
        <v>26</v>
      </c>
      <c r="Q1491" t="s">
        <v>27</v>
      </c>
      <c r="T1491" t="s">
        <v>919</v>
      </c>
      <c r="X1491" t="s">
        <v>30</v>
      </c>
      <c r="Y1491">
        <v>1719278</v>
      </c>
      <c r="Z1491">
        <v>20251031</v>
      </c>
    </row>
    <row r="1492" spans="3:26" x14ac:dyDescent="0.25">
      <c r="C1492">
        <v>10000001</v>
      </c>
      <c r="D1492" t="s">
        <v>1207</v>
      </c>
      <c r="F1492">
        <v>1719278</v>
      </c>
      <c r="H1492" t="s">
        <v>1207</v>
      </c>
      <c r="I1492">
        <v>40</v>
      </c>
      <c r="J1492" s="1">
        <v>200000</v>
      </c>
      <c r="K1492" t="s">
        <v>26</v>
      </c>
      <c r="L1492" s="1">
        <v>200000</v>
      </c>
      <c r="M1492" t="s">
        <v>26</v>
      </c>
      <c r="Q1492" t="s">
        <v>27</v>
      </c>
      <c r="T1492" t="s">
        <v>1087</v>
      </c>
      <c r="X1492" t="s">
        <v>30</v>
      </c>
      <c r="Y1492">
        <v>1719278</v>
      </c>
      <c r="Z1492">
        <v>20251031</v>
      </c>
    </row>
    <row r="1493" spans="3:26" x14ac:dyDescent="0.25">
      <c r="C1493">
        <v>10000001</v>
      </c>
      <c r="D1493" t="s">
        <v>1207</v>
      </c>
      <c r="F1493">
        <v>1719278</v>
      </c>
      <c r="H1493" t="s">
        <v>1207</v>
      </c>
      <c r="I1493">
        <v>40</v>
      </c>
      <c r="J1493" s="1">
        <v>477000</v>
      </c>
      <c r="K1493" t="s">
        <v>26</v>
      </c>
      <c r="L1493" s="1">
        <v>477000</v>
      </c>
      <c r="M1493" t="s">
        <v>26</v>
      </c>
      <c r="Q1493" t="s">
        <v>27</v>
      </c>
      <c r="T1493" t="s">
        <v>1056</v>
      </c>
      <c r="X1493" t="s">
        <v>30</v>
      </c>
      <c r="Y1493">
        <v>1719278</v>
      </c>
      <c r="Z1493">
        <v>20251031</v>
      </c>
    </row>
    <row r="1494" spans="3:26" x14ac:dyDescent="0.25">
      <c r="C1494">
        <v>10000001</v>
      </c>
      <c r="D1494" t="s">
        <v>1207</v>
      </c>
      <c r="F1494">
        <v>1719278</v>
      </c>
      <c r="H1494" t="s">
        <v>1207</v>
      </c>
      <c r="I1494">
        <v>40</v>
      </c>
      <c r="J1494" s="1">
        <v>519520</v>
      </c>
      <c r="K1494" t="s">
        <v>26</v>
      </c>
      <c r="L1494" s="1">
        <v>519520</v>
      </c>
      <c r="M1494" t="s">
        <v>26</v>
      </c>
      <c r="Q1494" t="s">
        <v>27</v>
      </c>
      <c r="T1494" t="s">
        <v>1138</v>
      </c>
      <c r="X1494" t="s">
        <v>30</v>
      </c>
      <c r="Y1494">
        <v>1719278</v>
      </c>
      <c r="Z1494">
        <v>20251031</v>
      </c>
    </row>
    <row r="1495" spans="3:26" x14ac:dyDescent="0.25">
      <c r="C1495">
        <v>10000001</v>
      </c>
      <c r="D1495" t="s">
        <v>1207</v>
      </c>
      <c r="F1495">
        <v>1719278</v>
      </c>
      <c r="H1495" t="s">
        <v>1207</v>
      </c>
      <c r="I1495">
        <v>40</v>
      </c>
      <c r="J1495" s="1">
        <v>227000</v>
      </c>
      <c r="K1495" t="s">
        <v>26</v>
      </c>
      <c r="L1495" s="1">
        <v>227000</v>
      </c>
      <c r="M1495" t="s">
        <v>26</v>
      </c>
      <c r="Q1495" t="s">
        <v>27</v>
      </c>
      <c r="T1495" t="s">
        <v>1196</v>
      </c>
      <c r="X1495" t="s">
        <v>30</v>
      </c>
      <c r="Y1495">
        <v>1719278</v>
      </c>
      <c r="Z1495">
        <v>20251031</v>
      </c>
    </row>
    <row r="1496" spans="3:26" x14ac:dyDescent="0.25">
      <c r="C1496">
        <v>10000001</v>
      </c>
      <c r="D1496" t="s">
        <v>1207</v>
      </c>
      <c r="F1496">
        <v>1719278</v>
      </c>
      <c r="H1496" t="s">
        <v>1207</v>
      </c>
      <c r="I1496">
        <v>40</v>
      </c>
      <c r="J1496" s="1">
        <v>500000</v>
      </c>
      <c r="K1496" t="s">
        <v>26</v>
      </c>
      <c r="L1496" s="1">
        <v>500000</v>
      </c>
      <c r="M1496" t="s">
        <v>26</v>
      </c>
      <c r="Q1496" t="s">
        <v>27</v>
      </c>
      <c r="T1496" t="s">
        <v>1145</v>
      </c>
      <c r="X1496" t="s">
        <v>30</v>
      </c>
      <c r="Y1496">
        <v>1719278</v>
      </c>
      <c r="Z1496">
        <v>20251031</v>
      </c>
    </row>
    <row r="1497" spans="3:26" x14ac:dyDescent="0.25">
      <c r="C1497">
        <v>10000001</v>
      </c>
      <c r="D1497" t="s">
        <v>1207</v>
      </c>
      <c r="F1497">
        <v>1719278</v>
      </c>
      <c r="H1497" t="s">
        <v>1207</v>
      </c>
      <c r="I1497">
        <v>40</v>
      </c>
      <c r="J1497" s="1">
        <v>480000</v>
      </c>
      <c r="K1497" t="s">
        <v>26</v>
      </c>
      <c r="L1497" s="1">
        <v>480000</v>
      </c>
      <c r="M1497" t="s">
        <v>26</v>
      </c>
      <c r="Q1497" t="s">
        <v>27</v>
      </c>
      <c r="T1497" t="s">
        <v>845</v>
      </c>
      <c r="X1497" t="s">
        <v>30</v>
      </c>
      <c r="Y1497">
        <v>1719278</v>
      </c>
      <c r="Z1497">
        <v>20251031</v>
      </c>
    </row>
    <row r="1498" spans="3:26" x14ac:dyDescent="0.25">
      <c r="C1498">
        <v>10000001</v>
      </c>
      <c r="D1498" t="s">
        <v>1207</v>
      </c>
      <c r="F1498">
        <v>1719278</v>
      </c>
      <c r="H1498" t="s">
        <v>1207</v>
      </c>
      <c r="I1498">
        <v>40</v>
      </c>
      <c r="J1498" s="1">
        <v>500000</v>
      </c>
      <c r="K1498" t="s">
        <v>26</v>
      </c>
      <c r="L1498" s="1">
        <v>500000</v>
      </c>
      <c r="M1498" t="s">
        <v>26</v>
      </c>
      <c r="Q1498" t="s">
        <v>27</v>
      </c>
      <c r="T1498" t="s">
        <v>1147</v>
      </c>
      <c r="X1498" t="s">
        <v>30</v>
      </c>
      <c r="Y1498">
        <v>1719278</v>
      </c>
      <c r="Z1498">
        <v>20251031</v>
      </c>
    </row>
    <row r="1499" spans="3:26" x14ac:dyDescent="0.25">
      <c r="C1499">
        <v>10000001</v>
      </c>
      <c r="D1499" t="s">
        <v>1207</v>
      </c>
      <c r="F1499">
        <v>1719278</v>
      </c>
      <c r="H1499" t="s">
        <v>1207</v>
      </c>
      <c r="I1499">
        <v>40</v>
      </c>
      <c r="J1499" s="1">
        <v>450000</v>
      </c>
      <c r="K1499" t="s">
        <v>26</v>
      </c>
      <c r="L1499" s="1">
        <v>450000</v>
      </c>
      <c r="M1499" t="s">
        <v>26</v>
      </c>
      <c r="Q1499" t="s">
        <v>27</v>
      </c>
      <c r="T1499" t="s">
        <v>917</v>
      </c>
      <c r="X1499" t="s">
        <v>30</v>
      </c>
      <c r="Y1499">
        <v>1719278</v>
      </c>
      <c r="Z1499">
        <v>20251031</v>
      </c>
    </row>
    <row r="1500" spans="3:26" x14ac:dyDescent="0.25">
      <c r="C1500">
        <v>10000001</v>
      </c>
      <c r="D1500" t="s">
        <v>1207</v>
      </c>
      <c r="F1500">
        <v>1719278</v>
      </c>
      <c r="H1500" t="s">
        <v>1207</v>
      </c>
      <c r="I1500">
        <v>40</v>
      </c>
      <c r="J1500" s="1">
        <v>400000</v>
      </c>
      <c r="K1500" t="s">
        <v>26</v>
      </c>
      <c r="L1500" s="1">
        <v>400000</v>
      </c>
      <c r="M1500" t="s">
        <v>26</v>
      </c>
      <c r="Q1500" t="s">
        <v>27</v>
      </c>
      <c r="T1500" t="s">
        <v>975</v>
      </c>
      <c r="X1500" t="s">
        <v>30</v>
      </c>
      <c r="Y1500">
        <v>1719278</v>
      </c>
      <c r="Z1500">
        <v>20251031</v>
      </c>
    </row>
    <row r="1501" spans="3:26" x14ac:dyDescent="0.25">
      <c r="C1501">
        <v>10000001</v>
      </c>
      <c r="D1501" t="s">
        <v>1207</v>
      </c>
      <c r="F1501">
        <v>1719278</v>
      </c>
      <c r="H1501" t="s">
        <v>1207</v>
      </c>
      <c r="I1501">
        <v>40</v>
      </c>
      <c r="J1501" s="1">
        <v>172000</v>
      </c>
      <c r="K1501" t="s">
        <v>26</v>
      </c>
      <c r="L1501" s="1">
        <v>172000</v>
      </c>
      <c r="M1501" t="s">
        <v>26</v>
      </c>
      <c r="Q1501" t="s">
        <v>27</v>
      </c>
      <c r="T1501" t="s">
        <v>902</v>
      </c>
      <c r="X1501" t="s">
        <v>30</v>
      </c>
      <c r="Y1501">
        <v>1719278</v>
      </c>
      <c r="Z1501">
        <v>20251031</v>
      </c>
    </row>
    <row r="1502" spans="3:26" x14ac:dyDescent="0.25">
      <c r="C1502">
        <v>10000001</v>
      </c>
      <c r="D1502" t="s">
        <v>1207</v>
      </c>
      <c r="F1502">
        <v>1719278</v>
      </c>
      <c r="H1502" t="s">
        <v>1207</v>
      </c>
      <c r="I1502">
        <v>40</v>
      </c>
      <c r="J1502" s="1">
        <v>188000</v>
      </c>
      <c r="K1502" t="s">
        <v>26</v>
      </c>
      <c r="L1502" s="1">
        <v>188000</v>
      </c>
      <c r="M1502" t="s">
        <v>26</v>
      </c>
      <c r="Q1502" t="s">
        <v>27</v>
      </c>
      <c r="T1502" t="s">
        <v>961</v>
      </c>
      <c r="X1502" t="s">
        <v>30</v>
      </c>
      <c r="Y1502">
        <v>1719278</v>
      </c>
      <c r="Z1502">
        <v>20251031</v>
      </c>
    </row>
    <row r="1503" spans="3:26" x14ac:dyDescent="0.25">
      <c r="C1503">
        <v>10000001</v>
      </c>
      <c r="D1503" t="s">
        <v>1207</v>
      </c>
      <c r="F1503">
        <v>1719278</v>
      </c>
      <c r="H1503" t="s">
        <v>1207</v>
      </c>
      <c r="I1503">
        <v>40</v>
      </c>
      <c r="J1503" s="1">
        <v>234000</v>
      </c>
      <c r="K1503" t="s">
        <v>26</v>
      </c>
      <c r="L1503" s="1">
        <v>234000</v>
      </c>
      <c r="M1503" t="s">
        <v>26</v>
      </c>
      <c r="Q1503" t="s">
        <v>27</v>
      </c>
      <c r="T1503" t="s">
        <v>942</v>
      </c>
      <c r="X1503" t="s">
        <v>30</v>
      </c>
      <c r="Y1503">
        <v>1719278</v>
      </c>
      <c r="Z1503">
        <v>20251031</v>
      </c>
    </row>
    <row r="1504" spans="3:26" x14ac:dyDescent="0.25">
      <c r="C1504">
        <v>10000001</v>
      </c>
      <c r="D1504" t="s">
        <v>1207</v>
      </c>
      <c r="F1504">
        <v>1719278</v>
      </c>
      <c r="H1504" t="s">
        <v>1207</v>
      </c>
      <c r="I1504">
        <v>40</v>
      </c>
      <c r="J1504" s="1">
        <v>290500</v>
      </c>
      <c r="K1504" t="s">
        <v>26</v>
      </c>
      <c r="L1504" s="1">
        <v>290500</v>
      </c>
      <c r="M1504" t="s">
        <v>26</v>
      </c>
      <c r="Q1504" t="s">
        <v>27</v>
      </c>
      <c r="T1504" t="s">
        <v>1124</v>
      </c>
      <c r="X1504" t="s">
        <v>30</v>
      </c>
      <c r="Y1504">
        <v>1719278</v>
      </c>
      <c r="Z1504">
        <v>20251031</v>
      </c>
    </row>
    <row r="1505" spans="3:26" x14ac:dyDescent="0.25">
      <c r="C1505">
        <v>10000001</v>
      </c>
      <c r="D1505" t="s">
        <v>1207</v>
      </c>
      <c r="F1505">
        <v>1719278</v>
      </c>
      <c r="H1505" t="s">
        <v>1207</v>
      </c>
      <c r="I1505">
        <v>40</v>
      </c>
      <c r="J1505" s="1">
        <v>957000</v>
      </c>
      <c r="K1505" t="s">
        <v>26</v>
      </c>
      <c r="L1505" s="1">
        <v>957000</v>
      </c>
      <c r="M1505" t="s">
        <v>26</v>
      </c>
      <c r="Q1505" t="s">
        <v>27</v>
      </c>
      <c r="T1505" t="s">
        <v>892</v>
      </c>
      <c r="X1505" t="s">
        <v>30</v>
      </c>
      <c r="Y1505">
        <v>1719278</v>
      </c>
      <c r="Z1505">
        <v>20251031</v>
      </c>
    </row>
    <row r="1506" spans="3:26" x14ac:dyDescent="0.25">
      <c r="C1506">
        <v>10000001</v>
      </c>
      <c r="D1506" t="s">
        <v>1207</v>
      </c>
      <c r="F1506">
        <v>1719278</v>
      </c>
      <c r="H1506" t="s">
        <v>1207</v>
      </c>
      <c r="I1506">
        <v>40</v>
      </c>
      <c r="J1506" s="1">
        <v>984580</v>
      </c>
      <c r="K1506" t="s">
        <v>26</v>
      </c>
      <c r="L1506" s="1">
        <v>984580</v>
      </c>
      <c r="M1506" t="s">
        <v>26</v>
      </c>
      <c r="Q1506" t="s">
        <v>27</v>
      </c>
      <c r="T1506" t="s">
        <v>1115</v>
      </c>
      <c r="X1506" t="s">
        <v>30</v>
      </c>
      <c r="Y1506">
        <v>1719278</v>
      </c>
      <c r="Z1506">
        <v>20251031</v>
      </c>
    </row>
    <row r="1507" spans="3:26" x14ac:dyDescent="0.25">
      <c r="C1507">
        <v>10000001</v>
      </c>
      <c r="D1507" t="s">
        <v>1207</v>
      </c>
      <c r="F1507">
        <v>1719278</v>
      </c>
      <c r="H1507" t="s">
        <v>1207</v>
      </c>
      <c r="I1507">
        <v>40</v>
      </c>
      <c r="J1507" s="1">
        <v>35000</v>
      </c>
      <c r="K1507" t="s">
        <v>26</v>
      </c>
      <c r="L1507" s="1">
        <v>35000</v>
      </c>
      <c r="M1507" t="s">
        <v>26</v>
      </c>
      <c r="Q1507" t="s">
        <v>27</v>
      </c>
      <c r="T1507" t="s">
        <v>1018</v>
      </c>
      <c r="X1507" t="s">
        <v>30</v>
      </c>
      <c r="Y1507">
        <v>1719278</v>
      </c>
      <c r="Z1507">
        <v>20251031</v>
      </c>
    </row>
    <row r="1508" spans="3:26" x14ac:dyDescent="0.25">
      <c r="C1508">
        <v>10000001</v>
      </c>
      <c r="D1508" t="s">
        <v>1207</v>
      </c>
      <c r="F1508">
        <v>1719278</v>
      </c>
      <c r="H1508" t="s">
        <v>1207</v>
      </c>
      <c r="I1508">
        <v>40</v>
      </c>
      <c r="J1508" s="1">
        <v>972500</v>
      </c>
      <c r="K1508" t="s">
        <v>26</v>
      </c>
      <c r="L1508" s="1">
        <v>972500</v>
      </c>
      <c r="M1508" t="s">
        <v>26</v>
      </c>
      <c r="Q1508" t="s">
        <v>27</v>
      </c>
      <c r="T1508" t="s">
        <v>1111</v>
      </c>
      <c r="X1508" t="s">
        <v>30</v>
      </c>
      <c r="Y1508">
        <v>1719278</v>
      </c>
      <c r="Z1508">
        <v>20251031</v>
      </c>
    </row>
    <row r="1509" spans="3:26" x14ac:dyDescent="0.25">
      <c r="C1509">
        <v>10000001</v>
      </c>
      <c r="D1509" t="s">
        <v>1207</v>
      </c>
      <c r="F1509">
        <v>1719278</v>
      </c>
      <c r="H1509" t="s">
        <v>1207</v>
      </c>
      <c r="I1509">
        <v>40</v>
      </c>
      <c r="J1509" s="1">
        <v>942500</v>
      </c>
      <c r="K1509" t="s">
        <v>26</v>
      </c>
      <c r="L1509" s="1">
        <v>942500</v>
      </c>
      <c r="M1509" t="s">
        <v>26</v>
      </c>
      <c r="Q1509" t="s">
        <v>27</v>
      </c>
      <c r="T1509" t="s">
        <v>971</v>
      </c>
      <c r="X1509" t="s">
        <v>30</v>
      </c>
      <c r="Y1509">
        <v>1719278</v>
      </c>
      <c r="Z1509">
        <v>20251031</v>
      </c>
    </row>
    <row r="1510" spans="3:26" x14ac:dyDescent="0.25">
      <c r="C1510">
        <v>10000001</v>
      </c>
      <c r="D1510" t="s">
        <v>1207</v>
      </c>
      <c r="F1510">
        <v>1719278</v>
      </c>
      <c r="H1510" t="s">
        <v>1207</v>
      </c>
      <c r="I1510">
        <v>40</v>
      </c>
      <c r="J1510" s="1">
        <v>40000</v>
      </c>
      <c r="K1510" t="s">
        <v>26</v>
      </c>
      <c r="L1510" s="1">
        <v>40000</v>
      </c>
      <c r="M1510" t="s">
        <v>26</v>
      </c>
      <c r="Q1510" t="s">
        <v>27</v>
      </c>
      <c r="T1510" t="s">
        <v>959</v>
      </c>
      <c r="X1510" t="s">
        <v>30</v>
      </c>
      <c r="Y1510">
        <v>1719278</v>
      </c>
      <c r="Z1510">
        <v>20251031</v>
      </c>
    </row>
    <row r="1511" spans="3:26" x14ac:dyDescent="0.25">
      <c r="C1511">
        <v>10000001</v>
      </c>
      <c r="D1511" t="s">
        <v>1207</v>
      </c>
      <c r="F1511">
        <v>1719278</v>
      </c>
      <c r="H1511" t="s">
        <v>1207</v>
      </c>
      <c r="I1511">
        <v>40</v>
      </c>
      <c r="J1511" s="1">
        <v>900000</v>
      </c>
      <c r="K1511" t="s">
        <v>26</v>
      </c>
      <c r="L1511" s="1">
        <v>900000</v>
      </c>
      <c r="M1511" t="s">
        <v>26</v>
      </c>
      <c r="Q1511" t="s">
        <v>27</v>
      </c>
      <c r="T1511" t="s">
        <v>1049</v>
      </c>
      <c r="X1511" t="s">
        <v>30</v>
      </c>
      <c r="Y1511">
        <v>1719278</v>
      </c>
      <c r="Z1511">
        <v>20251031</v>
      </c>
    </row>
    <row r="1512" spans="3:26" x14ac:dyDescent="0.25">
      <c r="C1512">
        <v>10000001</v>
      </c>
      <c r="D1512" t="s">
        <v>1207</v>
      </c>
      <c r="F1512">
        <v>1719278</v>
      </c>
      <c r="H1512" t="s">
        <v>1207</v>
      </c>
      <c r="I1512">
        <v>40</v>
      </c>
      <c r="J1512" s="1">
        <v>225000</v>
      </c>
      <c r="K1512" t="s">
        <v>26</v>
      </c>
      <c r="L1512" s="1">
        <v>225000</v>
      </c>
      <c r="M1512" t="s">
        <v>26</v>
      </c>
      <c r="Q1512" t="s">
        <v>27</v>
      </c>
      <c r="T1512" t="s">
        <v>851</v>
      </c>
      <c r="X1512" t="s">
        <v>30</v>
      </c>
      <c r="Y1512">
        <v>1719278</v>
      </c>
      <c r="Z1512">
        <v>20251031</v>
      </c>
    </row>
    <row r="1513" spans="3:26" x14ac:dyDescent="0.25">
      <c r="C1513">
        <v>10000001</v>
      </c>
      <c r="D1513" t="s">
        <v>1207</v>
      </c>
      <c r="F1513">
        <v>1719278</v>
      </c>
      <c r="H1513" t="s">
        <v>1207</v>
      </c>
      <c r="I1513">
        <v>40</v>
      </c>
      <c r="J1513" s="1">
        <v>932000</v>
      </c>
      <c r="K1513" t="s">
        <v>26</v>
      </c>
      <c r="L1513" s="1">
        <v>932000</v>
      </c>
      <c r="M1513" t="s">
        <v>26</v>
      </c>
      <c r="Q1513" t="s">
        <v>27</v>
      </c>
      <c r="T1513" t="s">
        <v>1007</v>
      </c>
      <c r="X1513" t="s">
        <v>30</v>
      </c>
      <c r="Y1513">
        <v>1719278</v>
      </c>
      <c r="Z1513">
        <v>20251031</v>
      </c>
    </row>
    <row r="1514" spans="3:26" x14ac:dyDescent="0.25">
      <c r="C1514">
        <v>10000001</v>
      </c>
      <c r="D1514" t="s">
        <v>1207</v>
      </c>
      <c r="F1514">
        <v>1719278</v>
      </c>
      <c r="H1514" t="s">
        <v>1207</v>
      </c>
      <c r="I1514">
        <v>40</v>
      </c>
      <c r="J1514" s="1">
        <v>908000</v>
      </c>
      <c r="K1514" t="s">
        <v>26</v>
      </c>
      <c r="L1514" s="1">
        <v>908000</v>
      </c>
      <c r="M1514" t="s">
        <v>26</v>
      </c>
      <c r="Q1514" t="s">
        <v>27</v>
      </c>
      <c r="T1514" t="s">
        <v>1060</v>
      </c>
      <c r="X1514" t="s">
        <v>30</v>
      </c>
      <c r="Y1514">
        <v>1719278</v>
      </c>
      <c r="Z1514">
        <v>20251031</v>
      </c>
    </row>
    <row r="1515" spans="3:26" x14ac:dyDescent="0.25">
      <c r="C1515">
        <v>10000001</v>
      </c>
      <c r="D1515" t="s">
        <v>1207</v>
      </c>
      <c r="F1515">
        <v>1719278</v>
      </c>
      <c r="H1515" t="s">
        <v>1207</v>
      </c>
      <c r="I1515">
        <v>40</v>
      </c>
      <c r="J1515" s="1">
        <v>604000</v>
      </c>
      <c r="K1515" t="s">
        <v>26</v>
      </c>
      <c r="L1515" s="1">
        <v>604000</v>
      </c>
      <c r="M1515" t="s">
        <v>26</v>
      </c>
      <c r="Q1515" t="s">
        <v>27</v>
      </c>
      <c r="T1515" t="s">
        <v>997</v>
      </c>
      <c r="X1515" t="s">
        <v>30</v>
      </c>
      <c r="Y1515">
        <v>1719278</v>
      </c>
      <c r="Z1515">
        <v>20251031</v>
      </c>
    </row>
    <row r="1516" spans="3:26" x14ac:dyDescent="0.25">
      <c r="C1516">
        <v>10000001</v>
      </c>
      <c r="D1516" t="s">
        <v>1207</v>
      </c>
      <c r="F1516">
        <v>1719278</v>
      </c>
      <c r="H1516" t="s">
        <v>1207</v>
      </c>
      <c r="I1516">
        <v>40</v>
      </c>
      <c r="J1516" s="1">
        <v>150000</v>
      </c>
      <c r="K1516" t="s">
        <v>26</v>
      </c>
      <c r="L1516" s="1">
        <v>150000</v>
      </c>
      <c r="M1516" t="s">
        <v>26</v>
      </c>
      <c r="Q1516" t="s">
        <v>27</v>
      </c>
      <c r="T1516" t="s">
        <v>908</v>
      </c>
      <c r="X1516" t="s">
        <v>30</v>
      </c>
      <c r="Y1516">
        <v>1719278</v>
      </c>
      <c r="Z1516">
        <v>20251031</v>
      </c>
    </row>
    <row r="1517" spans="3:26" x14ac:dyDescent="0.25">
      <c r="C1517">
        <v>10000001</v>
      </c>
      <c r="D1517" t="s">
        <v>1207</v>
      </c>
      <c r="F1517">
        <v>1719278</v>
      </c>
      <c r="H1517" t="s">
        <v>1207</v>
      </c>
      <c r="I1517">
        <v>40</v>
      </c>
      <c r="J1517" s="1">
        <v>728000</v>
      </c>
      <c r="K1517" t="s">
        <v>26</v>
      </c>
      <c r="L1517" s="1">
        <v>728000</v>
      </c>
      <c r="M1517" t="s">
        <v>26</v>
      </c>
      <c r="Q1517" t="s">
        <v>27</v>
      </c>
      <c r="T1517" t="s">
        <v>1051</v>
      </c>
      <c r="X1517" t="s">
        <v>30</v>
      </c>
      <c r="Y1517">
        <v>1719278</v>
      </c>
      <c r="Z1517">
        <v>20251031</v>
      </c>
    </row>
    <row r="1518" spans="3:26" x14ac:dyDescent="0.25">
      <c r="C1518">
        <v>10000001</v>
      </c>
      <c r="D1518" t="s">
        <v>1207</v>
      </c>
      <c r="F1518">
        <v>1719278</v>
      </c>
      <c r="H1518" t="s">
        <v>1207</v>
      </c>
      <c r="I1518">
        <v>40</v>
      </c>
      <c r="J1518" s="1">
        <v>625000</v>
      </c>
      <c r="K1518" t="s">
        <v>26</v>
      </c>
      <c r="L1518" s="1">
        <v>625000</v>
      </c>
      <c r="M1518" t="s">
        <v>26</v>
      </c>
      <c r="Q1518" t="s">
        <v>27</v>
      </c>
      <c r="T1518" t="s">
        <v>928</v>
      </c>
      <c r="X1518" t="s">
        <v>30</v>
      </c>
      <c r="Y1518">
        <v>1719278</v>
      </c>
      <c r="Z1518">
        <v>20251031</v>
      </c>
    </row>
    <row r="1519" spans="3:26" x14ac:dyDescent="0.25">
      <c r="C1519">
        <v>10000001</v>
      </c>
      <c r="D1519" t="s">
        <v>1207</v>
      </c>
      <c r="F1519">
        <v>1719278</v>
      </c>
      <c r="H1519" t="s">
        <v>1207</v>
      </c>
      <c r="I1519">
        <v>40</v>
      </c>
      <c r="J1519" s="1">
        <v>290470</v>
      </c>
      <c r="K1519" t="s">
        <v>26</v>
      </c>
      <c r="L1519" s="1">
        <v>290470</v>
      </c>
      <c r="M1519" t="s">
        <v>26</v>
      </c>
      <c r="Q1519" t="s">
        <v>27</v>
      </c>
      <c r="T1519" t="s">
        <v>930</v>
      </c>
      <c r="X1519" t="s">
        <v>30</v>
      </c>
      <c r="Y1519">
        <v>1719278</v>
      </c>
      <c r="Z1519">
        <v>20251031</v>
      </c>
    </row>
    <row r="1520" spans="3:26" x14ac:dyDescent="0.25">
      <c r="C1520">
        <v>10000001</v>
      </c>
      <c r="D1520" t="s">
        <v>1207</v>
      </c>
      <c r="F1520">
        <v>1719278</v>
      </c>
      <c r="H1520" t="s">
        <v>1207</v>
      </c>
      <c r="I1520">
        <v>40</v>
      </c>
      <c r="J1520" s="1">
        <v>190700</v>
      </c>
      <c r="K1520" t="s">
        <v>26</v>
      </c>
      <c r="L1520" s="1">
        <v>190700</v>
      </c>
      <c r="M1520" t="s">
        <v>26</v>
      </c>
      <c r="Q1520" t="s">
        <v>27</v>
      </c>
      <c r="T1520" t="s">
        <v>994</v>
      </c>
      <c r="X1520" t="s">
        <v>30</v>
      </c>
      <c r="Y1520">
        <v>1719278</v>
      </c>
      <c r="Z1520">
        <v>20251031</v>
      </c>
    </row>
    <row r="1521" spans="3:26" x14ac:dyDescent="0.25">
      <c r="C1521">
        <v>10000001</v>
      </c>
      <c r="D1521" t="s">
        <v>1207</v>
      </c>
      <c r="F1521">
        <v>1719278</v>
      </c>
      <c r="H1521" t="s">
        <v>1207</v>
      </c>
      <c r="I1521">
        <v>40</v>
      </c>
      <c r="J1521" s="1">
        <v>463000</v>
      </c>
      <c r="K1521" t="s">
        <v>26</v>
      </c>
      <c r="L1521" s="1">
        <v>463000</v>
      </c>
      <c r="M1521" t="s">
        <v>26</v>
      </c>
      <c r="Q1521" t="s">
        <v>27</v>
      </c>
      <c r="T1521" t="s">
        <v>981</v>
      </c>
      <c r="X1521" t="s">
        <v>30</v>
      </c>
      <c r="Y1521">
        <v>1719278</v>
      </c>
      <c r="Z1521">
        <v>20251031</v>
      </c>
    </row>
    <row r="1522" spans="3:26" x14ac:dyDescent="0.25">
      <c r="C1522">
        <v>10000001</v>
      </c>
      <c r="D1522" t="s">
        <v>1207</v>
      </c>
      <c r="F1522">
        <v>1719278</v>
      </c>
      <c r="H1522" t="s">
        <v>1207</v>
      </c>
      <c r="I1522">
        <v>40</v>
      </c>
      <c r="J1522" s="1">
        <v>80000</v>
      </c>
      <c r="K1522" t="s">
        <v>26</v>
      </c>
      <c r="L1522" s="1">
        <v>80000</v>
      </c>
      <c r="M1522" t="s">
        <v>26</v>
      </c>
      <c r="Q1522" t="s">
        <v>27</v>
      </c>
      <c r="T1522" t="s">
        <v>957</v>
      </c>
      <c r="X1522" t="s">
        <v>30</v>
      </c>
      <c r="Y1522">
        <v>1719278</v>
      </c>
      <c r="Z1522">
        <v>20251031</v>
      </c>
    </row>
    <row r="1523" spans="3:26" x14ac:dyDescent="0.25">
      <c r="C1523">
        <v>10000001</v>
      </c>
      <c r="D1523" t="s">
        <v>1207</v>
      </c>
      <c r="F1523">
        <v>1719278</v>
      </c>
      <c r="H1523" t="s">
        <v>1207</v>
      </c>
      <c r="I1523">
        <v>40</v>
      </c>
      <c r="J1523" s="1">
        <v>152000</v>
      </c>
      <c r="K1523" t="s">
        <v>26</v>
      </c>
      <c r="L1523" s="1">
        <v>152000</v>
      </c>
      <c r="M1523" t="s">
        <v>26</v>
      </c>
      <c r="Q1523" t="s">
        <v>27</v>
      </c>
      <c r="T1523" t="s">
        <v>1132</v>
      </c>
      <c r="X1523" t="s">
        <v>30</v>
      </c>
      <c r="Y1523">
        <v>1719278</v>
      </c>
      <c r="Z1523">
        <v>20251031</v>
      </c>
    </row>
    <row r="1524" spans="3:26" x14ac:dyDescent="0.25">
      <c r="C1524">
        <v>10000001</v>
      </c>
      <c r="D1524" t="s">
        <v>1207</v>
      </c>
      <c r="F1524">
        <v>1719278</v>
      </c>
      <c r="H1524" t="s">
        <v>1207</v>
      </c>
      <c r="I1524">
        <v>40</v>
      </c>
      <c r="J1524" s="1">
        <v>704000</v>
      </c>
      <c r="K1524" t="s">
        <v>26</v>
      </c>
      <c r="L1524" s="1">
        <v>704000</v>
      </c>
      <c r="M1524" t="s">
        <v>26</v>
      </c>
      <c r="Q1524" t="s">
        <v>27</v>
      </c>
      <c r="T1524" t="s">
        <v>1163</v>
      </c>
      <c r="X1524" t="s">
        <v>30</v>
      </c>
      <c r="Y1524">
        <v>1719278</v>
      </c>
      <c r="Z1524">
        <v>20251031</v>
      </c>
    </row>
    <row r="1525" spans="3:26" x14ac:dyDescent="0.25">
      <c r="C1525">
        <v>10000001</v>
      </c>
      <c r="D1525" t="s">
        <v>1207</v>
      </c>
      <c r="F1525">
        <v>1719278</v>
      </c>
      <c r="H1525" t="s">
        <v>1207</v>
      </c>
      <c r="I1525">
        <v>40</v>
      </c>
      <c r="J1525" s="1">
        <v>150000</v>
      </c>
      <c r="K1525" t="s">
        <v>26</v>
      </c>
      <c r="L1525" s="1">
        <v>150000</v>
      </c>
      <c r="M1525" t="s">
        <v>26</v>
      </c>
      <c r="Q1525" t="s">
        <v>27</v>
      </c>
      <c r="T1525" t="s">
        <v>863</v>
      </c>
      <c r="X1525" t="s">
        <v>30</v>
      </c>
      <c r="Y1525">
        <v>1719278</v>
      </c>
      <c r="Z1525">
        <v>20251031</v>
      </c>
    </row>
    <row r="1526" spans="3:26" x14ac:dyDescent="0.25">
      <c r="C1526">
        <v>10000001</v>
      </c>
      <c r="D1526" t="s">
        <v>1207</v>
      </c>
      <c r="F1526">
        <v>1719278</v>
      </c>
      <c r="H1526" t="s">
        <v>1207</v>
      </c>
      <c r="I1526">
        <v>40</v>
      </c>
      <c r="J1526" s="1">
        <v>1000000</v>
      </c>
      <c r="K1526" t="s">
        <v>26</v>
      </c>
      <c r="L1526" s="1">
        <v>1000000</v>
      </c>
      <c r="M1526" t="s">
        <v>26</v>
      </c>
      <c r="Q1526" t="s">
        <v>27</v>
      </c>
      <c r="T1526" t="s">
        <v>843</v>
      </c>
      <c r="X1526" t="s">
        <v>30</v>
      </c>
      <c r="Y1526">
        <v>1719278</v>
      </c>
      <c r="Z1526">
        <v>20251031</v>
      </c>
    </row>
    <row r="1527" spans="3:26" x14ac:dyDescent="0.25">
      <c r="C1527">
        <v>10000001</v>
      </c>
      <c r="D1527" t="s">
        <v>1207</v>
      </c>
      <c r="F1527">
        <v>1719278</v>
      </c>
      <c r="H1527" t="s">
        <v>1207</v>
      </c>
      <c r="I1527">
        <v>40</v>
      </c>
      <c r="J1527" s="1">
        <v>706000</v>
      </c>
      <c r="K1527" t="s">
        <v>26</v>
      </c>
      <c r="L1527" s="1">
        <v>706000</v>
      </c>
      <c r="M1527" t="s">
        <v>26</v>
      </c>
      <c r="Q1527" t="s">
        <v>27</v>
      </c>
      <c r="T1527" t="s">
        <v>1109</v>
      </c>
      <c r="X1527" t="s">
        <v>30</v>
      </c>
      <c r="Y1527">
        <v>1719278</v>
      </c>
      <c r="Z1527">
        <v>20251031</v>
      </c>
    </row>
    <row r="1528" spans="3:26" x14ac:dyDescent="0.25">
      <c r="C1528">
        <v>10000001</v>
      </c>
      <c r="D1528" t="s">
        <v>1207</v>
      </c>
      <c r="F1528">
        <v>1719278</v>
      </c>
      <c r="H1528" t="s">
        <v>1207</v>
      </c>
      <c r="I1528">
        <v>40</v>
      </c>
      <c r="J1528" s="1">
        <v>293655</v>
      </c>
      <c r="K1528" t="s">
        <v>26</v>
      </c>
      <c r="L1528" s="1">
        <v>293655</v>
      </c>
      <c r="M1528" t="s">
        <v>26</v>
      </c>
      <c r="Q1528" t="s">
        <v>27</v>
      </c>
      <c r="T1528" t="s">
        <v>1185</v>
      </c>
      <c r="X1528" t="s">
        <v>30</v>
      </c>
      <c r="Y1528">
        <v>1719278</v>
      </c>
      <c r="Z1528">
        <v>20251031</v>
      </c>
    </row>
    <row r="1529" spans="3:26" x14ac:dyDescent="0.25">
      <c r="C1529">
        <v>10000001</v>
      </c>
      <c r="D1529" t="s">
        <v>1207</v>
      </c>
      <c r="F1529">
        <v>1719278</v>
      </c>
      <c r="H1529" t="s">
        <v>1207</v>
      </c>
      <c r="I1529">
        <v>40</v>
      </c>
      <c r="J1529" s="1">
        <v>932500</v>
      </c>
      <c r="K1529" t="s">
        <v>26</v>
      </c>
      <c r="L1529" s="1">
        <v>932500</v>
      </c>
      <c r="M1529" t="s">
        <v>26</v>
      </c>
      <c r="Q1529" t="s">
        <v>27</v>
      </c>
      <c r="T1529" t="s">
        <v>915</v>
      </c>
      <c r="X1529" t="s">
        <v>30</v>
      </c>
      <c r="Y1529">
        <v>1719278</v>
      </c>
      <c r="Z1529">
        <v>20251031</v>
      </c>
    </row>
    <row r="1530" spans="3:26" x14ac:dyDescent="0.25">
      <c r="C1530">
        <v>10000001</v>
      </c>
      <c r="D1530" t="s">
        <v>1207</v>
      </c>
      <c r="F1530">
        <v>1719278</v>
      </c>
      <c r="H1530" t="s">
        <v>1207</v>
      </c>
      <c r="I1530">
        <v>40</v>
      </c>
      <c r="J1530" s="1">
        <v>760000</v>
      </c>
      <c r="K1530" t="s">
        <v>26</v>
      </c>
      <c r="L1530" s="1">
        <v>760000</v>
      </c>
      <c r="M1530" t="s">
        <v>26</v>
      </c>
      <c r="Q1530" t="s">
        <v>27</v>
      </c>
      <c r="T1530" t="s">
        <v>1192</v>
      </c>
      <c r="X1530" t="s">
        <v>30</v>
      </c>
      <c r="Y1530">
        <v>1719278</v>
      </c>
      <c r="Z1530">
        <v>20251031</v>
      </c>
    </row>
    <row r="1531" spans="3:26" x14ac:dyDescent="0.25">
      <c r="C1531">
        <v>10000001</v>
      </c>
      <c r="D1531" t="s">
        <v>1207</v>
      </c>
      <c r="F1531">
        <v>1719278</v>
      </c>
      <c r="H1531" t="s">
        <v>1207</v>
      </c>
      <c r="I1531">
        <v>40</v>
      </c>
      <c r="J1531" s="1">
        <v>971000</v>
      </c>
      <c r="K1531" t="s">
        <v>26</v>
      </c>
      <c r="L1531" s="1">
        <v>971000</v>
      </c>
      <c r="M1531" t="s">
        <v>26</v>
      </c>
      <c r="Q1531" t="s">
        <v>27</v>
      </c>
      <c r="T1531" t="s">
        <v>1190</v>
      </c>
      <c r="X1531" t="s">
        <v>30</v>
      </c>
      <c r="Y1531">
        <v>1719278</v>
      </c>
      <c r="Z1531">
        <v>20251031</v>
      </c>
    </row>
    <row r="1532" spans="3:26" x14ac:dyDescent="0.25">
      <c r="C1532">
        <v>10000001</v>
      </c>
      <c r="D1532" t="s">
        <v>1207</v>
      </c>
      <c r="F1532">
        <v>1719278</v>
      </c>
      <c r="H1532" t="s">
        <v>1207</v>
      </c>
      <c r="I1532">
        <v>40</v>
      </c>
      <c r="J1532" s="1">
        <v>859500</v>
      </c>
      <c r="K1532" t="s">
        <v>26</v>
      </c>
      <c r="L1532" s="1">
        <v>859500</v>
      </c>
      <c r="M1532" t="s">
        <v>26</v>
      </c>
      <c r="Q1532" t="s">
        <v>27</v>
      </c>
      <c r="T1532" t="s">
        <v>1053</v>
      </c>
      <c r="X1532" t="s">
        <v>30</v>
      </c>
      <c r="Y1532">
        <v>1719278</v>
      </c>
      <c r="Z1532">
        <v>20251031</v>
      </c>
    </row>
    <row r="1533" spans="3:26" x14ac:dyDescent="0.25">
      <c r="C1533">
        <v>10000001</v>
      </c>
      <c r="D1533" t="s">
        <v>1207</v>
      </c>
      <c r="F1533">
        <v>1719278</v>
      </c>
      <c r="H1533" t="s">
        <v>1207</v>
      </c>
      <c r="I1533">
        <v>40</v>
      </c>
      <c r="J1533" s="1">
        <v>331000</v>
      </c>
      <c r="K1533" t="s">
        <v>26</v>
      </c>
      <c r="L1533" s="1">
        <v>331000</v>
      </c>
      <c r="M1533" t="s">
        <v>26</v>
      </c>
      <c r="Q1533" t="s">
        <v>27</v>
      </c>
      <c r="T1533" t="s">
        <v>1088</v>
      </c>
      <c r="X1533" t="s">
        <v>30</v>
      </c>
      <c r="Y1533">
        <v>1719278</v>
      </c>
      <c r="Z1533">
        <v>20251031</v>
      </c>
    </row>
    <row r="1534" spans="3:26" x14ac:dyDescent="0.25">
      <c r="C1534">
        <v>10000001</v>
      </c>
      <c r="D1534" t="s">
        <v>1207</v>
      </c>
      <c r="F1534">
        <v>1719278</v>
      </c>
      <c r="H1534" t="s">
        <v>1207</v>
      </c>
      <c r="I1534">
        <v>40</v>
      </c>
      <c r="J1534" s="1">
        <v>80000</v>
      </c>
      <c r="K1534" t="s">
        <v>26</v>
      </c>
      <c r="L1534" s="1">
        <v>80000</v>
      </c>
      <c r="M1534" t="s">
        <v>26</v>
      </c>
      <c r="Q1534" t="s">
        <v>27</v>
      </c>
      <c r="T1534" t="s">
        <v>847</v>
      </c>
      <c r="X1534" t="s">
        <v>30</v>
      </c>
      <c r="Y1534">
        <v>1719278</v>
      </c>
      <c r="Z1534">
        <v>20251031</v>
      </c>
    </row>
    <row r="1535" spans="3:26" x14ac:dyDescent="0.25">
      <c r="C1535">
        <v>10000001</v>
      </c>
      <c r="D1535" t="s">
        <v>1207</v>
      </c>
      <c r="F1535">
        <v>1719278</v>
      </c>
      <c r="H1535" t="s">
        <v>1207</v>
      </c>
      <c r="I1535">
        <v>40</v>
      </c>
      <c r="J1535" s="1">
        <v>977000</v>
      </c>
      <c r="K1535" t="s">
        <v>26</v>
      </c>
      <c r="L1535" s="1">
        <v>977000</v>
      </c>
      <c r="M1535" t="s">
        <v>26</v>
      </c>
      <c r="Q1535" t="s">
        <v>27</v>
      </c>
      <c r="T1535" t="s">
        <v>1047</v>
      </c>
      <c r="X1535" t="s">
        <v>30</v>
      </c>
      <c r="Y1535">
        <v>1719278</v>
      </c>
      <c r="Z1535">
        <v>20251031</v>
      </c>
    </row>
    <row r="1536" spans="3:26" x14ac:dyDescent="0.25">
      <c r="C1536">
        <v>10000001</v>
      </c>
      <c r="D1536" t="s">
        <v>1207</v>
      </c>
      <c r="F1536">
        <v>1719278</v>
      </c>
      <c r="H1536" t="s">
        <v>1207</v>
      </c>
      <c r="I1536">
        <v>40</v>
      </c>
      <c r="J1536" s="1">
        <v>147000</v>
      </c>
      <c r="K1536" t="s">
        <v>26</v>
      </c>
      <c r="L1536" s="1">
        <v>147000</v>
      </c>
      <c r="M1536" t="s">
        <v>26</v>
      </c>
      <c r="Q1536" t="s">
        <v>27</v>
      </c>
      <c r="T1536" t="s">
        <v>1020</v>
      </c>
      <c r="X1536" t="s">
        <v>30</v>
      </c>
      <c r="Y1536">
        <v>1719278</v>
      </c>
      <c r="Z1536">
        <v>20251031</v>
      </c>
    </row>
    <row r="1537" spans="3:26" x14ac:dyDescent="0.25">
      <c r="C1537">
        <v>10000001</v>
      </c>
      <c r="D1537" t="s">
        <v>1207</v>
      </c>
      <c r="F1537">
        <v>1719278</v>
      </c>
      <c r="H1537" t="s">
        <v>1207</v>
      </c>
      <c r="I1537">
        <v>40</v>
      </c>
      <c r="J1537" s="1">
        <v>601025</v>
      </c>
      <c r="K1537" t="s">
        <v>26</v>
      </c>
      <c r="L1537" s="1">
        <v>601025</v>
      </c>
      <c r="M1537" t="s">
        <v>26</v>
      </c>
      <c r="Q1537" t="s">
        <v>27</v>
      </c>
      <c r="T1537" t="s">
        <v>901</v>
      </c>
      <c r="X1537" t="s">
        <v>30</v>
      </c>
      <c r="Y1537">
        <v>1719278</v>
      </c>
      <c r="Z1537">
        <v>20251031</v>
      </c>
    </row>
    <row r="1538" spans="3:26" x14ac:dyDescent="0.25">
      <c r="C1538">
        <v>10000001</v>
      </c>
      <c r="D1538" t="s">
        <v>1207</v>
      </c>
      <c r="F1538">
        <v>1719278</v>
      </c>
      <c r="H1538" t="s">
        <v>1207</v>
      </c>
      <c r="I1538">
        <v>40</v>
      </c>
      <c r="J1538" s="1">
        <v>163700</v>
      </c>
      <c r="K1538" t="s">
        <v>26</v>
      </c>
      <c r="L1538" s="1">
        <v>163700</v>
      </c>
      <c r="M1538" t="s">
        <v>26</v>
      </c>
      <c r="Q1538" t="s">
        <v>27</v>
      </c>
      <c r="T1538" t="s">
        <v>993</v>
      </c>
      <c r="X1538" t="s">
        <v>30</v>
      </c>
      <c r="Y1538">
        <v>1719278</v>
      </c>
      <c r="Z1538">
        <v>20251031</v>
      </c>
    </row>
    <row r="1539" spans="3:26" x14ac:dyDescent="0.25">
      <c r="C1539">
        <v>10000001</v>
      </c>
      <c r="D1539" t="s">
        <v>1207</v>
      </c>
      <c r="F1539">
        <v>1719278</v>
      </c>
      <c r="H1539" t="s">
        <v>1207</v>
      </c>
      <c r="I1539">
        <v>40</v>
      </c>
      <c r="J1539" s="1">
        <v>990000</v>
      </c>
      <c r="K1539" t="s">
        <v>26</v>
      </c>
      <c r="L1539" s="1">
        <v>990000</v>
      </c>
      <c r="M1539" t="s">
        <v>26</v>
      </c>
      <c r="Q1539" t="s">
        <v>27</v>
      </c>
      <c r="T1539" t="s">
        <v>840</v>
      </c>
      <c r="X1539" t="s">
        <v>30</v>
      </c>
      <c r="Y1539">
        <v>1719278</v>
      </c>
      <c r="Z1539">
        <v>20251031</v>
      </c>
    </row>
    <row r="1540" spans="3:26" x14ac:dyDescent="0.25">
      <c r="C1540">
        <v>10000001</v>
      </c>
      <c r="D1540" t="s">
        <v>1207</v>
      </c>
      <c r="F1540">
        <v>1719278</v>
      </c>
      <c r="H1540" t="s">
        <v>1207</v>
      </c>
      <c r="I1540">
        <v>40</v>
      </c>
      <c r="J1540" s="1">
        <v>990000</v>
      </c>
      <c r="K1540" t="s">
        <v>26</v>
      </c>
      <c r="L1540" s="1">
        <v>990000</v>
      </c>
      <c r="M1540" t="s">
        <v>26</v>
      </c>
      <c r="Q1540" t="s">
        <v>27</v>
      </c>
      <c r="T1540" t="s">
        <v>849</v>
      </c>
      <c r="X1540" t="s">
        <v>30</v>
      </c>
      <c r="Y1540">
        <v>1719278</v>
      </c>
      <c r="Z1540">
        <v>20251031</v>
      </c>
    </row>
    <row r="1541" spans="3:26" x14ac:dyDescent="0.25">
      <c r="C1541">
        <v>10000001</v>
      </c>
      <c r="D1541" t="s">
        <v>1207</v>
      </c>
      <c r="F1541">
        <v>1719278</v>
      </c>
      <c r="H1541" t="s">
        <v>1207</v>
      </c>
      <c r="I1541">
        <v>40</v>
      </c>
      <c r="J1541" s="1">
        <v>152000</v>
      </c>
      <c r="K1541" t="s">
        <v>26</v>
      </c>
      <c r="L1541" s="1">
        <v>152000</v>
      </c>
      <c r="M1541" t="s">
        <v>26</v>
      </c>
      <c r="Q1541" t="s">
        <v>27</v>
      </c>
      <c r="T1541" t="s">
        <v>1157</v>
      </c>
      <c r="X1541" t="s">
        <v>30</v>
      </c>
      <c r="Y1541">
        <v>1719278</v>
      </c>
      <c r="Z1541">
        <v>20251031</v>
      </c>
    </row>
    <row r="1542" spans="3:26" x14ac:dyDescent="0.25">
      <c r="C1542">
        <v>10000001</v>
      </c>
      <c r="D1542" t="s">
        <v>1207</v>
      </c>
      <c r="F1542">
        <v>1719278</v>
      </c>
      <c r="H1542" t="s">
        <v>1207</v>
      </c>
      <c r="I1542">
        <v>40</v>
      </c>
      <c r="J1542" s="1">
        <v>995000</v>
      </c>
      <c r="K1542" t="s">
        <v>26</v>
      </c>
      <c r="L1542" s="1">
        <v>995000</v>
      </c>
      <c r="M1542" t="s">
        <v>26</v>
      </c>
      <c r="Q1542" t="s">
        <v>27</v>
      </c>
      <c r="T1542" t="s">
        <v>1058</v>
      </c>
      <c r="X1542" t="s">
        <v>30</v>
      </c>
      <c r="Y1542">
        <v>1719278</v>
      </c>
      <c r="Z1542">
        <v>20251031</v>
      </c>
    </row>
    <row r="1543" spans="3:26" x14ac:dyDescent="0.25">
      <c r="C1543">
        <v>10000001</v>
      </c>
      <c r="D1543" t="s">
        <v>1207</v>
      </c>
      <c r="F1543">
        <v>1719278</v>
      </c>
      <c r="H1543" t="s">
        <v>1207</v>
      </c>
      <c r="I1543">
        <v>40</v>
      </c>
      <c r="J1543" s="1">
        <v>348280</v>
      </c>
      <c r="K1543" t="s">
        <v>26</v>
      </c>
      <c r="L1543" s="1">
        <v>348280</v>
      </c>
      <c r="M1543" t="s">
        <v>26</v>
      </c>
      <c r="Q1543" t="s">
        <v>27</v>
      </c>
      <c r="T1543" t="s">
        <v>979</v>
      </c>
      <c r="X1543" t="s">
        <v>30</v>
      </c>
      <c r="Y1543">
        <v>1719278</v>
      </c>
      <c r="Z1543">
        <v>20251031</v>
      </c>
    </row>
    <row r="1544" spans="3:26" x14ac:dyDescent="0.25">
      <c r="C1544">
        <v>10000001</v>
      </c>
      <c r="D1544" t="s">
        <v>1207</v>
      </c>
      <c r="F1544">
        <v>1719278</v>
      </c>
      <c r="H1544" t="s">
        <v>1207</v>
      </c>
      <c r="I1544">
        <v>40</v>
      </c>
      <c r="J1544" s="1">
        <v>977000</v>
      </c>
      <c r="K1544" t="s">
        <v>26</v>
      </c>
      <c r="L1544" s="1">
        <v>977000</v>
      </c>
      <c r="M1544" t="s">
        <v>26</v>
      </c>
      <c r="Q1544" t="s">
        <v>27</v>
      </c>
      <c r="T1544" t="s">
        <v>1168</v>
      </c>
      <c r="X1544" t="s">
        <v>30</v>
      </c>
      <c r="Y1544">
        <v>1719278</v>
      </c>
      <c r="Z1544">
        <v>20251031</v>
      </c>
    </row>
    <row r="1545" spans="3:26" x14ac:dyDescent="0.25">
      <c r="C1545">
        <v>10000001</v>
      </c>
      <c r="D1545" t="s">
        <v>1207</v>
      </c>
      <c r="F1545">
        <v>1719278</v>
      </c>
      <c r="H1545" t="s">
        <v>1207</v>
      </c>
      <c r="I1545">
        <v>40</v>
      </c>
      <c r="J1545" s="1">
        <v>57800</v>
      </c>
      <c r="K1545" t="s">
        <v>26</v>
      </c>
      <c r="L1545" s="1">
        <v>57800</v>
      </c>
      <c r="M1545" t="s">
        <v>26</v>
      </c>
      <c r="Q1545" t="s">
        <v>27</v>
      </c>
      <c r="T1545" t="s">
        <v>1062</v>
      </c>
      <c r="X1545" t="s">
        <v>30</v>
      </c>
      <c r="Y1545">
        <v>1719278</v>
      </c>
      <c r="Z1545">
        <v>20251031</v>
      </c>
    </row>
    <row r="1546" spans="3:26" x14ac:dyDescent="0.25">
      <c r="C1546">
        <v>10000001</v>
      </c>
      <c r="D1546" t="s">
        <v>1207</v>
      </c>
      <c r="F1546">
        <v>1719278</v>
      </c>
      <c r="H1546" t="s">
        <v>1207</v>
      </c>
      <c r="I1546">
        <v>40</v>
      </c>
      <c r="J1546" s="1">
        <v>586500</v>
      </c>
      <c r="K1546" t="s">
        <v>26</v>
      </c>
      <c r="L1546" s="1">
        <v>586500</v>
      </c>
      <c r="M1546" t="s">
        <v>26</v>
      </c>
      <c r="Q1546" t="s">
        <v>27</v>
      </c>
      <c r="T1546" t="s">
        <v>938</v>
      </c>
      <c r="X1546" t="s">
        <v>30</v>
      </c>
      <c r="Y1546">
        <v>1719278</v>
      </c>
      <c r="Z1546">
        <v>20251031</v>
      </c>
    </row>
    <row r="1547" spans="3:26" x14ac:dyDescent="0.25">
      <c r="C1547">
        <v>10000001</v>
      </c>
      <c r="D1547" t="s">
        <v>1207</v>
      </c>
      <c r="F1547">
        <v>1719278</v>
      </c>
      <c r="H1547" t="s">
        <v>1207</v>
      </c>
      <c r="I1547">
        <v>40</v>
      </c>
      <c r="J1547" s="1">
        <v>300000</v>
      </c>
      <c r="K1547" t="s">
        <v>26</v>
      </c>
      <c r="L1547" s="1">
        <v>300000</v>
      </c>
      <c r="M1547" t="s">
        <v>26</v>
      </c>
      <c r="Q1547" t="s">
        <v>27</v>
      </c>
      <c r="T1547" t="s">
        <v>181</v>
      </c>
      <c r="X1547" t="s">
        <v>30</v>
      </c>
      <c r="Y1547">
        <v>1719278</v>
      </c>
      <c r="Z1547">
        <v>20251031</v>
      </c>
    </row>
    <row r="1548" spans="3:26" x14ac:dyDescent="0.25">
      <c r="C1548">
        <v>10000001</v>
      </c>
      <c r="D1548" t="s">
        <v>1207</v>
      </c>
      <c r="F1548">
        <v>1719278</v>
      </c>
      <c r="H1548" t="s">
        <v>1207</v>
      </c>
      <c r="I1548">
        <v>40</v>
      </c>
      <c r="J1548" s="1">
        <v>375000</v>
      </c>
      <c r="K1548" t="s">
        <v>26</v>
      </c>
      <c r="L1548" s="1">
        <v>375000</v>
      </c>
      <c r="M1548" t="s">
        <v>26</v>
      </c>
      <c r="Q1548" t="s">
        <v>27</v>
      </c>
      <c r="T1548" t="s">
        <v>179</v>
      </c>
      <c r="X1548" t="s">
        <v>30</v>
      </c>
      <c r="Y1548">
        <v>1719278</v>
      </c>
      <c r="Z1548">
        <v>20251031</v>
      </c>
    </row>
    <row r="1549" spans="3:26" x14ac:dyDescent="0.25">
      <c r="C1549">
        <v>10000001</v>
      </c>
      <c r="D1549" t="s">
        <v>1207</v>
      </c>
      <c r="F1549">
        <v>1719278</v>
      </c>
      <c r="H1549" t="s">
        <v>1207</v>
      </c>
      <c r="I1549">
        <v>40</v>
      </c>
      <c r="J1549" s="1">
        <v>361000</v>
      </c>
      <c r="K1549" t="s">
        <v>26</v>
      </c>
      <c r="L1549" s="1">
        <v>361000</v>
      </c>
      <c r="M1549" t="s">
        <v>26</v>
      </c>
      <c r="Q1549" t="s">
        <v>27</v>
      </c>
      <c r="T1549" t="s">
        <v>1095</v>
      </c>
      <c r="X1549" t="s">
        <v>30</v>
      </c>
      <c r="Y1549">
        <v>1719278</v>
      </c>
      <c r="Z1549">
        <v>20251031</v>
      </c>
    </row>
    <row r="1550" spans="3:26" x14ac:dyDescent="0.25">
      <c r="C1550">
        <v>10000001</v>
      </c>
      <c r="D1550" t="s">
        <v>1207</v>
      </c>
      <c r="F1550">
        <v>1719278</v>
      </c>
      <c r="H1550" t="s">
        <v>1207</v>
      </c>
      <c r="I1550">
        <v>40</v>
      </c>
      <c r="J1550" s="1">
        <v>600000</v>
      </c>
      <c r="K1550" t="s">
        <v>26</v>
      </c>
      <c r="L1550" s="1">
        <v>600000</v>
      </c>
      <c r="M1550" t="s">
        <v>26</v>
      </c>
      <c r="Q1550" t="s">
        <v>27</v>
      </c>
      <c r="T1550" t="s">
        <v>991</v>
      </c>
      <c r="X1550" t="s">
        <v>30</v>
      </c>
      <c r="Y1550">
        <v>1719278</v>
      </c>
      <c r="Z1550">
        <v>20251031</v>
      </c>
    </row>
    <row r="1551" spans="3:26" x14ac:dyDescent="0.25">
      <c r="C1551">
        <v>10000001</v>
      </c>
      <c r="D1551" t="s">
        <v>1207</v>
      </c>
      <c r="F1551">
        <v>1719278</v>
      </c>
      <c r="H1551" t="s">
        <v>1207</v>
      </c>
      <c r="I1551">
        <v>40</v>
      </c>
      <c r="J1551" s="1">
        <v>198106</v>
      </c>
      <c r="K1551" t="s">
        <v>26</v>
      </c>
      <c r="L1551" s="1">
        <v>198106</v>
      </c>
      <c r="M1551" t="s">
        <v>26</v>
      </c>
      <c r="Q1551" t="s">
        <v>27</v>
      </c>
      <c r="T1551" t="s">
        <v>1038</v>
      </c>
      <c r="X1551" t="s">
        <v>30</v>
      </c>
      <c r="Y1551">
        <v>1719278</v>
      </c>
      <c r="Z1551">
        <v>20251031</v>
      </c>
    </row>
    <row r="1552" spans="3:26" x14ac:dyDescent="0.25">
      <c r="C1552">
        <v>10000001</v>
      </c>
      <c r="D1552" t="s">
        <v>1207</v>
      </c>
      <c r="F1552">
        <v>1719278</v>
      </c>
      <c r="H1552" t="s">
        <v>1207</v>
      </c>
      <c r="I1552">
        <v>40</v>
      </c>
      <c r="J1552" s="1">
        <v>80000</v>
      </c>
      <c r="K1552" t="s">
        <v>26</v>
      </c>
      <c r="L1552" s="1">
        <v>80000</v>
      </c>
      <c r="M1552" t="s">
        <v>26</v>
      </c>
      <c r="Q1552" t="s">
        <v>27</v>
      </c>
      <c r="T1552" t="s">
        <v>1042</v>
      </c>
      <c r="X1552" t="s">
        <v>30</v>
      </c>
      <c r="Y1552">
        <v>1719278</v>
      </c>
      <c r="Z1552">
        <v>20251031</v>
      </c>
    </row>
    <row r="1553" spans="3:26" x14ac:dyDescent="0.25">
      <c r="C1553">
        <v>10000001</v>
      </c>
      <c r="D1553" t="s">
        <v>1207</v>
      </c>
      <c r="F1553">
        <v>1719278</v>
      </c>
      <c r="H1553" t="s">
        <v>1207</v>
      </c>
      <c r="I1553">
        <v>40</v>
      </c>
      <c r="J1553" s="1">
        <v>470000</v>
      </c>
      <c r="K1553" t="s">
        <v>26</v>
      </c>
      <c r="L1553" s="1">
        <v>470000</v>
      </c>
      <c r="M1553" t="s">
        <v>26</v>
      </c>
      <c r="Q1553" t="s">
        <v>27</v>
      </c>
      <c r="T1553" t="s">
        <v>1178</v>
      </c>
      <c r="X1553" t="s">
        <v>30</v>
      </c>
      <c r="Y1553">
        <v>1719278</v>
      </c>
      <c r="Z1553">
        <v>20251031</v>
      </c>
    </row>
    <row r="1554" spans="3:26" x14ac:dyDescent="0.25">
      <c r="C1554">
        <v>10000001</v>
      </c>
      <c r="D1554" t="s">
        <v>1207</v>
      </c>
      <c r="F1554">
        <v>1719278</v>
      </c>
      <c r="H1554" t="s">
        <v>1207</v>
      </c>
      <c r="I1554">
        <v>40</v>
      </c>
      <c r="J1554" s="1">
        <v>600000</v>
      </c>
      <c r="K1554" t="s">
        <v>26</v>
      </c>
      <c r="L1554" s="1">
        <v>600000</v>
      </c>
      <c r="M1554" t="s">
        <v>26</v>
      </c>
      <c r="Q1554" t="s">
        <v>27</v>
      </c>
      <c r="T1554" t="s">
        <v>1136</v>
      </c>
      <c r="X1554" t="s">
        <v>30</v>
      </c>
      <c r="Y1554">
        <v>1719278</v>
      </c>
      <c r="Z1554">
        <v>20251031</v>
      </c>
    </row>
    <row r="1555" spans="3:26" x14ac:dyDescent="0.25">
      <c r="C1555">
        <v>10000001</v>
      </c>
      <c r="D1555" t="s">
        <v>1207</v>
      </c>
      <c r="F1555">
        <v>1719278</v>
      </c>
      <c r="H1555" t="s">
        <v>1207</v>
      </c>
      <c r="I1555">
        <v>40</v>
      </c>
      <c r="J1555" s="1">
        <v>545000</v>
      </c>
      <c r="K1555" t="s">
        <v>26</v>
      </c>
      <c r="L1555" s="1">
        <v>545000</v>
      </c>
      <c r="M1555" t="s">
        <v>26</v>
      </c>
      <c r="Q1555" t="s">
        <v>27</v>
      </c>
      <c r="T1555" t="s">
        <v>1036</v>
      </c>
      <c r="X1555" t="s">
        <v>30</v>
      </c>
      <c r="Y1555">
        <v>1719278</v>
      </c>
      <c r="Z1555">
        <v>20251031</v>
      </c>
    </row>
    <row r="1556" spans="3:26" x14ac:dyDescent="0.25">
      <c r="C1556">
        <v>10000001</v>
      </c>
      <c r="D1556" t="s">
        <v>1207</v>
      </c>
      <c r="F1556">
        <v>1719278</v>
      </c>
      <c r="H1556" t="s">
        <v>1207</v>
      </c>
      <c r="I1556">
        <v>40</v>
      </c>
      <c r="J1556" s="1">
        <v>202500</v>
      </c>
      <c r="K1556" t="s">
        <v>26</v>
      </c>
      <c r="L1556" s="1">
        <v>202500</v>
      </c>
      <c r="M1556" t="s">
        <v>26</v>
      </c>
      <c r="Q1556" t="s">
        <v>27</v>
      </c>
      <c r="T1556" t="s">
        <v>1105</v>
      </c>
      <c r="X1556" t="s">
        <v>30</v>
      </c>
      <c r="Y1556">
        <v>1719278</v>
      </c>
      <c r="Z1556">
        <v>20251031</v>
      </c>
    </row>
    <row r="1557" spans="3:26" x14ac:dyDescent="0.25">
      <c r="C1557">
        <v>10000001</v>
      </c>
      <c r="D1557" t="s">
        <v>1207</v>
      </c>
      <c r="F1557">
        <v>1719278</v>
      </c>
      <c r="H1557" t="s">
        <v>1207</v>
      </c>
      <c r="I1557">
        <v>40</v>
      </c>
      <c r="J1557" s="1">
        <v>931500</v>
      </c>
      <c r="K1557" t="s">
        <v>26</v>
      </c>
      <c r="L1557" s="1">
        <v>931500</v>
      </c>
      <c r="M1557" t="s">
        <v>26</v>
      </c>
      <c r="Q1557" t="s">
        <v>27</v>
      </c>
      <c r="T1557" t="s">
        <v>1090</v>
      </c>
      <c r="X1557" t="s">
        <v>30</v>
      </c>
      <c r="Y1557">
        <v>1719278</v>
      </c>
      <c r="Z1557">
        <v>20251031</v>
      </c>
    </row>
    <row r="1558" spans="3:26" x14ac:dyDescent="0.25">
      <c r="C1558">
        <v>10000001</v>
      </c>
      <c r="D1558" t="s">
        <v>1207</v>
      </c>
      <c r="F1558">
        <v>1719278</v>
      </c>
      <c r="H1558" t="s">
        <v>1207</v>
      </c>
      <c r="I1558">
        <v>40</v>
      </c>
      <c r="J1558" s="1">
        <v>740000</v>
      </c>
      <c r="K1558" t="s">
        <v>26</v>
      </c>
      <c r="L1558" s="1">
        <v>740000</v>
      </c>
      <c r="M1558" t="s">
        <v>26</v>
      </c>
      <c r="Q1558" t="s">
        <v>27</v>
      </c>
      <c r="T1558" t="s">
        <v>1064</v>
      </c>
      <c r="X1558" t="s">
        <v>30</v>
      </c>
      <c r="Y1558">
        <v>1719278</v>
      </c>
      <c r="Z1558">
        <v>20251031</v>
      </c>
    </row>
    <row r="1559" spans="3:26" x14ac:dyDescent="0.25">
      <c r="C1559">
        <v>10000001</v>
      </c>
      <c r="D1559" t="s">
        <v>1207</v>
      </c>
      <c r="F1559">
        <v>1719278</v>
      </c>
      <c r="H1559" t="s">
        <v>1207</v>
      </c>
      <c r="I1559">
        <v>40</v>
      </c>
      <c r="J1559" s="1">
        <v>590000</v>
      </c>
      <c r="K1559" t="s">
        <v>26</v>
      </c>
      <c r="L1559" s="1">
        <v>590000</v>
      </c>
      <c r="M1559" t="s">
        <v>26</v>
      </c>
      <c r="Q1559" t="s">
        <v>27</v>
      </c>
      <c r="T1559" t="s">
        <v>1092</v>
      </c>
      <c r="X1559" t="s">
        <v>30</v>
      </c>
      <c r="Y1559">
        <v>1719278</v>
      </c>
      <c r="Z1559">
        <v>20251031</v>
      </c>
    </row>
    <row r="1560" spans="3:26" x14ac:dyDescent="0.25">
      <c r="C1560">
        <v>10000001</v>
      </c>
      <c r="D1560" t="s">
        <v>1207</v>
      </c>
      <c r="F1560">
        <v>1719278</v>
      </c>
      <c r="H1560" t="s">
        <v>1207</v>
      </c>
      <c r="I1560">
        <v>40</v>
      </c>
      <c r="J1560" s="1">
        <v>530000</v>
      </c>
      <c r="K1560" t="s">
        <v>26</v>
      </c>
      <c r="L1560" s="1">
        <v>530000</v>
      </c>
      <c r="M1560" t="s">
        <v>26</v>
      </c>
      <c r="Q1560" t="s">
        <v>27</v>
      </c>
      <c r="T1560" t="s">
        <v>1134</v>
      </c>
      <c r="X1560" t="s">
        <v>30</v>
      </c>
      <c r="Y1560">
        <v>1719278</v>
      </c>
      <c r="Z1560">
        <v>20251031</v>
      </c>
    </row>
    <row r="1561" spans="3:26" x14ac:dyDescent="0.25">
      <c r="C1561">
        <v>10000001</v>
      </c>
      <c r="D1561" t="s">
        <v>1207</v>
      </c>
      <c r="F1561">
        <v>1719278</v>
      </c>
      <c r="H1561" t="s">
        <v>1207</v>
      </c>
      <c r="I1561">
        <v>40</v>
      </c>
      <c r="J1561" s="1">
        <v>610000</v>
      </c>
      <c r="K1561" t="s">
        <v>26</v>
      </c>
      <c r="L1561" s="1">
        <v>610000</v>
      </c>
      <c r="M1561" t="s">
        <v>26</v>
      </c>
      <c r="Q1561" t="s">
        <v>27</v>
      </c>
      <c r="T1561" t="s">
        <v>1097</v>
      </c>
      <c r="X1561" t="s">
        <v>30</v>
      </c>
      <c r="Y1561">
        <v>1719278</v>
      </c>
      <c r="Z1561">
        <v>20251031</v>
      </c>
    </row>
    <row r="1562" spans="3:26" x14ac:dyDescent="0.25">
      <c r="C1562">
        <v>10000001</v>
      </c>
      <c r="D1562" t="s">
        <v>1207</v>
      </c>
      <c r="F1562">
        <v>1719278</v>
      </c>
      <c r="H1562" t="s">
        <v>1207</v>
      </c>
      <c r="I1562">
        <v>40</v>
      </c>
      <c r="J1562" s="1">
        <v>690000</v>
      </c>
      <c r="K1562" t="s">
        <v>26</v>
      </c>
      <c r="L1562" s="1">
        <v>690000</v>
      </c>
      <c r="M1562" t="s">
        <v>26</v>
      </c>
      <c r="Q1562" t="s">
        <v>27</v>
      </c>
      <c r="T1562" t="s">
        <v>1143</v>
      </c>
      <c r="X1562" t="s">
        <v>30</v>
      </c>
      <c r="Y1562">
        <v>1719278</v>
      </c>
      <c r="Z1562">
        <v>20251031</v>
      </c>
    </row>
    <row r="1563" spans="3:26" x14ac:dyDescent="0.25">
      <c r="C1563">
        <v>10000001</v>
      </c>
      <c r="D1563" t="s">
        <v>1207</v>
      </c>
      <c r="F1563">
        <v>1719278</v>
      </c>
      <c r="H1563" t="s">
        <v>1207</v>
      </c>
      <c r="I1563">
        <v>40</v>
      </c>
      <c r="J1563" s="1">
        <v>780000</v>
      </c>
      <c r="K1563" t="s">
        <v>26</v>
      </c>
      <c r="L1563" s="1">
        <v>780000</v>
      </c>
      <c r="M1563" t="s">
        <v>26</v>
      </c>
      <c r="Q1563" t="s">
        <v>27</v>
      </c>
      <c r="T1563" t="s">
        <v>867</v>
      </c>
      <c r="X1563" t="s">
        <v>30</v>
      </c>
      <c r="Y1563">
        <v>1719278</v>
      </c>
      <c r="Z1563">
        <v>20251031</v>
      </c>
    </row>
    <row r="1564" spans="3:26" x14ac:dyDescent="0.25">
      <c r="C1564">
        <v>10000001</v>
      </c>
      <c r="D1564" t="s">
        <v>1207</v>
      </c>
      <c r="F1564">
        <v>1719278</v>
      </c>
      <c r="H1564" t="s">
        <v>1207</v>
      </c>
      <c r="I1564">
        <v>40</v>
      </c>
      <c r="J1564" s="1">
        <v>630000</v>
      </c>
      <c r="K1564" t="s">
        <v>26</v>
      </c>
      <c r="L1564" s="1">
        <v>630000</v>
      </c>
      <c r="M1564" t="s">
        <v>26</v>
      </c>
      <c r="Q1564" t="s">
        <v>27</v>
      </c>
      <c r="T1564" t="s">
        <v>1161</v>
      </c>
      <c r="X1564" t="s">
        <v>30</v>
      </c>
      <c r="Y1564">
        <v>1719278</v>
      </c>
      <c r="Z1564">
        <v>20251031</v>
      </c>
    </row>
    <row r="1565" spans="3:26" x14ac:dyDescent="0.25">
      <c r="C1565">
        <v>10000001</v>
      </c>
      <c r="D1565" t="s">
        <v>1207</v>
      </c>
      <c r="F1565">
        <v>1719278</v>
      </c>
      <c r="H1565" t="s">
        <v>1207</v>
      </c>
      <c r="I1565">
        <v>40</v>
      </c>
      <c r="J1565" s="1">
        <v>560000</v>
      </c>
      <c r="K1565" t="s">
        <v>26</v>
      </c>
      <c r="L1565" s="1">
        <v>560000</v>
      </c>
      <c r="M1565" t="s">
        <v>26</v>
      </c>
      <c r="Q1565" t="s">
        <v>27</v>
      </c>
      <c r="T1565" t="s">
        <v>1194</v>
      </c>
      <c r="X1565" t="s">
        <v>30</v>
      </c>
      <c r="Y1565">
        <v>1719278</v>
      </c>
      <c r="Z1565">
        <v>20251031</v>
      </c>
    </row>
    <row r="1566" spans="3:26" x14ac:dyDescent="0.25">
      <c r="C1566">
        <v>10000001</v>
      </c>
      <c r="D1566" t="s">
        <v>1207</v>
      </c>
      <c r="F1566">
        <v>1719278</v>
      </c>
      <c r="H1566" t="s">
        <v>1207</v>
      </c>
      <c r="I1566">
        <v>40</v>
      </c>
      <c r="J1566" s="1">
        <v>560000</v>
      </c>
      <c r="K1566" t="s">
        <v>26</v>
      </c>
      <c r="L1566" s="1">
        <v>560000</v>
      </c>
      <c r="M1566" t="s">
        <v>26</v>
      </c>
      <c r="Q1566" t="s">
        <v>27</v>
      </c>
      <c r="T1566" t="s">
        <v>899</v>
      </c>
      <c r="X1566" t="s">
        <v>30</v>
      </c>
      <c r="Y1566">
        <v>1719278</v>
      </c>
      <c r="Z1566">
        <v>20251031</v>
      </c>
    </row>
    <row r="1567" spans="3:26" x14ac:dyDescent="0.25">
      <c r="C1567">
        <v>10000001</v>
      </c>
      <c r="D1567" t="s">
        <v>1207</v>
      </c>
      <c r="F1567">
        <v>1719278</v>
      </c>
      <c r="H1567" t="s">
        <v>1207</v>
      </c>
      <c r="I1567">
        <v>40</v>
      </c>
      <c r="J1567" s="1">
        <v>710000</v>
      </c>
      <c r="K1567" t="s">
        <v>26</v>
      </c>
      <c r="L1567" s="1">
        <v>710000</v>
      </c>
      <c r="M1567" t="s">
        <v>26</v>
      </c>
      <c r="Q1567" t="s">
        <v>27</v>
      </c>
      <c r="T1567" t="s">
        <v>923</v>
      </c>
      <c r="X1567" t="s">
        <v>30</v>
      </c>
      <c r="Y1567">
        <v>1719278</v>
      </c>
      <c r="Z1567">
        <v>20251031</v>
      </c>
    </row>
    <row r="1568" spans="3:26" x14ac:dyDescent="0.25">
      <c r="C1568">
        <v>10000001</v>
      </c>
      <c r="D1568" t="s">
        <v>1207</v>
      </c>
      <c r="F1568">
        <v>1719278</v>
      </c>
      <c r="H1568" t="s">
        <v>1207</v>
      </c>
      <c r="I1568">
        <v>40</v>
      </c>
      <c r="J1568" s="1">
        <v>640000</v>
      </c>
      <c r="K1568" t="s">
        <v>26</v>
      </c>
      <c r="L1568" s="1">
        <v>640000</v>
      </c>
      <c r="M1568" t="s">
        <v>26</v>
      </c>
      <c r="Q1568" t="s">
        <v>27</v>
      </c>
      <c r="T1568" t="s">
        <v>947</v>
      </c>
      <c r="X1568" t="s">
        <v>30</v>
      </c>
      <c r="Y1568">
        <v>1719278</v>
      </c>
      <c r="Z1568">
        <v>20251031</v>
      </c>
    </row>
    <row r="1569" spans="3:26" x14ac:dyDescent="0.25">
      <c r="C1569">
        <v>10000001</v>
      </c>
      <c r="D1569" t="s">
        <v>1207</v>
      </c>
      <c r="F1569">
        <v>1719278</v>
      </c>
      <c r="H1569" t="s">
        <v>1207</v>
      </c>
      <c r="I1569">
        <v>40</v>
      </c>
      <c r="J1569" s="1">
        <v>740000</v>
      </c>
      <c r="K1569" t="s">
        <v>26</v>
      </c>
      <c r="L1569" s="1">
        <v>740000</v>
      </c>
      <c r="M1569" t="s">
        <v>26</v>
      </c>
      <c r="Q1569" t="s">
        <v>27</v>
      </c>
      <c r="T1569" t="s">
        <v>987</v>
      </c>
      <c r="X1569" t="s">
        <v>30</v>
      </c>
      <c r="Y1569">
        <v>1719278</v>
      </c>
      <c r="Z1569">
        <v>20251031</v>
      </c>
    </row>
    <row r="1570" spans="3:26" x14ac:dyDescent="0.25">
      <c r="C1570">
        <v>10000001</v>
      </c>
      <c r="D1570" t="s">
        <v>1207</v>
      </c>
      <c r="F1570">
        <v>1719278</v>
      </c>
      <c r="H1570" t="s">
        <v>1207</v>
      </c>
      <c r="I1570">
        <v>40</v>
      </c>
      <c r="J1570" s="1">
        <v>4213000</v>
      </c>
      <c r="K1570" t="s">
        <v>26</v>
      </c>
      <c r="L1570" s="1">
        <v>4213000</v>
      </c>
      <c r="M1570" t="s">
        <v>26</v>
      </c>
      <c r="Q1570" t="s">
        <v>27</v>
      </c>
      <c r="T1570" t="s">
        <v>98</v>
      </c>
      <c r="X1570" t="s">
        <v>30</v>
      </c>
      <c r="Y1570">
        <v>1719278</v>
      </c>
      <c r="Z1570">
        <v>20251031</v>
      </c>
    </row>
    <row r="1571" spans="3:26" x14ac:dyDescent="0.25">
      <c r="C1571">
        <v>10000001</v>
      </c>
      <c r="D1571" t="s">
        <v>1207</v>
      </c>
      <c r="F1571">
        <v>1719278</v>
      </c>
      <c r="H1571" t="s">
        <v>1207</v>
      </c>
      <c r="I1571">
        <v>50</v>
      </c>
      <c r="J1571" s="1">
        <v>-32378366</v>
      </c>
      <c r="K1571" t="s">
        <v>26</v>
      </c>
      <c r="L1571" s="1">
        <v>-32378366</v>
      </c>
      <c r="M1571" t="s">
        <v>26</v>
      </c>
      <c r="Q1571" t="s">
        <v>27</v>
      </c>
      <c r="T1571" t="s">
        <v>1044</v>
      </c>
      <c r="X1571" t="s">
        <v>30</v>
      </c>
      <c r="Y1571">
        <v>1719278</v>
      </c>
      <c r="Z1571">
        <v>20251031</v>
      </c>
    </row>
    <row r="1572" spans="3:26" x14ac:dyDescent="0.25">
      <c r="C1572">
        <v>10000001</v>
      </c>
      <c r="D1572" t="s">
        <v>1207</v>
      </c>
      <c r="F1572">
        <v>1719278</v>
      </c>
      <c r="H1572" t="s">
        <v>1207</v>
      </c>
      <c r="I1572">
        <v>50</v>
      </c>
      <c r="J1572" s="1">
        <v>-31087455</v>
      </c>
      <c r="K1572" t="s">
        <v>26</v>
      </c>
      <c r="L1572" s="1">
        <v>-31087455</v>
      </c>
      <c r="M1572" t="s">
        <v>26</v>
      </c>
      <c r="Q1572" t="s">
        <v>27</v>
      </c>
      <c r="T1572" t="s">
        <v>1206</v>
      </c>
      <c r="X1572" t="s">
        <v>30</v>
      </c>
      <c r="Y1572">
        <v>1719278</v>
      </c>
      <c r="Z1572">
        <v>20251031</v>
      </c>
    </row>
    <row r="1573" spans="3:26" x14ac:dyDescent="0.25">
      <c r="C1573">
        <v>10000001</v>
      </c>
      <c r="D1573" t="s">
        <v>1207</v>
      </c>
      <c r="F1573">
        <v>1736683</v>
      </c>
      <c r="H1573" t="s">
        <v>1207</v>
      </c>
      <c r="I1573">
        <v>50</v>
      </c>
      <c r="J1573">
        <v>0</v>
      </c>
      <c r="K1573" t="s">
        <v>26</v>
      </c>
      <c r="L1573">
        <v>0</v>
      </c>
      <c r="M1573" t="s">
        <v>26</v>
      </c>
      <c r="Q1573" t="s">
        <v>27</v>
      </c>
      <c r="S1573" t="s">
        <v>28</v>
      </c>
      <c r="T1573" t="s">
        <v>1208</v>
      </c>
      <c r="X1573" t="s">
        <v>30</v>
      </c>
      <c r="Y1573">
        <v>1738239</v>
      </c>
      <c r="Z1573">
        <v>20251031</v>
      </c>
    </row>
    <row r="1574" spans="3:26" x14ac:dyDescent="0.25">
      <c r="C1574">
        <v>10000001</v>
      </c>
      <c r="D1574" t="s">
        <v>1207</v>
      </c>
      <c r="F1574">
        <v>1736684</v>
      </c>
      <c r="H1574" t="s">
        <v>1209</v>
      </c>
      <c r="I1574">
        <v>40</v>
      </c>
      <c r="J1574">
        <v>0</v>
      </c>
      <c r="K1574" t="s">
        <v>26</v>
      </c>
      <c r="L1574">
        <v>0</v>
      </c>
      <c r="M1574" t="s">
        <v>26</v>
      </c>
      <c r="Q1574" t="s">
        <v>27</v>
      </c>
      <c r="S1574" t="s">
        <v>33</v>
      </c>
      <c r="T1574" t="s">
        <v>1210</v>
      </c>
      <c r="X1574" t="s">
        <v>30</v>
      </c>
      <c r="Y1574">
        <v>1738239</v>
      </c>
      <c r="Z1574">
        <v>20251101</v>
      </c>
    </row>
    <row r="1575" spans="3:26" x14ac:dyDescent="0.25">
      <c r="C1575">
        <v>10000001</v>
      </c>
      <c r="D1575" t="s">
        <v>1211</v>
      </c>
      <c r="F1575">
        <v>1738239</v>
      </c>
      <c r="H1575" t="s">
        <v>1211</v>
      </c>
      <c r="I1575">
        <v>40</v>
      </c>
      <c r="J1575">
        <v>0</v>
      </c>
      <c r="K1575" t="s">
        <v>26</v>
      </c>
      <c r="L1575">
        <v>0</v>
      </c>
      <c r="M1575" t="s">
        <v>26</v>
      </c>
      <c r="Q1575" t="s">
        <v>27</v>
      </c>
      <c r="S1575" t="s">
        <v>36</v>
      </c>
      <c r="T1575" t="s">
        <v>1208</v>
      </c>
      <c r="X1575" t="s">
        <v>38</v>
      </c>
      <c r="Y1575">
        <v>1738239</v>
      </c>
      <c r="Z1575">
        <v>20251105</v>
      </c>
    </row>
    <row r="1576" spans="3:26" x14ac:dyDescent="0.25">
      <c r="C1576">
        <v>10000001</v>
      </c>
      <c r="D1576" t="s">
        <v>1211</v>
      </c>
      <c r="F1576">
        <v>1738239</v>
      </c>
      <c r="H1576" t="s">
        <v>1211</v>
      </c>
      <c r="I1576">
        <v>50</v>
      </c>
      <c r="J1576">
        <v>0</v>
      </c>
      <c r="K1576" t="s">
        <v>26</v>
      </c>
      <c r="L1576">
        <v>0</v>
      </c>
      <c r="M1576" t="s">
        <v>26</v>
      </c>
      <c r="Q1576" t="s">
        <v>27</v>
      </c>
      <c r="S1576" t="s">
        <v>36</v>
      </c>
      <c r="T1576" t="s">
        <v>1210</v>
      </c>
      <c r="X1576" t="s">
        <v>38</v>
      </c>
      <c r="Y1576">
        <v>1738239</v>
      </c>
      <c r="Z1576">
        <v>20251105</v>
      </c>
    </row>
    <row r="1577" spans="3:26" x14ac:dyDescent="0.25">
      <c r="C1577">
        <v>10000001</v>
      </c>
      <c r="D1577" t="s">
        <v>1212</v>
      </c>
      <c r="F1577">
        <v>12008993</v>
      </c>
      <c r="H1577" t="s">
        <v>1212</v>
      </c>
      <c r="I1577">
        <v>50</v>
      </c>
      <c r="J1577" s="1">
        <v>-510000</v>
      </c>
      <c r="K1577" t="s">
        <v>26</v>
      </c>
      <c r="L1577" s="1">
        <v>-510000</v>
      </c>
      <c r="M1577" t="s">
        <v>26</v>
      </c>
      <c r="Q1577" t="s">
        <v>27</v>
      </c>
      <c r="R1577" t="s">
        <v>1213</v>
      </c>
      <c r="S1577" t="s">
        <v>96</v>
      </c>
      <c r="T1577" t="s">
        <v>1214</v>
      </c>
      <c r="X1577" t="s">
        <v>43</v>
      </c>
      <c r="Y1577">
        <v>1793264</v>
      </c>
      <c r="Z1577">
        <v>20251103</v>
      </c>
    </row>
    <row r="1578" spans="3:26" x14ac:dyDescent="0.25">
      <c r="C1578">
        <v>10000001</v>
      </c>
      <c r="D1578" t="s">
        <v>1212</v>
      </c>
      <c r="F1578">
        <v>12008994</v>
      </c>
      <c r="H1578" t="s">
        <v>1212</v>
      </c>
      <c r="I1578">
        <v>50</v>
      </c>
      <c r="J1578" s="1">
        <v>-489500</v>
      </c>
      <c r="K1578" t="s">
        <v>26</v>
      </c>
      <c r="L1578" s="1">
        <v>-489500</v>
      </c>
      <c r="M1578" t="s">
        <v>26</v>
      </c>
      <c r="Q1578" t="s">
        <v>27</v>
      </c>
      <c r="R1578" t="s">
        <v>1213</v>
      </c>
      <c r="S1578" t="s">
        <v>67</v>
      </c>
      <c r="T1578" t="s">
        <v>1215</v>
      </c>
      <c r="X1578" t="s">
        <v>43</v>
      </c>
      <c r="Y1578">
        <v>1793264</v>
      </c>
      <c r="Z1578">
        <v>20251103</v>
      </c>
    </row>
    <row r="1579" spans="3:26" x14ac:dyDescent="0.25">
      <c r="C1579">
        <v>10000001</v>
      </c>
      <c r="D1579" t="s">
        <v>1212</v>
      </c>
      <c r="F1579">
        <v>12008995</v>
      </c>
      <c r="H1579" t="s">
        <v>1212</v>
      </c>
      <c r="I1579">
        <v>50</v>
      </c>
      <c r="J1579" s="1">
        <v>-50000</v>
      </c>
      <c r="K1579" t="s">
        <v>26</v>
      </c>
      <c r="L1579" s="1">
        <v>-50000</v>
      </c>
      <c r="M1579" t="s">
        <v>26</v>
      </c>
      <c r="Q1579" t="s">
        <v>27</v>
      </c>
      <c r="R1579" t="s">
        <v>1216</v>
      </c>
      <c r="S1579" t="s">
        <v>126</v>
      </c>
      <c r="T1579" t="s">
        <v>1217</v>
      </c>
      <c r="X1579" t="s">
        <v>43</v>
      </c>
      <c r="Y1579">
        <v>1793264</v>
      </c>
      <c r="Z1579">
        <v>20251103</v>
      </c>
    </row>
    <row r="1580" spans="3:26" x14ac:dyDescent="0.25">
      <c r="C1580">
        <v>10000001</v>
      </c>
      <c r="D1580" t="s">
        <v>1212</v>
      </c>
      <c r="F1580">
        <v>12008996</v>
      </c>
      <c r="H1580" t="s">
        <v>1212</v>
      </c>
      <c r="I1580">
        <v>50</v>
      </c>
      <c r="J1580" s="1">
        <v>-122500</v>
      </c>
      <c r="K1580" t="s">
        <v>26</v>
      </c>
      <c r="L1580" s="1">
        <v>-122500</v>
      </c>
      <c r="M1580" t="s">
        <v>26</v>
      </c>
      <c r="Q1580" t="s">
        <v>27</v>
      </c>
      <c r="R1580" t="s">
        <v>1218</v>
      </c>
      <c r="S1580" t="s">
        <v>67</v>
      </c>
      <c r="T1580" t="s">
        <v>1219</v>
      </c>
      <c r="X1580" t="s">
        <v>43</v>
      </c>
      <c r="Y1580">
        <v>1793264</v>
      </c>
      <c r="Z1580">
        <v>20251103</v>
      </c>
    </row>
    <row r="1581" spans="3:26" x14ac:dyDescent="0.25">
      <c r="C1581">
        <v>10000001</v>
      </c>
      <c r="D1581" t="s">
        <v>1212</v>
      </c>
      <c r="F1581">
        <v>12008997</v>
      </c>
      <c r="H1581" t="s">
        <v>1212</v>
      </c>
      <c r="I1581">
        <v>50</v>
      </c>
      <c r="J1581" s="1">
        <v>-450000</v>
      </c>
      <c r="K1581" t="s">
        <v>26</v>
      </c>
      <c r="L1581" s="1">
        <v>-450000</v>
      </c>
      <c r="M1581" t="s">
        <v>26</v>
      </c>
      <c r="Q1581" t="s">
        <v>27</v>
      </c>
      <c r="R1581" t="s">
        <v>1218</v>
      </c>
      <c r="S1581" t="s">
        <v>126</v>
      </c>
      <c r="T1581" t="s">
        <v>1220</v>
      </c>
      <c r="X1581" t="s">
        <v>43</v>
      </c>
      <c r="Y1581">
        <v>1793264</v>
      </c>
      <c r="Z1581">
        <v>20251103</v>
      </c>
    </row>
    <row r="1582" spans="3:26" x14ac:dyDescent="0.25">
      <c r="C1582">
        <v>10000001</v>
      </c>
      <c r="D1582" t="s">
        <v>1212</v>
      </c>
      <c r="F1582">
        <v>12008998</v>
      </c>
      <c r="H1582" t="s">
        <v>1212</v>
      </c>
      <c r="I1582">
        <v>50</v>
      </c>
      <c r="J1582" s="1">
        <v>-200000</v>
      </c>
      <c r="K1582" t="s">
        <v>26</v>
      </c>
      <c r="L1582" s="1">
        <v>-200000</v>
      </c>
      <c r="M1582" t="s">
        <v>26</v>
      </c>
      <c r="Q1582" t="s">
        <v>27</v>
      </c>
      <c r="R1582" t="s">
        <v>1218</v>
      </c>
      <c r="S1582" t="s">
        <v>57</v>
      </c>
      <c r="T1582" t="s">
        <v>1221</v>
      </c>
      <c r="X1582" t="s">
        <v>43</v>
      </c>
      <c r="Y1582">
        <v>1793264</v>
      </c>
      <c r="Z1582">
        <v>20251103</v>
      </c>
    </row>
    <row r="1583" spans="3:26" x14ac:dyDescent="0.25">
      <c r="C1583">
        <v>10000001</v>
      </c>
      <c r="D1583" t="s">
        <v>1212</v>
      </c>
      <c r="F1583">
        <v>12008999</v>
      </c>
      <c r="H1583" t="s">
        <v>1212</v>
      </c>
      <c r="I1583">
        <v>50</v>
      </c>
      <c r="J1583" s="1">
        <v>-490000</v>
      </c>
      <c r="K1583" t="s">
        <v>26</v>
      </c>
      <c r="L1583" s="1">
        <v>-490000</v>
      </c>
      <c r="M1583" t="s">
        <v>26</v>
      </c>
      <c r="Q1583" t="s">
        <v>27</v>
      </c>
      <c r="R1583" t="s">
        <v>1222</v>
      </c>
      <c r="S1583" t="s">
        <v>96</v>
      </c>
      <c r="T1583" t="s">
        <v>1223</v>
      </c>
      <c r="X1583" t="s">
        <v>43</v>
      </c>
      <c r="Y1583">
        <v>1793264</v>
      </c>
      <c r="Z1583">
        <v>20251103</v>
      </c>
    </row>
    <row r="1584" spans="3:26" x14ac:dyDescent="0.25">
      <c r="C1584">
        <v>10000001</v>
      </c>
      <c r="D1584" t="s">
        <v>1212</v>
      </c>
      <c r="F1584">
        <v>12009000</v>
      </c>
      <c r="H1584" t="s">
        <v>1212</v>
      </c>
      <c r="I1584">
        <v>50</v>
      </c>
      <c r="J1584" s="1">
        <v>-509000</v>
      </c>
      <c r="K1584" t="s">
        <v>26</v>
      </c>
      <c r="L1584" s="1">
        <v>-509000</v>
      </c>
      <c r="M1584" t="s">
        <v>26</v>
      </c>
      <c r="Q1584" t="s">
        <v>27</v>
      </c>
      <c r="R1584" t="s">
        <v>1222</v>
      </c>
      <c r="S1584" t="s">
        <v>67</v>
      </c>
      <c r="T1584" t="s">
        <v>1224</v>
      </c>
      <c r="X1584" t="s">
        <v>43</v>
      </c>
      <c r="Y1584">
        <v>1793264</v>
      </c>
      <c r="Z1584">
        <v>20251103</v>
      </c>
    </row>
    <row r="1585" spans="3:26" x14ac:dyDescent="0.25">
      <c r="C1585">
        <v>10000001</v>
      </c>
      <c r="D1585" t="s">
        <v>1212</v>
      </c>
      <c r="F1585">
        <v>12009001</v>
      </c>
      <c r="H1585" t="s">
        <v>1212</v>
      </c>
      <c r="I1585">
        <v>50</v>
      </c>
      <c r="J1585" s="1">
        <v>-500000</v>
      </c>
      <c r="K1585" t="s">
        <v>26</v>
      </c>
      <c r="L1585" s="1">
        <v>-500000</v>
      </c>
      <c r="M1585" t="s">
        <v>26</v>
      </c>
      <c r="Q1585" t="s">
        <v>27</v>
      </c>
      <c r="R1585" t="s">
        <v>1225</v>
      </c>
      <c r="S1585" t="s">
        <v>96</v>
      </c>
      <c r="T1585" t="s">
        <v>1214</v>
      </c>
      <c r="X1585" t="s">
        <v>43</v>
      </c>
      <c r="Y1585">
        <v>1793264</v>
      </c>
      <c r="Z1585">
        <v>20251103</v>
      </c>
    </row>
    <row r="1586" spans="3:26" x14ac:dyDescent="0.25">
      <c r="C1586">
        <v>10000001</v>
      </c>
      <c r="D1586" t="s">
        <v>1212</v>
      </c>
      <c r="F1586">
        <v>12009002</v>
      </c>
      <c r="H1586" t="s">
        <v>1212</v>
      </c>
      <c r="I1586">
        <v>50</v>
      </c>
      <c r="J1586" s="1">
        <v>-497000</v>
      </c>
      <c r="K1586" t="s">
        <v>26</v>
      </c>
      <c r="L1586" s="1">
        <v>-497000</v>
      </c>
      <c r="M1586" t="s">
        <v>26</v>
      </c>
      <c r="Q1586" t="s">
        <v>27</v>
      </c>
      <c r="R1586" t="s">
        <v>1225</v>
      </c>
      <c r="S1586" t="s">
        <v>67</v>
      </c>
      <c r="T1586" t="s">
        <v>1226</v>
      </c>
      <c r="X1586" t="s">
        <v>43</v>
      </c>
      <c r="Y1586">
        <v>1793264</v>
      </c>
      <c r="Z1586">
        <v>20251103</v>
      </c>
    </row>
    <row r="1587" spans="3:26" x14ac:dyDescent="0.25">
      <c r="C1587">
        <v>10000001</v>
      </c>
      <c r="D1587" t="s">
        <v>1227</v>
      </c>
      <c r="F1587">
        <v>12009003</v>
      </c>
      <c r="H1587" t="s">
        <v>1227</v>
      </c>
      <c r="I1587">
        <v>50</v>
      </c>
      <c r="J1587" s="1">
        <v>-90000</v>
      </c>
      <c r="K1587" t="s">
        <v>26</v>
      </c>
      <c r="L1587" s="1">
        <v>-90000</v>
      </c>
      <c r="M1587" t="s">
        <v>26</v>
      </c>
      <c r="Q1587" t="s">
        <v>27</v>
      </c>
      <c r="R1587" t="s">
        <v>1228</v>
      </c>
      <c r="S1587" t="s">
        <v>1187</v>
      </c>
      <c r="T1587" t="s">
        <v>1229</v>
      </c>
      <c r="X1587" t="s">
        <v>43</v>
      </c>
      <c r="Y1587">
        <v>1793264</v>
      </c>
      <c r="Z1587">
        <v>20251104</v>
      </c>
    </row>
    <row r="1588" spans="3:26" x14ac:dyDescent="0.25">
      <c r="C1588">
        <v>10000001</v>
      </c>
      <c r="D1588" t="s">
        <v>1227</v>
      </c>
      <c r="F1588">
        <v>12009004</v>
      </c>
      <c r="H1588" t="s">
        <v>1227</v>
      </c>
      <c r="I1588">
        <v>50</v>
      </c>
      <c r="J1588" s="1">
        <v>-600000</v>
      </c>
      <c r="K1588" t="s">
        <v>26</v>
      </c>
      <c r="L1588" s="1">
        <v>-600000</v>
      </c>
      <c r="M1588" t="s">
        <v>26</v>
      </c>
      <c r="Q1588" t="s">
        <v>27</v>
      </c>
      <c r="R1588" t="s">
        <v>1230</v>
      </c>
      <c r="S1588" t="s">
        <v>1231</v>
      </c>
      <c r="T1588" t="s">
        <v>1232</v>
      </c>
      <c r="X1588" t="s">
        <v>43</v>
      </c>
      <c r="Y1588">
        <v>1793264</v>
      </c>
      <c r="Z1588">
        <v>20251104</v>
      </c>
    </row>
    <row r="1589" spans="3:26" x14ac:dyDescent="0.25">
      <c r="C1589">
        <v>10000001</v>
      </c>
      <c r="D1589" t="s">
        <v>1227</v>
      </c>
      <c r="F1589">
        <v>12009005</v>
      </c>
      <c r="H1589" t="s">
        <v>1227</v>
      </c>
      <c r="I1589">
        <v>50</v>
      </c>
      <c r="J1589" s="1">
        <v>-720000</v>
      </c>
      <c r="K1589" t="s">
        <v>26</v>
      </c>
      <c r="L1589" s="1">
        <v>-720000</v>
      </c>
      <c r="M1589" t="s">
        <v>26</v>
      </c>
      <c r="Q1589" t="s">
        <v>27</v>
      </c>
      <c r="R1589" t="s">
        <v>1233</v>
      </c>
      <c r="S1589" t="s">
        <v>96</v>
      </c>
      <c r="T1589" t="s">
        <v>1234</v>
      </c>
      <c r="X1589" t="s">
        <v>43</v>
      </c>
      <c r="Y1589">
        <v>1793264</v>
      </c>
      <c r="Z1589">
        <v>20251104</v>
      </c>
    </row>
    <row r="1590" spans="3:26" x14ac:dyDescent="0.25">
      <c r="C1590">
        <v>10000001</v>
      </c>
      <c r="D1590" t="s">
        <v>1227</v>
      </c>
      <c r="F1590">
        <v>12009006</v>
      </c>
      <c r="H1590" t="s">
        <v>1227</v>
      </c>
      <c r="I1590">
        <v>50</v>
      </c>
      <c r="J1590" s="1">
        <v>-278000</v>
      </c>
      <c r="K1590" t="s">
        <v>26</v>
      </c>
      <c r="L1590" s="1">
        <v>-278000</v>
      </c>
      <c r="M1590" t="s">
        <v>26</v>
      </c>
      <c r="Q1590" t="s">
        <v>27</v>
      </c>
      <c r="R1590" t="s">
        <v>1233</v>
      </c>
      <c r="S1590" t="s">
        <v>67</v>
      </c>
      <c r="T1590" t="s">
        <v>98</v>
      </c>
      <c r="X1590" t="s">
        <v>43</v>
      </c>
      <c r="Y1590">
        <v>1793264</v>
      </c>
      <c r="Z1590">
        <v>20251104</v>
      </c>
    </row>
    <row r="1591" spans="3:26" x14ac:dyDescent="0.25">
      <c r="C1591">
        <v>10000001</v>
      </c>
      <c r="D1591" t="s">
        <v>1227</v>
      </c>
      <c r="F1591">
        <v>12009007</v>
      </c>
      <c r="H1591" t="s">
        <v>1227</v>
      </c>
      <c r="I1591">
        <v>50</v>
      </c>
      <c r="J1591" s="1">
        <v>-50000</v>
      </c>
      <c r="K1591" t="s">
        <v>26</v>
      </c>
      <c r="L1591" s="1">
        <v>-50000</v>
      </c>
      <c r="M1591" t="s">
        <v>26</v>
      </c>
      <c r="Q1591" t="s">
        <v>27</v>
      </c>
      <c r="R1591" t="s">
        <v>1235</v>
      </c>
      <c r="S1591" t="s">
        <v>334</v>
      </c>
      <c r="T1591" t="s">
        <v>1236</v>
      </c>
      <c r="X1591" t="s">
        <v>43</v>
      </c>
      <c r="Y1591">
        <v>1793264</v>
      </c>
      <c r="Z1591">
        <v>20251104</v>
      </c>
    </row>
    <row r="1592" spans="3:26" x14ac:dyDescent="0.25">
      <c r="C1592">
        <v>10000001</v>
      </c>
      <c r="D1592" t="s">
        <v>1227</v>
      </c>
      <c r="F1592">
        <v>12009008</v>
      </c>
      <c r="H1592" t="s">
        <v>1227</v>
      </c>
      <c r="I1592">
        <v>50</v>
      </c>
      <c r="J1592" s="1">
        <v>-50000</v>
      </c>
      <c r="K1592" t="s">
        <v>26</v>
      </c>
      <c r="L1592" s="1">
        <v>-50000</v>
      </c>
      <c r="M1592" t="s">
        <v>26</v>
      </c>
      <c r="Q1592" t="s">
        <v>27</v>
      </c>
      <c r="R1592" t="s">
        <v>1235</v>
      </c>
      <c r="S1592" t="s">
        <v>334</v>
      </c>
      <c r="T1592" t="s">
        <v>1237</v>
      </c>
      <c r="X1592" t="s">
        <v>43</v>
      </c>
      <c r="Y1592">
        <v>1793264</v>
      </c>
      <c r="Z1592">
        <v>20251104</v>
      </c>
    </row>
    <row r="1593" spans="3:26" x14ac:dyDescent="0.25">
      <c r="C1593">
        <v>10000001</v>
      </c>
      <c r="D1593" t="s">
        <v>1227</v>
      </c>
      <c r="F1593">
        <v>12009009</v>
      </c>
      <c r="H1593" t="s">
        <v>1227</v>
      </c>
      <c r="I1593">
        <v>50</v>
      </c>
      <c r="J1593" s="1">
        <v>-50000</v>
      </c>
      <c r="K1593" t="s">
        <v>26</v>
      </c>
      <c r="L1593" s="1">
        <v>-50000</v>
      </c>
      <c r="M1593" t="s">
        <v>26</v>
      </c>
      <c r="Q1593" t="s">
        <v>27</v>
      </c>
      <c r="R1593" t="s">
        <v>1235</v>
      </c>
      <c r="S1593" t="s">
        <v>334</v>
      </c>
      <c r="T1593" t="s">
        <v>1238</v>
      </c>
      <c r="X1593" t="s">
        <v>43</v>
      </c>
      <c r="Y1593">
        <v>1793264</v>
      </c>
      <c r="Z1593">
        <v>20251104</v>
      </c>
    </row>
    <row r="1594" spans="3:26" x14ac:dyDescent="0.25">
      <c r="C1594">
        <v>10000001</v>
      </c>
      <c r="D1594" t="s">
        <v>1227</v>
      </c>
      <c r="F1594">
        <v>12009010</v>
      </c>
      <c r="H1594" t="s">
        <v>1227</v>
      </c>
      <c r="I1594">
        <v>50</v>
      </c>
      <c r="J1594" s="1">
        <v>-50000</v>
      </c>
      <c r="K1594" t="s">
        <v>26</v>
      </c>
      <c r="L1594" s="1">
        <v>-50000</v>
      </c>
      <c r="M1594" t="s">
        <v>26</v>
      </c>
      <c r="Q1594" t="s">
        <v>27</v>
      </c>
      <c r="R1594" t="s">
        <v>1235</v>
      </c>
      <c r="S1594" t="s">
        <v>334</v>
      </c>
      <c r="T1594" t="s">
        <v>1239</v>
      </c>
      <c r="X1594" t="s">
        <v>43</v>
      </c>
      <c r="Y1594">
        <v>1793264</v>
      </c>
      <c r="Z1594">
        <v>20251104</v>
      </c>
    </row>
    <row r="1595" spans="3:26" x14ac:dyDescent="0.25">
      <c r="C1595">
        <v>10000001</v>
      </c>
      <c r="D1595" t="s">
        <v>1227</v>
      </c>
      <c r="F1595">
        <v>12009011</v>
      </c>
      <c r="H1595" t="s">
        <v>1227</v>
      </c>
      <c r="I1595">
        <v>50</v>
      </c>
      <c r="J1595" s="1">
        <v>-50000</v>
      </c>
      <c r="K1595" t="s">
        <v>26</v>
      </c>
      <c r="L1595" s="1">
        <v>-50000</v>
      </c>
      <c r="M1595" t="s">
        <v>26</v>
      </c>
      <c r="Q1595" t="s">
        <v>27</v>
      </c>
      <c r="R1595" t="s">
        <v>1235</v>
      </c>
      <c r="S1595" t="s">
        <v>334</v>
      </c>
      <c r="T1595" t="s">
        <v>1240</v>
      </c>
      <c r="X1595" t="s">
        <v>43</v>
      </c>
      <c r="Y1595">
        <v>1793264</v>
      </c>
      <c r="Z1595">
        <v>20251104</v>
      </c>
    </row>
    <row r="1596" spans="3:26" x14ac:dyDescent="0.25">
      <c r="C1596">
        <v>10000001</v>
      </c>
      <c r="D1596" t="s">
        <v>1227</v>
      </c>
      <c r="F1596">
        <v>12009012</v>
      </c>
      <c r="H1596" t="s">
        <v>1227</v>
      </c>
      <c r="I1596">
        <v>50</v>
      </c>
      <c r="J1596" s="1">
        <v>-50000</v>
      </c>
      <c r="K1596" t="s">
        <v>26</v>
      </c>
      <c r="L1596" s="1">
        <v>-50000</v>
      </c>
      <c r="M1596" t="s">
        <v>26</v>
      </c>
      <c r="Q1596" t="s">
        <v>27</v>
      </c>
      <c r="R1596" t="s">
        <v>1235</v>
      </c>
      <c r="S1596" t="s">
        <v>334</v>
      </c>
      <c r="T1596" t="s">
        <v>1241</v>
      </c>
      <c r="X1596" t="s">
        <v>43</v>
      </c>
      <c r="Y1596">
        <v>1793264</v>
      </c>
      <c r="Z1596">
        <v>20251104</v>
      </c>
    </row>
    <row r="1597" spans="3:26" x14ac:dyDescent="0.25">
      <c r="C1597">
        <v>10000001</v>
      </c>
      <c r="D1597" t="s">
        <v>1227</v>
      </c>
      <c r="F1597">
        <v>12009013</v>
      </c>
      <c r="H1597" t="s">
        <v>1227</v>
      </c>
      <c r="I1597">
        <v>50</v>
      </c>
      <c r="J1597" s="1">
        <v>-50000</v>
      </c>
      <c r="K1597" t="s">
        <v>26</v>
      </c>
      <c r="L1597" s="1">
        <v>-50000</v>
      </c>
      <c r="M1597" t="s">
        <v>26</v>
      </c>
      <c r="Q1597" t="s">
        <v>27</v>
      </c>
      <c r="R1597" t="s">
        <v>1235</v>
      </c>
      <c r="S1597" t="s">
        <v>334</v>
      </c>
      <c r="T1597" t="s">
        <v>1242</v>
      </c>
      <c r="X1597" t="s">
        <v>43</v>
      </c>
      <c r="Y1597">
        <v>1793264</v>
      </c>
      <c r="Z1597">
        <v>20251104</v>
      </c>
    </row>
    <row r="1598" spans="3:26" x14ac:dyDescent="0.25">
      <c r="C1598">
        <v>10000001</v>
      </c>
      <c r="D1598" t="s">
        <v>1227</v>
      </c>
      <c r="F1598">
        <v>12009014</v>
      </c>
      <c r="H1598" t="s">
        <v>1227</v>
      </c>
      <c r="I1598">
        <v>50</v>
      </c>
      <c r="J1598" s="1">
        <v>-237500</v>
      </c>
      <c r="K1598" t="s">
        <v>26</v>
      </c>
      <c r="L1598" s="1">
        <v>-237500</v>
      </c>
      <c r="M1598" t="s">
        <v>26</v>
      </c>
      <c r="Q1598" t="s">
        <v>27</v>
      </c>
      <c r="R1598" t="s">
        <v>1243</v>
      </c>
      <c r="S1598" t="s">
        <v>126</v>
      </c>
      <c r="T1598" t="s">
        <v>1244</v>
      </c>
      <c r="X1598" t="s">
        <v>43</v>
      </c>
      <c r="Y1598">
        <v>1793264</v>
      </c>
      <c r="Z1598">
        <v>20251104</v>
      </c>
    </row>
    <row r="1599" spans="3:26" x14ac:dyDescent="0.25">
      <c r="C1599">
        <v>10000001</v>
      </c>
      <c r="D1599" t="s">
        <v>1227</v>
      </c>
      <c r="F1599">
        <v>12009015</v>
      </c>
      <c r="H1599" t="s">
        <v>1227</v>
      </c>
      <c r="I1599">
        <v>50</v>
      </c>
      <c r="J1599" s="1">
        <v>-975000</v>
      </c>
      <c r="K1599" t="s">
        <v>26</v>
      </c>
      <c r="L1599" s="1">
        <v>-975000</v>
      </c>
      <c r="M1599" t="s">
        <v>26</v>
      </c>
      <c r="Q1599" t="s">
        <v>27</v>
      </c>
      <c r="R1599" t="s">
        <v>1245</v>
      </c>
      <c r="S1599" t="s">
        <v>1187</v>
      </c>
      <c r="T1599" t="s">
        <v>1246</v>
      </c>
      <c r="X1599" t="s">
        <v>43</v>
      </c>
      <c r="Y1599">
        <v>1793264</v>
      </c>
      <c r="Z1599">
        <v>20251104</v>
      </c>
    </row>
    <row r="1600" spans="3:26" x14ac:dyDescent="0.25">
      <c r="C1600">
        <v>10000001</v>
      </c>
      <c r="D1600" t="s">
        <v>1227</v>
      </c>
      <c r="F1600">
        <v>12009016</v>
      </c>
      <c r="H1600" t="s">
        <v>1227</v>
      </c>
      <c r="I1600">
        <v>50</v>
      </c>
      <c r="J1600" s="1">
        <v>-985000</v>
      </c>
      <c r="K1600" t="s">
        <v>26</v>
      </c>
      <c r="L1600" s="1">
        <v>-985000</v>
      </c>
      <c r="M1600" t="s">
        <v>26</v>
      </c>
      <c r="Q1600" t="s">
        <v>27</v>
      </c>
      <c r="R1600" t="s">
        <v>1247</v>
      </c>
      <c r="S1600" t="s">
        <v>1187</v>
      </c>
      <c r="T1600" t="s">
        <v>1248</v>
      </c>
      <c r="X1600" t="s">
        <v>43</v>
      </c>
      <c r="Y1600">
        <v>1793264</v>
      </c>
      <c r="Z1600">
        <v>20251104</v>
      </c>
    </row>
    <row r="1601" spans="3:26" x14ac:dyDescent="0.25">
      <c r="C1601">
        <v>10000001</v>
      </c>
      <c r="D1601" t="s">
        <v>1227</v>
      </c>
      <c r="F1601">
        <v>12009017</v>
      </c>
      <c r="H1601" t="s">
        <v>1227</v>
      </c>
      <c r="I1601">
        <v>50</v>
      </c>
      <c r="J1601" s="1">
        <v>-240000</v>
      </c>
      <c r="K1601" t="s">
        <v>26</v>
      </c>
      <c r="L1601" s="1">
        <v>-240000</v>
      </c>
      <c r="M1601" t="s">
        <v>26</v>
      </c>
      <c r="Q1601" t="s">
        <v>27</v>
      </c>
      <c r="R1601" t="s">
        <v>1249</v>
      </c>
      <c r="S1601" t="s">
        <v>126</v>
      </c>
      <c r="T1601" t="s">
        <v>1250</v>
      </c>
      <c r="X1601" t="s">
        <v>43</v>
      </c>
      <c r="Y1601">
        <v>1793264</v>
      </c>
      <c r="Z1601">
        <v>20251104</v>
      </c>
    </row>
    <row r="1602" spans="3:26" x14ac:dyDescent="0.25">
      <c r="C1602">
        <v>10000001</v>
      </c>
      <c r="D1602" t="s">
        <v>1227</v>
      </c>
      <c r="F1602">
        <v>12009018</v>
      </c>
      <c r="H1602" t="s">
        <v>1227</v>
      </c>
      <c r="I1602">
        <v>50</v>
      </c>
      <c r="J1602" s="1">
        <v>-650000</v>
      </c>
      <c r="K1602" t="s">
        <v>26</v>
      </c>
      <c r="L1602" s="1">
        <v>-650000</v>
      </c>
      <c r="M1602" t="s">
        <v>26</v>
      </c>
      <c r="Q1602" t="s">
        <v>27</v>
      </c>
      <c r="R1602" t="s">
        <v>1251</v>
      </c>
      <c r="S1602" t="s">
        <v>96</v>
      </c>
      <c r="T1602" t="s">
        <v>1252</v>
      </c>
      <c r="X1602" t="s">
        <v>43</v>
      </c>
      <c r="Y1602">
        <v>1793264</v>
      </c>
      <c r="Z1602">
        <v>20251104</v>
      </c>
    </row>
    <row r="1603" spans="3:26" x14ac:dyDescent="0.25">
      <c r="C1603">
        <v>10000001</v>
      </c>
      <c r="D1603" t="s">
        <v>1227</v>
      </c>
      <c r="F1603">
        <v>12009019</v>
      </c>
      <c r="H1603" t="s">
        <v>1227</v>
      </c>
      <c r="I1603">
        <v>50</v>
      </c>
      <c r="J1603" s="1">
        <v>-350000</v>
      </c>
      <c r="K1603" t="s">
        <v>26</v>
      </c>
      <c r="L1603" s="1">
        <v>-350000</v>
      </c>
      <c r="M1603" t="s">
        <v>26</v>
      </c>
      <c r="Q1603" t="s">
        <v>27</v>
      </c>
      <c r="R1603" t="s">
        <v>1251</v>
      </c>
      <c r="S1603" t="s">
        <v>67</v>
      </c>
      <c r="T1603" t="s">
        <v>98</v>
      </c>
      <c r="X1603" t="s">
        <v>43</v>
      </c>
      <c r="Y1603">
        <v>1793264</v>
      </c>
      <c r="Z1603">
        <v>20251104</v>
      </c>
    </row>
    <row r="1604" spans="3:26" x14ac:dyDescent="0.25">
      <c r="C1604">
        <v>10000001</v>
      </c>
      <c r="D1604" t="s">
        <v>1227</v>
      </c>
      <c r="F1604">
        <v>12009020</v>
      </c>
      <c r="H1604" t="s">
        <v>1227</v>
      </c>
      <c r="I1604">
        <v>50</v>
      </c>
      <c r="J1604" s="1">
        <v>-993960</v>
      </c>
      <c r="K1604" t="s">
        <v>26</v>
      </c>
      <c r="L1604" s="1">
        <v>-993960</v>
      </c>
      <c r="M1604" t="s">
        <v>26</v>
      </c>
      <c r="Q1604" t="s">
        <v>27</v>
      </c>
      <c r="R1604" t="s">
        <v>1253</v>
      </c>
      <c r="S1604" t="s">
        <v>126</v>
      </c>
      <c r="T1604" t="s">
        <v>1254</v>
      </c>
      <c r="X1604" t="s">
        <v>43</v>
      </c>
      <c r="Y1604">
        <v>1793264</v>
      </c>
      <c r="Z1604">
        <v>20251104</v>
      </c>
    </row>
    <row r="1605" spans="3:26" x14ac:dyDescent="0.25">
      <c r="C1605">
        <v>10000001</v>
      </c>
      <c r="D1605" t="s">
        <v>1227</v>
      </c>
      <c r="F1605">
        <v>12009021</v>
      </c>
      <c r="H1605" t="s">
        <v>1227</v>
      </c>
      <c r="I1605">
        <v>50</v>
      </c>
      <c r="J1605" s="1">
        <v>-50000</v>
      </c>
      <c r="K1605" t="s">
        <v>26</v>
      </c>
      <c r="L1605" s="1">
        <v>-50000</v>
      </c>
      <c r="M1605" t="s">
        <v>26</v>
      </c>
      <c r="Q1605" t="s">
        <v>27</v>
      </c>
      <c r="R1605" t="s">
        <v>1255</v>
      </c>
      <c r="S1605" t="s">
        <v>334</v>
      </c>
      <c r="T1605" t="s">
        <v>1256</v>
      </c>
      <c r="X1605" t="s">
        <v>43</v>
      </c>
      <c r="Y1605">
        <v>1793264</v>
      </c>
      <c r="Z1605">
        <v>20251104</v>
      </c>
    </row>
    <row r="1606" spans="3:26" x14ac:dyDescent="0.25">
      <c r="C1606">
        <v>10000001</v>
      </c>
      <c r="D1606" t="s">
        <v>1227</v>
      </c>
      <c r="F1606">
        <v>12009022</v>
      </c>
      <c r="H1606" t="s">
        <v>1227</v>
      </c>
      <c r="I1606">
        <v>50</v>
      </c>
      <c r="J1606" s="1">
        <v>-50000</v>
      </c>
      <c r="K1606" t="s">
        <v>26</v>
      </c>
      <c r="L1606" s="1">
        <v>-50000</v>
      </c>
      <c r="M1606" t="s">
        <v>26</v>
      </c>
      <c r="Q1606" t="s">
        <v>27</v>
      </c>
      <c r="R1606" t="s">
        <v>1257</v>
      </c>
      <c r="S1606" t="s">
        <v>334</v>
      </c>
      <c r="T1606" t="s">
        <v>1258</v>
      </c>
      <c r="X1606" t="s">
        <v>43</v>
      </c>
      <c r="Y1606">
        <v>1793264</v>
      </c>
      <c r="Z1606">
        <v>20251104</v>
      </c>
    </row>
    <row r="1607" spans="3:26" x14ac:dyDescent="0.25">
      <c r="C1607">
        <v>10000001</v>
      </c>
      <c r="D1607" t="s">
        <v>1227</v>
      </c>
      <c r="F1607">
        <v>12009023</v>
      </c>
      <c r="H1607" t="s">
        <v>1227</v>
      </c>
      <c r="I1607">
        <v>50</v>
      </c>
      <c r="J1607" s="1">
        <v>-50000</v>
      </c>
      <c r="K1607" t="s">
        <v>26</v>
      </c>
      <c r="L1607" s="1">
        <v>-50000</v>
      </c>
      <c r="M1607" t="s">
        <v>26</v>
      </c>
      <c r="Q1607" t="s">
        <v>27</v>
      </c>
      <c r="R1607" t="s">
        <v>1257</v>
      </c>
      <c r="S1607" t="s">
        <v>334</v>
      </c>
      <c r="T1607" t="s">
        <v>1259</v>
      </c>
      <c r="X1607" t="s">
        <v>43</v>
      </c>
      <c r="Y1607">
        <v>1793264</v>
      </c>
      <c r="Z1607">
        <v>20251104</v>
      </c>
    </row>
    <row r="1608" spans="3:26" x14ac:dyDescent="0.25">
      <c r="C1608">
        <v>10000001</v>
      </c>
      <c r="D1608" t="s">
        <v>1227</v>
      </c>
      <c r="F1608">
        <v>12009024</v>
      </c>
      <c r="H1608" t="s">
        <v>1227</v>
      </c>
      <c r="I1608">
        <v>50</v>
      </c>
      <c r="J1608" s="1">
        <v>-50000</v>
      </c>
      <c r="K1608" t="s">
        <v>26</v>
      </c>
      <c r="L1608" s="1">
        <v>-50000</v>
      </c>
      <c r="M1608" t="s">
        <v>26</v>
      </c>
      <c r="Q1608" t="s">
        <v>27</v>
      </c>
      <c r="R1608" t="s">
        <v>1257</v>
      </c>
      <c r="S1608" t="s">
        <v>334</v>
      </c>
      <c r="T1608" t="s">
        <v>1260</v>
      </c>
      <c r="X1608" t="s">
        <v>43</v>
      </c>
      <c r="Y1608">
        <v>1793264</v>
      </c>
      <c r="Z1608">
        <v>20251104</v>
      </c>
    </row>
    <row r="1609" spans="3:26" x14ac:dyDescent="0.25">
      <c r="C1609">
        <v>10000001</v>
      </c>
      <c r="D1609" t="s">
        <v>1227</v>
      </c>
      <c r="F1609">
        <v>12009025</v>
      </c>
      <c r="H1609" t="s">
        <v>1227</v>
      </c>
      <c r="I1609">
        <v>50</v>
      </c>
      <c r="J1609" s="1">
        <v>-50000</v>
      </c>
      <c r="K1609" t="s">
        <v>26</v>
      </c>
      <c r="L1609" s="1">
        <v>-50000</v>
      </c>
      <c r="M1609" t="s">
        <v>26</v>
      </c>
      <c r="Q1609" t="s">
        <v>27</v>
      </c>
      <c r="R1609" t="s">
        <v>1257</v>
      </c>
      <c r="S1609" t="s">
        <v>334</v>
      </c>
      <c r="T1609" t="s">
        <v>1261</v>
      </c>
      <c r="X1609" t="s">
        <v>43</v>
      </c>
      <c r="Y1609">
        <v>1793264</v>
      </c>
      <c r="Z1609">
        <v>20251104</v>
      </c>
    </row>
    <row r="1610" spans="3:26" x14ac:dyDescent="0.25">
      <c r="C1610">
        <v>10000001</v>
      </c>
      <c r="D1610" t="s">
        <v>1227</v>
      </c>
      <c r="F1610">
        <v>12009026</v>
      </c>
      <c r="H1610" t="s">
        <v>1227</v>
      </c>
      <c r="I1610">
        <v>50</v>
      </c>
      <c r="J1610" s="1">
        <v>-50000</v>
      </c>
      <c r="K1610" t="s">
        <v>26</v>
      </c>
      <c r="L1610" s="1">
        <v>-50000</v>
      </c>
      <c r="M1610" t="s">
        <v>26</v>
      </c>
      <c r="Q1610" t="s">
        <v>27</v>
      </c>
      <c r="R1610" t="s">
        <v>1257</v>
      </c>
      <c r="S1610" t="s">
        <v>334</v>
      </c>
      <c r="T1610" t="s">
        <v>1262</v>
      </c>
      <c r="X1610" t="s">
        <v>43</v>
      </c>
      <c r="Y1610">
        <v>1793264</v>
      </c>
      <c r="Z1610">
        <v>20251104</v>
      </c>
    </row>
    <row r="1611" spans="3:26" x14ac:dyDescent="0.25">
      <c r="C1611">
        <v>10000001</v>
      </c>
      <c r="D1611" t="s">
        <v>1227</v>
      </c>
      <c r="F1611">
        <v>12009027</v>
      </c>
      <c r="H1611" t="s">
        <v>1227</v>
      </c>
      <c r="I1611">
        <v>50</v>
      </c>
      <c r="J1611" s="1">
        <v>-50000</v>
      </c>
      <c r="K1611" t="s">
        <v>26</v>
      </c>
      <c r="L1611" s="1">
        <v>-50000</v>
      </c>
      <c r="M1611" t="s">
        <v>26</v>
      </c>
      <c r="Q1611" t="s">
        <v>27</v>
      </c>
      <c r="R1611" t="s">
        <v>1257</v>
      </c>
      <c r="S1611" t="s">
        <v>334</v>
      </c>
      <c r="T1611" t="s">
        <v>1263</v>
      </c>
      <c r="X1611" t="s">
        <v>43</v>
      </c>
      <c r="Y1611">
        <v>1793264</v>
      </c>
      <c r="Z1611">
        <v>20251104</v>
      </c>
    </row>
    <row r="1612" spans="3:26" x14ac:dyDescent="0.25">
      <c r="C1612">
        <v>10000001</v>
      </c>
      <c r="D1612" t="s">
        <v>1227</v>
      </c>
      <c r="F1612">
        <v>12009028</v>
      </c>
      <c r="H1612" t="s">
        <v>1227</v>
      </c>
      <c r="I1612">
        <v>50</v>
      </c>
      <c r="J1612" s="1">
        <v>-50000</v>
      </c>
      <c r="K1612" t="s">
        <v>26</v>
      </c>
      <c r="L1612" s="1">
        <v>-50000</v>
      </c>
      <c r="M1612" t="s">
        <v>26</v>
      </c>
      <c r="Q1612" t="s">
        <v>27</v>
      </c>
      <c r="R1612" t="s">
        <v>1257</v>
      </c>
      <c r="S1612" t="s">
        <v>334</v>
      </c>
      <c r="T1612" t="s">
        <v>1264</v>
      </c>
      <c r="X1612" t="s">
        <v>43</v>
      </c>
      <c r="Y1612">
        <v>1793264</v>
      </c>
      <c r="Z1612">
        <v>20251104</v>
      </c>
    </row>
    <row r="1613" spans="3:26" x14ac:dyDescent="0.25">
      <c r="C1613">
        <v>10000001</v>
      </c>
      <c r="D1613" t="s">
        <v>1227</v>
      </c>
      <c r="F1613">
        <v>12009029</v>
      </c>
      <c r="H1613" t="s">
        <v>1227</v>
      </c>
      <c r="I1613">
        <v>50</v>
      </c>
      <c r="J1613" s="1">
        <v>-50000</v>
      </c>
      <c r="K1613" t="s">
        <v>26</v>
      </c>
      <c r="L1613" s="1">
        <v>-50000</v>
      </c>
      <c r="M1613" t="s">
        <v>26</v>
      </c>
      <c r="Q1613" t="s">
        <v>27</v>
      </c>
      <c r="R1613" t="s">
        <v>1257</v>
      </c>
      <c r="S1613" t="s">
        <v>334</v>
      </c>
      <c r="T1613" t="s">
        <v>1265</v>
      </c>
      <c r="X1613" t="s">
        <v>43</v>
      </c>
      <c r="Y1613">
        <v>1793264</v>
      </c>
      <c r="Z1613">
        <v>20251104</v>
      </c>
    </row>
    <row r="1614" spans="3:26" x14ac:dyDescent="0.25">
      <c r="C1614">
        <v>10000001</v>
      </c>
      <c r="D1614" t="s">
        <v>1227</v>
      </c>
      <c r="F1614">
        <v>12009030</v>
      </c>
      <c r="H1614" t="s">
        <v>1227</v>
      </c>
      <c r="I1614">
        <v>50</v>
      </c>
      <c r="J1614" s="1">
        <v>-50000</v>
      </c>
      <c r="K1614" t="s">
        <v>26</v>
      </c>
      <c r="L1614" s="1">
        <v>-50000</v>
      </c>
      <c r="M1614" t="s">
        <v>26</v>
      </c>
      <c r="Q1614" t="s">
        <v>27</v>
      </c>
      <c r="R1614" t="s">
        <v>1257</v>
      </c>
      <c r="S1614" t="s">
        <v>334</v>
      </c>
      <c r="T1614" t="s">
        <v>1266</v>
      </c>
      <c r="X1614" t="s">
        <v>43</v>
      </c>
      <c r="Y1614">
        <v>1793264</v>
      </c>
      <c r="Z1614">
        <v>20251104</v>
      </c>
    </row>
    <row r="1615" spans="3:26" x14ac:dyDescent="0.25">
      <c r="C1615">
        <v>10000001</v>
      </c>
      <c r="D1615" t="s">
        <v>1227</v>
      </c>
      <c r="F1615">
        <v>12009031</v>
      </c>
      <c r="H1615" t="s">
        <v>1227</v>
      </c>
      <c r="I1615">
        <v>50</v>
      </c>
      <c r="J1615" s="1">
        <v>-50000</v>
      </c>
      <c r="K1615" t="s">
        <v>26</v>
      </c>
      <c r="L1615" s="1">
        <v>-50000</v>
      </c>
      <c r="M1615" t="s">
        <v>26</v>
      </c>
      <c r="Q1615" t="s">
        <v>27</v>
      </c>
      <c r="R1615" t="s">
        <v>1257</v>
      </c>
      <c r="S1615" t="s">
        <v>334</v>
      </c>
      <c r="T1615" t="s">
        <v>1267</v>
      </c>
      <c r="X1615" t="s">
        <v>43</v>
      </c>
      <c r="Y1615">
        <v>1793264</v>
      </c>
      <c r="Z1615">
        <v>20251104</v>
      </c>
    </row>
    <row r="1616" spans="3:26" x14ac:dyDescent="0.25">
      <c r="C1616">
        <v>10000001</v>
      </c>
      <c r="D1616" t="s">
        <v>1227</v>
      </c>
      <c r="F1616">
        <v>12009032</v>
      </c>
      <c r="H1616" t="s">
        <v>1227</v>
      </c>
      <c r="I1616">
        <v>50</v>
      </c>
      <c r="J1616" s="1">
        <v>-50000</v>
      </c>
      <c r="K1616" t="s">
        <v>26</v>
      </c>
      <c r="L1616" s="1">
        <v>-50000</v>
      </c>
      <c r="M1616" t="s">
        <v>26</v>
      </c>
      <c r="Q1616" t="s">
        <v>27</v>
      </c>
      <c r="R1616" t="s">
        <v>1257</v>
      </c>
      <c r="S1616" t="s">
        <v>334</v>
      </c>
      <c r="T1616" t="s">
        <v>1268</v>
      </c>
      <c r="X1616" t="s">
        <v>43</v>
      </c>
      <c r="Y1616">
        <v>1793264</v>
      </c>
      <c r="Z1616">
        <v>20251104</v>
      </c>
    </row>
    <row r="1617" spans="3:26" x14ac:dyDescent="0.25">
      <c r="C1617">
        <v>10000001</v>
      </c>
      <c r="D1617" t="s">
        <v>1227</v>
      </c>
      <c r="F1617">
        <v>12009033</v>
      </c>
      <c r="H1617" t="s">
        <v>1227</v>
      </c>
      <c r="I1617">
        <v>50</v>
      </c>
      <c r="J1617" s="1">
        <v>-50000</v>
      </c>
      <c r="K1617" t="s">
        <v>26</v>
      </c>
      <c r="L1617" s="1">
        <v>-50000</v>
      </c>
      <c r="M1617" t="s">
        <v>26</v>
      </c>
      <c r="Q1617" t="s">
        <v>27</v>
      </c>
      <c r="R1617" t="s">
        <v>1257</v>
      </c>
      <c r="S1617" t="s">
        <v>334</v>
      </c>
      <c r="T1617" t="s">
        <v>1269</v>
      </c>
      <c r="X1617" t="s">
        <v>43</v>
      </c>
      <c r="Y1617">
        <v>1793264</v>
      </c>
      <c r="Z1617">
        <v>20251104</v>
      </c>
    </row>
    <row r="1618" spans="3:26" x14ac:dyDescent="0.25">
      <c r="C1618">
        <v>10000001</v>
      </c>
      <c r="D1618" t="s">
        <v>1227</v>
      </c>
      <c r="F1618">
        <v>12009034</v>
      </c>
      <c r="H1618" t="s">
        <v>1227</v>
      </c>
      <c r="I1618">
        <v>50</v>
      </c>
      <c r="J1618" s="1">
        <v>-50000</v>
      </c>
      <c r="K1618" t="s">
        <v>26</v>
      </c>
      <c r="L1618" s="1">
        <v>-50000</v>
      </c>
      <c r="M1618" t="s">
        <v>26</v>
      </c>
      <c r="Q1618" t="s">
        <v>27</v>
      </c>
      <c r="R1618" t="s">
        <v>1257</v>
      </c>
      <c r="S1618" t="s">
        <v>334</v>
      </c>
      <c r="T1618" t="s">
        <v>1270</v>
      </c>
      <c r="X1618" t="s">
        <v>43</v>
      </c>
      <c r="Y1618">
        <v>1793264</v>
      </c>
      <c r="Z1618">
        <v>20251104</v>
      </c>
    </row>
    <row r="1619" spans="3:26" x14ac:dyDescent="0.25">
      <c r="C1619">
        <v>10000001</v>
      </c>
      <c r="D1619" t="s">
        <v>1227</v>
      </c>
      <c r="F1619">
        <v>12009035</v>
      </c>
      <c r="H1619" t="s">
        <v>1227</v>
      </c>
      <c r="I1619">
        <v>50</v>
      </c>
      <c r="J1619" s="1">
        <v>-50000</v>
      </c>
      <c r="K1619" t="s">
        <v>26</v>
      </c>
      <c r="L1619" s="1">
        <v>-50000</v>
      </c>
      <c r="M1619" t="s">
        <v>26</v>
      </c>
      <c r="Q1619" t="s">
        <v>27</v>
      </c>
      <c r="R1619" t="s">
        <v>1257</v>
      </c>
      <c r="S1619" t="s">
        <v>334</v>
      </c>
      <c r="T1619" t="s">
        <v>1270</v>
      </c>
      <c r="X1619" t="s">
        <v>43</v>
      </c>
      <c r="Y1619">
        <v>1793264</v>
      </c>
      <c r="Z1619">
        <v>20251104</v>
      </c>
    </row>
    <row r="1620" spans="3:26" x14ac:dyDescent="0.25">
      <c r="C1620">
        <v>10000001</v>
      </c>
      <c r="D1620" t="s">
        <v>1227</v>
      </c>
      <c r="F1620">
        <v>12009036</v>
      </c>
      <c r="H1620" t="s">
        <v>1227</v>
      </c>
      <c r="I1620">
        <v>50</v>
      </c>
      <c r="J1620" s="1">
        <v>-50000</v>
      </c>
      <c r="K1620" t="s">
        <v>26</v>
      </c>
      <c r="L1620" s="1">
        <v>-50000</v>
      </c>
      <c r="M1620" t="s">
        <v>26</v>
      </c>
      <c r="Q1620" t="s">
        <v>27</v>
      </c>
      <c r="R1620" t="s">
        <v>1257</v>
      </c>
      <c r="S1620" t="s">
        <v>334</v>
      </c>
      <c r="T1620" t="s">
        <v>1270</v>
      </c>
      <c r="X1620" t="s">
        <v>43</v>
      </c>
      <c r="Y1620">
        <v>1793264</v>
      </c>
      <c r="Z1620">
        <v>20251104</v>
      </c>
    </row>
    <row r="1621" spans="3:26" x14ac:dyDescent="0.25">
      <c r="C1621">
        <v>10000001</v>
      </c>
      <c r="D1621" t="s">
        <v>1227</v>
      </c>
      <c r="F1621">
        <v>12009037</v>
      </c>
      <c r="H1621" t="s">
        <v>1227</v>
      </c>
      <c r="I1621">
        <v>50</v>
      </c>
      <c r="J1621" s="1">
        <v>-50000</v>
      </c>
      <c r="K1621" t="s">
        <v>26</v>
      </c>
      <c r="L1621" s="1">
        <v>-50000</v>
      </c>
      <c r="M1621" t="s">
        <v>26</v>
      </c>
      <c r="Q1621" t="s">
        <v>27</v>
      </c>
      <c r="R1621" t="s">
        <v>1257</v>
      </c>
      <c r="S1621" t="s">
        <v>334</v>
      </c>
      <c r="T1621" t="s">
        <v>1270</v>
      </c>
      <c r="X1621" t="s">
        <v>43</v>
      </c>
      <c r="Y1621">
        <v>1793264</v>
      </c>
      <c r="Z1621">
        <v>20251104</v>
      </c>
    </row>
    <row r="1622" spans="3:26" x14ac:dyDescent="0.25">
      <c r="C1622">
        <v>10000001</v>
      </c>
      <c r="D1622" t="s">
        <v>1227</v>
      </c>
      <c r="F1622">
        <v>12009038</v>
      </c>
      <c r="H1622" t="s">
        <v>1227</v>
      </c>
      <c r="I1622">
        <v>50</v>
      </c>
      <c r="J1622" s="1">
        <v>-50000</v>
      </c>
      <c r="K1622" t="s">
        <v>26</v>
      </c>
      <c r="L1622" s="1">
        <v>-50000</v>
      </c>
      <c r="M1622" t="s">
        <v>26</v>
      </c>
      <c r="Q1622" t="s">
        <v>27</v>
      </c>
      <c r="R1622" t="s">
        <v>1257</v>
      </c>
      <c r="S1622" t="s">
        <v>334</v>
      </c>
      <c r="T1622" t="s">
        <v>1270</v>
      </c>
      <c r="X1622" t="s">
        <v>43</v>
      </c>
      <c r="Y1622">
        <v>1793264</v>
      </c>
      <c r="Z1622">
        <v>20251104</v>
      </c>
    </row>
    <row r="1623" spans="3:26" x14ac:dyDescent="0.25">
      <c r="C1623">
        <v>10000001</v>
      </c>
      <c r="D1623" t="s">
        <v>1227</v>
      </c>
      <c r="F1623">
        <v>12009039</v>
      </c>
      <c r="H1623" t="s">
        <v>1227</v>
      </c>
      <c r="I1623">
        <v>50</v>
      </c>
      <c r="J1623" s="1">
        <v>-50000</v>
      </c>
      <c r="K1623" t="s">
        <v>26</v>
      </c>
      <c r="L1623" s="1">
        <v>-50000</v>
      </c>
      <c r="M1623" t="s">
        <v>26</v>
      </c>
      <c r="Q1623" t="s">
        <v>27</v>
      </c>
      <c r="R1623" t="s">
        <v>1257</v>
      </c>
      <c r="S1623" t="s">
        <v>334</v>
      </c>
      <c r="T1623" t="s">
        <v>1270</v>
      </c>
      <c r="X1623" t="s">
        <v>43</v>
      </c>
      <c r="Y1623">
        <v>1793264</v>
      </c>
      <c r="Z1623">
        <v>20251104</v>
      </c>
    </row>
    <row r="1624" spans="3:26" x14ac:dyDescent="0.25">
      <c r="C1624">
        <v>10000001</v>
      </c>
      <c r="D1624" t="s">
        <v>1227</v>
      </c>
      <c r="F1624">
        <v>12009040</v>
      </c>
      <c r="H1624" t="s">
        <v>1227</v>
      </c>
      <c r="I1624">
        <v>50</v>
      </c>
      <c r="J1624" s="1">
        <v>-50000</v>
      </c>
      <c r="K1624" t="s">
        <v>26</v>
      </c>
      <c r="L1624" s="1">
        <v>-50000</v>
      </c>
      <c r="M1624" t="s">
        <v>26</v>
      </c>
      <c r="Q1624" t="s">
        <v>27</v>
      </c>
      <c r="R1624" t="s">
        <v>1257</v>
      </c>
      <c r="S1624" t="s">
        <v>334</v>
      </c>
      <c r="T1624" t="s">
        <v>1271</v>
      </c>
      <c r="X1624" t="s">
        <v>43</v>
      </c>
      <c r="Y1624">
        <v>1793264</v>
      </c>
      <c r="Z1624">
        <v>20251104</v>
      </c>
    </row>
    <row r="1625" spans="3:26" x14ac:dyDescent="0.25">
      <c r="C1625">
        <v>10000001</v>
      </c>
      <c r="D1625" t="s">
        <v>1227</v>
      </c>
      <c r="F1625">
        <v>12009041</v>
      </c>
      <c r="H1625" t="s">
        <v>1227</v>
      </c>
      <c r="I1625">
        <v>50</v>
      </c>
      <c r="J1625" s="1">
        <v>-50000</v>
      </c>
      <c r="K1625" t="s">
        <v>26</v>
      </c>
      <c r="L1625" s="1">
        <v>-50000</v>
      </c>
      <c r="M1625" t="s">
        <v>26</v>
      </c>
      <c r="Q1625" t="s">
        <v>27</v>
      </c>
      <c r="R1625" t="s">
        <v>1257</v>
      </c>
      <c r="S1625" t="s">
        <v>334</v>
      </c>
      <c r="T1625" t="s">
        <v>1272</v>
      </c>
      <c r="X1625" t="s">
        <v>43</v>
      </c>
      <c r="Y1625">
        <v>1793264</v>
      </c>
      <c r="Z1625">
        <v>20251104</v>
      </c>
    </row>
    <row r="1626" spans="3:26" x14ac:dyDescent="0.25">
      <c r="C1626">
        <v>10000001</v>
      </c>
      <c r="D1626" t="s">
        <v>1227</v>
      </c>
      <c r="F1626">
        <v>12009042</v>
      </c>
      <c r="H1626" t="s">
        <v>1227</v>
      </c>
      <c r="I1626">
        <v>50</v>
      </c>
      <c r="J1626" s="1">
        <v>-50000</v>
      </c>
      <c r="K1626" t="s">
        <v>26</v>
      </c>
      <c r="L1626" s="1">
        <v>-50000</v>
      </c>
      <c r="M1626" t="s">
        <v>26</v>
      </c>
      <c r="Q1626" t="s">
        <v>27</v>
      </c>
      <c r="R1626" t="s">
        <v>1273</v>
      </c>
      <c r="S1626" t="s">
        <v>334</v>
      </c>
      <c r="T1626" t="s">
        <v>1274</v>
      </c>
      <c r="X1626" t="s">
        <v>43</v>
      </c>
      <c r="Y1626">
        <v>1793264</v>
      </c>
      <c r="Z1626">
        <v>20251104</v>
      </c>
    </row>
    <row r="1627" spans="3:26" x14ac:dyDescent="0.25">
      <c r="C1627">
        <v>10000001</v>
      </c>
      <c r="D1627" t="s">
        <v>1227</v>
      </c>
      <c r="F1627">
        <v>12009043</v>
      </c>
      <c r="H1627" t="s">
        <v>1227</v>
      </c>
      <c r="I1627">
        <v>50</v>
      </c>
      <c r="J1627" s="1">
        <v>-50000</v>
      </c>
      <c r="K1627" t="s">
        <v>26</v>
      </c>
      <c r="L1627" s="1">
        <v>-50000</v>
      </c>
      <c r="M1627" t="s">
        <v>26</v>
      </c>
      <c r="Q1627" t="s">
        <v>27</v>
      </c>
      <c r="R1627" t="s">
        <v>1273</v>
      </c>
      <c r="S1627" t="s">
        <v>334</v>
      </c>
      <c r="T1627" t="s">
        <v>1275</v>
      </c>
      <c r="X1627" t="s">
        <v>43</v>
      </c>
      <c r="Y1627">
        <v>1793264</v>
      </c>
      <c r="Z1627">
        <v>20251104</v>
      </c>
    </row>
    <row r="1628" spans="3:26" x14ac:dyDescent="0.25">
      <c r="C1628">
        <v>10000001</v>
      </c>
      <c r="D1628" t="s">
        <v>1227</v>
      </c>
      <c r="F1628">
        <v>12009044</v>
      </c>
      <c r="H1628" t="s">
        <v>1227</v>
      </c>
      <c r="I1628">
        <v>50</v>
      </c>
      <c r="J1628" s="1">
        <v>-50000</v>
      </c>
      <c r="K1628" t="s">
        <v>26</v>
      </c>
      <c r="L1628" s="1">
        <v>-50000</v>
      </c>
      <c r="M1628" t="s">
        <v>26</v>
      </c>
      <c r="Q1628" t="s">
        <v>27</v>
      </c>
      <c r="R1628" t="s">
        <v>1273</v>
      </c>
      <c r="S1628" t="s">
        <v>334</v>
      </c>
      <c r="T1628" t="s">
        <v>1276</v>
      </c>
      <c r="X1628" t="s">
        <v>43</v>
      </c>
      <c r="Y1628">
        <v>1793264</v>
      </c>
      <c r="Z1628">
        <v>20251104</v>
      </c>
    </row>
    <row r="1629" spans="3:26" x14ac:dyDescent="0.25">
      <c r="C1629">
        <v>10000001</v>
      </c>
      <c r="D1629" t="s">
        <v>1227</v>
      </c>
      <c r="F1629">
        <v>12009045</v>
      </c>
      <c r="H1629" t="s">
        <v>1227</v>
      </c>
      <c r="I1629">
        <v>50</v>
      </c>
      <c r="J1629" s="1">
        <v>-50000</v>
      </c>
      <c r="K1629" t="s">
        <v>26</v>
      </c>
      <c r="L1629" s="1">
        <v>-50000</v>
      </c>
      <c r="M1629" t="s">
        <v>26</v>
      </c>
      <c r="Q1629" t="s">
        <v>27</v>
      </c>
      <c r="R1629" t="s">
        <v>1273</v>
      </c>
      <c r="S1629" t="s">
        <v>334</v>
      </c>
      <c r="T1629" t="s">
        <v>1277</v>
      </c>
      <c r="X1629" t="s">
        <v>43</v>
      </c>
      <c r="Y1629">
        <v>1793264</v>
      </c>
      <c r="Z1629">
        <v>20251104</v>
      </c>
    </row>
    <row r="1630" spans="3:26" x14ac:dyDescent="0.25">
      <c r="C1630">
        <v>10000001</v>
      </c>
      <c r="D1630" t="s">
        <v>1227</v>
      </c>
      <c r="F1630">
        <v>12009046</v>
      </c>
      <c r="H1630" t="s">
        <v>1227</v>
      </c>
      <c r="I1630">
        <v>50</v>
      </c>
      <c r="J1630" s="1">
        <v>-50000</v>
      </c>
      <c r="K1630" t="s">
        <v>26</v>
      </c>
      <c r="L1630" s="1">
        <v>-50000</v>
      </c>
      <c r="M1630" t="s">
        <v>26</v>
      </c>
      <c r="Q1630" t="s">
        <v>27</v>
      </c>
      <c r="R1630" t="s">
        <v>1273</v>
      </c>
      <c r="S1630" t="s">
        <v>334</v>
      </c>
      <c r="T1630" t="s">
        <v>1278</v>
      </c>
      <c r="X1630" t="s">
        <v>43</v>
      </c>
      <c r="Y1630">
        <v>1793264</v>
      </c>
      <c r="Z1630">
        <v>20251104</v>
      </c>
    </row>
    <row r="1631" spans="3:26" x14ac:dyDescent="0.25">
      <c r="C1631">
        <v>10000001</v>
      </c>
      <c r="D1631" t="s">
        <v>1227</v>
      </c>
      <c r="F1631">
        <v>12009047</v>
      </c>
      <c r="H1631" t="s">
        <v>1227</v>
      </c>
      <c r="I1631">
        <v>50</v>
      </c>
      <c r="J1631" s="1">
        <v>-50000</v>
      </c>
      <c r="K1631" t="s">
        <v>26</v>
      </c>
      <c r="L1631" s="1">
        <v>-50000</v>
      </c>
      <c r="M1631" t="s">
        <v>26</v>
      </c>
      <c r="Q1631" t="s">
        <v>27</v>
      </c>
      <c r="R1631" t="s">
        <v>1273</v>
      </c>
      <c r="S1631" t="s">
        <v>334</v>
      </c>
      <c r="T1631" t="s">
        <v>1279</v>
      </c>
      <c r="X1631" t="s">
        <v>43</v>
      </c>
      <c r="Y1631">
        <v>1793264</v>
      </c>
      <c r="Z1631">
        <v>20251104</v>
      </c>
    </row>
    <row r="1632" spans="3:26" x14ac:dyDescent="0.25">
      <c r="C1632">
        <v>10000001</v>
      </c>
      <c r="D1632" t="s">
        <v>1227</v>
      </c>
      <c r="F1632">
        <v>12009048</v>
      </c>
      <c r="H1632" t="s">
        <v>1227</v>
      </c>
      <c r="I1632">
        <v>50</v>
      </c>
      <c r="J1632" s="1">
        <v>-50000</v>
      </c>
      <c r="K1632" t="s">
        <v>26</v>
      </c>
      <c r="L1632" s="1">
        <v>-50000</v>
      </c>
      <c r="M1632" t="s">
        <v>26</v>
      </c>
      <c r="Q1632" t="s">
        <v>27</v>
      </c>
      <c r="R1632" t="s">
        <v>1273</v>
      </c>
      <c r="S1632" t="s">
        <v>334</v>
      </c>
      <c r="T1632" t="s">
        <v>1280</v>
      </c>
      <c r="X1632" t="s">
        <v>43</v>
      </c>
      <c r="Y1632">
        <v>1793264</v>
      </c>
      <c r="Z1632">
        <v>20251104</v>
      </c>
    </row>
    <row r="1633" spans="3:26" x14ac:dyDescent="0.25">
      <c r="C1633">
        <v>10000001</v>
      </c>
      <c r="D1633" t="s">
        <v>1227</v>
      </c>
      <c r="F1633">
        <v>12009049</v>
      </c>
      <c r="H1633" t="s">
        <v>1227</v>
      </c>
      <c r="I1633">
        <v>50</v>
      </c>
      <c r="J1633" s="1">
        <v>-50000</v>
      </c>
      <c r="K1633" t="s">
        <v>26</v>
      </c>
      <c r="L1633" s="1">
        <v>-50000</v>
      </c>
      <c r="M1633" t="s">
        <v>26</v>
      </c>
      <c r="Q1633" t="s">
        <v>27</v>
      </c>
      <c r="R1633" t="s">
        <v>1273</v>
      </c>
      <c r="S1633" t="s">
        <v>334</v>
      </c>
      <c r="T1633" t="s">
        <v>1281</v>
      </c>
      <c r="X1633" t="s">
        <v>43</v>
      </c>
      <c r="Y1633">
        <v>1793264</v>
      </c>
      <c r="Z1633">
        <v>20251104</v>
      </c>
    </row>
    <row r="1634" spans="3:26" x14ac:dyDescent="0.25">
      <c r="C1634">
        <v>10000001</v>
      </c>
      <c r="D1634" t="s">
        <v>1227</v>
      </c>
      <c r="F1634">
        <v>12009050</v>
      </c>
      <c r="H1634" t="s">
        <v>1227</v>
      </c>
      <c r="I1634">
        <v>50</v>
      </c>
      <c r="J1634" s="1">
        <v>-50000</v>
      </c>
      <c r="K1634" t="s">
        <v>26</v>
      </c>
      <c r="L1634" s="1">
        <v>-50000</v>
      </c>
      <c r="M1634" t="s">
        <v>26</v>
      </c>
      <c r="Q1634" t="s">
        <v>27</v>
      </c>
      <c r="R1634" t="s">
        <v>1273</v>
      </c>
      <c r="S1634" t="s">
        <v>334</v>
      </c>
      <c r="T1634" t="s">
        <v>1282</v>
      </c>
      <c r="X1634" t="s">
        <v>43</v>
      </c>
      <c r="Y1634">
        <v>1793264</v>
      </c>
      <c r="Z1634">
        <v>20251104</v>
      </c>
    </row>
    <row r="1635" spans="3:26" x14ac:dyDescent="0.25">
      <c r="C1635">
        <v>10000001</v>
      </c>
      <c r="D1635" t="s">
        <v>1227</v>
      </c>
      <c r="F1635">
        <v>12009051</v>
      </c>
      <c r="H1635" t="s">
        <v>1227</v>
      </c>
      <c r="I1635">
        <v>50</v>
      </c>
      <c r="J1635" s="1">
        <v>-2000</v>
      </c>
      <c r="K1635" t="s">
        <v>26</v>
      </c>
      <c r="L1635" s="1">
        <v>-2000</v>
      </c>
      <c r="M1635" t="s">
        <v>26</v>
      </c>
      <c r="Q1635" t="s">
        <v>27</v>
      </c>
      <c r="R1635" t="s">
        <v>1273</v>
      </c>
      <c r="S1635" t="s">
        <v>334</v>
      </c>
      <c r="T1635" t="s">
        <v>1283</v>
      </c>
      <c r="X1635" t="s">
        <v>43</v>
      </c>
      <c r="Y1635">
        <v>1793264</v>
      </c>
      <c r="Z1635">
        <v>20251104</v>
      </c>
    </row>
    <row r="1636" spans="3:26" x14ac:dyDescent="0.25">
      <c r="C1636">
        <v>10000001</v>
      </c>
      <c r="D1636" t="s">
        <v>1227</v>
      </c>
      <c r="F1636">
        <v>12009052</v>
      </c>
      <c r="H1636" t="s">
        <v>1227</v>
      </c>
      <c r="I1636">
        <v>50</v>
      </c>
      <c r="J1636" s="1">
        <v>-954000</v>
      </c>
      <c r="K1636" t="s">
        <v>26</v>
      </c>
      <c r="L1636" s="1">
        <v>-954000</v>
      </c>
      <c r="M1636" t="s">
        <v>26</v>
      </c>
      <c r="Q1636" t="s">
        <v>27</v>
      </c>
      <c r="R1636" t="s">
        <v>1284</v>
      </c>
      <c r="S1636" t="s">
        <v>67</v>
      </c>
      <c r="T1636" t="s">
        <v>1285</v>
      </c>
      <c r="X1636" t="s">
        <v>43</v>
      </c>
      <c r="Y1636">
        <v>1793264</v>
      </c>
      <c r="Z1636">
        <v>20251104</v>
      </c>
    </row>
    <row r="1637" spans="3:26" x14ac:dyDescent="0.25">
      <c r="C1637">
        <v>10000001</v>
      </c>
      <c r="D1637" t="s">
        <v>1227</v>
      </c>
      <c r="F1637">
        <v>12009053</v>
      </c>
      <c r="H1637" t="s">
        <v>1227</v>
      </c>
      <c r="I1637">
        <v>50</v>
      </c>
      <c r="J1637" s="1">
        <v>-945000</v>
      </c>
      <c r="K1637" t="s">
        <v>26</v>
      </c>
      <c r="L1637" s="1">
        <v>-945000</v>
      </c>
      <c r="M1637" t="s">
        <v>26</v>
      </c>
      <c r="Q1637" t="s">
        <v>27</v>
      </c>
      <c r="R1637" t="s">
        <v>1286</v>
      </c>
      <c r="S1637" t="s">
        <v>129</v>
      </c>
      <c r="T1637" t="s">
        <v>1287</v>
      </c>
      <c r="X1637" t="s">
        <v>43</v>
      </c>
      <c r="Y1637">
        <v>1793264</v>
      </c>
      <c r="Z1637">
        <v>20251104</v>
      </c>
    </row>
    <row r="1638" spans="3:26" x14ac:dyDescent="0.25">
      <c r="C1638">
        <v>10000001</v>
      </c>
      <c r="D1638" t="s">
        <v>1227</v>
      </c>
      <c r="F1638">
        <v>12009054</v>
      </c>
      <c r="H1638" t="s">
        <v>1227</v>
      </c>
      <c r="I1638">
        <v>50</v>
      </c>
      <c r="J1638" s="1">
        <v>-443000</v>
      </c>
      <c r="K1638" t="s">
        <v>26</v>
      </c>
      <c r="L1638" s="1">
        <v>-443000</v>
      </c>
      <c r="M1638" t="s">
        <v>26</v>
      </c>
      <c r="Q1638" t="s">
        <v>27</v>
      </c>
      <c r="R1638" t="s">
        <v>1288</v>
      </c>
      <c r="S1638" t="s">
        <v>59</v>
      </c>
      <c r="T1638" t="s">
        <v>1289</v>
      </c>
      <c r="X1638" t="s">
        <v>43</v>
      </c>
      <c r="Y1638">
        <v>1793264</v>
      </c>
      <c r="Z1638">
        <v>20251104</v>
      </c>
    </row>
    <row r="1639" spans="3:26" x14ac:dyDescent="0.25">
      <c r="C1639">
        <v>10000001</v>
      </c>
      <c r="D1639" t="s">
        <v>1227</v>
      </c>
      <c r="F1639">
        <v>12009055</v>
      </c>
      <c r="H1639" t="s">
        <v>1227</v>
      </c>
      <c r="I1639">
        <v>50</v>
      </c>
      <c r="J1639" s="1">
        <v>-1000000</v>
      </c>
      <c r="K1639" t="s">
        <v>26</v>
      </c>
      <c r="L1639" s="1">
        <v>-1000000</v>
      </c>
      <c r="M1639" t="s">
        <v>26</v>
      </c>
      <c r="Q1639" t="s">
        <v>27</v>
      </c>
      <c r="R1639" t="s">
        <v>1290</v>
      </c>
      <c r="S1639" t="s">
        <v>259</v>
      </c>
      <c r="T1639" t="s">
        <v>1291</v>
      </c>
      <c r="X1639" t="s">
        <v>43</v>
      </c>
      <c r="Y1639">
        <v>1793264</v>
      </c>
      <c r="Z1639">
        <v>20251104</v>
      </c>
    </row>
    <row r="1640" spans="3:26" x14ac:dyDescent="0.25">
      <c r="C1640">
        <v>10000001</v>
      </c>
      <c r="D1640" t="s">
        <v>1227</v>
      </c>
      <c r="F1640">
        <v>12009056</v>
      </c>
      <c r="H1640" t="s">
        <v>1227</v>
      </c>
      <c r="I1640">
        <v>50</v>
      </c>
      <c r="J1640" s="1">
        <v>-490000</v>
      </c>
      <c r="K1640" t="s">
        <v>26</v>
      </c>
      <c r="L1640" s="1">
        <v>-490000</v>
      </c>
      <c r="M1640" t="s">
        <v>26</v>
      </c>
      <c r="Q1640" t="s">
        <v>27</v>
      </c>
      <c r="R1640" t="s">
        <v>1292</v>
      </c>
      <c r="S1640" t="s">
        <v>96</v>
      </c>
      <c r="T1640" t="s">
        <v>1293</v>
      </c>
      <c r="X1640" t="s">
        <v>43</v>
      </c>
      <c r="Y1640">
        <v>1793264</v>
      </c>
      <c r="Z1640">
        <v>20251104</v>
      </c>
    </row>
    <row r="1641" spans="3:26" x14ac:dyDescent="0.25">
      <c r="C1641">
        <v>10000001</v>
      </c>
      <c r="D1641" t="s">
        <v>1227</v>
      </c>
      <c r="F1641">
        <v>12009057</v>
      </c>
      <c r="H1641" t="s">
        <v>1227</v>
      </c>
      <c r="I1641">
        <v>50</v>
      </c>
      <c r="J1641" s="1">
        <v>-509500</v>
      </c>
      <c r="K1641" t="s">
        <v>26</v>
      </c>
      <c r="L1641" s="1">
        <v>-509500</v>
      </c>
      <c r="M1641" t="s">
        <v>26</v>
      </c>
      <c r="Q1641" t="s">
        <v>27</v>
      </c>
      <c r="R1641" t="s">
        <v>1292</v>
      </c>
      <c r="S1641" t="s">
        <v>67</v>
      </c>
      <c r="T1641" t="s">
        <v>98</v>
      </c>
      <c r="X1641" t="s">
        <v>43</v>
      </c>
      <c r="Y1641">
        <v>1793264</v>
      </c>
      <c r="Z1641">
        <v>20251104</v>
      </c>
    </row>
    <row r="1642" spans="3:26" x14ac:dyDescent="0.25">
      <c r="C1642">
        <v>10000001</v>
      </c>
      <c r="D1642" t="s">
        <v>1227</v>
      </c>
      <c r="F1642">
        <v>12009058</v>
      </c>
      <c r="H1642" t="s">
        <v>1227</v>
      </c>
      <c r="I1642">
        <v>50</v>
      </c>
      <c r="J1642" s="1">
        <v>-176000</v>
      </c>
      <c r="K1642" t="s">
        <v>26</v>
      </c>
      <c r="L1642" s="1">
        <v>-176000</v>
      </c>
      <c r="M1642" t="s">
        <v>26</v>
      </c>
      <c r="Q1642" t="s">
        <v>27</v>
      </c>
      <c r="R1642" t="s">
        <v>1294</v>
      </c>
      <c r="S1642" t="s">
        <v>67</v>
      </c>
      <c r="T1642" t="s">
        <v>1295</v>
      </c>
      <c r="X1642" t="s">
        <v>43</v>
      </c>
      <c r="Y1642">
        <v>1793264</v>
      </c>
      <c r="Z1642">
        <v>20251104</v>
      </c>
    </row>
    <row r="1643" spans="3:26" x14ac:dyDescent="0.25">
      <c r="C1643">
        <v>10000001</v>
      </c>
      <c r="D1643" t="s">
        <v>1227</v>
      </c>
      <c r="F1643">
        <v>12009059</v>
      </c>
      <c r="H1643" t="s">
        <v>1227</v>
      </c>
      <c r="I1643">
        <v>50</v>
      </c>
      <c r="J1643" s="1">
        <v>-790000</v>
      </c>
      <c r="K1643" t="s">
        <v>26</v>
      </c>
      <c r="L1643" s="1">
        <v>-790000</v>
      </c>
      <c r="M1643" t="s">
        <v>26</v>
      </c>
      <c r="Q1643" t="s">
        <v>27</v>
      </c>
      <c r="R1643" t="s">
        <v>1296</v>
      </c>
      <c r="S1643" t="s">
        <v>96</v>
      </c>
      <c r="T1643" t="s">
        <v>1297</v>
      </c>
      <c r="X1643" t="s">
        <v>43</v>
      </c>
      <c r="Y1643">
        <v>1793264</v>
      </c>
      <c r="Z1643">
        <v>20251104</v>
      </c>
    </row>
    <row r="1644" spans="3:26" x14ac:dyDescent="0.25">
      <c r="C1644">
        <v>10000001</v>
      </c>
      <c r="D1644" t="s">
        <v>1227</v>
      </c>
      <c r="F1644">
        <v>12009060</v>
      </c>
      <c r="H1644" t="s">
        <v>1227</v>
      </c>
      <c r="I1644">
        <v>50</v>
      </c>
      <c r="J1644" s="1">
        <v>-210000</v>
      </c>
      <c r="K1644" t="s">
        <v>26</v>
      </c>
      <c r="L1644" s="1">
        <v>-210000</v>
      </c>
      <c r="M1644" t="s">
        <v>26</v>
      </c>
      <c r="Q1644" t="s">
        <v>27</v>
      </c>
      <c r="R1644" t="s">
        <v>1296</v>
      </c>
      <c r="S1644" t="s">
        <v>67</v>
      </c>
      <c r="T1644" t="s">
        <v>98</v>
      </c>
      <c r="X1644" t="s">
        <v>43</v>
      </c>
      <c r="Y1644">
        <v>1793264</v>
      </c>
      <c r="Z1644">
        <v>20251104</v>
      </c>
    </row>
    <row r="1645" spans="3:26" x14ac:dyDescent="0.25">
      <c r="C1645">
        <v>10000001</v>
      </c>
      <c r="D1645" t="s">
        <v>1227</v>
      </c>
      <c r="F1645">
        <v>12009061</v>
      </c>
      <c r="H1645" t="s">
        <v>1227</v>
      </c>
      <c r="I1645">
        <v>50</v>
      </c>
      <c r="J1645" s="1">
        <v>-715000</v>
      </c>
      <c r="K1645" t="s">
        <v>26</v>
      </c>
      <c r="L1645" s="1">
        <v>-715000</v>
      </c>
      <c r="M1645" t="s">
        <v>26</v>
      </c>
      <c r="Q1645" t="s">
        <v>27</v>
      </c>
      <c r="R1645" t="s">
        <v>1298</v>
      </c>
      <c r="S1645" t="s">
        <v>59</v>
      </c>
      <c r="T1645" t="s">
        <v>1299</v>
      </c>
      <c r="X1645" t="s">
        <v>43</v>
      </c>
      <c r="Y1645">
        <v>1793264</v>
      </c>
      <c r="Z1645">
        <v>20251104</v>
      </c>
    </row>
    <row r="1646" spans="3:26" x14ac:dyDescent="0.25">
      <c r="C1646">
        <v>10000001</v>
      </c>
      <c r="D1646" t="s">
        <v>1227</v>
      </c>
      <c r="F1646">
        <v>12009062</v>
      </c>
      <c r="H1646" t="s">
        <v>1227</v>
      </c>
      <c r="I1646">
        <v>50</v>
      </c>
      <c r="J1646" s="1">
        <v>-22000</v>
      </c>
      <c r="K1646" t="s">
        <v>26</v>
      </c>
      <c r="L1646" s="1">
        <v>-22000</v>
      </c>
      <c r="M1646" t="s">
        <v>26</v>
      </c>
      <c r="Q1646" t="s">
        <v>27</v>
      </c>
      <c r="R1646" t="s">
        <v>1298</v>
      </c>
      <c r="S1646" t="s">
        <v>146</v>
      </c>
      <c r="T1646" t="s">
        <v>1300</v>
      </c>
      <c r="X1646" t="s">
        <v>43</v>
      </c>
      <c r="Y1646">
        <v>1793264</v>
      </c>
      <c r="Z1646">
        <v>20251104</v>
      </c>
    </row>
    <row r="1647" spans="3:26" x14ac:dyDescent="0.25">
      <c r="C1647">
        <v>10000001</v>
      </c>
      <c r="D1647" t="s">
        <v>1227</v>
      </c>
      <c r="F1647">
        <v>12009063</v>
      </c>
      <c r="H1647" t="s">
        <v>1227</v>
      </c>
      <c r="I1647">
        <v>50</v>
      </c>
      <c r="J1647" s="1">
        <v>-188500</v>
      </c>
      <c r="K1647" t="s">
        <v>26</v>
      </c>
      <c r="L1647" s="1">
        <v>-188500</v>
      </c>
      <c r="M1647" t="s">
        <v>26</v>
      </c>
      <c r="Q1647" t="s">
        <v>27</v>
      </c>
      <c r="R1647" t="s">
        <v>1301</v>
      </c>
      <c r="S1647" t="s">
        <v>57</v>
      </c>
      <c r="T1647" t="s">
        <v>1302</v>
      </c>
      <c r="X1647" t="s">
        <v>43</v>
      </c>
      <c r="Y1647">
        <v>1793264</v>
      </c>
      <c r="Z1647">
        <v>20251104</v>
      </c>
    </row>
    <row r="1648" spans="3:26" x14ac:dyDescent="0.25">
      <c r="C1648">
        <v>10000001</v>
      </c>
      <c r="D1648" t="s">
        <v>1227</v>
      </c>
      <c r="F1648">
        <v>12009064</v>
      </c>
      <c r="H1648" t="s">
        <v>1227</v>
      </c>
      <c r="I1648">
        <v>50</v>
      </c>
      <c r="J1648" s="1">
        <v>-180000</v>
      </c>
      <c r="K1648" t="s">
        <v>26</v>
      </c>
      <c r="L1648" s="1">
        <v>-180000</v>
      </c>
      <c r="M1648" t="s">
        <v>26</v>
      </c>
      <c r="Q1648" t="s">
        <v>27</v>
      </c>
      <c r="R1648" t="s">
        <v>1303</v>
      </c>
      <c r="S1648" t="s">
        <v>64</v>
      </c>
      <c r="T1648" t="s">
        <v>1304</v>
      </c>
      <c r="X1648" t="s">
        <v>43</v>
      </c>
      <c r="Y1648">
        <v>1793264</v>
      </c>
      <c r="Z1648">
        <v>20251104</v>
      </c>
    </row>
    <row r="1649" spans="3:26" x14ac:dyDescent="0.25">
      <c r="C1649">
        <v>10000001</v>
      </c>
      <c r="D1649" t="s">
        <v>1227</v>
      </c>
      <c r="F1649">
        <v>12009065</v>
      </c>
      <c r="H1649" t="s">
        <v>1227</v>
      </c>
      <c r="I1649">
        <v>50</v>
      </c>
      <c r="J1649" s="1">
        <v>-385000</v>
      </c>
      <c r="K1649" t="s">
        <v>26</v>
      </c>
      <c r="L1649" s="1">
        <v>-385000</v>
      </c>
      <c r="M1649" t="s">
        <v>26</v>
      </c>
      <c r="Q1649" t="s">
        <v>27</v>
      </c>
      <c r="R1649" t="s">
        <v>1305</v>
      </c>
      <c r="S1649" t="s">
        <v>259</v>
      </c>
      <c r="T1649" t="s">
        <v>1306</v>
      </c>
      <c r="X1649" t="s">
        <v>43</v>
      </c>
      <c r="Y1649">
        <v>1793264</v>
      </c>
      <c r="Z1649">
        <v>20251104</v>
      </c>
    </row>
    <row r="1650" spans="3:26" x14ac:dyDescent="0.25">
      <c r="C1650">
        <v>10000001</v>
      </c>
      <c r="D1650" t="s">
        <v>1227</v>
      </c>
      <c r="F1650">
        <v>12009066</v>
      </c>
      <c r="H1650" t="s">
        <v>1227</v>
      </c>
      <c r="I1650">
        <v>50</v>
      </c>
      <c r="J1650" s="1">
        <v>-50000</v>
      </c>
      <c r="K1650" t="s">
        <v>26</v>
      </c>
      <c r="L1650" s="1">
        <v>-50000</v>
      </c>
      <c r="M1650" t="s">
        <v>26</v>
      </c>
      <c r="Q1650" t="s">
        <v>27</v>
      </c>
      <c r="R1650" t="s">
        <v>1307</v>
      </c>
      <c r="S1650" t="s">
        <v>334</v>
      </c>
      <c r="T1650" t="s">
        <v>1308</v>
      </c>
      <c r="X1650" t="s">
        <v>43</v>
      </c>
      <c r="Y1650">
        <v>1793264</v>
      </c>
      <c r="Z1650">
        <v>20251104</v>
      </c>
    </row>
    <row r="1651" spans="3:26" x14ac:dyDescent="0.25">
      <c r="C1651">
        <v>10000001</v>
      </c>
      <c r="D1651" t="s">
        <v>1227</v>
      </c>
      <c r="F1651">
        <v>12009067</v>
      </c>
      <c r="H1651" t="s">
        <v>1227</v>
      </c>
      <c r="I1651">
        <v>50</v>
      </c>
      <c r="J1651" s="1">
        <v>-50000</v>
      </c>
      <c r="K1651" t="s">
        <v>26</v>
      </c>
      <c r="L1651" s="1">
        <v>-50000</v>
      </c>
      <c r="M1651" t="s">
        <v>26</v>
      </c>
      <c r="Q1651" t="s">
        <v>27</v>
      </c>
      <c r="R1651" t="s">
        <v>1307</v>
      </c>
      <c r="S1651" t="s">
        <v>334</v>
      </c>
      <c r="T1651" t="s">
        <v>1309</v>
      </c>
      <c r="X1651" t="s">
        <v>43</v>
      </c>
      <c r="Y1651">
        <v>1793264</v>
      </c>
      <c r="Z1651">
        <v>20251104</v>
      </c>
    </row>
    <row r="1652" spans="3:26" x14ac:dyDescent="0.25">
      <c r="C1652">
        <v>10000001</v>
      </c>
      <c r="D1652" t="s">
        <v>1227</v>
      </c>
      <c r="F1652">
        <v>12009068</v>
      </c>
      <c r="H1652" t="s">
        <v>1227</v>
      </c>
      <c r="I1652">
        <v>50</v>
      </c>
      <c r="J1652" s="1">
        <v>-50000</v>
      </c>
      <c r="K1652" t="s">
        <v>26</v>
      </c>
      <c r="L1652" s="1">
        <v>-50000</v>
      </c>
      <c r="M1652" t="s">
        <v>26</v>
      </c>
      <c r="Q1652" t="s">
        <v>27</v>
      </c>
      <c r="R1652" t="s">
        <v>1307</v>
      </c>
      <c r="S1652" t="s">
        <v>334</v>
      </c>
      <c r="T1652" t="s">
        <v>1310</v>
      </c>
      <c r="X1652" t="s">
        <v>43</v>
      </c>
      <c r="Y1652">
        <v>1793264</v>
      </c>
      <c r="Z1652">
        <v>20251104</v>
      </c>
    </row>
    <row r="1653" spans="3:26" x14ac:dyDescent="0.25">
      <c r="C1653">
        <v>10000001</v>
      </c>
      <c r="D1653" t="s">
        <v>1227</v>
      </c>
      <c r="F1653">
        <v>12009069</v>
      </c>
      <c r="H1653" t="s">
        <v>1227</v>
      </c>
      <c r="I1653">
        <v>50</v>
      </c>
      <c r="J1653" s="1">
        <v>-992050</v>
      </c>
      <c r="K1653" t="s">
        <v>26</v>
      </c>
      <c r="L1653" s="1">
        <v>-992050</v>
      </c>
      <c r="M1653" t="s">
        <v>26</v>
      </c>
      <c r="Q1653" t="s">
        <v>27</v>
      </c>
      <c r="R1653" t="s">
        <v>1311</v>
      </c>
      <c r="S1653" t="s">
        <v>126</v>
      </c>
      <c r="T1653" t="s">
        <v>1312</v>
      </c>
      <c r="X1653" t="s">
        <v>43</v>
      </c>
      <c r="Y1653">
        <v>1793264</v>
      </c>
      <c r="Z1653">
        <v>20251104</v>
      </c>
    </row>
    <row r="1654" spans="3:26" x14ac:dyDescent="0.25">
      <c r="C1654">
        <v>10000001</v>
      </c>
      <c r="D1654" t="s">
        <v>1227</v>
      </c>
      <c r="F1654">
        <v>12009070</v>
      </c>
      <c r="H1654" t="s">
        <v>1227</v>
      </c>
      <c r="I1654">
        <v>50</v>
      </c>
      <c r="J1654" s="1">
        <v>-500000</v>
      </c>
      <c r="K1654" t="s">
        <v>26</v>
      </c>
      <c r="L1654" s="1">
        <v>-500000</v>
      </c>
      <c r="M1654" t="s">
        <v>26</v>
      </c>
      <c r="Q1654" t="s">
        <v>27</v>
      </c>
      <c r="R1654" t="s">
        <v>1313</v>
      </c>
      <c r="S1654" t="s">
        <v>41</v>
      </c>
      <c r="T1654" t="s">
        <v>1314</v>
      </c>
      <c r="X1654" t="s">
        <v>43</v>
      </c>
      <c r="Y1654">
        <v>1793264</v>
      </c>
      <c r="Z1654">
        <v>20251104</v>
      </c>
    </row>
    <row r="1655" spans="3:26" x14ac:dyDescent="0.25">
      <c r="C1655">
        <v>10000001</v>
      </c>
      <c r="D1655" t="s">
        <v>1227</v>
      </c>
      <c r="F1655">
        <v>12009071</v>
      </c>
      <c r="H1655" t="s">
        <v>1227</v>
      </c>
      <c r="I1655">
        <v>50</v>
      </c>
      <c r="J1655" s="1">
        <v>-256000</v>
      </c>
      <c r="K1655" t="s">
        <v>26</v>
      </c>
      <c r="L1655" s="1">
        <v>-256000</v>
      </c>
      <c r="M1655" t="s">
        <v>26</v>
      </c>
      <c r="Q1655" t="s">
        <v>27</v>
      </c>
      <c r="R1655" t="s">
        <v>1315</v>
      </c>
      <c r="S1655" t="s">
        <v>67</v>
      </c>
      <c r="T1655" t="s">
        <v>1316</v>
      </c>
      <c r="X1655" t="s">
        <v>43</v>
      </c>
      <c r="Y1655">
        <v>1793264</v>
      </c>
      <c r="Z1655">
        <v>20251104</v>
      </c>
    </row>
    <row r="1656" spans="3:26" x14ac:dyDescent="0.25">
      <c r="C1656">
        <v>10000001</v>
      </c>
      <c r="D1656" t="s">
        <v>1227</v>
      </c>
      <c r="F1656">
        <v>12009072</v>
      </c>
      <c r="H1656" t="s">
        <v>1227</v>
      </c>
      <c r="I1656">
        <v>50</v>
      </c>
      <c r="J1656" s="1">
        <v>-16000</v>
      </c>
      <c r="K1656" t="s">
        <v>26</v>
      </c>
      <c r="L1656" s="1">
        <v>-16000</v>
      </c>
      <c r="M1656" t="s">
        <v>26</v>
      </c>
      <c r="Q1656" t="s">
        <v>27</v>
      </c>
      <c r="R1656" t="s">
        <v>1315</v>
      </c>
      <c r="S1656" t="s">
        <v>64</v>
      </c>
      <c r="T1656" t="s">
        <v>1317</v>
      </c>
      <c r="X1656" t="s">
        <v>43</v>
      </c>
      <c r="Y1656">
        <v>1793264</v>
      </c>
      <c r="Z1656">
        <v>20251104</v>
      </c>
    </row>
    <row r="1657" spans="3:26" x14ac:dyDescent="0.25">
      <c r="C1657">
        <v>10000001</v>
      </c>
      <c r="D1657" t="s">
        <v>1227</v>
      </c>
      <c r="F1657">
        <v>12009073</v>
      </c>
      <c r="H1657" t="s">
        <v>1227</v>
      </c>
      <c r="I1657">
        <v>50</v>
      </c>
      <c r="J1657" s="1">
        <v>-700000</v>
      </c>
      <c r="K1657" t="s">
        <v>26</v>
      </c>
      <c r="L1657" s="1">
        <v>-700000</v>
      </c>
      <c r="M1657" t="s">
        <v>26</v>
      </c>
      <c r="Q1657" t="s">
        <v>27</v>
      </c>
      <c r="R1657" t="s">
        <v>1318</v>
      </c>
      <c r="S1657" t="s">
        <v>96</v>
      </c>
      <c r="T1657" t="s">
        <v>1319</v>
      </c>
      <c r="X1657" t="s">
        <v>43</v>
      </c>
      <c r="Y1657">
        <v>1793264</v>
      </c>
      <c r="Z1657">
        <v>20251104</v>
      </c>
    </row>
    <row r="1658" spans="3:26" x14ac:dyDescent="0.25">
      <c r="C1658">
        <v>10000001</v>
      </c>
      <c r="D1658" t="s">
        <v>1227</v>
      </c>
      <c r="F1658">
        <v>12009074</v>
      </c>
      <c r="H1658" t="s">
        <v>1227</v>
      </c>
      <c r="I1658">
        <v>50</v>
      </c>
      <c r="J1658" s="1">
        <v>-300000</v>
      </c>
      <c r="K1658" t="s">
        <v>26</v>
      </c>
      <c r="L1658" s="1">
        <v>-300000</v>
      </c>
      <c r="M1658" t="s">
        <v>26</v>
      </c>
      <c r="Q1658" t="s">
        <v>27</v>
      </c>
      <c r="R1658" t="s">
        <v>1318</v>
      </c>
      <c r="S1658" t="s">
        <v>67</v>
      </c>
      <c r="T1658" t="s">
        <v>98</v>
      </c>
      <c r="X1658" t="s">
        <v>43</v>
      </c>
      <c r="Y1658">
        <v>1793264</v>
      </c>
      <c r="Z1658">
        <v>20251104</v>
      </c>
    </row>
    <row r="1659" spans="3:26" x14ac:dyDescent="0.25">
      <c r="C1659">
        <v>10000001</v>
      </c>
      <c r="D1659" t="s">
        <v>1227</v>
      </c>
      <c r="F1659">
        <v>12009075</v>
      </c>
      <c r="H1659" t="s">
        <v>1227</v>
      </c>
      <c r="I1659">
        <v>50</v>
      </c>
      <c r="J1659" s="1">
        <v>-915000</v>
      </c>
      <c r="K1659" t="s">
        <v>26</v>
      </c>
      <c r="L1659" s="1">
        <v>-915000</v>
      </c>
      <c r="M1659" t="s">
        <v>26</v>
      </c>
      <c r="Q1659" t="s">
        <v>27</v>
      </c>
      <c r="R1659" t="s">
        <v>1320</v>
      </c>
      <c r="S1659" t="s">
        <v>67</v>
      </c>
      <c r="T1659" t="s">
        <v>1321</v>
      </c>
      <c r="X1659" t="s">
        <v>43</v>
      </c>
      <c r="Y1659">
        <v>1793264</v>
      </c>
      <c r="Z1659">
        <v>20251104</v>
      </c>
    </row>
    <row r="1660" spans="3:26" x14ac:dyDescent="0.25">
      <c r="C1660">
        <v>10000001</v>
      </c>
      <c r="D1660" t="s">
        <v>1227</v>
      </c>
      <c r="F1660">
        <v>12009076</v>
      </c>
      <c r="H1660" t="s">
        <v>1227</v>
      </c>
      <c r="I1660">
        <v>50</v>
      </c>
      <c r="J1660" s="1">
        <v>-543510</v>
      </c>
      <c r="K1660" t="s">
        <v>26</v>
      </c>
      <c r="L1660" s="1">
        <v>-543510</v>
      </c>
      <c r="M1660" t="s">
        <v>26</v>
      </c>
      <c r="Q1660" t="s">
        <v>27</v>
      </c>
      <c r="R1660" t="s">
        <v>1322</v>
      </c>
      <c r="S1660" t="s">
        <v>129</v>
      </c>
      <c r="T1660" t="s">
        <v>1323</v>
      </c>
      <c r="X1660" t="s">
        <v>43</v>
      </c>
      <c r="Y1660">
        <v>1793264</v>
      </c>
      <c r="Z1660">
        <v>20251104</v>
      </c>
    </row>
    <row r="1661" spans="3:26" x14ac:dyDescent="0.25">
      <c r="C1661">
        <v>10000001</v>
      </c>
      <c r="D1661" t="s">
        <v>1227</v>
      </c>
      <c r="F1661">
        <v>12009077</v>
      </c>
      <c r="H1661" t="s">
        <v>1227</v>
      </c>
      <c r="I1661">
        <v>50</v>
      </c>
      <c r="J1661" s="1">
        <v>-490000</v>
      </c>
      <c r="K1661" t="s">
        <v>26</v>
      </c>
      <c r="L1661" s="1">
        <v>-490000</v>
      </c>
      <c r="M1661" t="s">
        <v>26</v>
      </c>
      <c r="Q1661" t="s">
        <v>27</v>
      </c>
      <c r="R1661" t="s">
        <v>1324</v>
      </c>
      <c r="S1661" t="s">
        <v>96</v>
      </c>
      <c r="T1661" t="s">
        <v>1325</v>
      </c>
      <c r="X1661" t="s">
        <v>43</v>
      </c>
      <c r="Y1661">
        <v>1793264</v>
      </c>
      <c r="Z1661">
        <v>20251104</v>
      </c>
    </row>
    <row r="1662" spans="3:26" x14ac:dyDescent="0.25">
      <c r="C1662">
        <v>10000001</v>
      </c>
      <c r="D1662" t="s">
        <v>1227</v>
      </c>
      <c r="F1662">
        <v>12009078</v>
      </c>
      <c r="H1662" t="s">
        <v>1227</v>
      </c>
      <c r="I1662">
        <v>50</v>
      </c>
      <c r="J1662" s="1">
        <v>-509500</v>
      </c>
      <c r="K1662" t="s">
        <v>26</v>
      </c>
      <c r="L1662" s="1">
        <v>-509500</v>
      </c>
      <c r="M1662" t="s">
        <v>26</v>
      </c>
      <c r="Q1662" t="s">
        <v>27</v>
      </c>
      <c r="R1662" t="s">
        <v>1324</v>
      </c>
      <c r="S1662" t="s">
        <v>67</v>
      </c>
      <c r="T1662" t="s">
        <v>98</v>
      </c>
      <c r="X1662" t="s">
        <v>43</v>
      </c>
      <c r="Y1662">
        <v>1793264</v>
      </c>
      <c r="Z1662">
        <v>20251104</v>
      </c>
    </row>
    <row r="1663" spans="3:26" x14ac:dyDescent="0.25">
      <c r="C1663">
        <v>10000001</v>
      </c>
      <c r="D1663" t="s">
        <v>1211</v>
      </c>
      <c r="F1663">
        <v>12009079</v>
      </c>
      <c r="H1663" t="s">
        <v>1211</v>
      </c>
      <c r="I1663">
        <v>50</v>
      </c>
      <c r="J1663" s="1">
        <v>-100000</v>
      </c>
      <c r="K1663" t="s">
        <v>26</v>
      </c>
      <c r="L1663" s="1">
        <v>-100000</v>
      </c>
      <c r="M1663" t="s">
        <v>26</v>
      </c>
      <c r="Q1663" t="s">
        <v>27</v>
      </c>
      <c r="R1663" t="s">
        <v>1326</v>
      </c>
      <c r="S1663" t="s">
        <v>334</v>
      </c>
      <c r="T1663" t="s">
        <v>1327</v>
      </c>
      <c r="X1663" t="s">
        <v>43</v>
      </c>
      <c r="Y1663">
        <v>1793264</v>
      </c>
      <c r="Z1663">
        <v>20251105</v>
      </c>
    </row>
    <row r="1664" spans="3:26" x14ac:dyDescent="0.25">
      <c r="C1664">
        <v>10000001</v>
      </c>
      <c r="D1664" t="s">
        <v>1211</v>
      </c>
      <c r="F1664">
        <v>12009080</v>
      </c>
      <c r="H1664" t="s">
        <v>1211</v>
      </c>
      <c r="I1664">
        <v>50</v>
      </c>
      <c r="J1664" s="1">
        <v>-100000</v>
      </c>
      <c r="K1664" t="s">
        <v>26</v>
      </c>
      <c r="L1664" s="1">
        <v>-100000</v>
      </c>
      <c r="M1664" t="s">
        <v>26</v>
      </c>
      <c r="Q1664" t="s">
        <v>27</v>
      </c>
      <c r="R1664" t="s">
        <v>1326</v>
      </c>
      <c r="S1664" t="s">
        <v>334</v>
      </c>
      <c r="T1664" t="s">
        <v>1328</v>
      </c>
      <c r="X1664" t="s">
        <v>43</v>
      </c>
      <c r="Y1664">
        <v>1793264</v>
      </c>
      <c r="Z1664">
        <v>20251105</v>
      </c>
    </row>
    <row r="1665" spans="3:26" x14ac:dyDescent="0.25">
      <c r="C1665">
        <v>10000001</v>
      </c>
      <c r="D1665" t="s">
        <v>1211</v>
      </c>
      <c r="F1665">
        <v>12009081</v>
      </c>
      <c r="H1665" t="s">
        <v>1211</v>
      </c>
      <c r="I1665">
        <v>50</v>
      </c>
      <c r="J1665" s="1">
        <v>-50000</v>
      </c>
      <c r="K1665" t="s">
        <v>26</v>
      </c>
      <c r="L1665" s="1">
        <v>-50000</v>
      </c>
      <c r="M1665" t="s">
        <v>26</v>
      </c>
      <c r="Q1665" t="s">
        <v>27</v>
      </c>
      <c r="R1665" t="s">
        <v>1326</v>
      </c>
      <c r="S1665" t="s">
        <v>334</v>
      </c>
      <c r="T1665" t="s">
        <v>1329</v>
      </c>
      <c r="X1665" t="s">
        <v>43</v>
      </c>
      <c r="Y1665">
        <v>1793264</v>
      </c>
      <c r="Z1665">
        <v>20251105</v>
      </c>
    </row>
    <row r="1666" spans="3:26" x14ac:dyDescent="0.25">
      <c r="C1666">
        <v>10000001</v>
      </c>
      <c r="D1666" t="s">
        <v>1211</v>
      </c>
      <c r="F1666">
        <v>12009082</v>
      </c>
      <c r="H1666" t="s">
        <v>1211</v>
      </c>
      <c r="I1666">
        <v>50</v>
      </c>
      <c r="J1666" s="1">
        <v>-50000</v>
      </c>
      <c r="K1666" t="s">
        <v>26</v>
      </c>
      <c r="L1666" s="1">
        <v>-50000</v>
      </c>
      <c r="M1666" t="s">
        <v>26</v>
      </c>
      <c r="Q1666" t="s">
        <v>27</v>
      </c>
      <c r="R1666" t="s">
        <v>1326</v>
      </c>
      <c r="S1666" t="s">
        <v>334</v>
      </c>
      <c r="T1666" t="s">
        <v>1330</v>
      </c>
      <c r="X1666" t="s">
        <v>43</v>
      </c>
      <c r="Y1666">
        <v>1793264</v>
      </c>
      <c r="Z1666">
        <v>20251105</v>
      </c>
    </row>
    <row r="1667" spans="3:26" x14ac:dyDescent="0.25">
      <c r="C1667">
        <v>10000001</v>
      </c>
      <c r="D1667" t="s">
        <v>1211</v>
      </c>
      <c r="F1667">
        <v>12009083</v>
      </c>
      <c r="H1667" t="s">
        <v>1211</v>
      </c>
      <c r="I1667">
        <v>50</v>
      </c>
      <c r="J1667" s="1">
        <v>-50000</v>
      </c>
      <c r="K1667" t="s">
        <v>26</v>
      </c>
      <c r="L1667" s="1">
        <v>-50000</v>
      </c>
      <c r="M1667" t="s">
        <v>26</v>
      </c>
      <c r="Q1667" t="s">
        <v>27</v>
      </c>
      <c r="R1667" t="s">
        <v>1326</v>
      </c>
      <c r="S1667" t="s">
        <v>334</v>
      </c>
      <c r="T1667" t="s">
        <v>1331</v>
      </c>
      <c r="X1667" t="s">
        <v>43</v>
      </c>
      <c r="Y1667">
        <v>1793264</v>
      </c>
      <c r="Z1667">
        <v>20251105</v>
      </c>
    </row>
    <row r="1668" spans="3:26" x14ac:dyDescent="0.25">
      <c r="C1668">
        <v>10000001</v>
      </c>
      <c r="D1668" t="s">
        <v>1211</v>
      </c>
      <c r="F1668">
        <v>12009084</v>
      </c>
      <c r="H1668" t="s">
        <v>1211</v>
      </c>
      <c r="I1668">
        <v>50</v>
      </c>
      <c r="J1668" s="1">
        <v>-50000</v>
      </c>
      <c r="K1668" t="s">
        <v>26</v>
      </c>
      <c r="L1668" s="1">
        <v>-50000</v>
      </c>
      <c r="M1668" t="s">
        <v>26</v>
      </c>
      <c r="Q1668" t="s">
        <v>27</v>
      </c>
      <c r="R1668" t="s">
        <v>1326</v>
      </c>
      <c r="S1668" t="s">
        <v>334</v>
      </c>
      <c r="T1668" t="s">
        <v>1332</v>
      </c>
      <c r="X1668" t="s">
        <v>43</v>
      </c>
      <c r="Y1668">
        <v>1793264</v>
      </c>
      <c r="Z1668">
        <v>20251105</v>
      </c>
    </row>
    <row r="1669" spans="3:26" x14ac:dyDescent="0.25">
      <c r="C1669">
        <v>10000001</v>
      </c>
      <c r="D1669" t="s">
        <v>1211</v>
      </c>
      <c r="F1669">
        <v>12009085</v>
      </c>
      <c r="H1669" t="s">
        <v>1211</v>
      </c>
      <c r="I1669">
        <v>50</v>
      </c>
      <c r="J1669" s="1">
        <v>-50000</v>
      </c>
      <c r="K1669" t="s">
        <v>26</v>
      </c>
      <c r="L1669" s="1">
        <v>-50000</v>
      </c>
      <c r="M1669" t="s">
        <v>26</v>
      </c>
      <c r="Q1669" t="s">
        <v>27</v>
      </c>
      <c r="R1669" t="s">
        <v>1333</v>
      </c>
      <c r="S1669" t="s">
        <v>126</v>
      </c>
      <c r="T1669" t="s">
        <v>1334</v>
      </c>
      <c r="X1669" t="s">
        <v>43</v>
      </c>
      <c r="Y1669">
        <v>1793264</v>
      </c>
      <c r="Z1669">
        <v>20251105</v>
      </c>
    </row>
    <row r="1670" spans="3:26" x14ac:dyDescent="0.25">
      <c r="C1670">
        <v>10000001</v>
      </c>
      <c r="D1670" t="s">
        <v>1211</v>
      </c>
      <c r="F1670">
        <v>12009086</v>
      </c>
      <c r="H1670" t="s">
        <v>1211</v>
      </c>
      <c r="I1670">
        <v>50</v>
      </c>
      <c r="J1670" s="1">
        <v>-50000</v>
      </c>
      <c r="K1670" t="s">
        <v>26</v>
      </c>
      <c r="L1670" s="1">
        <v>-50000</v>
      </c>
      <c r="M1670" t="s">
        <v>26</v>
      </c>
      <c r="Q1670" t="s">
        <v>27</v>
      </c>
      <c r="R1670" t="s">
        <v>1333</v>
      </c>
      <c r="S1670" t="s">
        <v>126</v>
      </c>
      <c r="T1670" t="s">
        <v>1335</v>
      </c>
      <c r="X1670" t="s">
        <v>43</v>
      </c>
      <c r="Y1670">
        <v>1793264</v>
      </c>
      <c r="Z1670">
        <v>20251105</v>
      </c>
    </row>
    <row r="1671" spans="3:26" x14ac:dyDescent="0.25">
      <c r="C1671">
        <v>10000001</v>
      </c>
      <c r="D1671" t="s">
        <v>1211</v>
      </c>
      <c r="F1671">
        <v>12009087</v>
      </c>
      <c r="H1671" t="s">
        <v>1211</v>
      </c>
      <c r="I1671">
        <v>50</v>
      </c>
      <c r="J1671" s="1">
        <v>-350000</v>
      </c>
      <c r="K1671" t="s">
        <v>26</v>
      </c>
      <c r="L1671" s="1">
        <v>-350000</v>
      </c>
      <c r="M1671" t="s">
        <v>26</v>
      </c>
      <c r="Q1671" t="s">
        <v>27</v>
      </c>
      <c r="R1671" t="s">
        <v>1336</v>
      </c>
      <c r="S1671" t="s">
        <v>334</v>
      </c>
      <c r="T1671" t="s">
        <v>1337</v>
      </c>
      <c r="X1671" t="s">
        <v>43</v>
      </c>
      <c r="Y1671">
        <v>1793264</v>
      </c>
      <c r="Z1671">
        <v>20251105</v>
      </c>
    </row>
    <row r="1672" spans="3:26" x14ac:dyDescent="0.25">
      <c r="C1672">
        <v>10000001</v>
      </c>
      <c r="D1672" t="s">
        <v>1211</v>
      </c>
      <c r="F1672">
        <v>12009088</v>
      </c>
      <c r="H1672" t="s">
        <v>1211</v>
      </c>
      <c r="I1672">
        <v>50</v>
      </c>
      <c r="J1672" s="1">
        <v>-200000</v>
      </c>
      <c r="K1672" t="s">
        <v>26</v>
      </c>
      <c r="L1672" s="1">
        <v>-200000</v>
      </c>
      <c r="M1672" t="s">
        <v>26</v>
      </c>
      <c r="Q1672" t="s">
        <v>27</v>
      </c>
      <c r="R1672" t="s">
        <v>1336</v>
      </c>
      <c r="S1672" t="s">
        <v>334</v>
      </c>
      <c r="T1672" t="s">
        <v>1338</v>
      </c>
      <c r="X1672" t="s">
        <v>43</v>
      </c>
      <c r="Y1672">
        <v>1793264</v>
      </c>
      <c r="Z1672">
        <v>20251105</v>
      </c>
    </row>
    <row r="1673" spans="3:26" x14ac:dyDescent="0.25">
      <c r="C1673">
        <v>10000001</v>
      </c>
      <c r="D1673" t="s">
        <v>1211</v>
      </c>
      <c r="F1673">
        <v>12009089</v>
      </c>
      <c r="H1673" t="s">
        <v>1211</v>
      </c>
      <c r="I1673">
        <v>50</v>
      </c>
      <c r="J1673" s="1">
        <v>-50000</v>
      </c>
      <c r="K1673" t="s">
        <v>26</v>
      </c>
      <c r="L1673" s="1">
        <v>-50000</v>
      </c>
      <c r="M1673" t="s">
        <v>26</v>
      </c>
      <c r="Q1673" t="s">
        <v>27</v>
      </c>
      <c r="R1673" t="s">
        <v>1336</v>
      </c>
      <c r="S1673" t="s">
        <v>259</v>
      </c>
      <c r="T1673" t="s">
        <v>1339</v>
      </c>
      <c r="X1673" t="s">
        <v>43</v>
      </c>
      <c r="Y1673">
        <v>1793264</v>
      </c>
      <c r="Z1673">
        <v>20251105</v>
      </c>
    </row>
    <row r="1674" spans="3:26" x14ac:dyDescent="0.25">
      <c r="C1674">
        <v>10000001</v>
      </c>
      <c r="D1674" t="s">
        <v>1211</v>
      </c>
      <c r="F1674">
        <v>12009090</v>
      </c>
      <c r="H1674" t="s">
        <v>1211</v>
      </c>
      <c r="I1674">
        <v>50</v>
      </c>
      <c r="J1674" s="1">
        <v>-200000</v>
      </c>
      <c r="K1674" t="s">
        <v>26</v>
      </c>
      <c r="L1674" s="1">
        <v>-200000</v>
      </c>
      <c r="M1674" t="s">
        <v>26</v>
      </c>
      <c r="Q1674" t="s">
        <v>27</v>
      </c>
      <c r="R1674" t="s">
        <v>1340</v>
      </c>
      <c r="S1674" t="s">
        <v>96</v>
      </c>
      <c r="T1674" t="s">
        <v>1341</v>
      </c>
      <c r="X1674" t="s">
        <v>43</v>
      </c>
      <c r="Y1674">
        <v>1793264</v>
      </c>
      <c r="Z1674">
        <v>20251105</v>
      </c>
    </row>
    <row r="1675" spans="3:26" x14ac:dyDescent="0.25">
      <c r="C1675">
        <v>10000001</v>
      </c>
      <c r="D1675" t="s">
        <v>1211</v>
      </c>
      <c r="F1675">
        <v>12009091</v>
      </c>
      <c r="H1675" t="s">
        <v>1211</v>
      </c>
      <c r="I1675">
        <v>50</v>
      </c>
      <c r="J1675" s="1">
        <v>-798500</v>
      </c>
      <c r="K1675" t="s">
        <v>26</v>
      </c>
      <c r="L1675" s="1">
        <v>-798500</v>
      </c>
      <c r="M1675" t="s">
        <v>26</v>
      </c>
      <c r="Q1675" t="s">
        <v>27</v>
      </c>
      <c r="R1675" t="s">
        <v>1340</v>
      </c>
      <c r="S1675" t="s">
        <v>67</v>
      </c>
      <c r="T1675" t="s">
        <v>98</v>
      </c>
      <c r="X1675" t="s">
        <v>43</v>
      </c>
      <c r="Y1675">
        <v>1793264</v>
      </c>
      <c r="Z1675">
        <v>20251105</v>
      </c>
    </row>
    <row r="1676" spans="3:26" x14ac:dyDescent="0.25">
      <c r="C1676">
        <v>10000001</v>
      </c>
      <c r="D1676" t="s">
        <v>1211</v>
      </c>
      <c r="F1676">
        <v>12009092</v>
      </c>
      <c r="H1676" t="s">
        <v>1211</v>
      </c>
      <c r="I1676">
        <v>50</v>
      </c>
      <c r="J1676" s="1">
        <v>-50000</v>
      </c>
      <c r="K1676" t="s">
        <v>26</v>
      </c>
      <c r="L1676" s="1">
        <v>-50000</v>
      </c>
      <c r="M1676" t="s">
        <v>26</v>
      </c>
      <c r="Q1676" t="s">
        <v>27</v>
      </c>
      <c r="R1676" t="s">
        <v>1342</v>
      </c>
      <c r="S1676" t="s">
        <v>334</v>
      </c>
      <c r="T1676" t="s">
        <v>1343</v>
      </c>
      <c r="X1676" t="s">
        <v>43</v>
      </c>
      <c r="Y1676">
        <v>1793264</v>
      </c>
      <c r="Z1676">
        <v>20251105</v>
      </c>
    </row>
    <row r="1677" spans="3:26" x14ac:dyDescent="0.25">
      <c r="C1677">
        <v>10000001</v>
      </c>
      <c r="D1677" t="s">
        <v>1211</v>
      </c>
      <c r="F1677">
        <v>12009093</v>
      </c>
      <c r="H1677" t="s">
        <v>1211</v>
      </c>
      <c r="I1677">
        <v>50</v>
      </c>
      <c r="J1677" s="1">
        <v>-100000</v>
      </c>
      <c r="K1677" t="s">
        <v>26</v>
      </c>
      <c r="L1677" s="1">
        <v>-100000</v>
      </c>
      <c r="M1677" t="s">
        <v>26</v>
      </c>
      <c r="Q1677" t="s">
        <v>27</v>
      </c>
      <c r="R1677" t="s">
        <v>1344</v>
      </c>
      <c r="S1677" t="s">
        <v>129</v>
      </c>
      <c r="T1677" t="s">
        <v>1345</v>
      </c>
      <c r="X1677" t="s">
        <v>43</v>
      </c>
      <c r="Y1677">
        <v>1793264</v>
      </c>
      <c r="Z1677">
        <v>20251105</v>
      </c>
    </row>
    <row r="1678" spans="3:26" x14ac:dyDescent="0.25">
      <c r="C1678">
        <v>10000001</v>
      </c>
      <c r="D1678" t="s">
        <v>1211</v>
      </c>
      <c r="F1678">
        <v>12009094</v>
      </c>
      <c r="H1678" t="s">
        <v>1211</v>
      </c>
      <c r="I1678">
        <v>50</v>
      </c>
      <c r="J1678" s="1">
        <v>-500000</v>
      </c>
      <c r="K1678" t="s">
        <v>26</v>
      </c>
      <c r="L1678" s="1">
        <v>-500000</v>
      </c>
      <c r="M1678" t="s">
        <v>26</v>
      </c>
      <c r="Q1678" t="s">
        <v>27</v>
      </c>
      <c r="R1678" t="s">
        <v>1346</v>
      </c>
      <c r="S1678" t="s">
        <v>41</v>
      </c>
      <c r="T1678" t="s">
        <v>1347</v>
      </c>
      <c r="X1678" t="s">
        <v>43</v>
      </c>
      <c r="Y1678">
        <v>1793264</v>
      </c>
      <c r="Z1678">
        <v>20251105</v>
      </c>
    </row>
    <row r="1679" spans="3:26" x14ac:dyDescent="0.25">
      <c r="C1679">
        <v>10000001</v>
      </c>
      <c r="D1679" t="s">
        <v>1211</v>
      </c>
      <c r="F1679">
        <v>12009095</v>
      </c>
      <c r="H1679" t="s">
        <v>1211</v>
      </c>
      <c r="I1679">
        <v>50</v>
      </c>
      <c r="J1679" s="1">
        <v>-826800</v>
      </c>
      <c r="K1679" t="s">
        <v>26</v>
      </c>
      <c r="L1679" s="1">
        <v>-826800</v>
      </c>
      <c r="M1679" t="s">
        <v>26</v>
      </c>
      <c r="Q1679" t="s">
        <v>27</v>
      </c>
      <c r="R1679" t="s">
        <v>1348</v>
      </c>
      <c r="S1679" t="s">
        <v>126</v>
      </c>
      <c r="T1679" t="s">
        <v>1349</v>
      </c>
      <c r="X1679" t="s">
        <v>43</v>
      </c>
      <c r="Y1679">
        <v>1793264</v>
      </c>
      <c r="Z1679">
        <v>20251105</v>
      </c>
    </row>
    <row r="1680" spans="3:26" x14ac:dyDescent="0.25">
      <c r="C1680">
        <v>10000001</v>
      </c>
      <c r="D1680" t="s">
        <v>1211</v>
      </c>
      <c r="F1680">
        <v>12009096</v>
      </c>
      <c r="H1680" t="s">
        <v>1211</v>
      </c>
      <c r="I1680">
        <v>50</v>
      </c>
      <c r="J1680" s="1">
        <v>-75000</v>
      </c>
      <c r="K1680" t="s">
        <v>26</v>
      </c>
      <c r="L1680" s="1">
        <v>-75000</v>
      </c>
      <c r="M1680" t="s">
        <v>26</v>
      </c>
      <c r="Q1680" t="s">
        <v>27</v>
      </c>
      <c r="R1680" t="s">
        <v>1350</v>
      </c>
      <c r="S1680" t="s">
        <v>126</v>
      </c>
      <c r="T1680" t="s">
        <v>1351</v>
      </c>
      <c r="X1680" t="s">
        <v>43</v>
      </c>
      <c r="Y1680">
        <v>1793264</v>
      </c>
      <c r="Z1680">
        <v>20251105</v>
      </c>
    </row>
    <row r="1681" spans="3:26" x14ac:dyDescent="0.25">
      <c r="C1681">
        <v>10000001</v>
      </c>
      <c r="D1681" t="s">
        <v>1211</v>
      </c>
      <c r="F1681">
        <v>12009097</v>
      </c>
      <c r="H1681" t="s">
        <v>1211</v>
      </c>
      <c r="I1681">
        <v>50</v>
      </c>
      <c r="J1681" s="1">
        <v>-75000</v>
      </c>
      <c r="K1681" t="s">
        <v>26</v>
      </c>
      <c r="L1681" s="1">
        <v>-75000</v>
      </c>
      <c r="M1681" t="s">
        <v>26</v>
      </c>
      <c r="Q1681" t="s">
        <v>27</v>
      </c>
      <c r="R1681" t="s">
        <v>1352</v>
      </c>
      <c r="S1681" t="s">
        <v>126</v>
      </c>
      <c r="T1681" t="s">
        <v>1353</v>
      </c>
      <c r="X1681" t="s">
        <v>43</v>
      </c>
      <c r="Y1681">
        <v>1793264</v>
      </c>
      <c r="Z1681">
        <v>20251105</v>
      </c>
    </row>
    <row r="1682" spans="3:26" x14ac:dyDescent="0.25">
      <c r="C1682">
        <v>10000001</v>
      </c>
      <c r="D1682" t="s">
        <v>1211</v>
      </c>
      <c r="F1682">
        <v>12009098</v>
      </c>
      <c r="H1682" t="s">
        <v>1211</v>
      </c>
      <c r="I1682">
        <v>50</v>
      </c>
      <c r="J1682" s="1">
        <v>-50000</v>
      </c>
      <c r="K1682" t="s">
        <v>26</v>
      </c>
      <c r="L1682" s="1">
        <v>-50000</v>
      </c>
      <c r="M1682" t="s">
        <v>26</v>
      </c>
      <c r="Q1682" t="s">
        <v>27</v>
      </c>
      <c r="R1682" t="s">
        <v>1354</v>
      </c>
      <c r="S1682" t="s">
        <v>126</v>
      </c>
      <c r="T1682" t="s">
        <v>1355</v>
      </c>
      <c r="X1682" t="s">
        <v>43</v>
      </c>
      <c r="Y1682">
        <v>1793264</v>
      </c>
      <c r="Z1682">
        <v>20251105</v>
      </c>
    </row>
    <row r="1683" spans="3:26" x14ac:dyDescent="0.25">
      <c r="C1683">
        <v>10000001</v>
      </c>
      <c r="D1683" t="s">
        <v>1211</v>
      </c>
      <c r="F1683">
        <v>12009099</v>
      </c>
      <c r="H1683" t="s">
        <v>1211</v>
      </c>
      <c r="I1683">
        <v>50</v>
      </c>
      <c r="J1683" s="1">
        <v>-50000</v>
      </c>
      <c r="K1683" t="s">
        <v>26</v>
      </c>
      <c r="L1683" s="1">
        <v>-50000</v>
      </c>
      <c r="M1683" t="s">
        <v>26</v>
      </c>
      <c r="Q1683" t="s">
        <v>27</v>
      </c>
      <c r="R1683" t="s">
        <v>1356</v>
      </c>
      <c r="S1683" t="s">
        <v>334</v>
      </c>
      <c r="T1683" t="s">
        <v>1357</v>
      </c>
      <c r="X1683" t="s">
        <v>43</v>
      </c>
      <c r="Y1683">
        <v>1793264</v>
      </c>
      <c r="Z1683">
        <v>20251105</v>
      </c>
    </row>
    <row r="1684" spans="3:26" x14ac:dyDescent="0.25">
      <c r="C1684">
        <v>10000001</v>
      </c>
      <c r="D1684" t="s">
        <v>1211</v>
      </c>
      <c r="F1684">
        <v>12009100</v>
      </c>
      <c r="H1684" t="s">
        <v>1211</v>
      </c>
      <c r="I1684">
        <v>50</v>
      </c>
      <c r="J1684" s="1">
        <v>-50000</v>
      </c>
      <c r="K1684" t="s">
        <v>26</v>
      </c>
      <c r="L1684" s="1">
        <v>-50000</v>
      </c>
      <c r="M1684" t="s">
        <v>26</v>
      </c>
      <c r="Q1684" t="s">
        <v>27</v>
      </c>
      <c r="R1684" t="s">
        <v>1356</v>
      </c>
      <c r="S1684" t="s">
        <v>334</v>
      </c>
      <c r="T1684" t="s">
        <v>1358</v>
      </c>
      <c r="X1684" t="s">
        <v>43</v>
      </c>
      <c r="Y1684">
        <v>1793264</v>
      </c>
      <c r="Z1684">
        <v>20251105</v>
      </c>
    </row>
    <row r="1685" spans="3:26" x14ac:dyDescent="0.25">
      <c r="C1685">
        <v>10000001</v>
      </c>
      <c r="D1685" t="s">
        <v>1211</v>
      </c>
      <c r="F1685">
        <v>12009101</v>
      </c>
      <c r="H1685" t="s">
        <v>1211</v>
      </c>
      <c r="I1685">
        <v>50</v>
      </c>
      <c r="J1685" s="1">
        <v>-50000</v>
      </c>
      <c r="K1685" t="s">
        <v>26</v>
      </c>
      <c r="L1685" s="1">
        <v>-50000</v>
      </c>
      <c r="M1685" t="s">
        <v>26</v>
      </c>
      <c r="Q1685" t="s">
        <v>27</v>
      </c>
      <c r="R1685" t="s">
        <v>1356</v>
      </c>
      <c r="S1685" t="s">
        <v>334</v>
      </c>
      <c r="T1685" t="s">
        <v>1359</v>
      </c>
      <c r="X1685" t="s">
        <v>43</v>
      </c>
      <c r="Y1685">
        <v>1793264</v>
      </c>
      <c r="Z1685">
        <v>20251105</v>
      </c>
    </row>
    <row r="1686" spans="3:26" x14ac:dyDescent="0.25">
      <c r="C1686">
        <v>10000001</v>
      </c>
      <c r="D1686" t="s">
        <v>1211</v>
      </c>
      <c r="F1686">
        <v>12009102</v>
      </c>
      <c r="H1686" t="s">
        <v>1211</v>
      </c>
      <c r="I1686">
        <v>50</v>
      </c>
      <c r="J1686" s="1">
        <v>-50000</v>
      </c>
      <c r="K1686" t="s">
        <v>26</v>
      </c>
      <c r="L1686" s="1">
        <v>-50000</v>
      </c>
      <c r="M1686" t="s">
        <v>26</v>
      </c>
      <c r="Q1686" t="s">
        <v>27</v>
      </c>
      <c r="R1686" t="s">
        <v>1356</v>
      </c>
      <c r="S1686" t="s">
        <v>334</v>
      </c>
      <c r="T1686" t="s">
        <v>1360</v>
      </c>
      <c r="X1686" t="s">
        <v>43</v>
      </c>
      <c r="Y1686">
        <v>1793264</v>
      </c>
      <c r="Z1686">
        <v>20251105</v>
      </c>
    </row>
    <row r="1687" spans="3:26" x14ac:dyDescent="0.25">
      <c r="C1687">
        <v>10000001</v>
      </c>
      <c r="D1687" t="s">
        <v>1211</v>
      </c>
      <c r="F1687">
        <v>12009103</v>
      </c>
      <c r="H1687" t="s">
        <v>1211</v>
      </c>
      <c r="I1687">
        <v>50</v>
      </c>
      <c r="J1687" s="1">
        <v>-50000</v>
      </c>
      <c r="K1687" t="s">
        <v>26</v>
      </c>
      <c r="L1687" s="1">
        <v>-50000</v>
      </c>
      <c r="M1687" t="s">
        <v>26</v>
      </c>
      <c r="Q1687" t="s">
        <v>27</v>
      </c>
      <c r="R1687" t="s">
        <v>1356</v>
      </c>
      <c r="S1687" t="s">
        <v>334</v>
      </c>
      <c r="T1687" t="s">
        <v>1361</v>
      </c>
      <c r="X1687" t="s">
        <v>43</v>
      </c>
      <c r="Y1687">
        <v>1793264</v>
      </c>
      <c r="Z1687">
        <v>20251105</v>
      </c>
    </row>
    <row r="1688" spans="3:26" x14ac:dyDescent="0.25">
      <c r="C1688">
        <v>10000001</v>
      </c>
      <c r="D1688" t="s">
        <v>1211</v>
      </c>
      <c r="F1688">
        <v>12009104</v>
      </c>
      <c r="H1688" t="s">
        <v>1211</v>
      </c>
      <c r="I1688">
        <v>50</v>
      </c>
      <c r="J1688" s="1">
        <v>-50000</v>
      </c>
      <c r="K1688" t="s">
        <v>26</v>
      </c>
      <c r="L1688" s="1">
        <v>-50000</v>
      </c>
      <c r="M1688" t="s">
        <v>26</v>
      </c>
      <c r="Q1688" t="s">
        <v>27</v>
      </c>
      <c r="R1688" t="s">
        <v>1356</v>
      </c>
      <c r="S1688" t="s">
        <v>334</v>
      </c>
      <c r="T1688" t="s">
        <v>1362</v>
      </c>
      <c r="X1688" t="s">
        <v>43</v>
      </c>
      <c r="Y1688">
        <v>1793264</v>
      </c>
      <c r="Z1688">
        <v>20251105</v>
      </c>
    </row>
    <row r="1689" spans="3:26" x14ac:dyDescent="0.25">
      <c r="C1689">
        <v>10000001</v>
      </c>
      <c r="D1689" t="s">
        <v>1211</v>
      </c>
      <c r="F1689">
        <v>12009105</v>
      </c>
      <c r="H1689" t="s">
        <v>1211</v>
      </c>
      <c r="I1689">
        <v>50</v>
      </c>
      <c r="J1689" s="1">
        <v>-50000</v>
      </c>
      <c r="K1689" t="s">
        <v>26</v>
      </c>
      <c r="L1689" s="1">
        <v>-50000</v>
      </c>
      <c r="M1689" t="s">
        <v>26</v>
      </c>
      <c r="Q1689" t="s">
        <v>27</v>
      </c>
      <c r="R1689" t="s">
        <v>1356</v>
      </c>
      <c r="S1689" t="s">
        <v>334</v>
      </c>
      <c r="T1689" t="s">
        <v>1363</v>
      </c>
      <c r="X1689" t="s">
        <v>43</v>
      </c>
      <c r="Y1689">
        <v>1793264</v>
      </c>
      <c r="Z1689">
        <v>20251105</v>
      </c>
    </row>
    <row r="1690" spans="3:26" x14ac:dyDescent="0.25">
      <c r="C1690">
        <v>10000001</v>
      </c>
      <c r="D1690" t="s">
        <v>1211</v>
      </c>
      <c r="F1690">
        <v>12009106</v>
      </c>
      <c r="H1690" t="s">
        <v>1211</v>
      </c>
      <c r="I1690">
        <v>50</v>
      </c>
      <c r="J1690" s="1">
        <v>-50000</v>
      </c>
      <c r="K1690" t="s">
        <v>26</v>
      </c>
      <c r="L1690" s="1">
        <v>-50000</v>
      </c>
      <c r="M1690" t="s">
        <v>26</v>
      </c>
      <c r="Q1690" t="s">
        <v>27</v>
      </c>
      <c r="R1690" t="s">
        <v>1356</v>
      </c>
      <c r="S1690" t="s">
        <v>334</v>
      </c>
      <c r="T1690" t="s">
        <v>1364</v>
      </c>
      <c r="X1690" t="s">
        <v>43</v>
      </c>
      <c r="Y1690">
        <v>1793264</v>
      </c>
      <c r="Z1690">
        <v>20251105</v>
      </c>
    </row>
    <row r="1691" spans="3:26" x14ac:dyDescent="0.25">
      <c r="C1691">
        <v>10000001</v>
      </c>
      <c r="D1691" t="s">
        <v>1211</v>
      </c>
      <c r="F1691">
        <v>12009107</v>
      </c>
      <c r="H1691" t="s">
        <v>1211</v>
      </c>
      <c r="I1691">
        <v>50</v>
      </c>
      <c r="J1691" s="1">
        <v>-50000</v>
      </c>
      <c r="K1691" t="s">
        <v>26</v>
      </c>
      <c r="L1691" s="1">
        <v>-50000</v>
      </c>
      <c r="M1691" t="s">
        <v>26</v>
      </c>
      <c r="Q1691" t="s">
        <v>27</v>
      </c>
      <c r="R1691" t="s">
        <v>1356</v>
      </c>
      <c r="S1691" t="s">
        <v>334</v>
      </c>
      <c r="T1691" t="s">
        <v>1365</v>
      </c>
      <c r="X1691" t="s">
        <v>43</v>
      </c>
      <c r="Y1691">
        <v>1793264</v>
      </c>
      <c r="Z1691">
        <v>20251105</v>
      </c>
    </row>
    <row r="1692" spans="3:26" x14ac:dyDescent="0.25">
      <c r="C1692">
        <v>10000001</v>
      </c>
      <c r="D1692" t="s">
        <v>1211</v>
      </c>
      <c r="F1692">
        <v>12009108</v>
      </c>
      <c r="H1692" t="s">
        <v>1211</v>
      </c>
      <c r="I1692">
        <v>50</v>
      </c>
      <c r="J1692" s="1">
        <v>-50000</v>
      </c>
      <c r="K1692" t="s">
        <v>26</v>
      </c>
      <c r="L1692" s="1">
        <v>-50000</v>
      </c>
      <c r="M1692" t="s">
        <v>26</v>
      </c>
      <c r="Q1692" t="s">
        <v>27</v>
      </c>
      <c r="R1692" t="s">
        <v>1366</v>
      </c>
      <c r="S1692" t="s">
        <v>334</v>
      </c>
      <c r="T1692" t="s">
        <v>1367</v>
      </c>
      <c r="X1692" t="s">
        <v>43</v>
      </c>
      <c r="Y1692">
        <v>1793264</v>
      </c>
      <c r="Z1692">
        <v>20251105</v>
      </c>
    </row>
    <row r="1693" spans="3:26" x14ac:dyDescent="0.25">
      <c r="C1693">
        <v>10000001</v>
      </c>
      <c r="D1693" t="s">
        <v>1211</v>
      </c>
      <c r="F1693">
        <v>12009109</v>
      </c>
      <c r="H1693" t="s">
        <v>1211</v>
      </c>
      <c r="I1693">
        <v>50</v>
      </c>
      <c r="J1693" s="1">
        <v>-50000</v>
      </c>
      <c r="K1693" t="s">
        <v>26</v>
      </c>
      <c r="L1693" s="1">
        <v>-50000</v>
      </c>
      <c r="M1693" t="s">
        <v>26</v>
      </c>
      <c r="Q1693" t="s">
        <v>27</v>
      </c>
      <c r="R1693" t="s">
        <v>1366</v>
      </c>
      <c r="S1693" t="s">
        <v>334</v>
      </c>
      <c r="T1693" t="s">
        <v>1368</v>
      </c>
      <c r="X1693" t="s">
        <v>43</v>
      </c>
      <c r="Y1693">
        <v>1793264</v>
      </c>
      <c r="Z1693">
        <v>20251105</v>
      </c>
    </row>
    <row r="1694" spans="3:26" x14ac:dyDescent="0.25">
      <c r="C1694">
        <v>10000001</v>
      </c>
      <c r="D1694" t="s">
        <v>1211</v>
      </c>
      <c r="F1694">
        <v>12009110</v>
      </c>
      <c r="H1694" t="s">
        <v>1211</v>
      </c>
      <c r="I1694">
        <v>50</v>
      </c>
      <c r="J1694" s="1">
        <v>-50000</v>
      </c>
      <c r="K1694" t="s">
        <v>26</v>
      </c>
      <c r="L1694" s="1">
        <v>-50000</v>
      </c>
      <c r="M1694" t="s">
        <v>26</v>
      </c>
      <c r="Q1694" t="s">
        <v>27</v>
      </c>
      <c r="R1694" t="s">
        <v>1366</v>
      </c>
      <c r="S1694" t="s">
        <v>334</v>
      </c>
      <c r="T1694" t="s">
        <v>1369</v>
      </c>
      <c r="X1694" t="s">
        <v>43</v>
      </c>
      <c r="Y1694">
        <v>1793264</v>
      </c>
      <c r="Z1694">
        <v>20251105</v>
      </c>
    </row>
    <row r="1695" spans="3:26" x14ac:dyDescent="0.25">
      <c r="C1695">
        <v>10000001</v>
      </c>
      <c r="D1695" t="s">
        <v>1211</v>
      </c>
      <c r="F1695">
        <v>12009111</v>
      </c>
      <c r="H1695" t="s">
        <v>1211</v>
      </c>
      <c r="I1695">
        <v>50</v>
      </c>
      <c r="J1695" s="1">
        <v>-50000</v>
      </c>
      <c r="K1695" t="s">
        <v>26</v>
      </c>
      <c r="L1695" s="1">
        <v>-50000</v>
      </c>
      <c r="M1695" t="s">
        <v>26</v>
      </c>
      <c r="Q1695" t="s">
        <v>27</v>
      </c>
      <c r="R1695" t="s">
        <v>1366</v>
      </c>
      <c r="S1695" t="s">
        <v>334</v>
      </c>
      <c r="T1695" t="s">
        <v>1370</v>
      </c>
      <c r="X1695" t="s">
        <v>43</v>
      </c>
      <c r="Y1695">
        <v>1793264</v>
      </c>
      <c r="Z1695">
        <v>20251105</v>
      </c>
    </row>
    <row r="1696" spans="3:26" x14ac:dyDescent="0.25">
      <c r="C1696">
        <v>10000001</v>
      </c>
      <c r="D1696" t="s">
        <v>1211</v>
      </c>
      <c r="F1696">
        <v>12009112</v>
      </c>
      <c r="H1696" t="s">
        <v>1211</v>
      </c>
      <c r="I1696">
        <v>50</v>
      </c>
      <c r="J1696" s="1">
        <v>-50000</v>
      </c>
      <c r="K1696" t="s">
        <v>26</v>
      </c>
      <c r="L1696" s="1">
        <v>-50000</v>
      </c>
      <c r="M1696" t="s">
        <v>26</v>
      </c>
      <c r="Q1696" t="s">
        <v>27</v>
      </c>
      <c r="R1696" t="s">
        <v>1366</v>
      </c>
      <c r="S1696" t="s">
        <v>334</v>
      </c>
      <c r="T1696" t="s">
        <v>1371</v>
      </c>
      <c r="X1696" t="s">
        <v>43</v>
      </c>
      <c r="Y1696">
        <v>1793264</v>
      </c>
      <c r="Z1696">
        <v>20251105</v>
      </c>
    </row>
    <row r="1697" spans="3:26" x14ac:dyDescent="0.25">
      <c r="C1697">
        <v>10000001</v>
      </c>
      <c r="D1697" t="s">
        <v>1211</v>
      </c>
      <c r="F1697">
        <v>12009113</v>
      </c>
      <c r="H1697" t="s">
        <v>1211</v>
      </c>
      <c r="I1697">
        <v>50</v>
      </c>
      <c r="J1697" s="1">
        <v>-50000</v>
      </c>
      <c r="K1697" t="s">
        <v>26</v>
      </c>
      <c r="L1697" s="1">
        <v>-50000</v>
      </c>
      <c r="M1697" t="s">
        <v>26</v>
      </c>
      <c r="Q1697" t="s">
        <v>27</v>
      </c>
      <c r="R1697" t="s">
        <v>1366</v>
      </c>
      <c r="S1697" t="s">
        <v>334</v>
      </c>
      <c r="T1697" t="s">
        <v>1372</v>
      </c>
      <c r="X1697" t="s">
        <v>43</v>
      </c>
      <c r="Y1697">
        <v>1793264</v>
      </c>
      <c r="Z1697">
        <v>20251105</v>
      </c>
    </row>
    <row r="1698" spans="3:26" x14ac:dyDescent="0.25">
      <c r="C1698">
        <v>10000001</v>
      </c>
      <c r="D1698" t="s">
        <v>1211</v>
      </c>
      <c r="F1698">
        <v>12009114</v>
      </c>
      <c r="H1698" t="s">
        <v>1211</v>
      </c>
      <c r="I1698">
        <v>50</v>
      </c>
      <c r="J1698" s="1">
        <v>-50000</v>
      </c>
      <c r="K1698" t="s">
        <v>26</v>
      </c>
      <c r="L1698" s="1">
        <v>-50000</v>
      </c>
      <c r="M1698" t="s">
        <v>26</v>
      </c>
      <c r="Q1698" t="s">
        <v>27</v>
      </c>
      <c r="R1698" t="s">
        <v>1373</v>
      </c>
      <c r="S1698" t="s">
        <v>334</v>
      </c>
      <c r="T1698" t="s">
        <v>1374</v>
      </c>
      <c r="X1698" t="s">
        <v>43</v>
      </c>
      <c r="Y1698">
        <v>1793264</v>
      </c>
      <c r="Z1698">
        <v>20251105</v>
      </c>
    </row>
    <row r="1699" spans="3:26" x14ac:dyDescent="0.25">
      <c r="C1699">
        <v>10000001</v>
      </c>
      <c r="D1699" t="s">
        <v>1211</v>
      </c>
      <c r="F1699">
        <v>12009115</v>
      </c>
      <c r="H1699" t="s">
        <v>1211</v>
      </c>
      <c r="I1699">
        <v>50</v>
      </c>
      <c r="J1699" s="1">
        <v>-50000</v>
      </c>
      <c r="K1699" t="s">
        <v>26</v>
      </c>
      <c r="L1699" s="1">
        <v>-50000</v>
      </c>
      <c r="M1699" t="s">
        <v>26</v>
      </c>
      <c r="Q1699" t="s">
        <v>27</v>
      </c>
      <c r="R1699" t="s">
        <v>1373</v>
      </c>
      <c r="S1699" t="s">
        <v>334</v>
      </c>
      <c r="T1699" t="s">
        <v>1375</v>
      </c>
      <c r="X1699" t="s">
        <v>43</v>
      </c>
      <c r="Y1699">
        <v>1793264</v>
      </c>
      <c r="Z1699">
        <v>20251105</v>
      </c>
    </row>
    <row r="1700" spans="3:26" x14ac:dyDescent="0.25">
      <c r="C1700">
        <v>10000001</v>
      </c>
      <c r="D1700" t="s">
        <v>1211</v>
      </c>
      <c r="F1700">
        <v>12009116</v>
      </c>
      <c r="H1700" t="s">
        <v>1211</v>
      </c>
      <c r="I1700">
        <v>50</v>
      </c>
      <c r="J1700" s="1">
        <v>-50000</v>
      </c>
      <c r="K1700" t="s">
        <v>26</v>
      </c>
      <c r="L1700" s="1">
        <v>-50000</v>
      </c>
      <c r="M1700" t="s">
        <v>26</v>
      </c>
      <c r="Q1700" t="s">
        <v>27</v>
      </c>
      <c r="R1700" t="s">
        <v>1373</v>
      </c>
      <c r="S1700" t="s">
        <v>334</v>
      </c>
      <c r="T1700" t="s">
        <v>1376</v>
      </c>
      <c r="X1700" t="s">
        <v>43</v>
      </c>
      <c r="Y1700">
        <v>1793264</v>
      </c>
      <c r="Z1700">
        <v>20251105</v>
      </c>
    </row>
    <row r="1701" spans="3:26" x14ac:dyDescent="0.25">
      <c r="C1701">
        <v>10000001</v>
      </c>
      <c r="D1701" t="s">
        <v>1211</v>
      </c>
      <c r="F1701">
        <v>12009117</v>
      </c>
      <c r="H1701" t="s">
        <v>1211</v>
      </c>
      <c r="I1701">
        <v>50</v>
      </c>
      <c r="J1701" s="1">
        <v>-50000</v>
      </c>
      <c r="K1701" t="s">
        <v>26</v>
      </c>
      <c r="L1701" s="1">
        <v>-50000</v>
      </c>
      <c r="M1701" t="s">
        <v>26</v>
      </c>
      <c r="Q1701" t="s">
        <v>27</v>
      </c>
      <c r="R1701" t="s">
        <v>1373</v>
      </c>
      <c r="S1701" t="s">
        <v>334</v>
      </c>
      <c r="T1701" t="s">
        <v>1377</v>
      </c>
      <c r="X1701" t="s">
        <v>43</v>
      </c>
      <c r="Y1701">
        <v>1793264</v>
      </c>
      <c r="Z1701">
        <v>20251105</v>
      </c>
    </row>
    <row r="1702" spans="3:26" x14ac:dyDescent="0.25">
      <c r="C1702">
        <v>10000001</v>
      </c>
      <c r="D1702" t="s">
        <v>1211</v>
      </c>
      <c r="F1702">
        <v>12009118</v>
      </c>
      <c r="H1702" t="s">
        <v>1211</v>
      </c>
      <c r="I1702">
        <v>50</v>
      </c>
      <c r="J1702" s="1">
        <v>-977650</v>
      </c>
      <c r="K1702" t="s">
        <v>26</v>
      </c>
      <c r="L1702" s="1">
        <v>-977650</v>
      </c>
      <c r="M1702" t="s">
        <v>26</v>
      </c>
      <c r="Q1702" t="s">
        <v>27</v>
      </c>
      <c r="R1702" t="s">
        <v>1378</v>
      </c>
      <c r="S1702" t="s">
        <v>1187</v>
      </c>
      <c r="T1702" t="s">
        <v>1379</v>
      </c>
      <c r="X1702" t="s">
        <v>43</v>
      </c>
      <c r="Y1702">
        <v>1793264</v>
      </c>
      <c r="Z1702">
        <v>20251105</v>
      </c>
    </row>
    <row r="1703" spans="3:26" x14ac:dyDescent="0.25">
      <c r="C1703">
        <v>10000001</v>
      </c>
      <c r="D1703" t="s">
        <v>1211</v>
      </c>
      <c r="F1703">
        <v>12009119</v>
      </c>
      <c r="H1703" t="s">
        <v>1211</v>
      </c>
      <c r="I1703">
        <v>50</v>
      </c>
      <c r="J1703" s="1">
        <v>-950000</v>
      </c>
      <c r="K1703" t="s">
        <v>26</v>
      </c>
      <c r="L1703" s="1">
        <v>-950000</v>
      </c>
      <c r="M1703" t="s">
        <v>26</v>
      </c>
      <c r="Q1703" t="s">
        <v>27</v>
      </c>
      <c r="R1703" t="s">
        <v>1380</v>
      </c>
      <c r="S1703" t="s">
        <v>1187</v>
      </c>
      <c r="T1703" t="s">
        <v>1381</v>
      </c>
      <c r="X1703" t="s">
        <v>43</v>
      </c>
      <c r="Y1703">
        <v>1793264</v>
      </c>
      <c r="Z1703">
        <v>20251105</v>
      </c>
    </row>
    <row r="1704" spans="3:26" x14ac:dyDescent="0.25">
      <c r="C1704">
        <v>10000001</v>
      </c>
      <c r="D1704" t="s">
        <v>1211</v>
      </c>
      <c r="F1704">
        <v>12009120</v>
      </c>
      <c r="H1704" t="s">
        <v>1211</v>
      </c>
      <c r="I1704">
        <v>50</v>
      </c>
      <c r="J1704" s="1">
        <v>-952650</v>
      </c>
      <c r="K1704" t="s">
        <v>26</v>
      </c>
      <c r="L1704" s="1">
        <v>-952650</v>
      </c>
      <c r="M1704" t="s">
        <v>26</v>
      </c>
      <c r="Q1704" t="s">
        <v>27</v>
      </c>
      <c r="R1704" t="s">
        <v>1382</v>
      </c>
      <c r="S1704" t="s">
        <v>1187</v>
      </c>
      <c r="T1704" t="s">
        <v>1383</v>
      </c>
      <c r="X1704" t="s">
        <v>43</v>
      </c>
      <c r="Y1704">
        <v>1793264</v>
      </c>
      <c r="Z1704">
        <v>20251105</v>
      </c>
    </row>
    <row r="1705" spans="3:26" x14ac:dyDescent="0.25">
      <c r="C1705">
        <v>10000001</v>
      </c>
      <c r="D1705" t="s">
        <v>1211</v>
      </c>
      <c r="F1705">
        <v>12009121</v>
      </c>
      <c r="H1705" t="s">
        <v>1211</v>
      </c>
      <c r="I1705">
        <v>50</v>
      </c>
      <c r="J1705" s="1">
        <v>-289600</v>
      </c>
      <c r="K1705" t="s">
        <v>26</v>
      </c>
      <c r="L1705" s="1">
        <v>-289600</v>
      </c>
      <c r="M1705" t="s">
        <v>26</v>
      </c>
      <c r="Q1705" t="s">
        <v>27</v>
      </c>
      <c r="R1705" t="s">
        <v>1384</v>
      </c>
      <c r="S1705" t="s">
        <v>57</v>
      </c>
      <c r="T1705" t="s">
        <v>1385</v>
      </c>
      <c r="X1705" t="s">
        <v>43</v>
      </c>
      <c r="Y1705">
        <v>1793264</v>
      </c>
      <c r="Z1705">
        <v>20251105</v>
      </c>
    </row>
    <row r="1706" spans="3:26" x14ac:dyDescent="0.25">
      <c r="C1706">
        <v>10000001</v>
      </c>
      <c r="D1706" t="s">
        <v>1211</v>
      </c>
      <c r="F1706">
        <v>12009122</v>
      </c>
      <c r="H1706" t="s">
        <v>1211</v>
      </c>
      <c r="I1706">
        <v>50</v>
      </c>
      <c r="J1706" s="1">
        <v>-710400</v>
      </c>
      <c r="K1706" t="s">
        <v>26</v>
      </c>
      <c r="L1706" s="1">
        <v>-710400</v>
      </c>
      <c r="M1706" t="s">
        <v>26</v>
      </c>
      <c r="Q1706" t="s">
        <v>27</v>
      </c>
      <c r="R1706" t="s">
        <v>1384</v>
      </c>
      <c r="S1706" t="s">
        <v>375</v>
      </c>
      <c r="T1706" t="s">
        <v>1386</v>
      </c>
      <c r="X1706" t="s">
        <v>43</v>
      </c>
      <c r="Y1706">
        <v>1793264</v>
      </c>
      <c r="Z1706">
        <v>20251105</v>
      </c>
    </row>
    <row r="1707" spans="3:26" x14ac:dyDescent="0.25">
      <c r="C1707">
        <v>10000001</v>
      </c>
      <c r="D1707" t="s">
        <v>1211</v>
      </c>
      <c r="F1707">
        <v>12009123</v>
      </c>
      <c r="H1707" t="s">
        <v>1211</v>
      </c>
      <c r="I1707">
        <v>50</v>
      </c>
      <c r="J1707" s="1">
        <v>-174000</v>
      </c>
      <c r="K1707" t="s">
        <v>26</v>
      </c>
      <c r="L1707" s="1">
        <v>-174000</v>
      </c>
      <c r="M1707" t="s">
        <v>26</v>
      </c>
      <c r="Q1707" t="s">
        <v>27</v>
      </c>
      <c r="R1707" t="s">
        <v>1387</v>
      </c>
      <c r="S1707" t="s">
        <v>57</v>
      </c>
      <c r="T1707" t="s">
        <v>1388</v>
      </c>
      <c r="X1707" t="s">
        <v>43</v>
      </c>
      <c r="Y1707">
        <v>1793264</v>
      </c>
      <c r="Z1707">
        <v>20251105</v>
      </c>
    </row>
    <row r="1708" spans="3:26" x14ac:dyDescent="0.25">
      <c r="C1708">
        <v>10000001</v>
      </c>
      <c r="D1708" t="s">
        <v>1211</v>
      </c>
      <c r="F1708">
        <v>12009124</v>
      </c>
      <c r="H1708" t="s">
        <v>1211</v>
      </c>
      <c r="I1708">
        <v>50</v>
      </c>
      <c r="J1708" s="1">
        <v>-700010</v>
      </c>
      <c r="K1708" t="s">
        <v>26</v>
      </c>
      <c r="L1708" s="1">
        <v>-700010</v>
      </c>
      <c r="M1708" t="s">
        <v>26</v>
      </c>
      <c r="Q1708" t="s">
        <v>27</v>
      </c>
      <c r="R1708" t="s">
        <v>1387</v>
      </c>
      <c r="S1708" t="s">
        <v>375</v>
      </c>
      <c r="T1708" t="s">
        <v>1389</v>
      </c>
      <c r="X1708" t="s">
        <v>43</v>
      </c>
      <c r="Y1708">
        <v>1793264</v>
      </c>
      <c r="Z1708">
        <v>20251105</v>
      </c>
    </row>
    <row r="1709" spans="3:26" x14ac:dyDescent="0.25">
      <c r="C1709">
        <v>10000001</v>
      </c>
      <c r="D1709" t="s">
        <v>1211</v>
      </c>
      <c r="F1709">
        <v>12009125</v>
      </c>
      <c r="H1709" t="s">
        <v>1211</v>
      </c>
      <c r="I1709">
        <v>50</v>
      </c>
      <c r="J1709" s="1">
        <v>-123601</v>
      </c>
      <c r="K1709" t="s">
        <v>26</v>
      </c>
      <c r="L1709" s="1">
        <v>-123601</v>
      </c>
      <c r="M1709" t="s">
        <v>26</v>
      </c>
      <c r="Q1709" t="s">
        <v>27</v>
      </c>
      <c r="R1709" t="s">
        <v>1387</v>
      </c>
      <c r="S1709" t="s">
        <v>375</v>
      </c>
      <c r="T1709" t="s">
        <v>1390</v>
      </c>
      <c r="X1709" t="s">
        <v>43</v>
      </c>
      <c r="Y1709">
        <v>1793264</v>
      </c>
      <c r="Z1709">
        <v>20251105</v>
      </c>
    </row>
    <row r="1710" spans="3:26" x14ac:dyDescent="0.25">
      <c r="C1710">
        <v>10000001</v>
      </c>
      <c r="D1710" t="s">
        <v>1211</v>
      </c>
      <c r="F1710">
        <v>12009126</v>
      </c>
      <c r="H1710" t="s">
        <v>1211</v>
      </c>
      <c r="I1710">
        <v>50</v>
      </c>
      <c r="J1710" s="1">
        <v>-980014</v>
      </c>
      <c r="K1710" t="s">
        <v>26</v>
      </c>
      <c r="L1710" s="1">
        <v>-980014</v>
      </c>
      <c r="M1710" t="s">
        <v>26</v>
      </c>
      <c r="Q1710" t="s">
        <v>27</v>
      </c>
      <c r="R1710" t="s">
        <v>1391</v>
      </c>
      <c r="S1710" t="s">
        <v>375</v>
      </c>
      <c r="T1710" t="s">
        <v>1392</v>
      </c>
      <c r="X1710" t="s">
        <v>43</v>
      </c>
      <c r="Y1710">
        <v>1793264</v>
      </c>
      <c r="Z1710">
        <v>20251105</v>
      </c>
    </row>
    <row r="1711" spans="3:26" x14ac:dyDescent="0.25">
      <c r="C1711">
        <v>10000001</v>
      </c>
      <c r="D1711" t="s">
        <v>1211</v>
      </c>
      <c r="F1711">
        <v>12009127</v>
      </c>
      <c r="H1711" t="s">
        <v>1211</v>
      </c>
      <c r="I1711">
        <v>50</v>
      </c>
      <c r="J1711" s="1">
        <v>-299200</v>
      </c>
      <c r="K1711" t="s">
        <v>26</v>
      </c>
      <c r="L1711" s="1">
        <v>-299200</v>
      </c>
      <c r="M1711" t="s">
        <v>26</v>
      </c>
      <c r="Q1711" t="s">
        <v>27</v>
      </c>
      <c r="R1711" t="s">
        <v>1393</v>
      </c>
      <c r="S1711" t="s">
        <v>126</v>
      </c>
      <c r="T1711" t="s">
        <v>1394</v>
      </c>
      <c r="X1711" t="s">
        <v>43</v>
      </c>
      <c r="Y1711">
        <v>1793264</v>
      </c>
      <c r="Z1711">
        <v>20251105</v>
      </c>
    </row>
    <row r="1712" spans="3:26" x14ac:dyDescent="0.25">
      <c r="C1712">
        <v>10000001</v>
      </c>
      <c r="D1712" t="s">
        <v>1395</v>
      </c>
      <c r="F1712">
        <v>12009128</v>
      </c>
      <c r="H1712" t="s">
        <v>1395</v>
      </c>
      <c r="I1712">
        <v>40</v>
      </c>
      <c r="J1712" s="1">
        <v>35051945</v>
      </c>
      <c r="K1712" t="s">
        <v>26</v>
      </c>
      <c r="L1712" s="1">
        <v>35051945</v>
      </c>
      <c r="M1712" t="s">
        <v>26</v>
      </c>
      <c r="Q1712" t="s">
        <v>27</v>
      </c>
      <c r="S1712" t="s">
        <v>249</v>
      </c>
      <c r="T1712" t="s">
        <v>1396</v>
      </c>
      <c r="X1712" t="s">
        <v>43</v>
      </c>
      <c r="Y1712">
        <v>1793264</v>
      </c>
      <c r="Z1712">
        <v>20251106</v>
      </c>
    </row>
    <row r="1713" spans="3:26" x14ac:dyDescent="0.25">
      <c r="C1713">
        <v>10000001</v>
      </c>
      <c r="D1713" t="s">
        <v>1397</v>
      </c>
      <c r="F1713">
        <v>12009372</v>
      </c>
      <c r="H1713" t="s">
        <v>1397</v>
      </c>
      <c r="I1713">
        <v>50</v>
      </c>
      <c r="J1713" s="1">
        <v>-350000</v>
      </c>
      <c r="K1713" t="s">
        <v>26</v>
      </c>
      <c r="L1713" s="1">
        <v>-350000</v>
      </c>
      <c r="M1713" t="s">
        <v>26</v>
      </c>
      <c r="Q1713" t="s">
        <v>27</v>
      </c>
      <c r="R1713" t="s">
        <v>1398</v>
      </c>
      <c r="S1713" t="s">
        <v>41</v>
      </c>
      <c r="T1713" t="s">
        <v>1399</v>
      </c>
      <c r="X1713" t="s">
        <v>43</v>
      </c>
      <c r="Y1713">
        <v>1793264</v>
      </c>
      <c r="Z1713">
        <v>20251110</v>
      </c>
    </row>
    <row r="1714" spans="3:26" x14ac:dyDescent="0.25">
      <c r="C1714">
        <v>10000001</v>
      </c>
      <c r="D1714" t="s">
        <v>1397</v>
      </c>
      <c r="F1714">
        <v>12009373</v>
      </c>
      <c r="H1714" t="s">
        <v>1397</v>
      </c>
      <c r="I1714">
        <v>50</v>
      </c>
      <c r="J1714" s="1">
        <v>-302000</v>
      </c>
      <c r="K1714" t="s">
        <v>26</v>
      </c>
      <c r="L1714" s="1">
        <v>-302000</v>
      </c>
      <c r="M1714" t="s">
        <v>26</v>
      </c>
      <c r="Q1714" t="s">
        <v>27</v>
      </c>
      <c r="R1714" t="s">
        <v>1400</v>
      </c>
      <c r="S1714" t="s">
        <v>59</v>
      </c>
      <c r="T1714" t="s">
        <v>1401</v>
      </c>
      <c r="X1714" t="s">
        <v>43</v>
      </c>
      <c r="Y1714">
        <v>1793264</v>
      </c>
      <c r="Z1714">
        <v>20251110</v>
      </c>
    </row>
    <row r="1715" spans="3:26" x14ac:dyDescent="0.25">
      <c r="C1715">
        <v>10000001</v>
      </c>
      <c r="D1715" t="s">
        <v>1397</v>
      </c>
      <c r="F1715">
        <v>12009374</v>
      </c>
      <c r="H1715" t="s">
        <v>1397</v>
      </c>
      <c r="I1715">
        <v>50</v>
      </c>
      <c r="J1715" s="1">
        <v>-210500</v>
      </c>
      <c r="K1715" t="s">
        <v>26</v>
      </c>
      <c r="L1715" s="1">
        <v>-210500</v>
      </c>
      <c r="M1715" t="s">
        <v>26</v>
      </c>
      <c r="Q1715" t="s">
        <v>27</v>
      </c>
      <c r="R1715" t="s">
        <v>1402</v>
      </c>
      <c r="S1715" t="s">
        <v>193</v>
      </c>
      <c r="T1715" t="s">
        <v>1403</v>
      </c>
      <c r="X1715" t="s">
        <v>43</v>
      </c>
      <c r="Y1715">
        <v>1793264</v>
      </c>
      <c r="Z1715">
        <v>20251110</v>
      </c>
    </row>
    <row r="1716" spans="3:26" x14ac:dyDescent="0.25">
      <c r="C1716">
        <v>10000001</v>
      </c>
      <c r="D1716" t="s">
        <v>1397</v>
      </c>
      <c r="F1716">
        <v>12009375</v>
      </c>
      <c r="H1716" t="s">
        <v>1397</v>
      </c>
      <c r="I1716">
        <v>50</v>
      </c>
      <c r="J1716" s="1">
        <v>-50000</v>
      </c>
      <c r="K1716" t="s">
        <v>26</v>
      </c>
      <c r="L1716" s="1">
        <v>-50000</v>
      </c>
      <c r="M1716" t="s">
        <v>26</v>
      </c>
      <c r="Q1716" t="s">
        <v>27</v>
      </c>
      <c r="R1716" t="s">
        <v>1404</v>
      </c>
      <c r="S1716" t="s">
        <v>334</v>
      </c>
      <c r="T1716" t="s">
        <v>1405</v>
      </c>
      <c r="X1716" t="s">
        <v>43</v>
      </c>
      <c r="Y1716">
        <v>1793264</v>
      </c>
      <c r="Z1716">
        <v>20251110</v>
      </c>
    </row>
    <row r="1717" spans="3:26" x14ac:dyDescent="0.25">
      <c r="C1717">
        <v>10000001</v>
      </c>
      <c r="D1717" t="s">
        <v>1397</v>
      </c>
      <c r="F1717">
        <v>12009376</v>
      </c>
      <c r="H1717" t="s">
        <v>1397</v>
      </c>
      <c r="I1717">
        <v>50</v>
      </c>
      <c r="J1717" s="1">
        <v>-50000</v>
      </c>
      <c r="K1717" t="s">
        <v>26</v>
      </c>
      <c r="L1717" s="1">
        <v>-50000</v>
      </c>
      <c r="M1717" t="s">
        <v>26</v>
      </c>
      <c r="Q1717" t="s">
        <v>27</v>
      </c>
      <c r="R1717" t="s">
        <v>1404</v>
      </c>
      <c r="S1717" t="s">
        <v>334</v>
      </c>
      <c r="T1717" t="s">
        <v>1406</v>
      </c>
      <c r="X1717" t="s">
        <v>43</v>
      </c>
      <c r="Y1717">
        <v>1793264</v>
      </c>
      <c r="Z1717">
        <v>20251110</v>
      </c>
    </row>
    <row r="1718" spans="3:26" x14ac:dyDescent="0.25">
      <c r="C1718">
        <v>10000001</v>
      </c>
      <c r="D1718" t="s">
        <v>1397</v>
      </c>
      <c r="F1718">
        <v>12009377</v>
      </c>
      <c r="H1718" t="s">
        <v>1397</v>
      </c>
      <c r="I1718">
        <v>50</v>
      </c>
      <c r="J1718" s="1">
        <v>-975000</v>
      </c>
      <c r="K1718" t="s">
        <v>26</v>
      </c>
      <c r="L1718" s="1">
        <v>-975000</v>
      </c>
      <c r="M1718" t="s">
        <v>26</v>
      </c>
      <c r="Q1718" t="s">
        <v>27</v>
      </c>
      <c r="R1718" t="s">
        <v>1407</v>
      </c>
      <c r="S1718" t="s">
        <v>1187</v>
      </c>
      <c r="T1718" t="s">
        <v>1408</v>
      </c>
      <c r="X1718" t="s">
        <v>43</v>
      </c>
      <c r="Y1718">
        <v>1793264</v>
      </c>
      <c r="Z1718">
        <v>20251110</v>
      </c>
    </row>
    <row r="1719" spans="3:26" x14ac:dyDescent="0.25">
      <c r="C1719">
        <v>10000001</v>
      </c>
      <c r="D1719" t="s">
        <v>1397</v>
      </c>
      <c r="F1719">
        <v>12009378</v>
      </c>
      <c r="H1719" t="s">
        <v>1397</v>
      </c>
      <c r="I1719">
        <v>50</v>
      </c>
      <c r="J1719" s="1">
        <v>-490000</v>
      </c>
      <c r="K1719" t="s">
        <v>26</v>
      </c>
      <c r="L1719" s="1">
        <v>-490000</v>
      </c>
      <c r="M1719" t="s">
        <v>26</v>
      </c>
      <c r="Q1719" t="s">
        <v>27</v>
      </c>
      <c r="R1719" t="s">
        <v>1409</v>
      </c>
      <c r="S1719" t="s">
        <v>96</v>
      </c>
      <c r="T1719" t="s">
        <v>1410</v>
      </c>
      <c r="X1719" t="s">
        <v>43</v>
      </c>
      <c r="Y1719">
        <v>1793264</v>
      </c>
      <c r="Z1719">
        <v>20251110</v>
      </c>
    </row>
    <row r="1720" spans="3:26" x14ac:dyDescent="0.25">
      <c r="C1720">
        <v>10000001</v>
      </c>
      <c r="D1720" t="s">
        <v>1397</v>
      </c>
      <c r="F1720">
        <v>12009379</v>
      </c>
      <c r="H1720" t="s">
        <v>1397</v>
      </c>
      <c r="I1720">
        <v>50</v>
      </c>
      <c r="J1720" s="1">
        <v>-508000</v>
      </c>
      <c r="K1720" t="s">
        <v>26</v>
      </c>
      <c r="L1720" s="1">
        <v>-508000</v>
      </c>
      <c r="M1720" t="s">
        <v>26</v>
      </c>
      <c r="Q1720" t="s">
        <v>27</v>
      </c>
      <c r="R1720" t="s">
        <v>1409</v>
      </c>
      <c r="S1720" t="s">
        <v>67</v>
      </c>
      <c r="T1720" t="s">
        <v>98</v>
      </c>
      <c r="X1720" t="s">
        <v>43</v>
      </c>
      <c r="Y1720">
        <v>1793264</v>
      </c>
      <c r="Z1720">
        <v>20251110</v>
      </c>
    </row>
    <row r="1721" spans="3:26" x14ac:dyDescent="0.25">
      <c r="C1721">
        <v>10000001</v>
      </c>
      <c r="D1721" t="s">
        <v>1397</v>
      </c>
      <c r="F1721">
        <v>12009380</v>
      </c>
      <c r="H1721" t="s">
        <v>1397</v>
      </c>
      <c r="I1721">
        <v>50</v>
      </c>
      <c r="J1721" s="1">
        <v>-800000</v>
      </c>
      <c r="K1721" t="s">
        <v>26</v>
      </c>
      <c r="L1721" s="1">
        <v>-800000</v>
      </c>
      <c r="M1721" t="s">
        <v>26</v>
      </c>
      <c r="Q1721" t="s">
        <v>27</v>
      </c>
      <c r="R1721" t="s">
        <v>1411</v>
      </c>
      <c r="S1721" t="s">
        <v>96</v>
      </c>
      <c r="T1721" t="s">
        <v>1412</v>
      </c>
      <c r="X1721" t="s">
        <v>43</v>
      </c>
      <c r="Y1721">
        <v>1793264</v>
      </c>
      <c r="Z1721">
        <v>20251110</v>
      </c>
    </row>
    <row r="1722" spans="3:26" x14ac:dyDescent="0.25">
      <c r="C1722">
        <v>10000001</v>
      </c>
      <c r="D1722" t="s">
        <v>1397</v>
      </c>
      <c r="F1722">
        <v>12009381</v>
      </c>
      <c r="H1722" t="s">
        <v>1397</v>
      </c>
      <c r="I1722">
        <v>50</v>
      </c>
      <c r="J1722" s="1">
        <v>-200000</v>
      </c>
      <c r="K1722" t="s">
        <v>26</v>
      </c>
      <c r="L1722" s="1">
        <v>-200000</v>
      </c>
      <c r="M1722" t="s">
        <v>26</v>
      </c>
      <c r="Q1722" t="s">
        <v>27</v>
      </c>
      <c r="R1722" t="s">
        <v>1411</v>
      </c>
      <c r="S1722" t="s">
        <v>67</v>
      </c>
      <c r="T1722" t="s">
        <v>98</v>
      </c>
      <c r="X1722" t="s">
        <v>43</v>
      </c>
      <c r="Y1722">
        <v>1793264</v>
      </c>
      <c r="Z1722">
        <v>20251110</v>
      </c>
    </row>
    <row r="1723" spans="3:26" x14ac:dyDescent="0.25">
      <c r="C1723">
        <v>10000001</v>
      </c>
      <c r="D1723" t="s">
        <v>1397</v>
      </c>
      <c r="F1723">
        <v>12009382</v>
      </c>
      <c r="H1723" t="s">
        <v>1397</v>
      </c>
      <c r="I1723">
        <v>50</v>
      </c>
      <c r="J1723" s="1">
        <v>-877100</v>
      </c>
      <c r="K1723" t="s">
        <v>26</v>
      </c>
      <c r="L1723" s="1">
        <v>-877100</v>
      </c>
      <c r="M1723" t="s">
        <v>26</v>
      </c>
      <c r="Q1723" t="s">
        <v>27</v>
      </c>
      <c r="R1723" t="s">
        <v>1413</v>
      </c>
      <c r="S1723" t="s">
        <v>126</v>
      </c>
      <c r="T1723" t="s">
        <v>1414</v>
      </c>
      <c r="X1723" t="s">
        <v>43</v>
      </c>
      <c r="Y1723">
        <v>1793264</v>
      </c>
      <c r="Z1723">
        <v>20251110</v>
      </c>
    </row>
    <row r="1724" spans="3:26" x14ac:dyDescent="0.25">
      <c r="C1724">
        <v>10000001</v>
      </c>
      <c r="D1724" t="s">
        <v>1397</v>
      </c>
      <c r="F1724">
        <v>12009383</v>
      </c>
      <c r="H1724" t="s">
        <v>1397</v>
      </c>
      <c r="I1724">
        <v>50</v>
      </c>
      <c r="J1724" s="1">
        <v>-950000</v>
      </c>
      <c r="K1724" t="s">
        <v>26</v>
      </c>
      <c r="L1724" s="1">
        <v>-950000</v>
      </c>
      <c r="M1724" t="s">
        <v>26</v>
      </c>
      <c r="Q1724" t="s">
        <v>27</v>
      </c>
      <c r="R1724" t="s">
        <v>1415</v>
      </c>
      <c r="S1724" t="s">
        <v>1187</v>
      </c>
      <c r="T1724" t="s">
        <v>1416</v>
      </c>
      <c r="X1724" t="s">
        <v>43</v>
      </c>
      <c r="Y1724">
        <v>1793264</v>
      </c>
      <c r="Z1724">
        <v>20251110</v>
      </c>
    </row>
    <row r="1725" spans="3:26" x14ac:dyDescent="0.25">
      <c r="C1725">
        <v>10000001</v>
      </c>
      <c r="D1725" t="s">
        <v>1397</v>
      </c>
      <c r="F1725">
        <v>12009384</v>
      </c>
      <c r="H1725" t="s">
        <v>1397</v>
      </c>
      <c r="I1725">
        <v>50</v>
      </c>
      <c r="J1725" s="1">
        <v>-1000000</v>
      </c>
      <c r="K1725" t="s">
        <v>26</v>
      </c>
      <c r="L1725" s="1">
        <v>-1000000</v>
      </c>
      <c r="M1725" t="s">
        <v>26</v>
      </c>
      <c r="Q1725" t="s">
        <v>27</v>
      </c>
      <c r="R1725" t="s">
        <v>1417</v>
      </c>
      <c r="S1725" t="s">
        <v>259</v>
      </c>
      <c r="T1725" t="s">
        <v>1418</v>
      </c>
      <c r="X1725" t="s">
        <v>43</v>
      </c>
      <c r="Y1725">
        <v>1793264</v>
      </c>
      <c r="Z1725">
        <v>20251110</v>
      </c>
    </row>
    <row r="1726" spans="3:26" x14ac:dyDescent="0.25">
      <c r="C1726">
        <v>10000001</v>
      </c>
      <c r="D1726" t="s">
        <v>1397</v>
      </c>
      <c r="F1726">
        <v>12009385</v>
      </c>
      <c r="H1726" t="s">
        <v>1397</v>
      </c>
      <c r="I1726">
        <v>50</v>
      </c>
      <c r="J1726" s="1">
        <v>-129500</v>
      </c>
      <c r="K1726" t="s">
        <v>26</v>
      </c>
      <c r="L1726" s="1">
        <v>-129500</v>
      </c>
      <c r="M1726" t="s">
        <v>26</v>
      </c>
      <c r="Q1726" t="s">
        <v>27</v>
      </c>
      <c r="R1726" t="s">
        <v>1419</v>
      </c>
      <c r="S1726" t="s">
        <v>67</v>
      </c>
      <c r="T1726" t="s">
        <v>1420</v>
      </c>
      <c r="X1726" t="s">
        <v>43</v>
      </c>
      <c r="Y1726">
        <v>1793264</v>
      </c>
      <c r="Z1726">
        <v>20251110</v>
      </c>
    </row>
    <row r="1727" spans="3:26" x14ac:dyDescent="0.25">
      <c r="C1727">
        <v>10000001</v>
      </c>
      <c r="D1727" t="s">
        <v>1397</v>
      </c>
      <c r="F1727">
        <v>12009386</v>
      </c>
      <c r="H1727" t="s">
        <v>1397</v>
      </c>
      <c r="I1727">
        <v>50</v>
      </c>
      <c r="J1727" s="1">
        <v>-50000</v>
      </c>
      <c r="K1727" t="s">
        <v>26</v>
      </c>
      <c r="L1727" s="1">
        <v>-50000</v>
      </c>
      <c r="M1727" t="s">
        <v>26</v>
      </c>
      <c r="Q1727" t="s">
        <v>27</v>
      </c>
      <c r="R1727" t="s">
        <v>1419</v>
      </c>
      <c r="S1727" t="s">
        <v>126</v>
      </c>
      <c r="T1727" t="s">
        <v>1421</v>
      </c>
      <c r="X1727" t="s">
        <v>43</v>
      </c>
      <c r="Y1727">
        <v>1793264</v>
      </c>
      <c r="Z1727">
        <v>20251110</v>
      </c>
    </row>
    <row r="1728" spans="3:26" x14ac:dyDescent="0.25">
      <c r="C1728">
        <v>10000001</v>
      </c>
      <c r="D1728" t="s">
        <v>1397</v>
      </c>
      <c r="F1728">
        <v>12009387</v>
      </c>
      <c r="H1728" t="s">
        <v>1397</v>
      </c>
      <c r="I1728">
        <v>50</v>
      </c>
      <c r="J1728" s="1">
        <v>-75000</v>
      </c>
      <c r="K1728" t="s">
        <v>26</v>
      </c>
      <c r="L1728" s="1">
        <v>-75000</v>
      </c>
      <c r="M1728" t="s">
        <v>26</v>
      </c>
      <c r="Q1728" t="s">
        <v>27</v>
      </c>
      <c r="R1728" t="s">
        <v>1422</v>
      </c>
      <c r="S1728" t="s">
        <v>126</v>
      </c>
      <c r="T1728" t="s">
        <v>1423</v>
      </c>
      <c r="X1728" t="s">
        <v>43</v>
      </c>
      <c r="Y1728">
        <v>1793264</v>
      </c>
      <c r="Z1728">
        <v>20251110</v>
      </c>
    </row>
    <row r="1729" spans="3:26" x14ac:dyDescent="0.25">
      <c r="C1729">
        <v>10000001</v>
      </c>
      <c r="D1729" t="s">
        <v>1397</v>
      </c>
      <c r="F1729">
        <v>12009388</v>
      </c>
      <c r="H1729" t="s">
        <v>1397</v>
      </c>
      <c r="I1729">
        <v>50</v>
      </c>
      <c r="J1729" s="1">
        <v>-262820</v>
      </c>
      <c r="K1729" t="s">
        <v>26</v>
      </c>
      <c r="L1729" s="1">
        <v>-262820</v>
      </c>
      <c r="M1729" t="s">
        <v>26</v>
      </c>
      <c r="Q1729" t="s">
        <v>27</v>
      </c>
      <c r="R1729" t="s">
        <v>1422</v>
      </c>
      <c r="S1729" t="s">
        <v>59</v>
      </c>
      <c r="T1729" t="s">
        <v>1424</v>
      </c>
      <c r="X1729" t="s">
        <v>43</v>
      </c>
      <c r="Y1729">
        <v>1793264</v>
      </c>
      <c r="Z1729">
        <v>20251110</v>
      </c>
    </row>
    <row r="1730" spans="3:26" x14ac:dyDescent="0.25">
      <c r="C1730">
        <v>10000001</v>
      </c>
      <c r="D1730" t="s">
        <v>1397</v>
      </c>
      <c r="F1730">
        <v>12009389</v>
      </c>
      <c r="H1730" t="s">
        <v>1397</v>
      </c>
      <c r="I1730">
        <v>50</v>
      </c>
      <c r="J1730" s="1">
        <v>-225500</v>
      </c>
      <c r="K1730" t="s">
        <v>26</v>
      </c>
      <c r="L1730" s="1">
        <v>-225500</v>
      </c>
      <c r="M1730" t="s">
        <v>26</v>
      </c>
      <c r="Q1730" t="s">
        <v>27</v>
      </c>
      <c r="R1730" t="s">
        <v>1422</v>
      </c>
      <c r="S1730" t="s">
        <v>146</v>
      </c>
      <c r="T1730" t="s">
        <v>1425</v>
      </c>
      <c r="X1730" t="s">
        <v>43</v>
      </c>
      <c r="Y1730">
        <v>1793264</v>
      </c>
      <c r="Z1730">
        <v>20251110</v>
      </c>
    </row>
    <row r="1731" spans="3:26" x14ac:dyDescent="0.25">
      <c r="C1731">
        <v>10000001</v>
      </c>
      <c r="D1731" t="s">
        <v>1397</v>
      </c>
      <c r="F1731">
        <v>12009390</v>
      </c>
      <c r="H1731" t="s">
        <v>1397</v>
      </c>
      <c r="I1731">
        <v>50</v>
      </c>
      <c r="J1731" s="1">
        <v>-118400</v>
      </c>
      <c r="K1731" t="s">
        <v>26</v>
      </c>
      <c r="L1731" s="1">
        <v>-118400</v>
      </c>
      <c r="M1731" t="s">
        <v>26</v>
      </c>
      <c r="Q1731" t="s">
        <v>27</v>
      </c>
      <c r="R1731" t="s">
        <v>1422</v>
      </c>
      <c r="S1731" t="s">
        <v>146</v>
      </c>
      <c r="T1731" t="s">
        <v>1426</v>
      </c>
      <c r="X1731" t="s">
        <v>43</v>
      </c>
      <c r="Y1731">
        <v>1793264</v>
      </c>
      <c r="Z1731">
        <v>20251110</v>
      </c>
    </row>
    <row r="1732" spans="3:26" x14ac:dyDescent="0.25">
      <c r="C1732">
        <v>10000001</v>
      </c>
      <c r="D1732" t="s">
        <v>1397</v>
      </c>
      <c r="F1732">
        <v>12009391</v>
      </c>
      <c r="H1732" t="s">
        <v>1397</v>
      </c>
      <c r="I1732">
        <v>50</v>
      </c>
      <c r="J1732" s="1">
        <v>-452000</v>
      </c>
      <c r="K1732" t="s">
        <v>26</v>
      </c>
      <c r="L1732" s="1">
        <v>-452000</v>
      </c>
      <c r="M1732" t="s">
        <v>26</v>
      </c>
      <c r="Q1732" t="s">
        <v>27</v>
      </c>
      <c r="R1732" t="s">
        <v>1427</v>
      </c>
      <c r="S1732" t="s">
        <v>57</v>
      </c>
      <c r="T1732" t="s">
        <v>181</v>
      </c>
      <c r="X1732" t="s">
        <v>43</v>
      </c>
      <c r="Y1732">
        <v>1793264</v>
      </c>
      <c r="Z1732">
        <v>20251110</v>
      </c>
    </row>
    <row r="1733" spans="3:26" x14ac:dyDescent="0.25">
      <c r="C1733">
        <v>10000001</v>
      </c>
      <c r="D1733" t="s">
        <v>1397</v>
      </c>
      <c r="F1733">
        <v>12009392</v>
      </c>
      <c r="H1733" t="s">
        <v>1397</v>
      </c>
      <c r="I1733">
        <v>50</v>
      </c>
      <c r="J1733" s="1">
        <v>-358000</v>
      </c>
      <c r="K1733" t="s">
        <v>26</v>
      </c>
      <c r="L1733" s="1">
        <v>-358000</v>
      </c>
      <c r="M1733" t="s">
        <v>26</v>
      </c>
      <c r="Q1733" t="s">
        <v>27</v>
      </c>
      <c r="R1733" t="s">
        <v>1428</v>
      </c>
      <c r="S1733" t="s">
        <v>57</v>
      </c>
      <c r="T1733" t="s">
        <v>179</v>
      </c>
      <c r="X1733" t="s">
        <v>43</v>
      </c>
      <c r="Y1733">
        <v>1793264</v>
      </c>
      <c r="Z1733">
        <v>20251110</v>
      </c>
    </row>
    <row r="1734" spans="3:26" x14ac:dyDescent="0.25">
      <c r="C1734">
        <v>10000001</v>
      </c>
      <c r="D1734" t="s">
        <v>1397</v>
      </c>
      <c r="F1734">
        <v>12009393</v>
      </c>
      <c r="H1734" t="s">
        <v>1397</v>
      </c>
      <c r="I1734">
        <v>50</v>
      </c>
      <c r="J1734" s="1">
        <v>-50000</v>
      </c>
      <c r="K1734" t="s">
        <v>26</v>
      </c>
      <c r="L1734" s="1">
        <v>-50000</v>
      </c>
      <c r="M1734" t="s">
        <v>26</v>
      </c>
      <c r="Q1734" t="s">
        <v>27</v>
      </c>
      <c r="R1734" t="s">
        <v>1429</v>
      </c>
      <c r="S1734" t="s">
        <v>334</v>
      </c>
      <c r="T1734" t="s">
        <v>1430</v>
      </c>
      <c r="X1734" t="s">
        <v>43</v>
      </c>
      <c r="Y1734">
        <v>1793264</v>
      </c>
      <c r="Z1734">
        <v>20251110</v>
      </c>
    </row>
    <row r="1735" spans="3:26" x14ac:dyDescent="0.25">
      <c r="C1735">
        <v>10000001</v>
      </c>
      <c r="D1735" t="s">
        <v>1397</v>
      </c>
      <c r="F1735">
        <v>12009394</v>
      </c>
      <c r="H1735" t="s">
        <v>1397</v>
      </c>
      <c r="I1735">
        <v>50</v>
      </c>
      <c r="J1735" s="1">
        <v>-50000</v>
      </c>
      <c r="K1735" t="s">
        <v>26</v>
      </c>
      <c r="L1735" s="1">
        <v>-50000</v>
      </c>
      <c r="M1735" t="s">
        <v>26</v>
      </c>
      <c r="Q1735" t="s">
        <v>27</v>
      </c>
      <c r="R1735" t="s">
        <v>1429</v>
      </c>
      <c r="S1735" t="s">
        <v>334</v>
      </c>
      <c r="T1735" t="s">
        <v>1431</v>
      </c>
      <c r="X1735" t="s">
        <v>43</v>
      </c>
      <c r="Y1735">
        <v>1793264</v>
      </c>
      <c r="Z1735">
        <v>20251110</v>
      </c>
    </row>
    <row r="1736" spans="3:26" x14ac:dyDescent="0.25">
      <c r="C1736">
        <v>10000001</v>
      </c>
      <c r="D1736" t="s">
        <v>1397</v>
      </c>
      <c r="F1736">
        <v>12009395</v>
      </c>
      <c r="H1736" t="s">
        <v>1397</v>
      </c>
      <c r="I1736">
        <v>50</v>
      </c>
      <c r="J1736" s="1">
        <v>-50000</v>
      </c>
      <c r="K1736" t="s">
        <v>26</v>
      </c>
      <c r="L1736" s="1">
        <v>-50000</v>
      </c>
      <c r="M1736" t="s">
        <v>26</v>
      </c>
      <c r="Q1736" t="s">
        <v>27</v>
      </c>
      <c r="R1736" t="s">
        <v>1429</v>
      </c>
      <c r="S1736" t="s">
        <v>334</v>
      </c>
      <c r="T1736" t="s">
        <v>1432</v>
      </c>
      <c r="X1736" t="s">
        <v>43</v>
      </c>
      <c r="Y1736">
        <v>1793264</v>
      </c>
      <c r="Z1736">
        <v>20251110</v>
      </c>
    </row>
    <row r="1737" spans="3:26" x14ac:dyDescent="0.25">
      <c r="C1737">
        <v>10000001</v>
      </c>
      <c r="D1737" t="s">
        <v>1397</v>
      </c>
      <c r="F1737">
        <v>12009396</v>
      </c>
      <c r="H1737" t="s">
        <v>1397</v>
      </c>
      <c r="I1737">
        <v>50</v>
      </c>
      <c r="J1737" s="1">
        <v>-50000</v>
      </c>
      <c r="K1737" t="s">
        <v>26</v>
      </c>
      <c r="L1737" s="1">
        <v>-50000</v>
      </c>
      <c r="M1737" t="s">
        <v>26</v>
      </c>
      <c r="Q1737" t="s">
        <v>27</v>
      </c>
      <c r="R1737" t="s">
        <v>1429</v>
      </c>
      <c r="S1737" t="s">
        <v>334</v>
      </c>
      <c r="T1737" t="s">
        <v>1433</v>
      </c>
      <c r="X1737" t="s">
        <v>43</v>
      </c>
      <c r="Y1737">
        <v>1793264</v>
      </c>
      <c r="Z1737">
        <v>20251110</v>
      </c>
    </row>
    <row r="1738" spans="3:26" x14ac:dyDescent="0.25">
      <c r="C1738">
        <v>10000001</v>
      </c>
      <c r="D1738" t="s">
        <v>1397</v>
      </c>
      <c r="F1738">
        <v>12009397</v>
      </c>
      <c r="H1738" t="s">
        <v>1397</v>
      </c>
      <c r="I1738">
        <v>50</v>
      </c>
      <c r="J1738" s="1">
        <v>-50000</v>
      </c>
      <c r="K1738" t="s">
        <v>26</v>
      </c>
      <c r="L1738" s="1">
        <v>-50000</v>
      </c>
      <c r="M1738" t="s">
        <v>26</v>
      </c>
      <c r="Q1738" t="s">
        <v>27</v>
      </c>
      <c r="R1738" t="s">
        <v>1429</v>
      </c>
      <c r="S1738" t="s">
        <v>334</v>
      </c>
      <c r="T1738" t="s">
        <v>1434</v>
      </c>
      <c r="X1738" t="s">
        <v>43</v>
      </c>
      <c r="Y1738">
        <v>1793264</v>
      </c>
      <c r="Z1738">
        <v>20251110</v>
      </c>
    </row>
    <row r="1739" spans="3:26" x14ac:dyDescent="0.25">
      <c r="C1739">
        <v>10000001</v>
      </c>
      <c r="D1739" t="s">
        <v>1397</v>
      </c>
      <c r="F1739">
        <v>12009398</v>
      </c>
      <c r="H1739" t="s">
        <v>1397</v>
      </c>
      <c r="I1739">
        <v>50</v>
      </c>
      <c r="J1739" s="1">
        <v>-200000</v>
      </c>
      <c r="K1739" t="s">
        <v>26</v>
      </c>
      <c r="L1739" s="1">
        <v>-200000</v>
      </c>
      <c r="M1739" t="s">
        <v>26</v>
      </c>
      <c r="Q1739" t="s">
        <v>27</v>
      </c>
      <c r="R1739" t="s">
        <v>1429</v>
      </c>
      <c r="S1739" t="s">
        <v>334</v>
      </c>
      <c r="T1739" t="s">
        <v>1435</v>
      </c>
      <c r="X1739" t="s">
        <v>43</v>
      </c>
      <c r="Y1739">
        <v>1793264</v>
      </c>
      <c r="Z1739">
        <v>20251110</v>
      </c>
    </row>
    <row r="1740" spans="3:26" x14ac:dyDescent="0.25">
      <c r="C1740">
        <v>10000001</v>
      </c>
      <c r="D1740" t="s">
        <v>1397</v>
      </c>
      <c r="F1740">
        <v>12009399</v>
      </c>
      <c r="H1740" t="s">
        <v>1397</v>
      </c>
      <c r="I1740">
        <v>50</v>
      </c>
      <c r="J1740" s="1">
        <v>-200000</v>
      </c>
      <c r="K1740" t="s">
        <v>26</v>
      </c>
      <c r="L1740" s="1">
        <v>-200000</v>
      </c>
      <c r="M1740" t="s">
        <v>26</v>
      </c>
      <c r="Q1740" t="s">
        <v>27</v>
      </c>
      <c r="R1740" t="s">
        <v>1429</v>
      </c>
      <c r="S1740" t="s">
        <v>334</v>
      </c>
      <c r="T1740" t="s">
        <v>1436</v>
      </c>
      <c r="X1740" t="s">
        <v>43</v>
      </c>
      <c r="Y1740">
        <v>1793264</v>
      </c>
      <c r="Z1740">
        <v>20251110</v>
      </c>
    </row>
    <row r="1741" spans="3:26" x14ac:dyDescent="0.25">
      <c r="C1741">
        <v>10000001</v>
      </c>
      <c r="D1741" t="s">
        <v>1397</v>
      </c>
      <c r="F1741">
        <v>12009400</v>
      </c>
      <c r="H1741" t="s">
        <v>1397</v>
      </c>
      <c r="I1741">
        <v>50</v>
      </c>
      <c r="J1741" s="1">
        <v>-410000</v>
      </c>
      <c r="K1741" t="s">
        <v>26</v>
      </c>
      <c r="L1741" s="1">
        <v>-410000</v>
      </c>
      <c r="M1741" t="s">
        <v>26</v>
      </c>
      <c r="Q1741" t="s">
        <v>27</v>
      </c>
      <c r="R1741" t="s">
        <v>1437</v>
      </c>
      <c r="S1741" t="s">
        <v>334</v>
      </c>
      <c r="T1741" t="s">
        <v>1438</v>
      </c>
      <c r="X1741" t="s">
        <v>43</v>
      </c>
      <c r="Y1741">
        <v>1793264</v>
      </c>
      <c r="Z1741">
        <v>20251110</v>
      </c>
    </row>
    <row r="1742" spans="3:26" x14ac:dyDescent="0.25">
      <c r="C1742">
        <v>10000001</v>
      </c>
      <c r="D1742" t="s">
        <v>1397</v>
      </c>
      <c r="F1742">
        <v>12009401</v>
      </c>
      <c r="H1742" t="s">
        <v>1397</v>
      </c>
      <c r="I1742">
        <v>50</v>
      </c>
      <c r="J1742" s="1">
        <v>-410000</v>
      </c>
      <c r="K1742" t="s">
        <v>26</v>
      </c>
      <c r="L1742" s="1">
        <v>-410000</v>
      </c>
      <c r="M1742" t="s">
        <v>26</v>
      </c>
      <c r="Q1742" t="s">
        <v>27</v>
      </c>
      <c r="R1742" t="s">
        <v>1437</v>
      </c>
      <c r="S1742" t="s">
        <v>334</v>
      </c>
      <c r="T1742" t="s">
        <v>1439</v>
      </c>
      <c r="X1742" t="s">
        <v>43</v>
      </c>
      <c r="Y1742">
        <v>1793264</v>
      </c>
      <c r="Z1742">
        <v>20251110</v>
      </c>
    </row>
    <row r="1743" spans="3:26" x14ac:dyDescent="0.25">
      <c r="C1743">
        <v>10000001</v>
      </c>
      <c r="D1743" t="s">
        <v>1397</v>
      </c>
      <c r="F1743">
        <v>12009402</v>
      </c>
      <c r="H1743" t="s">
        <v>1397</v>
      </c>
      <c r="I1743">
        <v>50</v>
      </c>
      <c r="J1743" s="1">
        <v>-50000</v>
      </c>
      <c r="K1743" t="s">
        <v>26</v>
      </c>
      <c r="L1743" s="1">
        <v>-50000</v>
      </c>
      <c r="M1743" t="s">
        <v>26</v>
      </c>
      <c r="Q1743" t="s">
        <v>27</v>
      </c>
      <c r="R1743" t="s">
        <v>1440</v>
      </c>
      <c r="S1743" t="s">
        <v>334</v>
      </c>
      <c r="T1743" t="s">
        <v>1441</v>
      </c>
      <c r="X1743" t="s">
        <v>43</v>
      </c>
      <c r="Y1743">
        <v>1793264</v>
      </c>
      <c r="Z1743">
        <v>20251110</v>
      </c>
    </row>
    <row r="1744" spans="3:26" x14ac:dyDescent="0.25">
      <c r="C1744">
        <v>10000001</v>
      </c>
      <c r="D1744" t="s">
        <v>1397</v>
      </c>
      <c r="F1744">
        <v>12009403</v>
      </c>
      <c r="H1744" t="s">
        <v>1397</v>
      </c>
      <c r="I1744">
        <v>50</v>
      </c>
      <c r="J1744" s="1">
        <v>-25000</v>
      </c>
      <c r="K1744" t="s">
        <v>26</v>
      </c>
      <c r="L1744" s="1">
        <v>-25000</v>
      </c>
      <c r="M1744" t="s">
        <v>26</v>
      </c>
      <c r="Q1744" t="s">
        <v>27</v>
      </c>
      <c r="R1744" t="s">
        <v>1442</v>
      </c>
      <c r="S1744" t="s">
        <v>126</v>
      </c>
      <c r="T1744" t="s">
        <v>1443</v>
      </c>
      <c r="X1744" t="s">
        <v>43</v>
      </c>
      <c r="Y1744">
        <v>1793264</v>
      </c>
      <c r="Z1744">
        <v>20251110</v>
      </c>
    </row>
    <row r="1745" spans="3:26" x14ac:dyDescent="0.25">
      <c r="C1745">
        <v>10000001</v>
      </c>
      <c r="D1745" t="s">
        <v>1397</v>
      </c>
      <c r="F1745">
        <v>12009404</v>
      </c>
      <c r="H1745" t="s">
        <v>1397</v>
      </c>
      <c r="I1745">
        <v>50</v>
      </c>
      <c r="J1745" s="1">
        <v>-623500</v>
      </c>
      <c r="K1745" t="s">
        <v>26</v>
      </c>
      <c r="L1745" s="1">
        <v>-623500</v>
      </c>
      <c r="M1745" t="s">
        <v>26</v>
      </c>
      <c r="Q1745" t="s">
        <v>27</v>
      </c>
      <c r="R1745" t="s">
        <v>1444</v>
      </c>
      <c r="S1745" t="s">
        <v>1187</v>
      </c>
      <c r="T1745" t="s">
        <v>1445</v>
      </c>
      <c r="X1745" t="s">
        <v>43</v>
      </c>
      <c r="Y1745">
        <v>1793264</v>
      </c>
      <c r="Z1745">
        <v>20251110</v>
      </c>
    </row>
    <row r="1746" spans="3:26" x14ac:dyDescent="0.25">
      <c r="C1746">
        <v>10000001</v>
      </c>
      <c r="D1746" t="s">
        <v>1446</v>
      </c>
      <c r="F1746">
        <v>12009405</v>
      </c>
      <c r="H1746" t="s">
        <v>1446</v>
      </c>
      <c r="I1746">
        <v>50</v>
      </c>
      <c r="J1746" s="1">
        <v>-396000</v>
      </c>
      <c r="K1746" t="s">
        <v>26</v>
      </c>
      <c r="L1746" s="1">
        <v>-396000</v>
      </c>
      <c r="M1746" t="s">
        <v>26</v>
      </c>
      <c r="Q1746" t="s">
        <v>27</v>
      </c>
      <c r="R1746" t="s">
        <v>1447</v>
      </c>
      <c r="S1746" t="s">
        <v>126</v>
      </c>
      <c r="T1746" t="s">
        <v>1448</v>
      </c>
      <c r="X1746" t="s">
        <v>43</v>
      </c>
      <c r="Y1746">
        <v>1793264</v>
      </c>
      <c r="Z1746">
        <v>20251113</v>
      </c>
    </row>
    <row r="1747" spans="3:26" x14ac:dyDescent="0.25">
      <c r="C1747">
        <v>10000001</v>
      </c>
      <c r="D1747" t="s">
        <v>1446</v>
      </c>
      <c r="F1747">
        <v>12009406</v>
      </c>
      <c r="H1747" t="s">
        <v>1446</v>
      </c>
      <c r="I1747">
        <v>50</v>
      </c>
      <c r="J1747" s="1">
        <v>-2000</v>
      </c>
      <c r="K1747" t="s">
        <v>26</v>
      </c>
      <c r="L1747" s="1">
        <v>-2000</v>
      </c>
      <c r="M1747" t="s">
        <v>26</v>
      </c>
      <c r="Q1747" t="s">
        <v>27</v>
      </c>
      <c r="R1747" t="s">
        <v>1449</v>
      </c>
      <c r="S1747" t="s">
        <v>334</v>
      </c>
      <c r="T1747" t="s">
        <v>1450</v>
      </c>
      <c r="X1747" t="s">
        <v>43</v>
      </c>
      <c r="Y1747">
        <v>1793264</v>
      </c>
      <c r="Z1747">
        <v>20251113</v>
      </c>
    </row>
    <row r="1748" spans="3:26" x14ac:dyDescent="0.25">
      <c r="C1748">
        <v>10000001</v>
      </c>
      <c r="D1748" t="s">
        <v>1446</v>
      </c>
      <c r="F1748">
        <v>12009407</v>
      </c>
      <c r="H1748" t="s">
        <v>1446</v>
      </c>
      <c r="I1748">
        <v>50</v>
      </c>
      <c r="J1748" s="1">
        <v>-650000</v>
      </c>
      <c r="K1748" t="s">
        <v>26</v>
      </c>
      <c r="L1748" s="1">
        <v>-650000</v>
      </c>
      <c r="M1748" t="s">
        <v>26</v>
      </c>
      <c r="Q1748" t="s">
        <v>27</v>
      </c>
      <c r="R1748" t="s">
        <v>1451</v>
      </c>
      <c r="S1748" t="s">
        <v>96</v>
      </c>
      <c r="T1748" t="s">
        <v>1452</v>
      </c>
      <c r="X1748" t="s">
        <v>43</v>
      </c>
      <c r="Y1748">
        <v>1793264</v>
      </c>
      <c r="Z1748">
        <v>20251113</v>
      </c>
    </row>
    <row r="1749" spans="3:26" x14ac:dyDescent="0.25">
      <c r="C1749">
        <v>10000001</v>
      </c>
      <c r="D1749" t="s">
        <v>1446</v>
      </c>
      <c r="F1749">
        <v>12009408</v>
      </c>
      <c r="H1749" t="s">
        <v>1446</v>
      </c>
      <c r="I1749">
        <v>50</v>
      </c>
      <c r="J1749" s="1">
        <v>-347500</v>
      </c>
      <c r="K1749" t="s">
        <v>26</v>
      </c>
      <c r="L1749" s="1">
        <v>-347500</v>
      </c>
      <c r="M1749" t="s">
        <v>26</v>
      </c>
      <c r="Q1749" t="s">
        <v>27</v>
      </c>
      <c r="R1749" t="s">
        <v>1451</v>
      </c>
      <c r="S1749" t="s">
        <v>67</v>
      </c>
      <c r="T1749" t="s">
        <v>98</v>
      </c>
      <c r="X1749" t="s">
        <v>43</v>
      </c>
      <c r="Y1749">
        <v>1793264</v>
      </c>
      <c r="Z1749">
        <v>20251113</v>
      </c>
    </row>
    <row r="1750" spans="3:26" x14ac:dyDescent="0.25">
      <c r="C1750">
        <v>10000001</v>
      </c>
      <c r="D1750" t="s">
        <v>1446</v>
      </c>
      <c r="F1750">
        <v>12009409</v>
      </c>
      <c r="H1750" t="s">
        <v>1446</v>
      </c>
      <c r="I1750">
        <v>50</v>
      </c>
      <c r="J1750" s="1">
        <v>-290500</v>
      </c>
      <c r="K1750" t="s">
        <v>26</v>
      </c>
      <c r="L1750" s="1">
        <v>-290500</v>
      </c>
      <c r="M1750" t="s">
        <v>26</v>
      </c>
      <c r="Q1750" t="s">
        <v>27</v>
      </c>
      <c r="R1750" t="s">
        <v>1453</v>
      </c>
      <c r="S1750" t="s">
        <v>254</v>
      </c>
      <c r="T1750" t="s">
        <v>1454</v>
      </c>
      <c r="X1750" t="s">
        <v>43</v>
      </c>
      <c r="Y1750">
        <v>1793264</v>
      </c>
      <c r="Z1750">
        <v>20251113</v>
      </c>
    </row>
    <row r="1751" spans="3:26" x14ac:dyDescent="0.25">
      <c r="C1751">
        <v>10000001</v>
      </c>
      <c r="D1751" t="s">
        <v>1446</v>
      </c>
      <c r="F1751">
        <v>12009410</v>
      </c>
      <c r="H1751" t="s">
        <v>1446</v>
      </c>
      <c r="I1751">
        <v>50</v>
      </c>
      <c r="J1751" s="1">
        <v>-510000</v>
      </c>
      <c r="K1751" t="s">
        <v>26</v>
      </c>
      <c r="L1751" s="1">
        <v>-510000</v>
      </c>
      <c r="M1751" t="s">
        <v>26</v>
      </c>
      <c r="Q1751" t="s">
        <v>27</v>
      </c>
      <c r="R1751" t="s">
        <v>1455</v>
      </c>
      <c r="S1751" t="s">
        <v>96</v>
      </c>
      <c r="T1751" t="s">
        <v>1456</v>
      </c>
      <c r="X1751" t="s">
        <v>43</v>
      </c>
      <c r="Y1751">
        <v>1793264</v>
      </c>
      <c r="Z1751">
        <v>20251113</v>
      </c>
    </row>
    <row r="1752" spans="3:26" x14ac:dyDescent="0.25">
      <c r="C1752">
        <v>10000001</v>
      </c>
      <c r="D1752" t="s">
        <v>1446</v>
      </c>
      <c r="F1752">
        <v>12009411</v>
      </c>
      <c r="H1752" t="s">
        <v>1446</v>
      </c>
      <c r="I1752">
        <v>50</v>
      </c>
      <c r="J1752" s="1">
        <v>-488000</v>
      </c>
      <c r="K1752" t="s">
        <v>26</v>
      </c>
      <c r="L1752" s="1">
        <v>-488000</v>
      </c>
      <c r="M1752" t="s">
        <v>26</v>
      </c>
      <c r="Q1752" t="s">
        <v>27</v>
      </c>
      <c r="R1752" t="s">
        <v>1455</v>
      </c>
      <c r="S1752" t="s">
        <v>67</v>
      </c>
      <c r="T1752" t="s">
        <v>98</v>
      </c>
      <c r="X1752" t="s">
        <v>43</v>
      </c>
      <c r="Y1752">
        <v>1793264</v>
      </c>
      <c r="Z1752">
        <v>20251113</v>
      </c>
    </row>
    <row r="1753" spans="3:26" x14ac:dyDescent="0.25">
      <c r="C1753">
        <v>10000001</v>
      </c>
      <c r="D1753" t="s">
        <v>1446</v>
      </c>
      <c r="F1753">
        <v>12009412</v>
      </c>
      <c r="H1753" t="s">
        <v>1446</v>
      </c>
      <c r="I1753">
        <v>50</v>
      </c>
      <c r="J1753" s="1">
        <v>-50000</v>
      </c>
      <c r="K1753" t="s">
        <v>26</v>
      </c>
      <c r="L1753" s="1">
        <v>-50000</v>
      </c>
      <c r="M1753" t="s">
        <v>26</v>
      </c>
      <c r="Q1753" t="s">
        <v>27</v>
      </c>
      <c r="R1753" t="s">
        <v>1457</v>
      </c>
      <c r="S1753" t="s">
        <v>334</v>
      </c>
      <c r="T1753" t="s">
        <v>1458</v>
      </c>
      <c r="X1753" t="s">
        <v>43</v>
      </c>
      <c r="Y1753">
        <v>1793264</v>
      </c>
      <c r="Z1753">
        <v>20251113</v>
      </c>
    </row>
    <row r="1754" spans="3:26" x14ac:dyDescent="0.25">
      <c r="C1754">
        <v>10000001</v>
      </c>
      <c r="D1754" t="s">
        <v>1446</v>
      </c>
      <c r="F1754">
        <v>12009413</v>
      </c>
      <c r="H1754" t="s">
        <v>1446</v>
      </c>
      <c r="I1754">
        <v>50</v>
      </c>
      <c r="J1754" s="1">
        <v>-50000</v>
      </c>
      <c r="K1754" t="s">
        <v>26</v>
      </c>
      <c r="L1754" s="1">
        <v>-50000</v>
      </c>
      <c r="M1754" t="s">
        <v>26</v>
      </c>
      <c r="Q1754" t="s">
        <v>27</v>
      </c>
      <c r="R1754" t="s">
        <v>1457</v>
      </c>
      <c r="S1754" t="s">
        <v>334</v>
      </c>
      <c r="T1754" t="s">
        <v>1459</v>
      </c>
      <c r="X1754" t="s">
        <v>43</v>
      </c>
      <c r="Y1754">
        <v>1793264</v>
      </c>
      <c r="Z1754">
        <v>20251113</v>
      </c>
    </row>
    <row r="1755" spans="3:26" x14ac:dyDescent="0.25">
      <c r="C1755">
        <v>10000001</v>
      </c>
      <c r="D1755" t="s">
        <v>1446</v>
      </c>
      <c r="F1755">
        <v>12009414</v>
      </c>
      <c r="H1755" t="s">
        <v>1446</v>
      </c>
      <c r="I1755">
        <v>50</v>
      </c>
      <c r="J1755" s="1">
        <v>-50000</v>
      </c>
      <c r="K1755" t="s">
        <v>26</v>
      </c>
      <c r="L1755" s="1">
        <v>-50000</v>
      </c>
      <c r="M1755" t="s">
        <v>26</v>
      </c>
      <c r="Q1755" t="s">
        <v>27</v>
      </c>
      <c r="R1755" t="s">
        <v>1457</v>
      </c>
      <c r="S1755" t="s">
        <v>334</v>
      </c>
      <c r="T1755" t="s">
        <v>1460</v>
      </c>
      <c r="X1755" t="s">
        <v>43</v>
      </c>
      <c r="Y1755">
        <v>1793264</v>
      </c>
      <c r="Z1755">
        <v>20251113</v>
      </c>
    </row>
    <row r="1756" spans="3:26" x14ac:dyDescent="0.25">
      <c r="C1756">
        <v>10000001</v>
      </c>
      <c r="D1756" t="s">
        <v>1446</v>
      </c>
      <c r="F1756">
        <v>12009415</v>
      </c>
      <c r="H1756" t="s">
        <v>1446</v>
      </c>
      <c r="I1756">
        <v>50</v>
      </c>
      <c r="J1756" s="1">
        <v>-159800</v>
      </c>
      <c r="K1756" t="s">
        <v>26</v>
      </c>
      <c r="L1756" s="1">
        <v>-159800</v>
      </c>
      <c r="M1756" t="s">
        <v>26</v>
      </c>
      <c r="Q1756" t="s">
        <v>27</v>
      </c>
      <c r="R1756" t="s">
        <v>1461</v>
      </c>
      <c r="S1756" t="s">
        <v>129</v>
      </c>
      <c r="T1756" t="s">
        <v>1462</v>
      </c>
      <c r="X1756" t="s">
        <v>43</v>
      </c>
      <c r="Y1756">
        <v>1793264</v>
      </c>
      <c r="Z1756">
        <v>20251113</v>
      </c>
    </row>
    <row r="1757" spans="3:26" x14ac:dyDescent="0.25">
      <c r="C1757">
        <v>10000001</v>
      </c>
      <c r="D1757" t="s">
        <v>1446</v>
      </c>
      <c r="F1757">
        <v>12009416</v>
      </c>
      <c r="H1757" t="s">
        <v>1446</v>
      </c>
      <c r="I1757">
        <v>50</v>
      </c>
      <c r="J1757" s="1">
        <v>-106000</v>
      </c>
      <c r="K1757" t="s">
        <v>26</v>
      </c>
      <c r="L1757" s="1">
        <v>-106000</v>
      </c>
      <c r="M1757" t="s">
        <v>26</v>
      </c>
      <c r="Q1757" t="s">
        <v>27</v>
      </c>
      <c r="R1757" t="s">
        <v>1461</v>
      </c>
      <c r="S1757" t="s">
        <v>59</v>
      </c>
      <c r="T1757" t="s">
        <v>1463</v>
      </c>
      <c r="X1757" t="s">
        <v>43</v>
      </c>
      <c r="Y1757">
        <v>1793264</v>
      </c>
      <c r="Z1757">
        <v>20251113</v>
      </c>
    </row>
    <row r="1758" spans="3:26" x14ac:dyDescent="0.25">
      <c r="C1758">
        <v>10000001</v>
      </c>
      <c r="D1758" t="s">
        <v>1446</v>
      </c>
      <c r="F1758">
        <v>12009417</v>
      </c>
      <c r="H1758" t="s">
        <v>1446</v>
      </c>
      <c r="I1758">
        <v>50</v>
      </c>
      <c r="J1758" s="1">
        <v>-780000</v>
      </c>
      <c r="K1758" t="s">
        <v>26</v>
      </c>
      <c r="L1758" s="1">
        <v>-780000</v>
      </c>
      <c r="M1758" t="s">
        <v>26</v>
      </c>
      <c r="Q1758" t="s">
        <v>27</v>
      </c>
      <c r="R1758" t="s">
        <v>1464</v>
      </c>
      <c r="S1758" t="s">
        <v>96</v>
      </c>
      <c r="T1758" t="s">
        <v>1465</v>
      </c>
      <c r="X1758" t="s">
        <v>43</v>
      </c>
      <c r="Y1758">
        <v>1793264</v>
      </c>
      <c r="Z1758">
        <v>20251113</v>
      </c>
    </row>
    <row r="1759" spans="3:26" x14ac:dyDescent="0.25">
      <c r="C1759">
        <v>10000001</v>
      </c>
      <c r="D1759" t="s">
        <v>1446</v>
      </c>
      <c r="F1759">
        <v>12009418</v>
      </c>
      <c r="H1759" t="s">
        <v>1446</v>
      </c>
      <c r="I1759">
        <v>50</v>
      </c>
      <c r="J1759" s="1">
        <v>-217500</v>
      </c>
      <c r="K1759" t="s">
        <v>26</v>
      </c>
      <c r="L1759" s="1">
        <v>-217500</v>
      </c>
      <c r="M1759" t="s">
        <v>26</v>
      </c>
      <c r="Q1759" t="s">
        <v>27</v>
      </c>
      <c r="R1759" t="s">
        <v>1464</v>
      </c>
      <c r="S1759" t="s">
        <v>67</v>
      </c>
      <c r="T1759" t="s">
        <v>98</v>
      </c>
      <c r="X1759" t="s">
        <v>43</v>
      </c>
      <c r="Y1759">
        <v>1793264</v>
      </c>
      <c r="Z1759">
        <v>20251113</v>
      </c>
    </row>
    <row r="1760" spans="3:26" x14ac:dyDescent="0.25">
      <c r="C1760">
        <v>10000001</v>
      </c>
      <c r="D1760" t="s">
        <v>1466</v>
      </c>
      <c r="F1760">
        <v>12009419</v>
      </c>
      <c r="H1760" t="s">
        <v>1466</v>
      </c>
      <c r="I1760">
        <v>50</v>
      </c>
      <c r="J1760" s="1">
        <v>-800000</v>
      </c>
      <c r="K1760" t="s">
        <v>26</v>
      </c>
      <c r="L1760" s="1">
        <v>-800000</v>
      </c>
      <c r="M1760" t="s">
        <v>26</v>
      </c>
      <c r="Q1760" t="s">
        <v>27</v>
      </c>
      <c r="R1760" t="s">
        <v>1467</v>
      </c>
      <c r="S1760" t="s">
        <v>254</v>
      </c>
      <c r="T1760" t="s">
        <v>1468</v>
      </c>
      <c r="X1760" t="s">
        <v>43</v>
      </c>
      <c r="Y1760">
        <v>1793264</v>
      </c>
      <c r="Z1760">
        <v>20251118</v>
      </c>
    </row>
    <row r="1761" spans="3:26" x14ac:dyDescent="0.25">
      <c r="C1761">
        <v>10000001</v>
      </c>
      <c r="D1761" t="s">
        <v>1466</v>
      </c>
      <c r="F1761">
        <v>12009420</v>
      </c>
      <c r="H1761" t="s">
        <v>1466</v>
      </c>
      <c r="I1761">
        <v>50</v>
      </c>
      <c r="J1761" s="1">
        <v>-482200</v>
      </c>
      <c r="K1761" t="s">
        <v>26</v>
      </c>
      <c r="L1761" s="1">
        <v>-482200</v>
      </c>
      <c r="M1761" t="s">
        <v>26</v>
      </c>
      <c r="Q1761" t="s">
        <v>27</v>
      </c>
      <c r="R1761" t="s">
        <v>1469</v>
      </c>
      <c r="S1761" t="s">
        <v>126</v>
      </c>
      <c r="T1761" t="s">
        <v>1470</v>
      </c>
      <c r="X1761" t="s">
        <v>43</v>
      </c>
      <c r="Y1761">
        <v>1793264</v>
      </c>
      <c r="Z1761">
        <v>20251118</v>
      </c>
    </row>
    <row r="1762" spans="3:26" x14ac:dyDescent="0.25">
      <c r="C1762">
        <v>10000001</v>
      </c>
      <c r="D1762" t="s">
        <v>1466</v>
      </c>
      <c r="F1762">
        <v>12009421</v>
      </c>
      <c r="H1762" t="s">
        <v>1466</v>
      </c>
      <c r="I1762">
        <v>50</v>
      </c>
      <c r="J1762" s="1">
        <v>-167756</v>
      </c>
      <c r="K1762" t="s">
        <v>26</v>
      </c>
      <c r="L1762" s="1">
        <v>-167756</v>
      </c>
      <c r="M1762" t="s">
        <v>26</v>
      </c>
      <c r="Q1762" t="s">
        <v>27</v>
      </c>
      <c r="R1762" t="s">
        <v>1469</v>
      </c>
      <c r="S1762" t="s">
        <v>57</v>
      </c>
      <c r="T1762" t="s">
        <v>1471</v>
      </c>
      <c r="X1762" t="s">
        <v>43</v>
      </c>
      <c r="Y1762">
        <v>1793264</v>
      </c>
      <c r="Z1762">
        <v>20251118</v>
      </c>
    </row>
    <row r="1763" spans="3:26" x14ac:dyDescent="0.25">
      <c r="C1763">
        <v>10000001</v>
      </c>
      <c r="D1763" t="s">
        <v>1466</v>
      </c>
      <c r="F1763">
        <v>12009422</v>
      </c>
      <c r="H1763" t="s">
        <v>1466</v>
      </c>
      <c r="I1763">
        <v>50</v>
      </c>
      <c r="J1763" s="1">
        <v>-423500</v>
      </c>
      <c r="K1763" t="s">
        <v>26</v>
      </c>
      <c r="L1763" s="1">
        <v>-423500</v>
      </c>
      <c r="M1763" t="s">
        <v>26</v>
      </c>
      <c r="Q1763" t="s">
        <v>27</v>
      </c>
      <c r="R1763" t="s">
        <v>1472</v>
      </c>
      <c r="S1763" t="s">
        <v>59</v>
      </c>
      <c r="T1763" t="s">
        <v>1473</v>
      </c>
      <c r="X1763" t="s">
        <v>43</v>
      </c>
      <c r="Y1763">
        <v>1793264</v>
      </c>
      <c r="Z1763">
        <v>20251118</v>
      </c>
    </row>
    <row r="1764" spans="3:26" x14ac:dyDescent="0.25">
      <c r="C1764">
        <v>10000001</v>
      </c>
      <c r="D1764" t="s">
        <v>1466</v>
      </c>
      <c r="F1764">
        <v>12009423</v>
      </c>
      <c r="H1764" t="s">
        <v>1466</v>
      </c>
      <c r="I1764">
        <v>50</v>
      </c>
      <c r="J1764" s="1">
        <v>-420500</v>
      </c>
      <c r="K1764" t="s">
        <v>26</v>
      </c>
      <c r="L1764" s="1">
        <v>-420500</v>
      </c>
      <c r="M1764" t="s">
        <v>26</v>
      </c>
      <c r="Q1764" t="s">
        <v>27</v>
      </c>
      <c r="R1764" t="s">
        <v>1472</v>
      </c>
      <c r="S1764" t="s">
        <v>1474</v>
      </c>
      <c r="T1764" t="s">
        <v>1475</v>
      </c>
      <c r="X1764" t="s">
        <v>43</v>
      </c>
      <c r="Y1764">
        <v>1793264</v>
      </c>
      <c r="Z1764">
        <v>20251118</v>
      </c>
    </row>
    <row r="1765" spans="3:26" x14ac:dyDescent="0.25">
      <c r="C1765">
        <v>10000001</v>
      </c>
      <c r="D1765" t="s">
        <v>1466</v>
      </c>
      <c r="F1765">
        <v>12009424</v>
      </c>
      <c r="H1765" t="s">
        <v>1466</v>
      </c>
      <c r="I1765">
        <v>50</v>
      </c>
      <c r="J1765" s="1">
        <v>-50000</v>
      </c>
      <c r="K1765" t="s">
        <v>26</v>
      </c>
      <c r="L1765" s="1">
        <v>-50000</v>
      </c>
      <c r="M1765" t="s">
        <v>26</v>
      </c>
      <c r="Q1765" t="s">
        <v>27</v>
      </c>
      <c r="R1765" t="s">
        <v>1476</v>
      </c>
      <c r="S1765" t="s">
        <v>126</v>
      </c>
      <c r="T1765" t="s">
        <v>1477</v>
      </c>
      <c r="X1765" t="s">
        <v>43</v>
      </c>
      <c r="Y1765">
        <v>1793264</v>
      </c>
      <c r="Z1765">
        <v>20251118</v>
      </c>
    </row>
    <row r="1766" spans="3:26" x14ac:dyDescent="0.25">
      <c r="C1766">
        <v>10000001</v>
      </c>
      <c r="D1766" t="s">
        <v>1466</v>
      </c>
      <c r="F1766">
        <v>12009425</v>
      </c>
      <c r="H1766" t="s">
        <v>1466</v>
      </c>
      <c r="I1766">
        <v>50</v>
      </c>
      <c r="J1766" s="1">
        <v>-50000</v>
      </c>
      <c r="K1766" t="s">
        <v>26</v>
      </c>
      <c r="L1766" s="1">
        <v>-50000</v>
      </c>
      <c r="M1766" t="s">
        <v>26</v>
      </c>
      <c r="Q1766" t="s">
        <v>27</v>
      </c>
      <c r="R1766" t="s">
        <v>1478</v>
      </c>
      <c r="S1766" t="s">
        <v>126</v>
      </c>
      <c r="T1766" t="s">
        <v>1479</v>
      </c>
      <c r="X1766" t="s">
        <v>43</v>
      </c>
      <c r="Y1766">
        <v>1793264</v>
      </c>
      <c r="Z1766">
        <v>20251118</v>
      </c>
    </row>
    <row r="1767" spans="3:26" x14ac:dyDescent="0.25">
      <c r="C1767">
        <v>10000001</v>
      </c>
      <c r="D1767" t="s">
        <v>1466</v>
      </c>
      <c r="F1767">
        <v>12009426</v>
      </c>
      <c r="H1767" t="s">
        <v>1466</v>
      </c>
      <c r="I1767">
        <v>50</v>
      </c>
      <c r="J1767" s="1">
        <v>-750000</v>
      </c>
      <c r="K1767" t="s">
        <v>26</v>
      </c>
      <c r="L1767" s="1">
        <v>-750000</v>
      </c>
      <c r="M1767" t="s">
        <v>26</v>
      </c>
      <c r="Q1767" t="s">
        <v>27</v>
      </c>
      <c r="R1767" t="s">
        <v>1480</v>
      </c>
      <c r="S1767" t="s">
        <v>96</v>
      </c>
      <c r="T1767" t="s">
        <v>1481</v>
      </c>
      <c r="X1767" t="s">
        <v>43</v>
      </c>
      <c r="Y1767">
        <v>1793264</v>
      </c>
      <c r="Z1767">
        <v>20251118</v>
      </c>
    </row>
    <row r="1768" spans="3:26" x14ac:dyDescent="0.25">
      <c r="C1768">
        <v>10000001</v>
      </c>
      <c r="D1768" t="s">
        <v>1466</v>
      </c>
      <c r="F1768">
        <v>12009427</v>
      </c>
      <c r="H1768" t="s">
        <v>1466</v>
      </c>
      <c r="I1768">
        <v>50</v>
      </c>
      <c r="J1768" s="1">
        <v>-247500</v>
      </c>
      <c r="K1768" t="s">
        <v>26</v>
      </c>
      <c r="L1768" s="1">
        <v>-247500</v>
      </c>
      <c r="M1768" t="s">
        <v>26</v>
      </c>
      <c r="Q1768" t="s">
        <v>27</v>
      </c>
      <c r="R1768" t="s">
        <v>1480</v>
      </c>
      <c r="S1768" t="s">
        <v>67</v>
      </c>
      <c r="T1768" t="s">
        <v>98</v>
      </c>
      <c r="X1768" t="s">
        <v>43</v>
      </c>
      <c r="Y1768">
        <v>1793264</v>
      </c>
      <c r="Z1768">
        <v>20251118</v>
      </c>
    </row>
    <row r="1769" spans="3:26" x14ac:dyDescent="0.25">
      <c r="C1769">
        <v>10000001</v>
      </c>
      <c r="D1769" t="s">
        <v>1466</v>
      </c>
      <c r="F1769">
        <v>12009428</v>
      </c>
      <c r="H1769" t="s">
        <v>1466</v>
      </c>
      <c r="I1769">
        <v>50</v>
      </c>
      <c r="J1769" s="1">
        <v>-700000</v>
      </c>
      <c r="K1769" t="s">
        <v>26</v>
      </c>
      <c r="L1769" s="1">
        <v>-700000</v>
      </c>
      <c r="M1769" t="s">
        <v>26</v>
      </c>
      <c r="Q1769" t="s">
        <v>27</v>
      </c>
      <c r="R1769" t="s">
        <v>1482</v>
      </c>
      <c r="S1769" t="s">
        <v>281</v>
      </c>
      <c r="T1769" t="s">
        <v>1483</v>
      </c>
      <c r="X1769" t="s">
        <v>43</v>
      </c>
      <c r="Y1769">
        <v>1793264</v>
      </c>
      <c r="Z1769">
        <v>20251118</v>
      </c>
    </row>
    <row r="1770" spans="3:26" x14ac:dyDescent="0.25">
      <c r="C1770">
        <v>10000001</v>
      </c>
      <c r="D1770" t="s">
        <v>1466</v>
      </c>
      <c r="F1770">
        <v>12009429</v>
      </c>
      <c r="H1770" t="s">
        <v>1466</v>
      </c>
      <c r="I1770">
        <v>50</v>
      </c>
      <c r="J1770" s="1">
        <v>-450000</v>
      </c>
      <c r="K1770" t="s">
        <v>26</v>
      </c>
      <c r="L1770" s="1">
        <v>-450000</v>
      </c>
      <c r="M1770" t="s">
        <v>26</v>
      </c>
      <c r="Q1770" t="s">
        <v>27</v>
      </c>
      <c r="R1770" t="s">
        <v>1484</v>
      </c>
      <c r="S1770" t="s">
        <v>254</v>
      </c>
      <c r="T1770" t="s">
        <v>1485</v>
      </c>
      <c r="X1770" t="s">
        <v>43</v>
      </c>
      <c r="Y1770">
        <v>1793264</v>
      </c>
      <c r="Z1770">
        <v>20251118</v>
      </c>
    </row>
    <row r="1771" spans="3:26" x14ac:dyDescent="0.25">
      <c r="C1771">
        <v>10000001</v>
      </c>
      <c r="D1771" t="s">
        <v>1466</v>
      </c>
      <c r="F1771">
        <v>12009430</v>
      </c>
      <c r="H1771" t="s">
        <v>1466</v>
      </c>
      <c r="I1771">
        <v>50</v>
      </c>
      <c r="J1771" s="1">
        <v>-50000</v>
      </c>
      <c r="K1771" t="s">
        <v>26</v>
      </c>
      <c r="L1771" s="1">
        <v>-50000</v>
      </c>
      <c r="M1771" t="s">
        <v>26</v>
      </c>
      <c r="Q1771" t="s">
        <v>27</v>
      </c>
      <c r="R1771" t="s">
        <v>1486</v>
      </c>
      <c r="S1771" t="s">
        <v>334</v>
      </c>
      <c r="T1771" t="s">
        <v>1487</v>
      </c>
      <c r="X1771" t="s">
        <v>43</v>
      </c>
      <c r="Y1771">
        <v>1793264</v>
      </c>
      <c r="Z1771">
        <v>20251118</v>
      </c>
    </row>
    <row r="1772" spans="3:26" x14ac:dyDescent="0.25">
      <c r="C1772">
        <v>10000001</v>
      </c>
      <c r="D1772" t="s">
        <v>1466</v>
      </c>
      <c r="F1772">
        <v>12009431</v>
      </c>
      <c r="H1772" t="s">
        <v>1466</v>
      </c>
      <c r="I1772">
        <v>50</v>
      </c>
      <c r="J1772" s="1">
        <v>-16000</v>
      </c>
      <c r="K1772" t="s">
        <v>26</v>
      </c>
      <c r="L1772" s="1">
        <v>-16000</v>
      </c>
      <c r="M1772" t="s">
        <v>26</v>
      </c>
      <c r="Q1772" t="s">
        <v>27</v>
      </c>
      <c r="R1772" t="s">
        <v>1486</v>
      </c>
      <c r="S1772" t="s">
        <v>334</v>
      </c>
      <c r="T1772" t="s">
        <v>1488</v>
      </c>
      <c r="X1772" t="s">
        <v>43</v>
      </c>
      <c r="Y1772">
        <v>1793264</v>
      </c>
      <c r="Z1772">
        <v>20251118</v>
      </c>
    </row>
    <row r="1773" spans="3:26" x14ac:dyDescent="0.25">
      <c r="C1773">
        <v>10000001</v>
      </c>
      <c r="D1773" t="s">
        <v>1466</v>
      </c>
      <c r="F1773">
        <v>12009432</v>
      </c>
      <c r="H1773" t="s">
        <v>1466</v>
      </c>
      <c r="I1773">
        <v>50</v>
      </c>
      <c r="J1773" s="1">
        <v>-740000</v>
      </c>
      <c r="K1773" t="s">
        <v>26</v>
      </c>
      <c r="L1773" s="1">
        <v>-740000</v>
      </c>
      <c r="M1773" t="s">
        <v>26</v>
      </c>
      <c r="Q1773" t="s">
        <v>27</v>
      </c>
      <c r="R1773" t="s">
        <v>1489</v>
      </c>
      <c r="S1773" t="s">
        <v>96</v>
      </c>
      <c r="T1773" t="s">
        <v>1490</v>
      </c>
      <c r="X1773" t="s">
        <v>43</v>
      </c>
      <c r="Y1773">
        <v>1793264</v>
      </c>
      <c r="Z1773">
        <v>20251118</v>
      </c>
    </row>
    <row r="1774" spans="3:26" x14ac:dyDescent="0.25">
      <c r="C1774">
        <v>10000001</v>
      </c>
      <c r="D1774" t="s">
        <v>1466</v>
      </c>
      <c r="F1774">
        <v>12009433</v>
      </c>
      <c r="H1774" t="s">
        <v>1466</v>
      </c>
      <c r="I1774">
        <v>50</v>
      </c>
      <c r="J1774" s="1">
        <v>-259000</v>
      </c>
      <c r="K1774" t="s">
        <v>26</v>
      </c>
      <c r="L1774" s="1">
        <v>-259000</v>
      </c>
      <c r="M1774" t="s">
        <v>26</v>
      </c>
      <c r="Q1774" t="s">
        <v>27</v>
      </c>
      <c r="R1774" t="s">
        <v>1489</v>
      </c>
      <c r="S1774" t="s">
        <v>67</v>
      </c>
      <c r="T1774" t="s">
        <v>98</v>
      </c>
      <c r="X1774" t="s">
        <v>43</v>
      </c>
      <c r="Y1774">
        <v>1793264</v>
      </c>
      <c r="Z1774">
        <v>20251118</v>
      </c>
    </row>
    <row r="1775" spans="3:26" x14ac:dyDescent="0.25">
      <c r="C1775">
        <v>10000001</v>
      </c>
      <c r="D1775" t="s">
        <v>1466</v>
      </c>
      <c r="F1775">
        <v>12009434</v>
      </c>
      <c r="H1775" t="s">
        <v>1466</v>
      </c>
      <c r="I1775">
        <v>50</v>
      </c>
      <c r="J1775" s="1">
        <v>-400000</v>
      </c>
      <c r="K1775" t="s">
        <v>26</v>
      </c>
      <c r="L1775" s="1">
        <v>-400000</v>
      </c>
      <c r="M1775" t="s">
        <v>26</v>
      </c>
      <c r="Q1775" t="s">
        <v>27</v>
      </c>
      <c r="R1775" t="s">
        <v>1491</v>
      </c>
      <c r="S1775" t="s">
        <v>41</v>
      </c>
      <c r="T1775" t="s">
        <v>1492</v>
      </c>
      <c r="X1775" t="s">
        <v>43</v>
      </c>
      <c r="Y1775">
        <v>1793264</v>
      </c>
      <c r="Z1775">
        <v>20251118</v>
      </c>
    </row>
    <row r="1776" spans="3:26" x14ac:dyDescent="0.25">
      <c r="C1776">
        <v>10000001</v>
      </c>
      <c r="D1776" t="s">
        <v>1466</v>
      </c>
      <c r="F1776">
        <v>12009435</v>
      </c>
      <c r="H1776" t="s">
        <v>1466</v>
      </c>
      <c r="I1776">
        <v>50</v>
      </c>
      <c r="J1776" s="1">
        <v>-50000</v>
      </c>
      <c r="K1776" t="s">
        <v>26</v>
      </c>
      <c r="L1776" s="1">
        <v>-50000</v>
      </c>
      <c r="M1776" t="s">
        <v>26</v>
      </c>
      <c r="Q1776" t="s">
        <v>27</v>
      </c>
      <c r="R1776" t="s">
        <v>1493</v>
      </c>
      <c r="S1776" t="s">
        <v>126</v>
      </c>
      <c r="T1776" t="s">
        <v>1494</v>
      </c>
      <c r="X1776" t="s">
        <v>43</v>
      </c>
      <c r="Y1776">
        <v>1793264</v>
      </c>
      <c r="Z1776">
        <v>20251118</v>
      </c>
    </row>
    <row r="1777" spans="3:26" x14ac:dyDescent="0.25">
      <c r="C1777">
        <v>10000001</v>
      </c>
      <c r="D1777" t="s">
        <v>1495</v>
      </c>
      <c r="F1777">
        <v>12009436</v>
      </c>
      <c r="H1777" t="s">
        <v>1495</v>
      </c>
      <c r="I1777">
        <v>50</v>
      </c>
      <c r="J1777" s="1">
        <v>-50000</v>
      </c>
      <c r="K1777" t="s">
        <v>26</v>
      </c>
      <c r="L1777" s="1">
        <v>-50000</v>
      </c>
      <c r="M1777" t="s">
        <v>26</v>
      </c>
      <c r="Q1777" t="s">
        <v>27</v>
      </c>
      <c r="R1777" t="s">
        <v>1496</v>
      </c>
      <c r="S1777" t="s">
        <v>334</v>
      </c>
      <c r="T1777" t="s">
        <v>1497</v>
      </c>
      <c r="X1777" t="s">
        <v>43</v>
      </c>
      <c r="Y1777">
        <v>1793264</v>
      </c>
      <c r="Z1777">
        <v>20251120</v>
      </c>
    </row>
    <row r="1778" spans="3:26" x14ac:dyDescent="0.25">
      <c r="C1778">
        <v>10000001</v>
      </c>
      <c r="D1778" t="s">
        <v>1495</v>
      </c>
      <c r="F1778">
        <v>12009437</v>
      </c>
      <c r="H1778" t="s">
        <v>1495</v>
      </c>
      <c r="I1778">
        <v>50</v>
      </c>
      <c r="J1778" s="1">
        <v>-100000</v>
      </c>
      <c r="K1778" t="s">
        <v>26</v>
      </c>
      <c r="L1778" s="1">
        <v>-100000</v>
      </c>
      <c r="M1778" t="s">
        <v>26</v>
      </c>
      <c r="Q1778" t="s">
        <v>27</v>
      </c>
      <c r="R1778" t="s">
        <v>1496</v>
      </c>
      <c r="S1778" t="s">
        <v>334</v>
      </c>
      <c r="T1778" t="s">
        <v>1498</v>
      </c>
      <c r="X1778" t="s">
        <v>43</v>
      </c>
      <c r="Y1778">
        <v>1793264</v>
      </c>
      <c r="Z1778">
        <v>20251120</v>
      </c>
    </row>
    <row r="1779" spans="3:26" x14ac:dyDescent="0.25">
      <c r="C1779">
        <v>10000001</v>
      </c>
      <c r="D1779" t="s">
        <v>1495</v>
      </c>
      <c r="F1779">
        <v>12009438</v>
      </c>
      <c r="H1779" t="s">
        <v>1495</v>
      </c>
      <c r="I1779">
        <v>50</v>
      </c>
      <c r="J1779" s="1">
        <v>-100000</v>
      </c>
      <c r="K1779" t="s">
        <v>26</v>
      </c>
      <c r="L1779" s="1">
        <v>-100000</v>
      </c>
      <c r="M1779" t="s">
        <v>26</v>
      </c>
      <c r="Q1779" t="s">
        <v>27</v>
      </c>
      <c r="R1779" t="s">
        <v>1496</v>
      </c>
      <c r="S1779" t="s">
        <v>334</v>
      </c>
      <c r="T1779" t="s">
        <v>1499</v>
      </c>
      <c r="X1779" t="s">
        <v>43</v>
      </c>
      <c r="Y1779">
        <v>1793264</v>
      </c>
      <c r="Z1779">
        <v>20251120</v>
      </c>
    </row>
    <row r="1780" spans="3:26" x14ac:dyDescent="0.25">
      <c r="C1780">
        <v>10000001</v>
      </c>
      <c r="D1780" t="s">
        <v>1495</v>
      </c>
      <c r="F1780">
        <v>12009439</v>
      </c>
      <c r="H1780" t="s">
        <v>1495</v>
      </c>
      <c r="I1780">
        <v>50</v>
      </c>
      <c r="J1780" s="1">
        <v>-200000</v>
      </c>
      <c r="K1780" t="s">
        <v>26</v>
      </c>
      <c r="L1780" s="1">
        <v>-200000</v>
      </c>
      <c r="M1780" t="s">
        <v>26</v>
      </c>
      <c r="Q1780" t="s">
        <v>27</v>
      </c>
      <c r="R1780" t="s">
        <v>1496</v>
      </c>
      <c r="S1780" t="s">
        <v>334</v>
      </c>
      <c r="T1780" t="s">
        <v>1500</v>
      </c>
      <c r="X1780" t="s">
        <v>43</v>
      </c>
      <c r="Y1780">
        <v>1793264</v>
      </c>
      <c r="Z1780">
        <v>20251120</v>
      </c>
    </row>
    <row r="1781" spans="3:26" x14ac:dyDescent="0.25">
      <c r="C1781">
        <v>10000001</v>
      </c>
      <c r="D1781" t="s">
        <v>1495</v>
      </c>
      <c r="F1781">
        <v>12009440</v>
      </c>
      <c r="H1781" t="s">
        <v>1495</v>
      </c>
      <c r="I1781">
        <v>50</v>
      </c>
      <c r="J1781" s="1">
        <v>-350000</v>
      </c>
      <c r="K1781" t="s">
        <v>26</v>
      </c>
      <c r="L1781" s="1">
        <v>-350000</v>
      </c>
      <c r="M1781" t="s">
        <v>26</v>
      </c>
      <c r="Q1781" t="s">
        <v>27</v>
      </c>
      <c r="R1781" t="s">
        <v>1501</v>
      </c>
      <c r="S1781" t="s">
        <v>41</v>
      </c>
      <c r="T1781" t="s">
        <v>1502</v>
      </c>
      <c r="X1781" t="s">
        <v>43</v>
      </c>
      <c r="Y1781">
        <v>1793264</v>
      </c>
      <c r="Z1781">
        <v>20251120</v>
      </c>
    </row>
    <row r="1782" spans="3:26" x14ac:dyDescent="0.25">
      <c r="C1782">
        <v>10000001</v>
      </c>
      <c r="D1782" t="s">
        <v>1495</v>
      </c>
      <c r="F1782">
        <v>12009441</v>
      </c>
      <c r="H1782" t="s">
        <v>1495</v>
      </c>
      <c r="I1782">
        <v>50</v>
      </c>
      <c r="J1782" s="1">
        <v>-119000</v>
      </c>
      <c r="K1782" t="s">
        <v>26</v>
      </c>
      <c r="L1782" s="1">
        <v>-119000</v>
      </c>
      <c r="M1782" t="s">
        <v>26</v>
      </c>
      <c r="Q1782" t="s">
        <v>27</v>
      </c>
      <c r="R1782" t="s">
        <v>1503</v>
      </c>
      <c r="S1782" t="s">
        <v>126</v>
      </c>
      <c r="T1782" t="s">
        <v>1470</v>
      </c>
      <c r="X1782" t="s">
        <v>43</v>
      </c>
      <c r="Y1782">
        <v>1793264</v>
      </c>
      <c r="Z1782">
        <v>20251120</v>
      </c>
    </row>
    <row r="1783" spans="3:26" x14ac:dyDescent="0.25">
      <c r="C1783">
        <v>10000001</v>
      </c>
      <c r="D1783" t="s">
        <v>1495</v>
      </c>
      <c r="F1783">
        <v>12009442</v>
      </c>
      <c r="H1783" t="s">
        <v>1495</v>
      </c>
      <c r="I1783">
        <v>50</v>
      </c>
      <c r="J1783" s="1">
        <v>-80000</v>
      </c>
      <c r="K1783" t="s">
        <v>26</v>
      </c>
      <c r="L1783" s="1">
        <v>-80000</v>
      </c>
      <c r="M1783" t="s">
        <v>26</v>
      </c>
      <c r="Q1783" t="s">
        <v>27</v>
      </c>
      <c r="R1783" t="s">
        <v>1503</v>
      </c>
      <c r="S1783" t="s">
        <v>59</v>
      </c>
      <c r="T1783" t="s">
        <v>1504</v>
      </c>
      <c r="X1783" t="s">
        <v>43</v>
      </c>
      <c r="Y1783">
        <v>1793264</v>
      </c>
      <c r="Z1783">
        <v>20251120</v>
      </c>
    </row>
    <row r="1784" spans="3:26" x14ac:dyDescent="0.25">
      <c r="C1784">
        <v>10000001</v>
      </c>
      <c r="D1784" t="s">
        <v>1495</v>
      </c>
      <c r="F1784">
        <v>12009443</v>
      </c>
      <c r="H1784" t="s">
        <v>1495</v>
      </c>
      <c r="I1784">
        <v>50</v>
      </c>
      <c r="J1784" s="1">
        <v>-800000</v>
      </c>
      <c r="K1784" t="s">
        <v>26</v>
      </c>
      <c r="L1784" s="1">
        <v>-800000</v>
      </c>
      <c r="M1784" t="s">
        <v>26</v>
      </c>
      <c r="Q1784" t="s">
        <v>27</v>
      </c>
      <c r="R1784" t="s">
        <v>1505</v>
      </c>
      <c r="S1784" t="s">
        <v>96</v>
      </c>
      <c r="T1784" t="s">
        <v>1506</v>
      </c>
      <c r="X1784" t="s">
        <v>43</v>
      </c>
      <c r="Y1784">
        <v>1793264</v>
      </c>
      <c r="Z1784">
        <v>20251120</v>
      </c>
    </row>
    <row r="1785" spans="3:26" x14ac:dyDescent="0.25">
      <c r="C1785">
        <v>10000001</v>
      </c>
      <c r="D1785" t="s">
        <v>1495</v>
      </c>
      <c r="F1785">
        <v>12009444</v>
      </c>
      <c r="H1785" t="s">
        <v>1495</v>
      </c>
      <c r="I1785">
        <v>50</v>
      </c>
      <c r="J1785" s="1">
        <v>-200000</v>
      </c>
      <c r="K1785" t="s">
        <v>26</v>
      </c>
      <c r="L1785" s="1">
        <v>-200000</v>
      </c>
      <c r="M1785" t="s">
        <v>26</v>
      </c>
      <c r="Q1785" t="s">
        <v>27</v>
      </c>
      <c r="R1785" t="s">
        <v>1505</v>
      </c>
      <c r="S1785" t="s">
        <v>67</v>
      </c>
      <c r="T1785" t="s">
        <v>98</v>
      </c>
      <c r="X1785" t="s">
        <v>43</v>
      </c>
      <c r="Y1785">
        <v>1793264</v>
      </c>
      <c r="Z1785">
        <v>20251120</v>
      </c>
    </row>
    <row r="1786" spans="3:26" x14ac:dyDescent="0.25">
      <c r="C1786">
        <v>10000001</v>
      </c>
      <c r="D1786" t="s">
        <v>1495</v>
      </c>
      <c r="F1786">
        <v>12009445</v>
      </c>
      <c r="H1786" t="s">
        <v>1495</v>
      </c>
      <c r="I1786">
        <v>50</v>
      </c>
      <c r="J1786" s="1">
        <v>-500000</v>
      </c>
      <c r="K1786" t="s">
        <v>26</v>
      </c>
      <c r="L1786" s="1">
        <v>-500000</v>
      </c>
      <c r="M1786" t="s">
        <v>26</v>
      </c>
      <c r="Q1786" t="s">
        <v>27</v>
      </c>
      <c r="R1786" t="s">
        <v>1507</v>
      </c>
      <c r="S1786" t="s">
        <v>126</v>
      </c>
      <c r="T1786" t="s">
        <v>1508</v>
      </c>
      <c r="X1786" t="s">
        <v>43</v>
      </c>
      <c r="Y1786">
        <v>1793264</v>
      </c>
      <c r="Z1786">
        <v>20251120</v>
      </c>
    </row>
    <row r="1787" spans="3:26" x14ac:dyDescent="0.25">
      <c r="C1787">
        <v>10000001</v>
      </c>
      <c r="D1787" t="s">
        <v>1495</v>
      </c>
      <c r="F1787">
        <v>12009446</v>
      </c>
      <c r="H1787" t="s">
        <v>1495</v>
      </c>
      <c r="I1787">
        <v>50</v>
      </c>
      <c r="J1787" s="1">
        <v>-50000</v>
      </c>
      <c r="K1787" t="s">
        <v>26</v>
      </c>
      <c r="L1787" s="1">
        <v>-50000</v>
      </c>
      <c r="M1787" t="s">
        <v>26</v>
      </c>
      <c r="Q1787" t="s">
        <v>27</v>
      </c>
      <c r="R1787" t="s">
        <v>1509</v>
      </c>
      <c r="S1787" t="s">
        <v>59</v>
      </c>
      <c r="T1787" t="s">
        <v>1510</v>
      </c>
      <c r="X1787" t="s">
        <v>43</v>
      </c>
      <c r="Y1787">
        <v>1793264</v>
      </c>
      <c r="Z1787">
        <v>20251120</v>
      </c>
    </row>
    <row r="1788" spans="3:26" x14ac:dyDescent="0.25">
      <c r="C1788">
        <v>10000001</v>
      </c>
      <c r="D1788" t="s">
        <v>1495</v>
      </c>
      <c r="F1788">
        <v>12009447</v>
      </c>
      <c r="H1788" t="s">
        <v>1495</v>
      </c>
      <c r="I1788">
        <v>50</v>
      </c>
      <c r="J1788" s="1">
        <v>-543200</v>
      </c>
      <c r="K1788" t="s">
        <v>26</v>
      </c>
      <c r="L1788" s="1">
        <v>-543200</v>
      </c>
      <c r="M1788" t="s">
        <v>26</v>
      </c>
      <c r="Q1788" t="s">
        <v>27</v>
      </c>
      <c r="R1788" t="s">
        <v>1511</v>
      </c>
      <c r="S1788" t="s">
        <v>274</v>
      </c>
      <c r="T1788" t="s">
        <v>1512</v>
      </c>
      <c r="X1788" t="s">
        <v>43</v>
      </c>
      <c r="Y1788">
        <v>1793264</v>
      </c>
      <c r="Z1788">
        <v>20251120</v>
      </c>
    </row>
    <row r="1789" spans="3:26" x14ac:dyDescent="0.25">
      <c r="C1789">
        <v>10000001</v>
      </c>
      <c r="D1789" t="s">
        <v>1495</v>
      </c>
      <c r="F1789">
        <v>12009448</v>
      </c>
      <c r="H1789" t="s">
        <v>1495</v>
      </c>
      <c r="I1789">
        <v>50</v>
      </c>
      <c r="J1789" s="1">
        <v>-550000</v>
      </c>
      <c r="K1789" t="s">
        <v>26</v>
      </c>
      <c r="L1789" s="1">
        <v>-550000</v>
      </c>
      <c r="M1789" t="s">
        <v>26</v>
      </c>
      <c r="Q1789" t="s">
        <v>27</v>
      </c>
      <c r="R1789" t="s">
        <v>1513</v>
      </c>
      <c r="S1789" t="s">
        <v>96</v>
      </c>
      <c r="T1789" t="s">
        <v>1514</v>
      </c>
      <c r="X1789" t="s">
        <v>43</v>
      </c>
      <c r="Y1789">
        <v>1793264</v>
      </c>
      <c r="Z1789">
        <v>20251120</v>
      </c>
    </row>
    <row r="1790" spans="3:26" x14ac:dyDescent="0.25">
      <c r="C1790">
        <v>10000001</v>
      </c>
      <c r="D1790" t="s">
        <v>1495</v>
      </c>
      <c r="F1790">
        <v>12009449</v>
      </c>
      <c r="H1790" t="s">
        <v>1495</v>
      </c>
      <c r="I1790">
        <v>50</v>
      </c>
      <c r="J1790" s="1">
        <v>-450000</v>
      </c>
      <c r="K1790" t="s">
        <v>26</v>
      </c>
      <c r="L1790" s="1">
        <v>-450000</v>
      </c>
      <c r="M1790" t="s">
        <v>26</v>
      </c>
      <c r="Q1790" t="s">
        <v>27</v>
      </c>
      <c r="R1790" t="s">
        <v>1513</v>
      </c>
      <c r="S1790" t="s">
        <v>67</v>
      </c>
      <c r="T1790" t="s">
        <v>98</v>
      </c>
      <c r="X1790" t="s">
        <v>43</v>
      </c>
      <c r="Y1790">
        <v>1793264</v>
      </c>
      <c r="Z1790">
        <v>20251120</v>
      </c>
    </row>
    <row r="1791" spans="3:26" x14ac:dyDescent="0.25">
      <c r="C1791">
        <v>10000001</v>
      </c>
      <c r="D1791" t="s">
        <v>1495</v>
      </c>
      <c r="F1791">
        <v>12009450</v>
      </c>
      <c r="H1791" t="s">
        <v>1495</v>
      </c>
      <c r="I1791">
        <v>50</v>
      </c>
      <c r="J1791" s="1">
        <v>-430000</v>
      </c>
      <c r="K1791" t="s">
        <v>26</v>
      </c>
      <c r="L1791" s="1">
        <v>-430000</v>
      </c>
      <c r="M1791" t="s">
        <v>26</v>
      </c>
      <c r="Q1791" t="s">
        <v>27</v>
      </c>
      <c r="R1791" t="s">
        <v>1515</v>
      </c>
      <c r="S1791" t="s">
        <v>59</v>
      </c>
      <c r="T1791" t="s">
        <v>1516</v>
      </c>
      <c r="X1791" t="s">
        <v>43</v>
      </c>
      <c r="Y1791">
        <v>1793264</v>
      </c>
      <c r="Z1791">
        <v>20251120</v>
      </c>
    </row>
    <row r="1792" spans="3:26" x14ac:dyDescent="0.25">
      <c r="C1792">
        <v>10000001</v>
      </c>
      <c r="D1792" t="s">
        <v>1495</v>
      </c>
      <c r="F1792">
        <v>12009451</v>
      </c>
      <c r="H1792" t="s">
        <v>1495</v>
      </c>
      <c r="I1792">
        <v>50</v>
      </c>
      <c r="J1792" s="1">
        <v>-996100</v>
      </c>
      <c r="K1792" t="s">
        <v>26</v>
      </c>
      <c r="L1792" s="1">
        <v>-996100</v>
      </c>
      <c r="M1792" t="s">
        <v>26</v>
      </c>
      <c r="Q1792" t="s">
        <v>27</v>
      </c>
      <c r="R1792" t="s">
        <v>1517</v>
      </c>
      <c r="S1792" t="s">
        <v>274</v>
      </c>
      <c r="T1792" t="s">
        <v>1518</v>
      </c>
      <c r="X1792" t="s">
        <v>43</v>
      </c>
      <c r="Y1792">
        <v>1793264</v>
      </c>
      <c r="Z1792">
        <v>20251120</v>
      </c>
    </row>
    <row r="1793" spans="3:26" x14ac:dyDescent="0.25">
      <c r="C1793">
        <v>10000001</v>
      </c>
      <c r="D1793" t="s">
        <v>1495</v>
      </c>
      <c r="F1793">
        <v>12009452</v>
      </c>
      <c r="H1793" t="s">
        <v>1495</v>
      </c>
      <c r="I1793">
        <v>50</v>
      </c>
      <c r="J1793" s="1">
        <v>-208000</v>
      </c>
      <c r="K1793" t="s">
        <v>26</v>
      </c>
      <c r="L1793" s="1">
        <v>-208000</v>
      </c>
      <c r="M1793" t="s">
        <v>26</v>
      </c>
      <c r="Q1793" t="s">
        <v>27</v>
      </c>
      <c r="R1793" t="s">
        <v>1519</v>
      </c>
      <c r="S1793" t="s">
        <v>129</v>
      </c>
      <c r="T1793" t="s">
        <v>1520</v>
      </c>
      <c r="X1793" t="s">
        <v>43</v>
      </c>
      <c r="Y1793">
        <v>1793264</v>
      </c>
      <c r="Z1793">
        <v>20251120</v>
      </c>
    </row>
    <row r="1794" spans="3:26" x14ac:dyDescent="0.25">
      <c r="C1794">
        <v>10000001</v>
      </c>
      <c r="D1794" t="s">
        <v>1521</v>
      </c>
      <c r="F1794">
        <v>12009453</v>
      </c>
      <c r="H1794" t="s">
        <v>1521</v>
      </c>
      <c r="I1794">
        <v>50</v>
      </c>
      <c r="J1794" s="1">
        <v>-50000</v>
      </c>
      <c r="K1794" t="s">
        <v>26</v>
      </c>
      <c r="L1794" s="1">
        <v>-50000</v>
      </c>
      <c r="M1794" t="s">
        <v>26</v>
      </c>
      <c r="Q1794" t="s">
        <v>27</v>
      </c>
      <c r="R1794" t="s">
        <v>1522</v>
      </c>
      <c r="S1794" t="s">
        <v>334</v>
      </c>
      <c r="T1794" t="s">
        <v>1523</v>
      </c>
      <c r="X1794" t="s">
        <v>43</v>
      </c>
      <c r="Y1794">
        <v>1793264</v>
      </c>
      <c r="Z1794">
        <v>20251121</v>
      </c>
    </row>
    <row r="1795" spans="3:26" x14ac:dyDescent="0.25">
      <c r="C1795">
        <v>10000001</v>
      </c>
      <c r="D1795" t="s">
        <v>1521</v>
      </c>
      <c r="F1795">
        <v>12009454</v>
      </c>
      <c r="H1795" t="s">
        <v>1521</v>
      </c>
      <c r="I1795">
        <v>50</v>
      </c>
      <c r="J1795" s="1">
        <v>-50000</v>
      </c>
      <c r="K1795" t="s">
        <v>26</v>
      </c>
      <c r="L1795" s="1">
        <v>-50000</v>
      </c>
      <c r="M1795" t="s">
        <v>26</v>
      </c>
      <c r="Q1795" t="s">
        <v>27</v>
      </c>
      <c r="R1795" t="s">
        <v>1524</v>
      </c>
      <c r="S1795" t="s">
        <v>334</v>
      </c>
      <c r="T1795" t="s">
        <v>1525</v>
      </c>
      <c r="X1795" t="s">
        <v>43</v>
      </c>
      <c r="Y1795">
        <v>1793264</v>
      </c>
      <c r="Z1795">
        <v>20251121</v>
      </c>
    </row>
    <row r="1796" spans="3:26" x14ac:dyDescent="0.25">
      <c r="C1796">
        <v>10000001</v>
      </c>
      <c r="D1796" t="s">
        <v>1521</v>
      </c>
      <c r="F1796">
        <v>12009455</v>
      </c>
      <c r="H1796" t="s">
        <v>1521</v>
      </c>
      <c r="I1796">
        <v>50</v>
      </c>
      <c r="J1796" s="1">
        <v>-50000</v>
      </c>
      <c r="K1796" t="s">
        <v>26</v>
      </c>
      <c r="L1796" s="1">
        <v>-50000</v>
      </c>
      <c r="M1796" t="s">
        <v>26</v>
      </c>
      <c r="Q1796" t="s">
        <v>27</v>
      </c>
      <c r="R1796" t="s">
        <v>1524</v>
      </c>
      <c r="S1796" t="s">
        <v>334</v>
      </c>
      <c r="T1796" t="s">
        <v>1526</v>
      </c>
      <c r="X1796" t="s">
        <v>43</v>
      </c>
      <c r="Y1796">
        <v>1793264</v>
      </c>
      <c r="Z1796">
        <v>20251121</v>
      </c>
    </row>
    <row r="1797" spans="3:26" x14ac:dyDescent="0.25">
      <c r="C1797">
        <v>10000001</v>
      </c>
      <c r="D1797" t="s">
        <v>1521</v>
      </c>
      <c r="F1797">
        <v>12009456</v>
      </c>
      <c r="H1797" t="s">
        <v>1521</v>
      </c>
      <c r="I1797">
        <v>50</v>
      </c>
      <c r="J1797" s="1">
        <v>-50000</v>
      </c>
      <c r="K1797" t="s">
        <v>26</v>
      </c>
      <c r="L1797" s="1">
        <v>-50000</v>
      </c>
      <c r="M1797" t="s">
        <v>26</v>
      </c>
      <c r="Q1797" t="s">
        <v>27</v>
      </c>
      <c r="R1797" t="s">
        <v>1524</v>
      </c>
      <c r="S1797" t="s">
        <v>334</v>
      </c>
      <c r="T1797" t="s">
        <v>1527</v>
      </c>
      <c r="X1797" t="s">
        <v>43</v>
      </c>
      <c r="Y1797">
        <v>1793264</v>
      </c>
      <c r="Z1797">
        <v>20251121</v>
      </c>
    </row>
    <row r="1798" spans="3:26" x14ac:dyDescent="0.25">
      <c r="C1798">
        <v>10000001</v>
      </c>
      <c r="D1798" t="s">
        <v>1521</v>
      </c>
      <c r="F1798">
        <v>12009457</v>
      </c>
      <c r="H1798" t="s">
        <v>1521</v>
      </c>
      <c r="I1798">
        <v>50</v>
      </c>
      <c r="J1798" s="1">
        <v>-50000</v>
      </c>
      <c r="K1798" t="s">
        <v>26</v>
      </c>
      <c r="L1798" s="1">
        <v>-50000</v>
      </c>
      <c r="M1798" t="s">
        <v>26</v>
      </c>
      <c r="Q1798" t="s">
        <v>27</v>
      </c>
      <c r="R1798" t="s">
        <v>1524</v>
      </c>
      <c r="S1798" t="s">
        <v>334</v>
      </c>
      <c r="T1798" t="s">
        <v>1528</v>
      </c>
      <c r="X1798" t="s">
        <v>43</v>
      </c>
      <c r="Y1798">
        <v>1793264</v>
      </c>
      <c r="Z1798">
        <v>20251121</v>
      </c>
    </row>
    <row r="1799" spans="3:26" x14ac:dyDescent="0.25">
      <c r="C1799">
        <v>10000001</v>
      </c>
      <c r="D1799" t="s">
        <v>1521</v>
      </c>
      <c r="F1799">
        <v>12009458</v>
      </c>
      <c r="H1799" t="s">
        <v>1521</v>
      </c>
      <c r="I1799">
        <v>50</v>
      </c>
      <c r="J1799" s="1">
        <v>-50000</v>
      </c>
      <c r="K1799" t="s">
        <v>26</v>
      </c>
      <c r="L1799" s="1">
        <v>-50000</v>
      </c>
      <c r="M1799" t="s">
        <v>26</v>
      </c>
      <c r="Q1799" t="s">
        <v>27</v>
      </c>
      <c r="R1799" t="s">
        <v>1524</v>
      </c>
      <c r="S1799" t="s">
        <v>334</v>
      </c>
      <c r="T1799" t="s">
        <v>1529</v>
      </c>
      <c r="X1799" t="s">
        <v>43</v>
      </c>
      <c r="Y1799">
        <v>1793264</v>
      </c>
      <c r="Z1799">
        <v>20251121</v>
      </c>
    </row>
    <row r="1800" spans="3:26" x14ac:dyDescent="0.25">
      <c r="C1800">
        <v>10000001</v>
      </c>
      <c r="D1800" t="s">
        <v>1521</v>
      </c>
      <c r="F1800">
        <v>12009459</v>
      </c>
      <c r="H1800" t="s">
        <v>1521</v>
      </c>
      <c r="I1800">
        <v>50</v>
      </c>
      <c r="J1800" s="1">
        <v>-50000</v>
      </c>
      <c r="K1800" t="s">
        <v>26</v>
      </c>
      <c r="L1800" s="1">
        <v>-50000</v>
      </c>
      <c r="M1800" t="s">
        <v>26</v>
      </c>
      <c r="Q1800" t="s">
        <v>27</v>
      </c>
      <c r="R1800" t="s">
        <v>1530</v>
      </c>
      <c r="S1800" t="s">
        <v>334</v>
      </c>
      <c r="T1800" t="s">
        <v>1531</v>
      </c>
      <c r="X1800" t="s">
        <v>43</v>
      </c>
      <c r="Y1800">
        <v>1793264</v>
      </c>
      <c r="Z1800">
        <v>20251121</v>
      </c>
    </row>
    <row r="1801" spans="3:26" x14ac:dyDescent="0.25">
      <c r="C1801">
        <v>10000001</v>
      </c>
      <c r="D1801" t="s">
        <v>1521</v>
      </c>
      <c r="F1801">
        <v>12009460</v>
      </c>
      <c r="H1801" t="s">
        <v>1521</v>
      </c>
      <c r="I1801">
        <v>50</v>
      </c>
      <c r="J1801" s="1">
        <v>-50000</v>
      </c>
      <c r="K1801" t="s">
        <v>26</v>
      </c>
      <c r="L1801" s="1">
        <v>-50000</v>
      </c>
      <c r="M1801" t="s">
        <v>26</v>
      </c>
      <c r="Q1801" t="s">
        <v>27</v>
      </c>
      <c r="R1801" t="s">
        <v>1530</v>
      </c>
      <c r="S1801" t="s">
        <v>334</v>
      </c>
      <c r="T1801" t="s">
        <v>1532</v>
      </c>
      <c r="X1801" t="s">
        <v>43</v>
      </c>
      <c r="Y1801">
        <v>1793264</v>
      </c>
      <c r="Z1801">
        <v>20251121</v>
      </c>
    </row>
    <row r="1802" spans="3:26" x14ac:dyDescent="0.25">
      <c r="C1802">
        <v>10000001</v>
      </c>
      <c r="D1802" t="s">
        <v>1521</v>
      </c>
      <c r="F1802">
        <v>12009461</v>
      </c>
      <c r="H1802" t="s">
        <v>1521</v>
      </c>
      <c r="I1802">
        <v>50</v>
      </c>
      <c r="J1802" s="1">
        <v>-50000</v>
      </c>
      <c r="K1802" t="s">
        <v>26</v>
      </c>
      <c r="L1802" s="1">
        <v>-50000</v>
      </c>
      <c r="M1802" t="s">
        <v>26</v>
      </c>
      <c r="Q1802" t="s">
        <v>27</v>
      </c>
      <c r="R1802" t="s">
        <v>1530</v>
      </c>
      <c r="S1802" t="s">
        <v>334</v>
      </c>
      <c r="T1802" t="s">
        <v>1533</v>
      </c>
      <c r="X1802" t="s">
        <v>43</v>
      </c>
      <c r="Y1802">
        <v>1793264</v>
      </c>
      <c r="Z1802">
        <v>20251121</v>
      </c>
    </row>
    <row r="1803" spans="3:26" x14ac:dyDescent="0.25">
      <c r="C1803">
        <v>10000001</v>
      </c>
      <c r="D1803" t="s">
        <v>1521</v>
      </c>
      <c r="F1803">
        <v>12009462</v>
      </c>
      <c r="H1803" t="s">
        <v>1521</v>
      </c>
      <c r="I1803">
        <v>50</v>
      </c>
      <c r="J1803" s="1">
        <v>-50000</v>
      </c>
      <c r="K1803" t="s">
        <v>26</v>
      </c>
      <c r="L1803" s="1">
        <v>-50000</v>
      </c>
      <c r="M1803" t="s">
        <v>26</v>
      </c>
      <c r="Q1803" t="s">
        <v>27</v>
      </c>
      <c r="R1803" t="s">
        <v>1530</v>
      </c>
      <c r="S1803" t="s">
        <v>334</v>
      </c>
      <c r="T1803" t="s">
        <v>1534</v>
      </c>
      <c r="X1803" t="s">
        <v>43</v>
      </c>
      <c r="Y1803">
        <v>1793264</v>
      </c>
      <c r="Z1803">
        <v>20251121</v>
      </c>
    </row>
    <row r="1804" spans="3:26" x14ac:dyDescent="0.25">
      <c r="C1804">
        <v>10000001</v>
      </c>
      <c r="D1804" t="s">
        <v>1521</v>
      </c>
      <c r="F1804">
        <v>12009463</v>
      </c>
      <c r="H1804" t="s">
        <v>1521</v>
      </c>
      <c r="I1804">
        <v>50</v>
      </c>
      <c r="J1804" s="1">
        <v>-50000</v>
      </c>
      <c r="K1804" t="s">
        <v>26</v>
      </c>
      <c r="L1804" s="1">
        <v>-50000</v>
      </c>
      <c r="M1804" t="s">
        <v>26</v>
      </c>
      <c r="Q1804" t="s">
        <v>27</v>
      </c>
      <c r="R1804" t="s">
        <v>1530</v>
      </c>
      <c r="S1804" t="s">
        <v>334</v>
      </c>
      <c r="T1804" t="s">
        <v>1535</v>
      </c>
      <c r="X1804" t="s">
        <v>43</v>
      </c>
      <c r="Y1804">
        <v>1793264</v>
      </c>
      <c r="Z1804">
        <v>20251121</v>
      </c>
    </row>
    <row r="1805" spans="3:26" x14ac:dyDescent="0.25">
      <c r="C1805">
        <v>10000001</v>
      </c>
      <c r="D1805" t="s">
        <v>1521</v>
      </c>
      <c r="F1805">
        <v>12009464</v>
      </c>
      <c r="H1805" t="s">
        <v>1521</v>
      </c>
      <c r="I1805">
        <v>50</v>
      </c>
      <c r="J1805" s="1">
        <v>-50000</v>
      </c>
      <c r="K1805" t="s">
        <v>26</v>
      </c>
      <c r="L1805" s="1">
        <v>-50000</v>
      </c>
      <c r="M1805" t="s">
        <v>26</v>
      </c>
      <c r="Q1805" t="s">
        <v>27</v>
      </c>
      <c r="R1805" t="s">
        <v>1530</v>
      </c>
      <c r="S1805" t="s">
        <v>334</v>
      </c>
      <c r="T1805" t="s">
        <v>1536</v>
      </c>
      <c r="X1805" t="s">
        <v>43</v>
      </c>
      <c r="Y1805">
        <v>1793264</v>
      </c>
      <c r="Z1805">
        <v>20251121</v>
      </c>
    </row>
    <row r="1806" spans="3:26" x14ac:dyDescent="0.25">
      <c r="C1806">
        <v>10000001</v>
      </c>
      <c r="D1806" t="s">
        <v>1521</v>
      </c>
      <c r="F1806">
        <v>12009465</v>
      </c>
      <c r="H1806" t="s">
        <v>1521</v>
      </c>
      <c r="I1806">
        <v>50</v>
      </c>
      <c r="J1806" s="1">
        <v>-50000</v>
      </c>
      <c r="K1806" t="s">
        <v>26</v>
      </c>
      <c r="L1806" s="1">
        <v>-50000</v>
      </c>
      <c r="M1806" t="s">
        <v>26</v>
      </c>
      <c r="Q1806" t="s">
        <v>27</v>
      </c>
      <c r="R1806" t="s">
        <v>1530</v>
      </c>
      <c r="S1806" t="s">
        <v>334</v>
      </c>
      <c r="T1806" t="s">
        <v>1535</v>
      </c>
      <c r="X1806" t="s">
        <v>43</v>
      </c>
      <c r="Y1806">
        <v>1793264</v>
      </c>
      <c r="Z1806">
        <v>20251121</v>
      </c>
    </row>
    <row r="1807" spans="3:26" x14ac:dyDescent="0.25">
      <c r="C1807">
        <v>10000001</v>
      </c>
      <c r="D1807" t="s">
        <v>1537</v>
      </c>
      <c r="F1807">
        <v>12009466</v>
      </c>
      <c r="H1807" t="s">
        <v>1537</v>
      </c>
      <c r="I1807">
        <v>50</v>
      </c>
      <c r="J1807" s="1">
        <v>-50000</v>
      </c>
      <c r="K1807" t="s">
        <v>26</v>
      </c>
      <c r="L1807" s="1">
        <v>-50000</v>
      </c>
      <c r="M1807" t="s">
        <v>26</v>
      </c>
      <c r="Q1807" t="s">
        <v>27</v>
      </c>
      <c r="R1807" t="s">
        <v>1538</v>
      </c>
      <c r="S1807" t="s">
        <v>334</v>
      </c>
      <c r="T1807" t="s">
        <v>1539</v>
      </c>
      <c r="X1807" t="s">
        <v>43</v>
      </c>
      <c r="Y1807">
        <v>1793264</v>
      </c>
      <c r="Z1807">
        <v>20251124</v>
      </c>
    </row>
    <row r="1808" spans="3:26" x14ac:dyDescent="0.25">
      <c r="C1808">
        <v>10000001</v>
      </c>
      <c r="D1808" t="s">
        <v>1537</v>
      </c>
      <c r="F1808">
        <v>12009467</v>
      </c>
      <c r="H1808" t="s">
        <v>1537</v>
      </c>
      <c r="I1808">
        <v>50</v>
      </c>
      <c r="J1808" s="1">
        <v>-50000</v>
      </c>
      <c r="K1808" t="s">
        <v>26</v>
      </c>
      <c r="L1808" s="1">
        <v>-50000</v>
      </c>
      <c r="M1808" t="s">
        <v>26</v>
      </c>
      <c r="Q1808" t="s">
        <v>27</v>
      </c>
      <c r="R1808" t="s">
        <v>1538</v>
      </c>
      <c r="S1808" t="s">
        <v>334</v>
      </c>
      <c r="T1808" t="s">
        <v>1540</v>
      </c>
      <c r="X1808" t="s">
        <v>43</v>
      </c>
      <c r="Y1808">
        <v>1793264</v>
      </c>
      <c r="Z1808">
        <v>20251124</v>
      </c>
    </row>
    <row r="1809" spans="3:26" x14ac:dyDescent="0.25">
      <c r="C1809">
        <v>10000001</v>
      </c>
      <c r="D1809" t="s">
        <v>1537</v>
      </c>
      <c r="F1809">
        <v>12009468</v>
      </c>
      <c r="H1809" t="s">
        <v>1537</v>
      </c>
      <c r="I1809">
        <v>50</v>
      </c>
      <c r="J1809" s="1">
        <v>-50000</v>
      </c>
      <c r="K1809" t="s">
        <v>26</v>
      </c>
      <c r="L1809" s="1">
        <v>-50000</v>
      </c>
      <c r="M1809" t="s">
        <v>26</v>
      </c>
      <c r="Q1809" t="s">
        <v>27</v>
      </c>
      <c r="R1809" t="s">
        <v>1538</v>
      </c>
      <c r="S1809" t="s">
        <v>334</v>
      </c>
      <c r="T1809" t="s">
        <v>1541</v>
      </c>
      <c r="X1809" t="s">
        <v>43</v>
      </c>
      <c r="Y1809">
        <v>1793264</v>
      </c>
      <c r="Z1809">
        <v>20251124</v>
      </c>
    </row>
    <row r="1810" spans="3:26" x14ac:dyDescent="0.25">
      <c r="C1810">
        <v>10000001</v>
      </c>
      <c r="D1810" t="s">
        <v>1537</v>
      </c>
      <c r="F1810">
        <v>12009469</v>
      </c>
      <c r="H1810" t="s">
        <v>1537</v>
      </c>
      <c r="I1810">
        <v>50</v>
      </c>
      <c r="J1810" s="1">
        <v>-50000</v>
      </c>
      <c r="K1810" t="s">
        <v>26</v>
      </c>
      <c r="L1810" s="1">
        <v>-50000</v>
      </c>
      <c r="M1810" t="s">
        <v>26</v>
      </c>
      <c r="Q1810" t="s">
        <v>27</v>
      </c>
      <c r="R1810" t="s">
        <v>1538</v>
      </c>
      <c r="S1810" t="s">
        <v>334</v>
      </c>
      <c r="T1810" t="s">
        <v>1542</v>
      </c>
      <c r="X1810" t="s">
        <v>43</v>
      </c>
      <c r="Y1810">
        <v>1793264</v>
      </c>
      <c r="Z1810">
        <v>20251124</v>
      </c>
    </row>
    <row r="1811" spans="3:26" x14ac:dyDescent="0.25">
      <c r="C1811">
        <v>10000001</v>
      </c>
      <c r="D1811" t="s">
        <v>1537</v>
      </c>
      <c r="F1811">
        <v>12009470</v>
      </c>
      <c r="H1811" t="s">
        <v>1537</v>
      </c>
      <c r="I1811">
        <v>50</v>
      </c>
      <c r="J1811" s="1">
        <v>-50000</v>
      </c>
      <c r="K1811" t="s">
        <v>26</v>
      </c>
      <c r="L1811" s="1">
        <v>-50000</v>
      </c>
      <c r="M1811" t="s">
        <v>26</v>
      </c>
      <c r="Q1811" t="s">
        <v>27</v>
      </c>
      <c r="R1811" t="s">
        <v>1538</v>
      </c>
      <c r="S1811" t="s">
        <v>334</v>
      </c>
      <c r="T1811" t="s">
        <v>1543</v>
      </c>
      <c r="X1811" t="s">
        <v>43</v>
      </c>
      <c r="Y1811">
        <v>1793264</v>
      </c>
      <c r="Z1811">
        <v>20251124</v>
      </c>
    </row>
    <row r="1812" spans="3:26" x14ac:dyDescent="0.25">
      <c r="C1812">
        <v>10000001</v>
      </c>
      <c r="D1812" t="s">
        <v>1537</v>
      </c>
      <c r="F1812">
        <v>12009471</v>
      </c>
      <c r="H1812" t="s">
        <v>1537</v>
      </c>
      <c r="I1812">
        <v>50</v>
      </c>
      <c r="J1812" s="1">
        <v>-50000</v>
      </c>
      <c r="K1812" t="s">
        <v>26</v>
      </c>
      <c r="L1812" s="1">
        <v>-50000</v>
      </c>
      <c r="M1812" t="s">
        <v>26</v>
      </c>
      <c r="Q1812" t="s">
        <v>27</v>
      </c>
      <c r="R1812" t="s">
        <v>1538</v>
      </c>
      <c r="S1812" t="s">
        <v>334</v>
      </c>
      <c r="T1812" t="s">
        <v>1544</v>
      </c>
      <c r="X1812" t="s">
        <v>43</v>
      </c>
      <c r="Y1812">
        <v>1793264</v>
      </c>
      <c r="Z1812">
        <v>20251124</v>
      </c>
    </row>
    <row r="1813" spans="3:26" x14ac:dyDescent="0.25">
      <c r="C1813">
        <v>10000001</v>
      </c>
      <c r="D1813" t="s">
        <v>1537</v>
      </c>
      <c r="F1813">
        <v>12009472</v>
      </c>
      <c r="H1813" t="s">
        <v>1537</v>
      </c>
      <c r="I1813">
        <v>50</v>
      </c>
      <c r="J1813" s="1">
        <v>-591120</v>
      </c>
      <c r="K1813" t="s">
        <v>26</v>
      </c>
      <c r="L1813" s="1">
        <v>-591120</v>
      </c>
      <c r="M1813" t="s">
        <v>26</v>
      </c>
      <c r="Q1813" t="s">
        <v>27</v>
      </c>
      <c r="R1813" t="s">
        <v>1545</v>
      </c>
      <c r="S1813" t="s">
        <v>57</v>
      </c>
      <c r="T1813" t="s">
        <v>1546</v>
      </c>
      <c r="X1813" t="s">
        <v>43</v>
      </c>
      <c r="Y1813">
        <v>1793264</v>
      </c>
      <c r="Z1813">
        <v>20251124</v>
      </c>
    </row>
    <row r="1814" spans="3:26" x14ac:dyDescent="0.25">
      <c r="C1814">
        <v>10000001</v>
      </c>
      <c r="D1814" t="s">
        <v>1537</v>
      </c>
      <c r="F1814">
        <v>12009473</v>
      </c>
      <c r="H1814" t="s">
        <v>1537</v>
      </c>
      <c r="I1814">
        <v>50</v>
      </c>
      <c r="J1814" s="1">
        <v>-162060</v>
      </c>
      <c r="K1814" t="s">
        <v>26</v>
      </c>
      <c r="L1814" s="1">
        <v>-162060</v>
      </c>
      <c r="M1814" t="s">
        <v>26</v>
      </c>
      <c r="Q1814" t="s">
        <v>27</v>
      </c>
      <c r="R1814" t="s">
        <v>1545</v>
      </c>
      <c r="S1814" t="s">
        <v>375</v>
      </c>
      <c r="T1814" t="s">
        <v>1547</v>
      </c>
      <c r="X1814" t="s">
        <v>43</v>
      </c>
      <c r="Y1814">
        <v>1793264</v>
      </c>
      <c r="Z1814">
        <v>20251124</v>
      </c>
    </row>
    <row r="1815" spans="3:26" x14ac:dyDescent="0.25">
      <c r="C1815">
        <v>10000001</v>
      </c>
      <c r="D1815" t="s">
        <v>1537</v>
      </c>
      <c r="F1815">
        <v>12009474</v>
      </c>
      <c r="H1815" t="s">
        <v>1537</v>
      </c>
      <c r="I1815">
        <v>50</v>
      </c>
      <c r="J1815" s="1">
        <v>-530000</v>
      </c>
      <c r="K1815" t="s">
        <v>26</v>
      </c>
      <c r="L1815" s="1">
        <v>-530000</v>
      </c>
      <c r="M1815" t="s">
        <v>26</v>
      </c>
      <c r="Q1815" t="s">
        <v>27</v>
      </c>
      <c r="R1815" t="s">
        <v>1548</v>
      </c>
      <c r="S1815" t="s">
        <v>57</v>
      </c>
      <c r="T1815" t="s">
        <v>1549</v>
      </c>
      <c r="X1815" t="s">
        <v>43</v>
      </c>
      <c r="Y1815">
        <v>1793264</v>
      </c>
      <c r="Z1815">
        <v>20251124</v>
      </c>
    </row>
    <row r="1816" spans="3:26" x14ac:dyDescent="0.25">
      <c r="C1816">
        <v>10000001</v>
      </c>
      <c r="D1816" t="s">
        <v>1537</v>
      </c>
      <c r="F1816">
        <v>12009475</v>
      </c>
      <c r="H1816" t="s">
        <v>1537</v>
      </c>
      <c r="I1816">
        <v>50</v>
      </c>
      <c r="J1816" s="1">
        <v>-466200</v>
      </c>
      <c r="K1816" t="s">
        <v>26</v>
      </c>
      <c r="L1816" s="1">
        <v>-466200</v>
      </c>
      <c r="M1816" t="s">
        <v>26</v>
      </c>
      <c r="Q1816" t="s">
        <v>27</v>
      </c>
      <c r="R1816" t="s">
        <v>1548</v>
      </c>
      <c r="S1816" t="s">
        <v>375</v>
      </c>
      <c r="T1816" t="s">
        <v>1550</v>
      </c>
      <c r="X1816" t="s">
        <v>43</v>
      </c>
      <c r="Y1816">
        <v>1793264</v>
      </c>
      <c r="Z1816">
        <v>20251124</v>
      </c>
    </row>
    <row r="1817" spans="3:26" x14ac:dyDescent="0.25">
      <c r="C1817">
        <v>10000001</v>
      </c>
      <c r="D1817" t="s">
        <v>1537</v>
      </c>
      <c r="F1817">
        <v>12009476</v>
      </c>
      <c r="H1817" t="s">
        <v>1537</v>
      </c>
      <c r="I1817">
        <v>50</v>
      </c>
      <c r="J1817" s="1">
        <v>-263450</v>
      </c>
      <c r="K1817" t="s">
        <v>26</v>
      </c>
      <c r="L1817" s="1">
        <v>-263450</v>
      </c>
      <c r="M1817" t="s">
        <v>26</v>
      </c>
      <c r="Q1817" t="s">
        <v>27</v>
      </c>
      <c r="R1817" t="s">
        <v>1551</v>
      </c>
      <c r="S1817" t="s">
        <v>126</v>
      </c>
      <c r="T1817" t="s">
        <v>1552</v>
      </c>
      <c r="X1817" t="s">
        <v>43</v>
      </c>
      <c r="Y1817">
        <v>1793264</v>
      </c>
      <c r="Z1817">
        <v>20251124</v>
      </c>
    </row>
    <row r="1818" spans="3:26" x14ac:dyDescent="0.25">
      <c r="C1818">
        <v>10000001</v>
      </c>
      <c r="D1818" t="s">
        <v>1537</v>
      </c>
      <c r="F1818">
        <v>12009477</v>
      </c>
      <c r="H1818" t="s">
        <v>1537</v>
      </c>
      <c r="I1818">
        <v>50</v>
      </c>
      <c r="J1818" s="1">
        <v>-666000</v>
      </c>
      <c r="K1818" t="s">
        <v>26</v>
      </c>
      <c r="L1818" s="1">
        <v>-666000</v>
      </c>
      <c r="M1818" t="s">
        <v>26</v>
      </c>
      <c r="Q1818" t="s">
        <v>27</v>
      </c>
      <c r="R1818" t="s">
        <v>1551</v>
      </c>
      <c r="S1818" t="s">
        <v>375</v>
      </c>
      <c r="T1818" t="s">
        <v>1553</v>
      </c>
      <c r="X1818" t="s">
        <v>43</v>
      </c>
      <c r="Y1818">
        <v>1793264</v>
      </c>
      <c r="Z1818">
        <v>20251124</v>
      </c>
    </row>
    <row r="1819" spans="3:26" x14ac:dyDescent="0.25">
      <c r="C1819">
        <v>10000001</v>
      </c>
      <c r="D1819" t="s">
        <v>1537</v>
      </c>
      <c r="F1819">
        <v>12009478</v>
      </c>
      <c r="H1819" t="s">
        <v>1537</v>
      </c>
      <c r="I1819">
        <v>50</v>
      </c>
      <c r="J1819" s="1">
        <v>-417360</v>
      </c>
      <c r="K1819" t="s">
        <v>26</v>
      </c>
      <c r="L1819" s="1">
        <v>-417360</v>
      </c>
      <c r="M1819" t="s">
        <v>26</v>
      </c>
      <c r="Q1819" t="s">
        <v>27</v>
      </c>
      <c r="R1819" t="s">
        <v>1554</v>
      </c>
      <c r="S1819" t="s">
        <v>375</v>
      </c>
      <c r="T1819" t="s">
        <v>1555</v>
      </c>
      <c r="X1819" t="s">
        <v>43</v>
      </c>
      <c r="Y1819">
        <v>1793264</v>
      </c>
      <c r="Z1819">
        <v>20251124</v>
      </c>
    </row>
    <row r="1820" spans="3:26" x14ac:dyDescent="0.25">
      <c r="C1820">
        <v>10000001</v>
      </c>
      <c r="D1820" t="s">
        <v>1537</v>
      </c>
      <c r="F1820">
        <v>12009479</v>
      </c>
      <c r="H1820" t="s">
        <v>1537</v>
      </c>
      <c r="I1820">
        <v>50</v>
      </c>
      <c r="J1820" s="1">
        <v>-344907</v>
      </c>
      <c r="K1820" t="s">
        <v>26</v>
      </c>
      <c r="L1820" s="1">
        <v>-344907</v>
      </c>
      <c r="M1820" t="s">
        <v>26</v>
      </c>
      <c r="Q1820" t="s">
        <v>27</v>
      </c>
      <c r="R1820" t="s">
        <v>1556</v>
      </c>
      <c r="S1820" t="s">
        <v>375</v>
      </c>
      <c r="T1820" t="s">
        <v>1557</v>
      </c>
      <c r="X1820" t="s">
        <v>43</v>
      </c>
      <c r="Y1820">
        <v>1793264</v>
      </c>
      <c r="Z1820">
        <v>20251124</v>
      </c>
    </row>
    <row r="1821" spans="3:26" x14ac:dyDescent="0.25">
      <c r="C1821">
        <v>10000001</v>
      </c>
      <c r="D1821" t="s">
        <v>1537</v>
      </c>
      <c r="F1821">
        <v>12009480</v>
      </c>
      <c r="H1821" t="s">
        <v>1537</v>
      </c>
      <c r="I1821">
        <v>50</v>
      </c>
      <c r="J1821" s="1">
        <v>-220500</v>
      </c>
      <c r="K1821" t="s">
        <v>26</v>
      </c>
      <c r="L1821" s="1">
        <v>-220500</v>
      </c>
      <c r="M1821" t="s">
        <v>26</v>
      </c>
      <c r="Q1821" t="s">
        <v>27</v>
      </c>
      <c r="R1821" t="s">
        <v>1558</v>
      </c>
      <c r="S1821" t="s">
        <v>375</v>
      </c>
      <c r="T1821" t="s">
        <v>1559</v>
      </c>
      <c r="X1821" t="s">
        <v>43</v>
      </c>
      <c r="Y1821">
        <v>1793264</v>
      </c>
      <c r="Z1821">
        <v>20251124</v>
      </c>
    </row>
    <row r="1822" spans="3:26" x14ac:dyDescent="0.25">
      <c r="C1822">
        <v>10000001</v>
      </c>
      <c r="D1822" t="s">
        <v>1537</v>
      </c>
      <c r="F1822">
        <v>12009481</v>
      </c>
      <c r="H1822" t="s">
        <v>1537</v>
      </c>
      <c r="I1822">
        <v>40</v>
      </c>
      <c r="J1822" s="1">
        <v>31093973</v>
      </c>
      <c r="K1822" t="s">
        <v>26</v>
      </c>
      <c r="L1822" s="1">
        <v>31093973</v>
      </c>
      <c r="M1822" t="s">
        <v>26</v>
      </c>
      <c r="Q1822" t="s">
        <v>27</v>
      </c>
      <c r="S1822" t="s">
        <v>249</v>
      </c>
      <c r="T1822" t="s">
        <v>1560</v>
      </c>
      <c r="X1822" t="s">
        <v>43</v>
      </c>
      <c r="Y1822">
        <v>1793264</v>
      </c>
      <c r="Z1822">
        <v>20251124</v>
      </c>
    </row>
    <row r="1823" spans="3:26" x14ac:dyDescent="0.25">
      <c r="C1823">
        <v>10000001</v>
      </c>
      <c r="D1823" t="s">
        <v>1561</v>
      </c>
      <c r="F1823">
        <v>1793264</v>
      </c>
      <c r="H1823" t="s">
        <v>1561</v>
      </c>
      <c r="I1823">
        <v>40</v>
      </c>
      <c r="J1823" s="1">
        <v>466200</v>
      </c>
      <c r="K1823" t="s">
        <v>26</v>
      </c>
      <c r="L1823" s="1">
        <v>466200</v>
      </c>
      <c r="M1823" t="s">
        <v>26</v>
      </c>
      <c r="Q1823" t="s">
        <v>27</v>
      </c>
      <c r="T1823" t="s">
        <v>1550</v>
      </c>
      <c r="X1823" t="s">
        <v>30</v>
      </c>
      <c r="Y1823">
        <v>1793264</v>
      </c>
      <c r="Z1823">
        <v>20251130</v>
      </c>
    </row>
    <row r="1824" spans="3:26" x14ac:dyDescent="0.25">
      <c r="C1824">
        <v>10000001</v>
      </c>
      <c r="D1824" t="s">
        <v>1561</v>
      </c>
      <c r="F1824">
        <v>1793264</v>
      </c>
      <c r="H1824" t="s">
        <v>1561</v>
      </c>
      <c r="I1824">
        <v>40</v>
      </c>
      <c r="J1824" s="1">
        <v>490000</v>
      </c>
      <c r="K1824" t="s">
        <v>26</v>
      </c>
      <c r="L1824" s="1">
        <v>490000</v>
      </c>
      <c r="M1824" t="s">
        <v>26</v>
      </c>
      <c r="Q1824" t="s">
        <v>27</v>
      </c>
      <c r="T1824" t="s">
        <v>1223</v>
      </c>
      <c r="X1824" t="s">
        <v>30</v>
      </c>
      <c r="Y1824">
        <v>1793264</v>
      </c>
      <c r="Z1824">
        <v>20251130</v>
      </c>
    </row>
    <row r="1825" spans="3:26" x14ac:dyDescent="0.25">
      <c r="C1825">
        <v>10000001</v>
      </c>
      <c r="D1825" t="s">
        <v>1561</v>
      </c>
      <c r="F1825">
        <v>1793264</v>
      </c>
      <c r="H1825" t="s">
        <v>1561</v>
      </c>
      <c r="I1825">
        <v>40</v>
      </c>
      <c r="J1825" s="1">
        <v>1010000</v>
      </c>
      <c r="K1825" t="s">
        <v>26</v>
      </c>
      <c r="L1825" s="1">
        <v>1010000</v>
      </c>
      <c r="M1825" t="s">
        <v>26</v>
      </c>
      <c r="Q1825" t="s">
        <v>27</v>
      </c>
      <c r="T1825" t="s">
        <v>1214</v>
      </c>
      <c r="X1825" t="s">
        <v>30</v>
      </c>
      <c r="Y1825">
        <v>1793264</v>
      </c>
      <c r="Z1825">
        <v>20251130</v>
      </c>
    </row>
    <row r="1826" spans="3:26" x14ac:dyDescent="0.25">
      <c r="C1826">
        <v>10000001</v>
      </c>
      <c r="D1826" t="s">
        <v>1561</v>
      </c>
      <c r="F1826">
        <v>1793264</v>
      </c>
      <c r="H1826" t="s">
        <v>1561</v>
      </c>
      <c r="I1826">
        <v>40</v>
      </c>
      <c r="J1826" s="1">
        <v>344907</v>
      </c>
      <c r="K1826" t="s">
        <v>26</v>
      </c>
      <c r="L1826" s="1">
        <v>344907</v>
      </c>
      <c r="M1826" t="s">
        <v>26</v>
      </c>
      <c r="Q1826" t="s">
        <v>27</v>
      </c>
      <c r="T1826" t="s">
        <v>1557</v>
      </c>
      <c r="X1826" t="s">
        <v>30</v>
      </c>
      <c r="Y1826">
        <v>1793264</v>
      </c>
      <c r="Z1826">
        <v>20251130</v>
      </c>
    </row>
    <row r="1827" spans="3:26" x14ac:dyDescent="0.25">
      <c r="C1827">
        <v>10000001</v>
      </c>
      <c r="D1827" t="s">
        <v>1561</v>
      </c>
      <c r="F1827">
        <v>1793264</v>
      </c>
      <c r="H1827" t="s">
        <v>1561</v>
      </c>
      <c r="I1827">
        <v>40</v>
      </c>
      <c r="J1827" s="1">
        <v>710400</v>
      </c>
      <c r="K1827" t="s">
        <v>26</v>
      </c>
      <c r="L1827" s="1">
        <v>710400</v>
      </c>
      <c r="M1827" t="s">
        <v>26</v>
      </c>
      <c r="Q1827" t="s">
        <v>27</v>
      </c>
      <c r="T1827" t="s">
        <v>1386</v>
      </c>
      <c r="X1827" t="s">
        <v>30</v>
      </c>
      <c r="Y1827">
        <v>1793264</v>
      </c>
      <c r="Z1827">
        <v>20251130</v>
      </c>
    </row>
    <row r="1828" spans="3:26" x14ac:dyDescent="0.25">
      <c r="C1828">
        <v>10000001</v>
      </c>
      <c r="D1828" t="s">
        <v>1561</v>
      </c>
      <c r="F1828">
        <v>1793264</v>
      </c>
      <c r="H1828" t="s">
        <v>1561</v>
      </c>
      <c r="I1828">
        <v>40</v>
      </c>
      <c r="J1828" s="1">
        <v>200000</v>
      </c>
      <c r="K1828" t="s">
        <v>26</v>
      </c>
      <c r="L1828" s="1">
        <v>200000</v>
      </c>
      <c r="M1828" t="s">
        <v>26</v>
      </c>
      <c r="Q1828" t="s">
        <v>27</v>
      </c>
      <c r="T1828" t="s">
        <v>1435</v>
      </c>
      <c r="X1828" t="s">
        <v>30</v>
      </c>
      <c r="Y1828">
        <v>1793264</v>
      </c>
      <c r="Z1828">
        <v>20251130</v>
      </c>
    </row>
    <row r="1829" spans="3:26" x14ac:dyDescent="0.25">
      <c r="C1829">
        <v>10000001</v>
      </c>
      <c r="D1829" t="s">
        <v>1561</v>
      </c>
      <c r="F1829">
        <v>1793264</v>
      </c>
      <c r="H1829" t="s">
        <v>1561</v>
      </c>
      <c r="I1829">
        <v>40</v>
      </c>
      <c r="J1829" s="1">
        <v>200000</v>
      </c>
      <c r="K1829" t="s">
        <v>26</v>
      </c>
      <c r="L1829" s="1">
        <v>200000</v>
      </c>
      <c r="M1829" t="s">
        <v>26</v>
      </c>
      <c r="Q1829" t="s">
        <v>27</v>
      </c>
      <c r="T1829" t="s">
        <v>1436</v>
      </c>
      <c r="X1829" t="s">
        <v>30</v>
      </c>
      <c r="Y1829">
        <v>1793264</v>
      </c>
      <c r="Z1829">
        <v>20251130</v>
      </c>
    </row>
    <row r="1830" spans="3:26" x14ac:dyDescent="0.25">
      <c r="C1830">
        <v>10000001</v>
      </c>
      <c r="D1830" t="s">
        <v>1561</v>
      </c>
      <c r="F1830">
        <v>1793264</v>
      </c>
      <c r="H1830" t="s">
        <v>1561</v>
      </c>
      <c r="I1830">
        <v>40</v>
      </c>
      <c r="J1830" s="1">
        <v>200000</v>
      </c>
      <c r="K1830" t="s">
        <v>26</v>
      </c>
      <c r="L1830" s="1">
        <v>200000</v>
      </c>
      <c r="M1830" t="s">
        <v>26</v>
      </c>
      <c r="Q1830" t="s">
        <v>27</v>
      </c>
      <c r="T1830" t="s">
        <v>1338</v>
      </c>
      <c r="X1830" t="s">
        <v>30</v>
      </c>
      <c r="Y1830">
        <v>1793264</v>
      </c>
      <c r="Z1830">
        <v>20251130</v>
      </c>
    </row>
    <row r="1831" spans="3:26" x14ac:dyDescent="0.25">
      <c r="C1831">
        <v>10000001</v>
      </c>
      <c r="D1831" t="s">
        <v>1561</v>
      </c>
      <c r="F1831">
        <v>1793264</v>
      </c>
      <c r="H1831" t="s">
        <v>1561</v>
      </c>
      <c r="I1831">
        <v>40</v>
      </c>
      <c r="J1831" s="1">
        <v>350000</v>
      </c>
      <c r="K1831" t="s">
        <v>26</v>
      </c>
      <c r="L1831" s="1">
        <v>350000</v>
      </c>
      <c r="M1831" t="s">
        <v>26</v>
      </c>
      <c r="Q1831" t="s">
        <v>27</v>
      </c>
      <c r="T1831" t="s">
        <v>1337</v>
      </c>
      <c r="X1831" t="s">
        <v>30</v>
      </c>
      <c r="Y1831">
        <v>1793264</v>
      </c>
      <c r="Z1831">
        <v>20251130</v>
      </c>
    </row>
    <row r="1832" spans="3:26" x14ac:dyDescent="0.25">
      <c r="C1832">
        <v>10000001</v>
      </c>
      <c r="D1832" t="s">
        <v>1561</v>
      </c>
      <c r="F1832">
        <v>1793264</v>
      </c>
      <c r="H1832" t="s">
        <v>1561</v>
      </c>
      <c r="I1832">
        <v>40</v>
      </c>
      <c r="J1832" s="1">
        <v>200000</v>
      </c>
      <c r="K1832" t="s">
        <v>26</v>
      </c>
      <c r="L1832" s="1">
        <v>200000</v>
      </c>
      <c r="M1832" t="s">
        <v>26</v>
      </c>
      <c r="Q1832" t="s">
        <v>27</v>
      </c>
      <c r="T1832" t="s">
        <v>1500</v>
      </c>
      <c r="X1832" t="s">
        <v>30</v>
      </c>
      <c r="Y1832">
        <v>1793264</v>
      </c>
      <c r="Z1832">
        <v>20251130</v>
      </c>
    </row>
    <row r="1833" spans="3:26" x14ac:dyDescent="0.25">
      <c r="C1833">
        <v>10000001</v>
      </c>
      <c r="D1833" t="s">
        <v>1561</v>
      </c>
      <c r="F1833">
        <v>1793264</v>
      </c>
      <c r="H1833" t="s">
        <v>1561</v>
      </c>
      <c r="I1833">
        <v>40</v>
      </c>
      <c r="J1833" s="1">
        <v>980014</v>
      </c>
      <c r="K1833" t="s">
        <v>26</v>
      </c>
      <c r="L1833" s="1">
        <v>980014</v>
      </c>
      <c r="M1833" t="s">
        <v>26</v>
      </c>
      <c r="Q1833" t="s">
        <v>27</v>
      </c>
      <c r="T1833" t="s">
        <v>1392</v>
      </c>
      <c r="X1833" t="s">
        <v>30</v>
      </c>
      <c r="Y1833">
        <v>1793264</v>
      </c>
      <c r="Z1833">
        <v>20251130</v>
      </c>
    </row>
    <row r="1834" spans="3:26" x14ac:dyDescent="0.25">
      <c r="C1834">
        <v>10000001</v>
      </c>
      <c r="D1834" t="s">
        <v>1561</v>
      </c>
      <c r="F1834">
        <v>1793264</v>
      </c>
      <c r="H1834" t="s">
        <v>1561</v>
      </c>
      <c r="I1834">
        <v>40</v>
      </c>
      <c r="J1834" s="1">
        <v>700010</v>
      </c>
      <c r="K1834" t="s">
        <v>26</v>
      </c>
      <c r="L1834" s="1">
        <v>700010</v>
      </c>
      <c r="M1834" t="s">
        <v>26</v>
      </c>
      <c r="Q1834" t="s">
        <v>27</v>
      </c>
      <c r="T1834" t="s">
        <v>1389</v>
      </c>
      <c r="X1834" t="s">
        <v>30</v>
      </c>
      <c r="Y1834">
        <v>1793264</v>
      </c>
      <c r="Z1834">
        <v>20251130</v>
      </c>
    </row>
    <row r="1835" spans="3:26" x14ac:dyDescent="0.25">
      <c r="C1835">
        <v>10000001</v>
      </c>
      <c r="D1835" t="s">
        <v>1561</v>
      </c>
      <c r="F1835">
        <v>1793264</v>
      </c>
      <c r="H1835" t="s">
        <v>1561</v>
      </c>
      <c r="I1835">
        <v>40</v>
      </c>
      <c r="J1835" s="1">
        <v>16000</v>
      </c>
      <c r="K1835" t="s">
        <v>26</v>
      </c>
      <c r="L1835" s="1">
        <v>16000</v>
      </c>
      <c r="M1835" t="s">
        <v>26</v>
      </c>
      <c r="Q1835" t="s">
        <v>27</v>
      </c>
      <c r="T1835" t="s">
        <v>1317</v>
      </c>
      <c r="X1835" t="s">
        <v>30</v>
      </c>
      <c r="Y1835">
        <v>1793264</v>
      </c>
      <c r="Z1835">
        <v>20251130</v>
      </c>
    </row>
    <row r="1836" spans="3:26" x14ac:dyDescent="0.25">
      <c r="C1836">
        <v>10000001</v>
      </c>
      <c r="D1836" t="s">
        <v>1561</v>
      </c>
      <c r="F1836">
        <v>1793264</v>
      </c>
      <c r="H1836" t="s">
        <v>1561</v>
      </c>
      <c r="I1836">
        <v>40</v>
      </c>
      <c r="J1836" s="1">
        <v>123601</v>
      </c>
      <c r="K1836" t="s">
        <v>26</v>
      </c>
      <c r="L1836" s="1">
        <v>123601</v>
      </c>
      <c r="M1836" t="s">
        <v>26</v>
      </c>
      <c r="Q1836" t="s">
        <v>27</v>
      </c>
      <c r="T1836" t="s">
        <v>1390</v>
      </c>
      <c r="X1836" t="s">
        <v>30</v>
      </c>
      <c r="Y1836">
        <v>1793264</v>
      </c>
      <c r="Z1836">
        <v>20251130</v>
      </c>
    </row>
    <row r="1837" spans="3:26" x14ac:dyDescent="0.25">
      <c r="C1837">
        <v>10000001</v>
      </c>
      <c r="D1837" t="s">
        <v>1561</v>
      </c>
      <c r="F1837">
        <v>1793264</v>
      </c>
      <c r="H1837" t="s">
        <v>1561</v>
      </c>
      <c r="I1837">
        <v>40</v>
      </c>
      <c r="J1837" s="1">
        <v>50000</v>
      </c>
      <c r="K1837" t="s">
        <v>26</v>
      </c>
      <c r="L1837" s="1">
        <v>50000</v>
      </c>
      <c r="M1837" t="s">
        <v>26</v>
      </c>
      <c r="Q1837" t="s">
        <v>27</v>
      </c>
      <c r="T1837" t="s">
        <v>1259</v>
      </c>
      <c r="X1837" t="s">
        <v>30</v>
      </c>
      <c r="Y1837">
        <v>1793264</v>
      </c>
      <c r="Z1837">
        <v>20251130</v>
      </c>
    </row>
    <row r="1838" spans="3:26" x14ac:dyDescent="0.25">
      <c r="C1838">
        <v>10000001</v>
      </c>
      <c r="D1838" t="s">
        <v>1561</v>
      </c>
      <c r="F1838">
        <v>1793264</v>
      </c>
      <c r="H1838" t="s">
        <v>1561</v>
      </c>
      <c r="I1838">
        <v>40</v>
      </c>
      <c r="J1838" s="1">
        <v>50000</v>
      </c>
      <c r="K1838" t="s">
        <v>26</v>
      </c>
      <c r="L1838" s="1">
        <v>50000</v>
      </c>
      <c r="M1838" t="s">
        <v>26</v>
      </c>
      <c r="Q1838" t="s">
        <v>27</v>
      </c>
      <c r="T1838" t="s">
        <v>1258</v>
      </c>
      <c r="X1838" t="s">
        <v>30</v>
      </c>
      <c r="Y1838">
        <v>1793264</v>
      </c>
      <c r="Z1838">
        <v>20251130</v>
      </c>
    </row>
    <row r="1839" spans="3:26" x14ac:dyDescent="0.25">
      <c r="C1839">
        <v>10000001</v>
      </c>
      <c r="D1839" t="s">
        <v>1561</v>
      </c>
      <c r="F1839">
        <v>1793264</v>
      </c>
      <c r="H1839" t="s">
        <v>1561</v>
      </c>
      <c r="I1839">
        <v>40</v>
      </c>
      <c r="J1839" s="1">
        <v>50000</v>
      </c>
      <c r="K1839" t="s">
        <v>26</v>
      </c>
      <c r="L1839" s="1">
        <v>50000</v>
      </c>
      <c r="M1839" t="s">
        <v>26</v>
      </c>
      <c r="Q1839" t="s">
        <v>27</v>
      </c>
      <c r="T1839" t="s">
        <v>1260</v>
      </c>
      <c r="X1839" t="s">
        <v>30</v>
      </c>
      <c r="Y1839">
        <v>1793264</v>
      </c>
      <c r="Z1839">
        <v>20251130</v>
      </c>
    </row>
    <row r="1840" spans="3:26" x14ac:dyDescent="0.25">
      <c r="C1840">
        <v>10000001</v>
      </c>
      <c r="D1840" t="s">
        <v>1561</v>
      </c>
      <c r="F1840">
        <v>1793264</v>
      </c>
      <c r="H1840" t="s">
        <v>1561</v>
      </c>
      <c r="I1840">
        <v>40</v>
      </c>
      <c r="J1840" s="1">
        <v>50000</v>
      </c>
      <c r="K1840" t="s">
        <v>26</v>
      </c>
      <c r="L1840" s="1">
        <v>50000</v>
      </c>
      <c r="M1840" t="s">
        <v>26</v>
      </c>
      <c r="Q1840" t="s">
        <v>27</v>
      </c>
      <c r="T1840" t="s">
        <v>1433</v>
      </c>
      <c r="X1840" t="s">
        <v>30</v>
      </c>
      <c r="Y1840">
        <v>1793264</v>
      </c>
      <c r="Z1840">
        <v>20251130</v>
      </c>
    </row>
    <row r="1841" spans="3:26" x14ac:dyDescent="0.25">
      <c r="C1841">
        <v>10000001</v>
      </c>
      <c r="D1841" t="s">
        <v>1561</v>
      </c>
      <c r="F1841">
        <v>1793264</v>
      </c>
      <c r="H1841" t="s">
        <v>1561</v>
      </c>
      <c r="I1841">
        <v>40</v>
      </c>
      <c r="J1841" s="1">
        <v>50000</v>
      </c>
      <c r="K1841" t="s">
        <v>26</v>
      </c>
      <c r="L1841" s="1">
        <v>50000</v>
      </c>
      <c r="M1841" t="s">
        <v>26</v>
      </c>
      <c r="Q1841" t="s">
        <v>27</v>
      </c>
      <c r="T1841" t="s">
        <v>1434</v>
      </c>
      <c r="X1841" t="s">
        <v>30</v>
      </c>
      <c r="Y1841">
        <v>1793264</v>
      </c>
      <c r="Z1841">
        <v>20251130</v>
      </c>
    </row>
    <row r="1842" spans="3:26" x14ac:dyDescent="0.25">
      <c r="C1842">
        <v>10000001</v>
      </c>
      <c r="D1842" t="s">
        <v>1561</v>
      </c>
      <c r="F1842">
        <v>1793264</v>
      </c>
      <c r="H1842" t="s">
        <v>1561</v>
      </c>
      <c r="I1842">
        <v>40</v>
      </c>
      <c r="J1842" s="1">
        <v>50000</v>
      </c>
      <c r="K1842" t="s">
        <v>26</v>
      </c>
      <c r="L1842" s="1">
        <v>50000</v>
      </c>
      <c r="M1842" t="s">
        <v>26</v>
      </c>
      <c r="Q1842" t="s">
        <v>27</v>
      </c>
      <c r="T1842" t="s">
        <v>1331</v>
      </c>
      <c r="X1842" t="s">
        <v>30</v>
      </c>
      <c r="Y1842">
        <v>1793264</v>
      </c>
      <c r="Z1842">
        <v>20251130</v>
      </c>
    </row>
    <row r="1843" spans="3:26" x14ac:dyDescent="0.25">
      <c r="C1843">
        <v>10000001</v>
      </c>
      <c r="D1843" t="s">
        <v>1561</v>
      </c>
      <c r="F1843">
        <v>1793264</v>
      </c>
      <c r="H1843" t="s">
        <v>1561</v>
      </c>
      <c r="I1843">
        <v>40</v>
      </c>
      <c r="J1843" s="1">
        <v>50000</v>
      </c>
      <c r="K1843" t="s">
        <v>26</v>
      </c>
      <c r="L1843" s="1">
        <v>50000</v>
      </c>
      <c r="M1843" t="s">
        <v>26</v>
      </c>
      <c r="Q1843" t="s">
        <v>27</v>
      </c>
      <c r="T1843" t="s">
        <v>1329</v>
      </c>
      <c r="X1843" t="s">
        <v>30</v>
      </c>
      <c r="Y1843">
        <v>1793264</v>
      </c>
      <c r="Z1843">
        <v>20251130</v>
      </c>
    </row>
    <row r="1844" spans="3:26" x14ac:dyDescent="0.25">
      <c r="C1844">
        <v>10000001</v>
      </c>
      <c r="D1844" t="s">
        <v>1561</v>
      </c>
      <c r="F1844">
        <v>1793264</v>
      </c>
      <c r="H1844" t="s">
        <v>1561</v>
      </c>
      <c r="I1844">
        <v>40</v>
      </c>
      <c r="J1844" s="1">
        <v>50000</v>
      </c>
      <c r="K1844" t="s">
        <v>26</v>
      </c>
      <c r="L1844" s="1">
        <v>50000</v>
      </c>
      <c r="M1844" t="s">
        <v>26</v>
      </c>
      <c r="Q1844" t="s">
        <v>27</v>
      </c>
      <c r="T1844" t="s">
        <v>1330</v>
      </c>
      <c r="X1844" t="s">
        <v>30</v>
      </c>
      <c r="Y1844">
        <v>1793264</v>
      </c>
      <c r="Z1844">
        <v>20251130</v>
      </c>
    </row>
    <row r="1845" spans="3:26" x14ac:dyDescent="0.25">
      <c r="C1845">
        <v>10000001</v>
      </c>
      <c r="D1845" t="s">
        <v>1561</v>
      </c>
      <c r="F1845">
        <v>1793264</v>
      </c>
      <c r="H1845" t="s">
        <v>1561</v>
      </c>
      <c r="I1845">
        <v>40</v>
      </c>
      <c r="J1845" s="1">
        <v>50000</v>
      </c>
      <c r="K1845" t="s">
        <v>26</v>
      </c>
      <c r="L1845" s="1">
        <v>50000</v>
      </c>
      <c r="M1845" t="s">
        <v>26</v>
      </c>
      <c r="Q1845" t="s">
        <v>27</v>
      </c>
      <c r="T1845" t="s">
        <v>1240</v>
      </c>
      <c r="X1845" t="s">
        <v>30</v>
      </c>
      <c r="Y1845">
        <v>1793264</v>
      </c>
      <c r="Z1845">
        <v>20251130</v>
      </c>
    </row>
    <row r="1846" spans="3:26" x14ac:dyDescent="0.25">
      <c r="C1846">
        <v>10000001</v>
      </c>
      <c r="D1846" t="s">
        <v>1561</v>
      </c>
      <c r="F1846">
        <v>1793264</v>
      </c>
      <c r="H1846" t="s">
        <v>1561</v>
      </c>
      <c r="I1846">
        <v>40</v>
      </c>
      <c r="J1846" s="1">
        <v>50000</v>
      </c>
      <c r="K1846" t="s">
        <v>26</v>
      </c>
      <c r="L1846" s="1">
        <v>50000</v>
      </c>
      <c r="M1846" t="s">
        <v>26</v>
      </c>
      <c r="Q1846" t="s">
        <v>27</v>
      </c>
      <c r="T1846" t="s">
        <v>1238</v>
      </c>
      <c r="X1846" t="s">
        <v>30</v>
      </c>
      <c r="Y1846">
        <v>1793264</v>
      </c>
      <c r="Z1846">
        <v>20251130</v>
      </c>
    </row>
    <row r="1847" spans="3:26" x14ac:dyDescent="0.25">
      <c r="C1847">
        <v>10000001</v>
      </c>
      <c r="D1847" t="s">
        <v>1561</v>
      </c>
      <c r="F1847">
        <v>1793264</v>
      </c>
      <c r="H1847" t="s">
        <v>1561</v>
      </c>
      <c r="I1847">
        <v>40</v>
      </c>
      <c r="J1847" s="1">
        <v>50000</v>
      </c>
      <c r="K1847" t="s">
        <v>26</v>
      </c>
      <c r="L1847" s="1">
        <v>50000</v>
      </c>
      <c r="M1847" t="s">
        <v>26</v>
      </c>
      <c r="Q1847" t="s">
        <v>27</v>
      </c>
      <c r="T1847" t="s">
        <v>1239</v>
      </c>
      <c r="X1847" t="s">
        <v>30</v>
      </c>
      <c r="Y1847">
        <v>1793264</v>
      </c>
      <c r="Z1847">
        <v>20251130</v>
      </c>
    </row>
    <row r="1848" spans="3:26" x14ac:dyDescent="0.25">
      <c r="C1848">
        <v>10000001</v>
      </c>
      <c r="D1848" t="s">
        <v>1561</v>
      </c>
      <c r="F1848">
        <v>1793264</v>
      </c>
      <c r="H1848" t="s">
        <v>1561</v>
      </c>
      <c r="I1848">
        <v>40</v>
      </c>
      <c r="J1848" s="1">
        <v>50000</v>
      </c>
      <c r="K1848" t="s">
        <v>26</v>
      </c>
      <c r="L1848" s="1">
        <v>50000</v>
      </c>
      <c r="M1848" t="s">
        <v>26</v>
      </c>
      <c r="Q1848" t="s">
        <v>27</v>
      </c>
      <c r="T1848" t="s">
        <v>1339</v>
      </c>
      <c r="X1848" t="s">
        <v>30</v>
      </c>
      <c r="Y1848">
        <v>1793264</v>
      </c>
      <c r="Z1848">
        <v>20251130</v>
      </c>
    </row>
    <row r="1849" spans="3:26" x14ac:dyDescent="0.25">
      <c r="C1849">
        <v>10000001</v>
      </c>
      <c r="D1849" t="s">
        <v>1561</v>
      </c>
      <c r="F1849">
        <v>1793264</v>
      </c>
      <c r="H1849" t="s">
        <v>1561</v>
      </c>
      <c r="I1849">
        <v>40</v>
      </c>
      <c r="J1849" s="1">
        <v>300000</v>
      </c>
      <c r="K1849" t="s">
        <v>26</v>
      </c>
      <c r="L1849" s="1">
        <v>300000</v>
      </c>
      <c r="M1849" t="s">
        <v>26</v>
      </c>
      <c r="Q1849" t="s">
        <v>27</v>
      </c>
      <c r="T1849" t="s">
        <v>1270</v>
      </c>
      <c r="X1849" t="s">
        <v>30</v>
      </c>
      <c r="Y1849">
        <v>1793264</v>
      </c>
      <c r="Z1849">
        <v>20251130</v>
      </c>
    </row>
    <row r="1850" spans="3:26" x14ac:dyDescent="0.25">
      <c r="C1850">
        <v>10000001</v>
      </c>
      <c r="D1850" t="s">
        <v>1561</v>
      </c>
      <c r="F1850">
        <v>1793264</v>
      </c>
      <c r="H1850" t="s">
        <v>1561</v>
      </c>
      <c r="I1850">
        <v>40</v>
      </c>
      <c r="J1850" s="1">
        <v>100000</v>
      </c>
      <c r="K1850" t="s">
        <v>26</v>
      </c>
      <c r="L1850" s="1">
        <v>100000</v>
      </c>
      <c r="M1850" t="s">
        <v>26</v>
      </c>
      <c r="Q1850" t="s">
        <v>27</v>
      </c>
      <c r="T1850" t="s">
        <v>1327</v>
      </c>
      <c r="X1850" t="s">
        <v>30</v>
      </c>
      <c r="Y1850">
        <v>1793264</v>
      </c>
      <c r="Z1850">
        <v>20251130</v>
      </c>
    </row>
    <row r="1851" spans="3:26" x14ac:dyDescent="0.25">
      <c r="C1851">
        <v>10000001</v>
      </c>
      <c r="D1851" t="s">
        <v>1561</v>
      </c>
      <c r="F1851">
        <v>1793264</v>
      </c>
      <c r="H1851" t="s">
        <v>1561</v>
      </c>
      <c r="I1851">
        <v>40</v>
      </c>
      <c r="J1851" s="1">
        <v>100000</v>
      </c>
      <c r="K1851" t="s">
        <v>26</v>
      </c>
      <c r="L1851" s="1">
        <v>100000</v>
      </c>
      <c r="M1851" t="s">
        <v>26</v>
      </c>
      <c r="Q1851" t="s">
        <v>27</v>
      </c>
      <c r="T1851" t="s">
        <v>1328</v>
      </c>
      <c r="X1851" t="s">
        <v>30</v>
      </c>
      <c r="Y1851">
        <v>1793264</v>
      </c>
      <c r="Z1851">
        <v>20251130</v>
      </c>
    </row>
    <row r="1852" spans="3:26" x14ac:dyDescent="0.25">
      <c r="C1852">
        <v>10000001</v>
      </c>
      <c r="D1852" t="s">
        <v>1561</v>
      </c>
      <c r="F1852">
        <v>1793264</v>
      </c>
      <c r="H1852" t="s">
        <v>1561</v>
      </c>
      <c r="I1852">
        <v>40</v>
      </c>
      <c r="J1852" s="1">
        <v>100000</v>
      </c>
      <c r="K1852" t="s">
        <v>26</v>
      </c>
      <c r="L1852" s="1">
        <v>100000</v>
      </c>
      <c r="M1852" t="s">
        <v>26</v>
      </c>
      <c r="Q1852" t="s">
        <v>27</v>
      </c>
      <c r="T1852" t="s">
        <v>1499</v>
      </c>
      <c r="X1852" t="s">
        <v>30</v>
      </c>
      <c r="Y1852">
        <v>1793264</v>
      </c>
      <c r="Z1852">
        <v>20251130</v>
      </c>
    </row>
    <row r="1853" spans="3:26" x14ac:dyDescent="0.25">
      <c r="C1853">
        <v>10000001</v>
      </c>
      <c r="D1853" t="s">
        <v>1561</v>
      </c>
      <c r="F1853">
        <v>1793264</v>
      </c>
      <c r="H1853" t="s">
        <v>1561</v>
      </c>
      <c r="I1853">
        <v>40</v>
      </c>
      <c r="J1853" s="1">
        <v>100000</v>
      </c>
      <c r="K1853" t="s">
        <v>26</v>
      </c>
      <c r="L1853" s="1">
        <v>100000</v>
      </c>
      <c r="M1853" t="s">
        <v>26</v>
      </c>
      <c r="Q1853" t="s">
        <v>27</v>
      </c>
      <c r="T1853" t="s">
        <v>1498</v>
      </c>
      <c r="X1853" t="s">
        <v>30</v>
      </c>
      <c r="Y1853">
        <v>1793264</v>
      </c>
      <c r="Z1853">
        <v>20251130</v>
      </c>
    </row>
    <row r="1854" spans="3:26" x14ac:dyDescent="0.25">
      <c r="C1854">
        <v>10000001</v>
      </c>
      <c r="D1854" t="s">
        <v>1561</v>
      </c>
      <c r="F1854">
        <v>1793264</v>
      </c>
      <c r="H1854" t="s">
        <v>1561</v>
      </c>
      <c r="I1854">
        <v>40</v>
      </c>
      <c r="J1854" s="1">
        <v>50000</v>
      </c>
      <c r="K1854" t="s">
        <v>26</v>
      </c>
      <c r="L1854" s="1">
        <v>50000</v>
      </c>
      <c r="M1854" t="s">
        <v>26</v>
      </c>
      <c r="Q1854" t="s">
        <v>27</v>
      </c>
      <c r="T1854" t="s">
        <v>1261</v>
      </c>
      <c r="X1854" t="s">
        <v>30</v>
      </c>
      <c r="Y1854">
        <v>1793264</v>
      </c>
      <c r="Z1854">
        <v>20251130</v>
      </c>
    </row>
    <row r="1855" spans="3:26" x14ac:dyDescent="0.25">
      <c r="C1855">
        <v>10000001</v>
      </c>
      <c r="D1855" t="s">
        <v>1561</v>
      </c>
      <c r="F1855">
        <v>1793264</v>
      </c>
      <c r="H1855" t="s">
        <v>1561</v>
      </c>
      <c r="I1855">
        <v>40</v>
      </c>
      <c r="J1855" s="1">
        <v>50000</v>
      </c>
      <c r="K1855" t="s">
        <v>26</v>
      </c>
      <c r="L1855" s="1">
        <v>50000</v>
      </c>
      <c r="M1855" t="s">
        <v>26</v>
      </c>
      <c r="Q1855" t="s">
        <v>27</v>
      </c>
      <c r="T1855" t="s">
        <v>1460</v>
      </c>
      <c r="X1855" t="s">
        <v>30</v>
      </c>
      <c r="Y1855">
        <v>1793264</v>
      </c>
      <c r="Z1855">
        <v>20251130</v>
      </c>
    </row>
    <row r="1856" spans="3:26" x14ac:dyDescent="0.25">
      <c r="C1856">
        <v>10000001</v>
      </c>
      <c r="D1856" t="s">
        <v>1561</v>
      </c>
      <c r="F1856">
        <v>1793264</v>
      </c>
      <c r="H1856" t="s">
        <v>1561</v>
      </c>
      <c r="I1856">
        <v>40</v>
      </c>
      <c r="J1856" s="1">
        <v>50000</v>
      </c>
      <c r="K1856" t="s">
        <v>26</v>
      </c>
      <c r="L1856" s="1">
        <v>50000</v>
      </c>
      <c r="M1856" t="s">
        <v>26</v>
      </c>
      <c r="Q1856" t="s">
        <v>27</v>
      </c>
      <c r="T1856" t="s">
        <v>1359</v>
      </c>
      <c r="X1856" t="s">
        <v>30</v>
      </c>
      <c r="Y1856">
        <v>1793264</v>
      </c>
      <c r="Z1856">
        <v>20251130</v>
      </c>
    </row>
    <row r="1857" spans="3:26" x14ac:dyDescent="0.25">
      <c r="C1857">
        <v>10000001</v>
      </c>
      <c r="D1857" t="s">
        <v>1561</v>
      </c>
      <c r="F1857">
        <v>1793264</v>
      </c>
      <c r="H1857" t="s">
        <v>1561</v>
      </c>
      <c r="I1857">
        <v>40</v>
      </c>
      <c r="J1857" s="1">
        <v>50000</v>
      </c>
      <c r="K1857" t="s">
        <v>26</v>
      </c>
      <c r="L1857" s="1">
        <v>50000</v>
      </c>
      <c r="M1857" t="s">
        <v>26</v>
      </c>
      <c r="Q1857" t="s">
        <v>27</v>
      </c>
      <c r="T1857" t="s">
        <v>1369</v>
      </c>
      <c r="X1857" t="s">
        <v>30</v>
      </c>
      <c r="Y1857">
        <v>1793264</v>
      </c>
      <c r="Z1857">
        <v>20251130</v>
      </c>
    </row>
    <row r="1858" spans="3:26" x14ac:dyDescent="0.25">
      <c r="C1858">
        <v>10000001</v>
      </c>
      <c r="D1858" t="s">
        <v>1561</v>
      </c>
      <c r="F1858">
        <v>1793264</v>
      </c>
      <c r="H1858" t="s">
        <v>1561</v>
      </c>
      <c r="I1858">
        <v>40</v>
      </c>
      <c r="J1858" s="1">
        <v>50000</v>
      </c>
      <c r="K1858" t="s">
        <v>26</v>
      </c>
      <c r="L1858" s="1">
        <v>50000</v>
      </c>
      <c r="M1858" t="s">
        <v>26</v>
      </c>
      <c r="Q1858" t="s">
        <v>27</v>
      </c>
      <c r="T1858" t="s">
        <v>1534</v>
      </c>
      <c r="X1858" t="s">
        <v>30</v>
      </c>
      <c r="Y1858">
        <v>1793264</v>
      </c>
      <c r="Z1858">
        <v>20251130</v>
      </c>
    </row>
    <row r="1859" spans="3:26" x14ac:dyDescent="0.25">
      <c r="C1859">
        <v>10000001</v>
      </c>
      <c r="D1859" t="s">
        <v>1561</v>
      </c>
      <c r="F1859">
        <v>1793264</v>
      </c>
      <c r="H1859" t="s">
        <v>1561</v>
      </c>
      <c r="I1859">
        <v>40</v>
      </c>
      <c r="J1859" s="1">
        <v>50000</v>
      </c>
      <c r="K1859" t="s">
        <v>26</v>
      </c>
      <c r="L1859" s="1">
        <v>50000</v>
      </c>
      <c r="M1859" t="s">
        <v>26</v>
      </c>
      <c r="Q1859" t="s">
        <v>27</v>
      </c>
      <c r="T1859" t="s">
        <v>1525</v>
      </c>
      <c r="X1859" t="s">
        <v>30</v>
      </c>
      <c r="Y1859">
        <v>1793264</v>
      </c>
      <c r="Z1859">
        <v>20251130</v>
      </c>
    </row>
    <row r="1860" spans="3:26" x14ac:dyDescent="0.25">
      <c r="C1860">
        <v>10000001</v>
      </c>
      <c r="D1860" t="s">
        <v>1561</v>
      </c>
      <c r="F1860">
        <v>1793264</v>
      </c>
      <c r="H1860" t="s">
        <v>1561</v>
      </c>
      <c r="I1860">
        <v>40</v>
      </c>
      <c r="J1860" s="1">
        <v>50000</v>
      </c>
      <c r="K1860" t="s">
        <v>26</v>
      </c>
      <c r="L1860" s="1">
        <v>50000</v>
      </c>
      <c r="M1860" t="s">
        <v>26</v>
      </c>
      <c r="Q1860" t="s">
        <v>27</v>
      </c>
      <c r="T1860" t="s">
        <v>1531</v>
      </c>
      <c r="X1860" t="s">
        <v>30</v>
      </c>
      <c r="Y1860">
        <v>1793264</v>
      </c>
      <c r="Z1860">
        <v>20251130</v>
      </c>
    </row>
    <row r="1861" spans="3:26" x14ac:dyDescent="0.25">
      <c r="C1861">
        <v>10000001</v>
      </c>
      <c r="D1861" t="s">
        <v>1561</v>
      </c>
      <c r="F1861">
        <v>1793264</v>
      </c>
      <c r="H1861" t="s">
        <v>1561</v>
      </c>
      <c r="I1861">
        <v>40</v>
      </c>
      <c r="J1861" s="1">
        <v>50000</v>
      </c>
      <c r="K1861" t="s">
        <v>26</v>
      </c>
      <c r="L1861" s="1">
        <v>50000</v>
      </c>
      <c r="M1861" t="s">
        <v>26</v>
      </c>
      <c r="Q1861" t="s">
        <v>27</v>
      </c>
      <c r="T1861" t="s">
        <v>1343</v>
      </c>
      <c r="X1861" t="s">
        <v>30</v>
      </c>
      <c r="Y1861">
        <v>1793264</v>
      </c>
      <c r="Z1861">
        <v>20251130</v>
      </c>
    </row>
    <row r="1862" spans="3:26" x14ac:dyDescent="0.25">
      <c r="C1862">
        <v>10000001</v>
      </c>
      <c r="D1862" t="s">
        <v>1561</v>
      </c>
      <c r="F1862">
        <v>1793264</v>
      </c>
      <c r="H1862" t="s">
        <v>1561</v>
      </c>
      <c r="I1862">
        <v>40</v>
      </c>
      <c r="J1862" s="1">
        <v>50000</v>
      </c>
      <c r="K1862" t="s">
        <v>26</v>
      </c>
      <c r="L1862" s="1">
        <v>50000</v>
      </c>
      <c r="M1862" t="s">
        <v>26</v>
      </c>
      <c r="Q1862" t="s">
        <v>27</v>
      </c>
      <c r="T1862" t="s">
        <v>1264</v>
      </c>
      <c r="X1862" t="s">
        <v>30</v>
      </c>
      <c r="Y1862">
        <v>1793264</v>
      </c>
      <c r="Z1862">
        <v>20251130</v>
      </c>
    </row>
    <row r="1863" spans="3:26" x14ac:dyDescent="0.25">
      <c r="C1863">
        <v>10000001</v>
      </c>
      <c r="D1863" t="s">
        <v>1561</v>
      </c>
      <c r="F1863">
        <v>1793264</v>
      </c>
      <c r="H1863" t="s">
        <v>1561</v>
      </c>
      <c r="I1863">
        <v>40</v>
      </c>
      <c r="J1863" s="1">
        <v>50000</v>
      </c>
      <c r="K1863" t="s">
        <v>26</v>
      </c>
      <c r="L1863" s="1">
        <v>50000</v>
      </c>
      <c r="M1863" t="s">
        <v>26</v>
      </c>
      <c r="Q1863" t="s">
        <v>27</v>
      </c>
      <c r="T1863" t="s">
        <v>1262</v>
      </c>
      <c r="X1863" t="s">
        <v>30</v>
      </c>
      <c r="Y1863">
        <v>1793264</v>
      </c>
      <c r="Z1863">
        <v>20251130</v>
      </c>
    </row>
    <row r="1864" spans="3:26" x14ac:dyDescent="0.25">
      <c r="C1864">
        <v>10000001</v>
      </c>
      <c r="D1864" t="s">
        <v>1561</v>
      </c>
      <c r="F1864">
        <v>1793264</v>
      </c>
      <c r="H1864" t="s">
        <v>1561</v>
      </c>
      <c r="I1864">
        <v>40</v>
      </c>
      <c r="J1864" s="1">
        <v>50000</v>
      </c>
      <c r="K1864" t="s">
        <v>26</v>
      </c>
      <c r="L1864" s="1">
        <v>50000</v>
      </c>
      <c r="M1864" t="s">
        <v>26</v>
      </c>
      <c r="Q1864" t="s">
        <v>27</v>
      </c>
      <c r="T1864" t="s">
        <v>1272</v>
      </c>
      <c r="X1864" t="s">
        <v>30</v>
      </c>
      <c r="Y1864">
        <v>1793264</v>
      </c>
      <c r="Z1864">
        <v>20251130</v>
      </c>
    </row>
    <row r="1865" spans="3:26" x14ac:dyDescent="0.25">
      <c r="C1865">
        <v>10000001</v>
      </c>
      <c r="D1865" t="s">
        <v>1561</v>
      </c>
      <c r="F1865">
        <v>1793264</v>
      </c>
      <c r="H1865" t="s">
        <v>1561</v>
      </c>
      <c r="I1865">
        <v>40</v>
      </c>
      <c r="J1865" s="1">
        <v>50000</v>
      </c>
      <c r="K1865" t="s">
        <v>26</v>
      </c>
      <c r="L1865" s="1">
        <v>50000</v>
      </c>
      <c r="M1865" t="s">
        <v>26</v>
      </c>
      <c r="Q1865" t="s">
        <v>27</v>
      </c>
      <c r="T1865" t="s">
        <v>1377</v>
      </c>
      <c r="X1865" t="s">
        <v>30</v>
      </c>
      <c r="Y1865">
        <v>1793264</v>
      </c>
      <c r="Z1865">
        <v>20251130</v>
      </c>
    </row>
    <row r="1866" spans="3:26" x14ac:dyDescent="0.25">
      <c r="C1866">
        <v>10000001</v>
      </c>
      <c r="D1866" t="s">
        <v>1561</v>
      </c>
      <c r="F1866">
        <v>1793264</v>
      </c>
      <c r="H1866" t="s">
        <v>1561</v>
      </c>
      <c r="I1866">
        <v>40</v>
      </c>
      <c r="J1866" s="1">
        <v>50000</v>
      </c>
      <c r="K1866" t="s">
        <v>26</v>
      </c>
      <c r="L1866" s="1">
        <v>50000</v>
      </c>
      <c r="M1866" t="s">
        <v>26</v>
      </c>
      <c r="Q1866" t="s">
        <v>27</v>
      </c>
      <c r="T1866" t="s">
        <v>1310</v>
      </c>
      <c r="X1866" t="s">
        <v>30</v>
      </c>
      <c r="Y1866">
        <v>1793264</v>
      </c>
      <c r="Z1866">
        <v>20251130</v>
      </c>
    </row>
    <row r="1867" spans="3:26" x14ac:dyDescent="0.25">
      <c r="C1867">
        <v>10000001</v>
      </c>
      <c r="D1867" t="s">
        <v>1561</v>
      </c>
      <c r="F1867">
        <v>1793264</v>
      </c>
      <c r="H1867" t="s">
        <v>1561</v>
      </c>
      <c r="I1867">
        <v>40</v>
      </c>
      <c r="J1867" s="1">
        <v>50000</v>
      </c>
      <c r="K1867" t="s">
        <v>26</v>
      </c>
      <c r="L1867" s="1">
        <v>50000</v>
      </c>
      <c r="M1867" t="s">
        <v>26</v>
      </c>
      <c r="Q1867" t="s">
        <v>27</v>
      </c>
      <c r="T1867" t="s">
        <v>1372</v>
      </c>
      <c r="X1867" t="s">
        <v>30</v>
      </c>
      <c r="Y1867">
        <v>1793264</v>
      </c>
      <c r="Z1867">
        <v>20251130</v>
      </c>
    </row>
    <row r="1868" spans="3:26" x14ac:dyDescent="0.25">
      <c r="C1868">
        <v>10000001</v>
      </c>
      <c r="D1868" t="s">
        <v>1561</v>
      </c>
      <c r="F1868">
        <v>1793264</v>
      </c>
      <c r="H1868" t="s">
        <v>1561</v>
      </c>
      <c r="I1868">
        <v>40</v>
      </c>
      <c r="J1868" s="1">
        <v>50000</v>
      </c>
      <c r="K1868" t="s">
        <v>26</v>
      </c>
      <c r="L1868" s="1">
        <v>50000</v>
      </c>
      <c r="M1868" t="s">
        <v>26</v>
      </c>
      <c r="Q1868" t="s">
        <v>27</v>
      </c>
      <c r="T1868" t="s">
        <v>1309</v>
      </c>
      <c r="X1868" t="s">
        <v>30</v>
      </c>
      <c r="Y1868">
        <v>1793264</v>
      </c>
      <c r="Z1868">
        <v>20251130</v>
      </c>
    </row>
    <row r="1869" spans="3:26" x14ac:dyDescent="0.25">
      <c r="C1869">
        <v>10000001</v>
      </c>
      <c r="D1869" t="s">
        <v>1561</v>
      </c>
      <c r="F1869">
        <v>1793264</v>
      </c>
      <c r="H1869" t="s">
        <v>1561</v>
      </c>
      <c r="I1869">
        <v>40</v>
      </c>
      <c r="J1869" s="1">
        <v>50000</v>
      </c>
      <c r="K1869" t="s">
        <v>26</v>
      </c>
      <c r="L1869" s="1">
        <v>50000</v>
      </c>
      <c r="M1869" t="s">
        <v>26</v>
      </c>
      <c r="Q1869" t="s">
        <v>27</v>
      </c>
      <c r="T1869" t="s">
        <v>1279</v>
      </c>
      <c r="X1869" t="s">
        <v>30</v>
      </c>
      <c r="Y1869">
        <v>1793264</v>
      </c>
      <c r="Z1869">
        <v>20251130</v>
      </c>
    </row>
    <row r="1870" spans="3:26" x14ac:dyDescent="0.25">
      <c r="C1870">
        <v>10000001</v>
      </c>
      <c r="D1870" t="s">
        <v>1561</v>
      </c>
      <c r="F1870">
        <v>1793264</v>
      </c>
      <c r="H1870" t="s">
        <v>1561</v>
      </c>
      <c r="I1870">
        <v>40</v>
      </c>
      <c r="J1870" s="1">
        <v>50000</v>
      </c>
      <c r="K1870" t="s">
        <v>26</v>
      </c>
      <c r="L1870" s="1">
        <v>50000</v>
      </c>
      <c r="M1870" t="s">
        <v>26</v>
      </c>
      <c r="Q1870" t="s">
        <v>27</v>
      </c>
      <c r="T1870" t="s">
        <v>1362</v>
      </c>
      <c r="X1870" t="s">
        <v>30</v>
      </c>
      <c r="Y1870">
        <v>1793264</v>
      </c>
      <c r="Z1870">
        <v>20251130</v>
      </c>
    </row>
    <row r="1871" spans="3:26" x14ac:dyDescent="0.25">
      <c r="C1871">
        <v>10000001</v>
      </c>
      <c r="D1871" t="s">
        <v>1561</v>
      </c>
      <c r="F1871">
        <v>1793264</v>
      </c>
      <c r="H1871" t="s">
        <v>1561</v>
      </c>
      <c r="I1871">
        <v>40</v>
      </c>
      <c r="J1871" s="1">
        <v>50000</v>
      </c>
      <c r="K1871" t="s">
        <v>26</v>
      </c>
      <c r="L1871" s="1">
        <v>50000</v>
      </c>
      <c r="M1871" t="s">
        <v>26</v>
      </c>
      <c r="Q1871" t="s">
        <v>27</v>
      </c>
      <c r="T1871" t="s">
        <v>1308</v>
      </c>
      <c r="X1871" t="s">
        <v>30</v>
      </c>
      <c r="Y1871">
        <v>1793264</v>
      </c>
      <c r="Z1871">
        <v>20251130</v>
      </c>
    </row>
    <row r="1872" spans="3:26" x14ac:dyDescent="0.25">
      <c r="C1872">
        <v>10000001</v>
      </c>
      <c r="D1872" t="s">
        <v>1561</v>
      </c>
      <c r="F1872">
        <v>1793264</v>
      </c>
      <c r="H1872" t="s">
        <v>1561</v>
      </c>
      <c r="I1872">
        <v>40</v>
      </c>
      <c r="J1872" s="1">
        <v>50000</v>
      </c>
      <c r="K1872" t="s">
        <v>26</v>
      </c>
      <c r="L1872" s="1">
        <v>50000</v>
      </c>
      <c r="M1872" t="s">
        <v>26</v>
      </c>
      <c r="Q1872" t="s">
        <v>27</v>
      </c>
      <c r="T1872" t="s">
        <v>1430</v>
      </c>
      <c r="X1872" t="s">
        <v>30</v>
      </c>
      <c r="Y1872">
        <v>1793264</v>
      </c>
      <c r="Z1872">
        <v>20251130</v>
      </c>
    </row>
    <row r="1873" spans="3:26" x14ac:dyDescent="0.25">
      <c r="C1873">
        <v>10000001</v>
      </c>
      <c r="D1873" t="s">
        <v>1561</v>
      </c>
      <c r="F1873">
        <v>1793264</v>
      </c>
      <c r="H1873" t="s">
        <v>1561</v>
      </c>
      <c r="I1873">
        <v>40</v>
      </c>
      <c r="J1873" s="1">
        <v>50000</v>
      </c>
      <c r="K1873" t="s">
        <v>26</v>
      </c>
      <c r="L1873" s="1">
        <v>50000</v>
      </c>
      <c r="M1873" t="s">
        <v>26</v>
      </c>
      <c r="Q1873" t="s">
        <v>27</v>
      </c>
      <c r="T1873" t="s">
        <v>1431</v>
      </c>
      <c r="X1873" t="s">
        <v>30</v>
      </c>
      <c r="Y1873">
        <v>1793264</v>
      </c>
      <c r="Z1873">
        <v>20251130</v>
      </c>
    </row>
    <row r="1874" spans="3:26" x14ac:dyDescent="0.25">
      <c r="C1874">
        <v>10000001</v>
      </c>
      <c r="D1874" t="s">
        <v>1561</v>
      </c>
      <c r="F1874">
        <v>1793264</v>
      </c>
      <c r="H1874" t="s">
        <v>1561</v>
      </c>
      <c r="I1874">
        <v>40</v>
      </c>
      <c r="J1874" s="1">
        <v>50000</v>
      </c>
      <c r="K1874" t="s">
        <v>26</v>
      </c>
      <c r="L1874" s="1">
        <v>50000</v>
      </c>
      <c r="M1874" t="s">
        <v>26</v>
      </c>
      <c r="Q1874" t="s">
        <v>27</v>
      </c>
      <c r="T1874" t="s">
        <v>1432</v>
      </c>
      <c r="X1874" t="s">
        <v>30</v>
      </c>
      <c r="Y1874">
        <v>1793264</v>
      </c>
      <c r="Z1874">
        <v>20251130</v>
      </c>
    </row>
    <row r="1875" spans="3:26" x14ac:dyDescent="0.25">
      <c r="C1875">
        <v>10000001</v>
      </c>
      <c r="D1875" t="s">
        <v>1561</v>
      </c>
      <c r="F1875">
        <v>1793264</v>
      </c>
      <c r="H1875" t="s">
        <v>1561</v>
      </c>
      <c r="I1875">
        <v>40</v>
      </c>
      <c r="J1875" s="1">
        <v>50000</v>
      </c>
      <c r="K1875" t="s">
        <v>26</v>
      </c>
      <c r="L1875" s="1">
        <v>50000</v>
      </c>
      <c r="M1875" t="s">
        <v>26</v>
      </c>
      <c r="Q1875" t="s">
        <v>27</v>
      </c>
      <c r="T1875" t="s">
        <v>1406</v>
      </c>
      <c r="X1875" t="s">
        <v>30</v>
      </c>
      <c r="Y1875">
        <v>1793264</v>
      </c>
      <c r="Z1875">
        <v>20251130</v>
      </c>
    </row>
    <row r="1876" spans="3:26" x14ac:dyDescent="0.25">
      <c r="C1876">
        <v>10000001</v>
      </c>
      <c r="D1876" t="s">
        <v>1561</v>
      </c>
      <c r="F1876">
        <v>1793264</v>
      </c>
      <c r="H1876" t="s">
        <v>1561</v>
      </c>
      <c r="I1876">
        <v>40</v>
      </c>
      <c r="J1876" s="1">
        <v>50000</v>
      </c>
      <c r="K1876" t="s">
        <v>26</v>
      </c>
      <c r="L1876" s="1">
        <v>50000</v>
      </c>
      <c r="M1876" t="s">
        <v>26</v>
      </c>
      <c r="Q1876" t="s">
        <v>27</v>
      </c>
      <c r="T1876" t="s">
        <v>1441</v>
      </c>
      <c r="X1876" t="s">
        <v>30</v>
      </c>
      <c r="Y1876">
        <v>1793264</v>
      </c>
      <c r="Z1876">
        <v>20251130</v>
      </c>
    </row>
    <row r="1877" spans="3:26" x14ac:dyDescent="0.25">
      <c r="C1877">
        <v>10000001</v>
      </c>
      <c r="D1877" t="s">
        <v>1561</v>
      </c>
      <c r="F1877">
        <v>1793264</v>
      </c>
      <c r="H1877" t="s">
        <v>1561</v>
      </c>
      <c r="I1877">
        <v>40</v>
      </c>
      <c r="J1877" s="1">
        <v>50000</v>
      </c>
      <c r="K1877" t="s">
        <v>26</v>
      </c>
      <c r="L1877" s="1">
        <v>50000</v>
      </c>
      <c r="M1877" t="s">
        <v>26</v>
      </c>
      <c r="Q1877" t="s">
        <v>27</v>
      </c>
      <c r="T1877" t="s">
        <v>1459</v>
      </c>
      <c r="X1877" t="s">
        <v>30</v>
      </c>
      <c r="Y1877">
        <v>1793264</v>
      </c>
      <c r="Z1877">
        <v>20251130</v>
      </c>
    </row>
    <row r="1878" spans="3:26" x14ac:dyDescent="0.25">
      <c r="C1878">
        <v>10000001</v>
      </c>
      <c r="D1878" t="s">
        <v>1561</v>
      </c>
      <c r="F1878">
        <v>1793264</v>
      </c>
      <c r="H1878" t="s">
        <v>1561</v>
      </c>
      <c r="I1878">
        <v>40</v>
      </c>
      <c r="J1878" s="1">
        <v>100000</v>
      </c>
      <c r="K1878" t="s">
        <v>26</v>
      </c>
      <c r="L1878" s="1">
        <v>100000</v>
      </c>
      <c r="M1878" t="s">
        <v>26</v>
      </c>
      <c r="Q1878" t="s">
        <v>27</v>
      </c>
      <c r="T1878" t="s">
        <v>1535</v>
      </c>
      <c r="X1878" t="s">
        <v>30</v>
      </c>
      <c r="Y1878">
        <v>1793264</v>
      </c>
      <c r="Z1878">
        <v>20251130</v>
      </c>
    </row>
    <row r="1879" spans="3:26" x14ac:dyDescent="0.25">
      <c r="C1879">
        <v>10000001</v>
      </c>
      <c r="D1879" t="s">
        <v>1561</v>
      </c>
      <c r="F1879">
        <v>1793264</v>
      </c>
      <c r="H1879" t="s">
        <v>1561</v>
      </c>
      <c r="I1879">
        <v>40</v>
      </c>
      <c r="J1879" s="1">
        <v>50000</v>
      </c>
      <c r="K1879" t="s">
        <v>26</v>
      </c>
      <c r="L1879" s="1">
        <v>50000</v>
      </c>
      <c r="M1879" t="s">
        <v>26</v>
      </c>
      <c r="Q1879" t="s">
        <v>27</v>
      </c>
      <c r="T1879" t="s">
        <v>1526</v>
      </c>
      <c r="X1879" t="s">
        <v>30</v>
      </c>
      <c r="Y1879">
        <v>1793264</v>
      </c>
      <c r="Z1879">
        <v>20251130</v>
      </c>
    </row>
    <row r="1880" spans="3:26" x14ac:dyDescent="0.25">
      <c r="C1880">
        <v>10000001</v>
      </c>
      <c r="D1880" t="s">
        <v>1561</v>
      </c>
      <c r="F1880">
        <v>1793264</v>
      </c>
      <c r="H1880" t="s">
        <v>1561</v>
      </c>
      <c r="I1880">
        <v>40</v>
      </c>
      <c r="J1880" s="1">
        <v>50000</v>
      </c>
      <c r="K1880" t="s">
        <v>26</v>
      </c>
      <c r="L1880" s="1">
        <v>50000</v>
      </c>
      <c r="M1880" t="s">
        <v>26</v>
      </c>
      <c r="Q1880" t="s">
        <v>27</v>
      </c>
      <c r="T1880" t="s">
        <v>1528</v>
      </c>
      <c r="X1880" t="s">
        <v>30</v>
      </c>
      <c r="Y1880">
        <v>1793264</v>
      </c>
      <c r="Z1880">
        <v>20251130</v>
      </c>
    </row>
    <row r="1881" spans="3:26" x14ac:dyDescent="0.25">
      <c r="C1881">
        <v>10000001</v>
      </c>
      <c r="D1881" t="s">
        <v>1561</v>
      </c>
      <c r="F1881">
        <v>1793264</v>
      </c>
      <c r="H1881" t="s">
        <v>1561</v>
      </c>
      <c r="I1881">
        <v>40</v>
      </c>
      <c r="J1881" s="1">
        <v>50000</v>
      </c>
      <c r="K1881" t="s">
        <v>26</v>
      </c>
      <c r="L1881" s="1">
        <v>50000</v>
      </c>
      <c r="M1881" t="s">
        <v>26</v>
      </c>
      <c r="Q1881" t="s">
        <v>27</v>
      </c>
      <c r="T1881" t="s">
        <v>1533</v>
      </c>
      <c r="X1881" t="s">
        <v>30</v>
      </c>
      <c r="Y1881">
        <v>1793264</v>
      </c>
      <c r="Z1881">
        <v>20251130</v>
      </c>
    </row>
    <row r="1882" spans="3:26" x14ac:dyDescent="0.25">
      <c r="C1882">
        <v>10000001</v>
      </c>
      <c r="D1882" t="s">
        <v>1561</v>
      </c>
      <c r="F1882">
        <v>1793264</v>
      </c>
      <c r="H1882" t="s">
        <v>1561</v>
      </c>
      <c r="I1882">
        <v>40</v>
      </c>
      <c r="J1882" s="1">
        <v>50000</v>
      </c>
      <c r="K1882" t="s">
        <v>26</v>
      </c>
      <c r="L1882" s="1">
        <v>50000</v>
      </c>
      <c r="M1882" t="s">
        <v>26</v>
      </c>
      <c r="Q1882" t="s">
        <v>27</v>
      </c>
      <c r="T1882" t="s">
        <v>1541</v>
      </c>
      <c r="X1882" t="s">
        <v>30</v>
      </c>
      <c r="Y1882">
        <v>1793264</v>
      </c>
      <c r="Z1882">
        <v>20251130</v>
      </c>
    </row>
    <row r="1883" spans="3:26" x14ac:dyDescent="0.25">
      <c r="C1883">
        <v>10000001</v>
      </c>
      <c r="D1883" t="s">
        <v>1561</v>
      </c>
      <c r="F1883">
        <v>1793264</v>
      </c>
      <c r="H1883" t="s">
        <v>1561</v>
      </c>
      <c r="I1883">
        <v>40</v>
      </c>
      <c r="J1883" s="1">
        <v>50000</v>
      </c>
      <c r="K1883" t="s">
        <v>26</v>
      </c>
      <c r="L1883" s="1">
        <v>50000</v>
      </c>
      <c r="M1883" t="s">
        <v>26</v>
      </c>
      <c r="Q1883" t="s">
        <v>27</v>
      </c>
      <c r="T1883" t="s">
        <v>1527</v>
      </c>
      <c r="X1883" t="s">
        <v>30</v>
      </c>
      <c r="Y1883">
        <v>1793264</v>
      </c>
      <c r="Z1883">
        <v>20251130</v>
      </c>
    </row>
    <row r="1884" spans="3:26" x14ac:dyDescent="0.25">
      <c r="C1884">
        <v>10000001</v>
      </c>
      <c r="D1884" t="s">
        <v>1561</v>
      </c>
      <c r="F1884">
        <v>1793264</v>
      </c>
      <c r="H1884" t="s">
        <v>1561</v>
      </c>
      <c r="I1884">
        <v>40</v>
      </c>
      <c r="J1884" s="1">
        <v>50000</v>
      </c>
      <c r="K1884" t="s">
        <v>26</v>
      </c>
      <c r="L1884" s="1">
        <v>50000</v>
      </c>
      <c r="M1884" t="s">
        <v>26</v>
      </c>
      <c r="Q1884" t="s">
        <v>27</v>
      </c>
      <c r="T1884" t="s">
        <v>1265</v>
      </c>
      <c r="X1884" t="s">
        <v>30</v>
      </c>
      <c r="Y1884">
        <v>1793264</v>
      </c>
      <c r="Z1884">
        <v>20251130</v>
      </c>
    </row>
    <row r="1885" spans="3:26" x14ac:dyDescent="0.25">
      <c r="C1885">
        <v>10000001</v>
      </c>
      <c r="D1885" t="s">
        <v>1561</v>
      </c>
      <c r="F1885">
        <v>1793264</v>
      </c>
      <c r="H1885" t="s">
        <v>1561</v>
      </c>
      <c r="I1885">
        <v>40</v>
      </c>
      <c r="J1885" s="1">
        <v>50000</v>
      </c>
      <c r="K1885" t="s">
        <v>26</v>
      </c>
      <c r="L1885" s="1">
        <v>50000</v>
      </c>
      <c r="M1885" t="s">
        <v>26</v>
      </c>
      <c r="Q1885" t="s">
        <v>27</v>
      </c>
      <c r="T1885" t="s">
        <v>1374</v>
      </c>
      <c r="X1885" t="s">
        <v>30</v>
      </c>
      <c r="Y1885">
        <v>1793264</v>
      </c>
      <c r="Z1885">
        <v>20251130</v>
      </c>
    </row>
    <row r="1886" spans="3:26" x14ac:dyDescent="0.25">
      <c r="C1886">
        <v>10000001</v>
      </c>
      <c r="D1886" t="s">
        <v>1561</v>
      </c>
      <c r="F1886">
        <v>1793264</v>
      </c>
      <c r="H1886" t="s">
        <v>1561</v>
      </c>
      <c r="I1886">
        <v>40</v>
      </c>
      <c r="J1886" s="1">
        <v>50000</v>
      </c>
      <c r="K1886" t="s">
        <v>26</v>
      </c>
      <c r="L1886" s="1">
        <v>50000</v>
      </c>
      <c r="M1886" t="s">
        <v>26</v>
      </c>
      <c r="Q1886" t="s">
        <v>27</v>
      </c>
      <c r="T1886" t="s">
        <v>1375</v>
      </c>
      <c r="X1886" t="s">
        <v>30</v>
      </c>
      <c r="Y1886">
        <v>1793264</v>
      </c>
      <c r="Z1886">
        <v>20251130</v>
      </c>
    </row>
    <row r="1887" spans="3:26" x14ac:dyDescent="0.25">
      <c r="C1887">
        <v>10000001</v>
      </c>
      <c r="D1887" t="s">
        <v>1561</v>
      </c>
      <c r="F1887">
        <v>1793264</v>
      </c>
      <c r="H1887" t="s">
        <v>1561</v>
      </c>
      <c r="I1887">
        <v>40</v>
      </c>
      <c r="J1887" s="1">
        <v>50000</v>
      </c>
      <c r="K1887" t="s">
        <v>26</v>
      </c>
      <c r="L1887" s="1">
        <v>50000</v>
      </c>
      <c r="M1887" t="s">
        <v>26</v>
      </c>
      <c r="Q1887" t="s">
        <v>27</v>
      </c>
      <c r="T1887" t="s">
        <v>1256</v>
      </c>
      <c r="X1887" t="s">
        <v>30</v>
      </c>
      <c r="Y1887">
        <v>1793264</v>
      </c>
      <c r="Z1887">
        <v>20251130</v>
      </c>
    </row>
    <row r="1888" spans="3:26" x14ac:dyDescent="0.25">
      <c r="C1888">
        <v>10000001</v>
      </c>
      <c r="D1888" t="s">
        <v>1561</v>
      </c>
      <c r="F1888">
        <v>1793264</v>
      </c>
      <c r="H1888" t="s">
        <v>1561</v>
      </c>
      <c r="I1888">
        <v>40</v>
      </c>
      <c r="J1888" s="1">
        <v>50000</v>
      </c>
      <c r="K1888" t="s">
        <v>26</v>
      </c>
      <c r="L1888" s="1">
        <v>50000</v>
      </c>
      <c r="M1888" t="s">
        <v>26</v>
      </c>
      <c r="Q1888" t="s">
        <v>27</v>
      </c>
      <c r="T1888" t="s">
        <v>1497</v>
      </c>
      <c r="X1888" t="s">
        <v>30</v>
      </c>
      <c r="Y1888">
        <v>1793264</v>
      </c>
      <c r="Z1888">
        <v>20251130</v>
      </c>
    </row>
    <row r="1889" spans="3:26" x14ac:dyDescent="0.25">
      <c r="C1889">
        <v>10000001</v>
      </c>
      <c r="D1889" t="s">
        <v>1561</v>
      </c>
      <c r="F1889">
        <v>1793264</v>
      </c>
      <c r="H1889" t="s">
        <v>1561</v>
      </c>
      <c r="I1889">
        <v>40</v>
      </c>
      <c r="J1889" s="1">
        <v>50000</v>
      </c>
      <c r="K1889" t="s">
        <v>26</v>
      </c>
      <c r="L1889" s="1">
        <v>50000</v>
      </c>
      <c r="M1889" t="s">
        <v>26</v>
      </c>
      <c r="Q1889" t="s">
        <v>27</v>
      </c>
      <c r="T1889" t="s">
        <v>1523</v>
      </c>
      <c r="X1889" t="s">
        <v>30</v>
      </c>
      <c r="Y1889">
        <v>1793264</v>
      </c>
      <c r="Z1889">
        <v>20251130</v>
      </c>
    </row>
    <row r="1890" spans="3:26" x14ac:dyDescent="0.25">
      <c r="C1890">
        <v>10000001</v>
      </c>
      <c r="D1890" t="s">
        <v>1561</v>
      </c>
      <c r="F1890">
        <v>1793264</v>
      </c>
      <c r="H1890" t="s">
        <v>1561</v>
      </c>
      <c r="I1890">
        <v>40</v>
      </c>
      <c r="J1890" s="1">
        <v>50000</v>
      </c>
      <c r="K1890" t="s">
        <v>26</v>
      </c>
      <c r="L1890" s="1">
        <v>50000</v>
      </c>
      <c r="M1890" t="s">
        <v>26</v>
      </c>
      <c r="Q1890" t="s">
        <v>27</v>
      </c>
      <c r="T1890" t="s">
        <v>1237</v>
      </c>
      <c r="X1890" t="s">
        <v>30</v>
      </c>
      <c r="Y1890">
        <v>1793264</v>
      </c>
      <c r="Z1890">
        <v>20251130</v>
      </c>
    </row>
    <row r="1891" spans="3:26" x14ac:dyDescent="0.25">
      <c r="C1891">
        <v>10000001</v>
      </c>
      <c r="D1891" t="s">
        <v>1561</v>
      </c>
      <c r="F1891">
        <v>1793264</v>
      </c>
      <c r="H1891" t="s">
        <v>1561</v>
      </c>
      <c r="I1891">
        <v>40</v>
      </c>
      <c r="J1891" s="1">
        <v>50000</v>
      </c>
      <c r="K1891" t="s">
        <v>26</v>
      </c>
      <c r="L1891" s="1">
        <v>50000</v>
      </c>
      <c r="M1891" t="s">
        <v>26</v>
      </c>
      <c r="Q1891" t="s">
        <v>27</v>
      </c>
      <c r="T1891" t="s">
        <v>1357</v>
      </c>
      <c r="X1891" t="s">
        <v>30</v>
      </c>
      <c r="Y1891">
        <v>1793264</v>
      </c>
      <c r="Z1891">
        <v>20251130</v>
      </c>
    </row>
    <row r="1892" spans="3:26" x14ac:dyDescent="0.25">
      <c r="C1892">
        <v>10000001</v>
      </c>
      <c r="D1892" t="s">
        <v>1561</v>
      </c>
      <c r="F1892">
        <v>1793264</v>
      </c>
      <c r="H1892" t="s">
        <v>1561</v>
      </c>
      <c r="I1892">
        <v>40</v>
      </c>
      <c r="J1892" s="1">
        <v>50000</v>
      </c>
      <c r="K1892" t="s">
        <v>26</v>
      </c>
      <c r="L1892" s="1">
        <v>50000</v>
      </c>
      <c r="M1892" t="s">
        <v>26</v>
      </c>
      <c r="Q1892" t="s">
        <v>27</v>
      </c>
      <c r="T1892" t="s">
        <v>1358</v>
      </c>
      <c r="X1892" t="s">
        <v>30</v>
      </c>
      <c r="Y1892">
        <v>1793264</v>
      </c>
      <c r="Z1892">
        <v>20251130</v>
      </c>
    </row>
    <row r="1893" spans="3:26" x14ac:dyDescent="0.25">
      <c r="C1893">
        <v>10000001</v>
      </c>
      <c r="D1893" t="s">
        <v>1561</v>
      </c>
      <c r="F1893">
        <v>1793264</v>
      </c>
      <c r="H1893" t="s">
        <v>1561</v>
      </c>
      <c r="I1893">
        <v>40</v>
      </c>
      <c r="J1893" s="1">
        <v>50000</v>
      </c>
      <c r="K1893" t="s">
        <v>26</v>
      </c>
      <c r="L1893" s="1">
        <v>50000</v>
      </c>
      <c r="M1893" t="s">
        <v>26</v>
      </c>
      <c r="Q1893" t="s">
        <v>27</v>
      </c>
      <c r="T1893" t="s">
        <v>1364</v>
      </c>
      <c r="X1893" t="s">
        <v>30</v>
      </c>
      <c r="Y1893">
        <v>1793264</v>
      </c>
      <c r="Z1893">
        <v>20251130</v>
      </c>
    </row>
    <row r="1894" spans="3:26" x14ac:dyDescent="0.25">
      <c r="C1894">
        <v>10000001</v>
      </c>
      <c r="D1894" t="s">
        <v>1561</v>
      </c>
      <c r="F1894">
        <v>1793264</v>
      </c>
      <c r="H1894" t="s">
        <v>1561</v>
      </c>
      <c r="I1894">
        <v>40</v>
      </c>
      <c r="J1894" s="1">
        <v>50000</v>
      </c>
      <c r="K1894" t="s">
        <v>26</v>
      </c>
      <c r="L1894" s="1">
        <v>50000</v>
      </c>
      <c r="M1894" t="s">
        <v>26</v>
      </c>
      <c r="Q1894" t="s">
        <v>27</v>
      </c>
      <c r="T1894" t="s">
        <v>1268</v>
      </c>
      <c r="X1894" t="s">
        <v>30</v>
      </c>
      <c r="Y1894">
        <v>1793264</v>
      </c>
      <c r="Z1894">
        <v>20251130</v>
      </c>
    </row>
    <row r="1895" spans="3:26" x14ac:dyDescent="0.25">
      <c r="C1895">
        <v>10000001</v>
      </c>
      <c r="D1895" t="s">
        <v>1561</v>
      </c>
      <c r="F1895">
        <v>1793264</v>
      </c>
      <c r="H1895" t="s">
        <v>1561</v>
      </c>
      <c r="I1895">
        <v>40</v>
      </c>
      <c r="J1895" s="1">
        <v>50000</v>
      </c>
      <c r="K1895" t="s">
        <v>26</v>
      </c>
      <c r="L1895" s="1">
        <v>50000</v>
      </c>
      <c r="M1895" t="s">
        <v>26</v>
      </c>
      <c r="Q1895" t="s">
        <v>27</v>
      </c>
      <c r="T1895" t="s">
        <v>1360</v>
      </c>
      <c r="X1895" t="s">
        <v>30</v>
      </c>
      <c r="Y1895">
        <v>1793264</v>
      </c>
      <c r="Z1895">
        <v>20251130</v>
      </c>
    </row>
    <row r="1896" spans="3:26" x14ac:dyDescent="0.25">
      <c r="C1896">
        <v>10000001</v>
      </c>
      <c r="D1896" t="s">
        <v>1561</v>
      </c>
      <c r="F1896">
        <v>1793264</v>
      </c>
      <c r="H1896" t="s">
        <v>1561</v>
      </c>
      <c r="I1896">
        <v>40</v>
      </c>
      <c r="J1896" s="1">
        <v>50000</v>
      </c>
      <c r="K1896" t="s">
        <v>26</v>
      </c>
      <c r="L1896" s="1">
        <v>50000</v>
      </c>
      <c r="M1896" t="s">
        <v>26</v>
      </c>
      <c r="Q1896" t="s">
        <v>27</v>
      </c>
      <c r="T1896" t="s">
        <v>1361</v>
      </c>
      <c r="X1896" t="s">
        <v>30</v>
      </c>
      <c r="Y1896">
        <v>1793264</v>
      </c>
      <c r="Z1896">
        <v>20251130</v>
      </c>
    </row>
    <row r="1897" spans="3:26" x14ac:dyDescent="0.25">
      <c r="C1897">
        <v>10000001</v>
      </c>
      <c r="D1897" t="s">
        <v>1561</v>
      </c>
      <c r="F1897">
        <v>1793264</v>
      </c>
      <c r="H1897" t="s">
        <v>1561</v>
      </c>
      <c r="I1897">
        <v>40</v>
      </c>
      <c r="J1897" s="1">
        <v>50000</v>
      </c>
      <c r="K1897" t="s">
        <v>26</v>
      </c>
      <c r="L1897" s="1">
        <v>50000</v>
      </c>
      <c r="M1897" t="s">
        <v>26</v>
      </c>
      <c r="Q1897" t="s">
        <v>27</v>
      </c>
      <c r="T1897" t="s">
        <v>1332</v>
      </c>
      <c r="X1897" t="s">
        <v>30</v>
      </c>
      <c r="Y1897">
        <v>1793264</v>
      </c>
      <c r="Z1897">
        <v>20251130</v>
      </c>
    </row>
    <row r="1898" spans="3:26" x14ac:dyDescent="0.25">
      <c r="C1898">
        <v>10000001</v>
      </c>
      <c r="D1898" t="s">
        <v>1561</v>
      </c>
      <c r="F1898">
        <v>1793264</v>
      </c>
      <c r="H1898" t="s">
        <v>1561</v>
      </c>
      <c r="I1898">
        <v>40</v>
      </c>
      <c r="J1898" s="1">
        <v>50000</v>
      </c>
      <c r="K1898" t="s">
        <v>26</v>
      </c>
      <c r="L1898" s="1">
        <v>50000</v>
      </c>
      <c r="M1898" t="s">
        <v>26</v>
      </c>
      <c r="Q1898" t="s">
        <v>27</v>
      </c>
      <c r="T1898" t="s">
        <v>1542</v>
      </c>
      <c r="X1898" t="s">
        <v>30</v>
      </c>
      <c r="Y1898">
        <v>1793264</v>
      </c>
      <c r="Z1898">
        <v>20251130</v>
      </c>
    </row>
    <row r="1899" spans="3:26" x14ac:dyDescent="0.25">
      <c r="C1899">
        <v>10000001</v>
      </c>
      <c r="D1899" t="s">
        <v>1561</v>
      </c>
      <c r="F1899">
        <v>1793264</v>
      </c>
      <c r="H1899" t="s">
        <v>1561</v>
      </c>
      <c r="I1899">
        <v>40</v>
      </c>
      <c r="J1899" s="1">
        <v>50000</v>
      </c>
      <c r="K1899" t="s">
        <v>26</v>
      </c>
      <c r="L1899" s="1">
        <v>50000</v>
      </c>
      <c r="M1899" t="s">
        <v>26</v>
      </c>
      <c r="Q1899" t="s">
        <v>27</v>
      </c>
      <c r="T1899" t="s">
        <v>1543</v>
      </c>
      <c r="X1899" t="s">
        <v>30</v>
      </c>
      <c r="Y1899">
        <v>1793264</v>
      </c>
      <c r="Z1899">
        <v>20251130</v>
      </c>
    </row>
    <row r="1900" spans="3:26" x14ac:dyDescent="0.25">
      <c r="C1900">
        <v>10000001</v>
      </c>
      <c r="D1900" t="s">
        <v>1561</v>
      </c>
      <c r="F1900">
        <v>1793264</v>
      </c>
      <c r="H1900" t="s">
        <v>1561</v>
      </c>
      <c r="I1900">
        <v>40</v>
      </c>
      <c r="J1900" s="1">
        <v>50000</v>
      </c>
      <c r="K1900" t="s">
        <v>26</v>
      </c>
      <c r="L1900" s="1">
        <v>50000</v>
      </c>
      <c r="M1900" t="s">
        <v>26</v>
      </c>
      <c r="Q1900" t="s">
        <v>27</v>
      </c>
      <c r="T1900" t="s">
        <v>1544</v>
      </c>
      <c r="X1900" t="s">
        <v>30</v>
      </c>
      <c r="Y1900">
        <v>1793264</v>
      </c>
      <c r="Z1900">
        <v>20251130</v>
      </c>
    </row>
    <row r="1901" spans="3:26" x14ac:dyDescent="0.25">
      <c r="C1901">
        <v>10000001</v>
      </c>
      <c r="D1901" t="s">
        <v>1561</v>
      </c>
      <c r="F1901">
        <v>1793264</v>
      </c>
      <c r="H1901" t="s">
        <v>1561</v>
      </c>
      <c r="I1901">
        <v>40</v>
      </c>
      <c r="J1901" s="1">
        <v>50000</v>
      </c>
      <c r="K1901" t="s">
        <v>26</v>
      </c>
      <c r="L1901" s="1">
        <v>50000</v>
      </c>
      <c r="M1901" t="s">
        <v>26</v>
      </c>
      <c r="Q1901" t="s">
        <v>27</v>
      </c>
      <c r="T1901" t="s">
        <v>1282</v>
      </c>
      <c r="X1901" t="s">
        <v>30</v>
      </c>
      <c r="Y1901">
        <v>1793264</v>
      </c>
      <c r="Z1901">
        <v>20251130</v>
      </c>
    </row>
    <row r="1902" spans="3:26" x14ac:dyDescent="0.25">
      <c r="C1902">
        <v>10000001</v>
      </c>
      <c r="D1902" t="s">
        <v>1561</v>
      </c>
      <c r="F1902">
        <v>1793264</v>
      </c>
      <c r="H1902" t="s">
        <v>1561</v>
      </c>
      <c r="I1902">
        <v>40</v>
      </c>
      <c r="J1902" s="1">
        <v>50000</v>
      </c>
      <c r="K1902" t="s">
        <v>26</v>
      </c>
      <c r="L1902" s="1">
        <v>50000</v>
      </c>
      <c r="M1902" t="s">
        <v>26</v>
      </c>
      <c r="Q1902" t="s">
        <v>27</v>
      </c>
      <c r="T1902" t="s">
        <v>1280</v>
      </c>
      <c r="X1902" t="s">
        <v>30</v>
      </c>
      <c r="Y1902">
        <v>1793264</v>
      </c>
      <c r="Z1902">
        <v>20251130</v>
      </c>
    </row>
    <row r="1903" spans="3:26" x14ac:dyDescent="0.25">
      <c r="C1903">
        <v>10000001</v>
      </c>
      <c r="D1903" t="s">
        <v>1561</v>
      </c>
      <c r="F1903">
        <v>1793264</v>
      </c>
      <c r="H1903" t="s">
        <v>1561</v>
      </c>
      <c r="I1903">
        <v>40</v>
      </c>
      <c r="J1903" s="1">
        <v>50000</v>
      </c>
      <c r="K1903" t="s">
        <v>26</v>
      </c>
      <c r="L1903" s="1">
        <v>50000</v>
      </c>
      <c r="M1903" t="s">
        <v>26</v>
      </c>
      <c r="Q1903" t="s">
        <v>27</v>
      </c>
      <c r="T1903" t="s">
        <v>1236</v>
      </c>
      <c r="X1903" t="s">
        <v>30</v>
      </c>
      <c r="Y1903">
        <v>1793264</v>
      </c>
      <c r="Z1903">
        <v>20251130</v>
      </c>
    </row>
    <row r="1904" spans="3:26" x14ac:dyDescent="0.25">
      <c r="C1904">
        <v>10000001</v>
      </c>
      <c r="D1904" t="s">
        <v>1561</v>
      </c>
      <c r="F1904">
        <v>1793264</v>
      </c>
      <c r="H1904" t="s">
        <v>1561</v>
      </c>
      <c r="I1904">
        <v>40</v>
      </c>
      <c r="J1904" s="1">
        <v>50000</v>
      </c>
      <c r="K1904" t="s">
        <v>26</v>
      </c>
      <c r="L1904" s="1">
        <v>50000</v>
      </c>
      <c r="M1904" t="s">
        <v>26</v>
      </c>
      <c r="Q1904" t="s">
        <v>27</v>
      </c>
      <c r="T1904" t="s">
        <v>1281</v>
      </c>
      <c r="X1904" t="s">
        <v>30</v>
      </c>
      <c r="Y1904">
        <v>1793264</v>
      </c>
      <c r="Z1904">
        <v>20251130</v>
      </c>
    </row>
    <row r="1905" spans="3:26" x14ac:dyDescent="0.25">
      <c r="C1905">
        <v>10000001</v>
      </c>
      <c r="D1905" t="s">
        <v>1561</v>
      </c>
      <c r="F1905">
        <v>1793264</v>
      </c>
      <c r="H1905" t="s">
        <v>1561</v>
      </c>
      <c r="I1905">
        <v>40</v>
      </c>
      <c r="J1905" s="1">
        <v>50000</v>
      </c>
      <c r="K1905" t="s">
        <v>26</v>
      </c>
      <c r="L1905" s="1">
        <v>50000</v>
      </c>
      <c r="M1905" t="s">
        <v>26</v>
      </c>
      <c r="Q1905" t="s">
        <v>27</v>
      </c>
      <c r="T1905" t="s">
        <v>1276</v>
      </c>
      <c r="X1905" t="s">
        <v>30</v>
      </c>
      <c r="Y1905">
        <v>1793264</v>
      </c>
      <c r="Z1905">
        <v>20251130</v>
      </c>
    </row>
    <row r="1906" spans="3:26" x14ac:dyDescent="0.25">
      <c r="C1906">
        <v>10000001</v>
      </c>
      <c r="D1906" t="s">
        <v>1561</v>
      </c>
      <c r="F1906">
        <v>1793264</v>
      </c>
      <c r="H1906" t="s">
        <v>1561</v>
      </c>
      <c r="I1906">
        <v>40</v>
      </c>
      <c r="J1906" s="1">
        <v>50000</v>
      </c>
      <c r="K1906" t="s">
        <v>26</v>
      </c>
      <c r="L1906" s="1">
        <v>50000</v>
      </c>
      <c r="M1906" t="s">
        <v>26</v>
      </c>
      <c r="Q1906" t="s">
        <v>27</v>
      </c>
      <c r="T1906" t="s">
        <v>1274</v>
      </c>
      <c r="X1906" t="s">
        <v>30</v>
      </c>
      <c r="Y1906">
        <v>1793264</v>
      </c>
      <c r="Z1906">
        <v>20251130</v>
      </c>
    </row>
    <row r="1907" spans="3:26" x14ac:dyDescent="0.25">
      <c r="C1907">
        <v>10000001</v>
      </c>
      <c r="D1907" t="s">
        <v>1561</v>
      </c>
      <c r="F1907">
        <v>1793264</v>
      </c>
      <c r="H1907" t="s">
        <v>1561</v>
      </c>
      <c r="I1907">
        <v>40</v>
      </c>
      <c r="J1907" s="1">
        <v>50000</v>
      </c>
      <c r="K1907" t="s">
        <v>26</v>
      </c>
      <c r="L1907" s="1">
        <v>50000</v>
      </c>
      <c r="M1907" t="s">
        <v>26</v>
      </c>
      <c r="Q1907" t="s">
        <v>27</v>
      </c>
      <c r="T1907" t="s">
        <v>1242</v>
      </c>
      <c r="X1907" t="s">
        <v>30</v>
      </c>
      <c r="Y1907">
        <v>1793264</v>
      </c>
      <c r="Z1907">
        <v>20251130</v>
      </c>
    </row>
    <row r="1908" spans="3:26" x14ac:dyDescent="0.25">
      <c r="C1908">
        <v>10000001</v>
      </c>
      <c r="D1908" t="s">
        <v>1561</v>
      </c>
      <c r="F1908">
        <v>1793264</v>
      </c>
      <c r="H1908" t="s">
        <v>1561</v>
      </c>
      <c r="I1908">
        <v>40</v>
      </c>
      <c r="J1908" s="1">
        <v>50000</v>
      </c>
      <c r="K1908" t="s">
        <v>26</v>
      </c>
      <c r="L1908" s="1">
        <v>50000</v>
      </c>
      <c r="M1908" t="s">
        <v>26</v>
      </c>
      <c r="Q1908" t="s">
        <v>27</v>
      </c>
      <c r="T1908" t="s">
        <v>1277</v>
      </c>
      <c r="X1908" t="s">
        <v>30</v>
      </c>
      <c r="Y1908">
        <v>1793264</v>
      </c>
      <c r="Z1908">
        <v>20251130</v>
      </c>
    </row>
    <row r="1909" spans="3:26" x14ac:dyDescent="0.25">
      <c r="C1909">
        <v>10000001</v>
      </c>
      <c r="D1909" t="s">
        <v>1561</v>
      </c>
      <c r="F1909">
        <v>1793264</v>
      </c>
      <c r="H1909" t="s">
        <v>1561</v>
      </c>
      <c r="I1909">
        <v>40</v>
      </c>
      <c r="J1909" s="1">
        <v>50000</v>
      </c>
      <c r="K1909" t="s">
        <v>26</v>
      </c>
      <c r="L1909" s="1">
        <v>50000</v>
      </c>
      <c r="M1909" t="s">
        <v>26</v>
      </c>
      <c r="Q1909" t="s">
        <v>27</v>
      </c>
      <c r="T1909" t="s">
        <v>1278</v>
      </c>
      <c r="X1909" t="s">
        <v>30</v>
      </c>
      <c r="Y1909">
        <v>1793264</v>
      </c>
      <c r="Z1909">
        <v>20251130</v>
      </c>
    </row>
    <row r="1910" spans="3:26" x14ac:dyDescent="0.25">
      <c r="C1910">
        <v>10000001</v>
      </c>
      <c r="D1910" t="s">
        <v>1561</v>
      </c>
      <c r="F1910">
        <v>1793264</v>
      </c>
      <c r="H1910" t="s">
        <v>1561</v>
      </c>
      <c r="I1910">
        <v>40</v>
      </c>
      <c r="J1910" s="1">
        <v>50000</v>
      </c>
      <c r="K1910" t="s">
        <v>26</v>
      </c>
      <c r="L1910" s="1">
        <v>50000</v>
      </c>
      <c r="M1910" t="s">
        <v>26</v>
      </c>
      <c r="Q1910" t="s">
        <v>27</v>
      </c>
      <c r="T1910" t="s">
        <v>1371</v>
      </c>
      <c r="X1910" t="s">
        <v>30</v>
      </c>
      <c r="Y1910">
        <v>1793264</v>
      </c>
      <c r="Z1910">
        <v>20251130</v>
      </c>
    </row>
    <row r="1911" spans="3:26" x14ac:dyDescent="0.25">
      <c r="C1911">
        <v>10000001</v>
      </c>
      <c r="D1911" t="s">
        <v>1561</v>
      </c>
      <c r="F1911">
        <v>1793264</v>
      </c>
      <c r="H1911" t="s">
        <v>1561</v>
      </c>
      <c r="I1911">
        <v>40</v>
      </c>
      <c r="J1911" s="1">
        <v>50000</v>
      </c>
      <c r="K1911" t="s">
        <v>26</v>
      </c>
      <c r="L1911" s="1">
        <v>50000</v>
      </c>
      <c r="M1911" t="s">
        <v>26</v>
      </c>
      <c r="Q1911" t="s">
        <v>27</v>
      </c>
      <c r="T1911" t="s">
        <v>1367</v>
      </c>
      <c r="X1911" t="s">
        <v>30</v>
      </c>
      <c r="Y1911">
        <v>1793264</v>
      </c>
      <c r="Z1911">
        <v>20251130</v>
      </c>
    </row>
    <row r="1912" spans="3:26" x14ac:dyDescent="0.25">
      <c r="C1912">
        <v>10000001</v>
      </c>
      <c r="D1912" t="s">
        <v>1561</v>
      </c>
      <c r="F1912">
        <v>1793264</v>
      </c>
      <c r="H1912" t="s">
        <v>1561</v>
      </c>
      <c r="I1912">
        <v>40</v>
      </c>
      <c r="J1912" s="1">
        <v>50000</v>
      </c>
      <c r="K1912" t="s">
        <v>26</v>
      </c>
      <c r="L1912" s="1">
        <v>50000</v>
      </c>
      <c r="M1912" t="s">
        <v>26</v>
      </c>
      <c r="Q1912" t="s">
        <v>27</v>
      </c>
      <c r="T1912" t="s">
        <v>1370</v>
      </c>
      <c r="X1912" t="s">
        <v>30</v>
      </c>
      <c r="Y1912">
        <v>1793264</v>
      </c>
      <c r="Z1912">
        <v>20251130</v>
      </c>
    </row>
    <row r="1913" spans="3:26" x14ac:dyDescent="0.25">
      <c r="C1913">
        <v>10000001</v>
      </c>
      <c r="D1913" t="s">
        <v>1561</v>
      </c>
      <c r="F1913">
        <v>1793264</v>
      </c>
      <c r="H1913" t="s">
        <v>1561</v>
      </c>
      <c r="I1913">
        <v>40</v>
      </c>
      <c r="J1913" s="1">
        <v>50000</v>
      </c>
      <c r="K1913" t="s">
        <v>26</v>
      </c>
      <c r="L1913" s="1">
        <v>50000</v>
      </c>
      <c r="M1913" t="s">
        <v>26</v>
      </c>
      <c r="Q1913" t="s">
        <v>27</v>
      </c>
      <c r="T1913" t="s">
        <v>1405</v>
      </c>
      <c r="X1913" t="s">
        <v>30</v>
      </c>
      <c r="Y1913">
        <v>1793264</v>
      </c>
      <c r="Z1913">
        <v>20251130</v>
      </c>
    </row>
    <row r="1914" spans="3:26" x14ac:dyDescent="0.25">
      <c r="C1914">
        <v>10000001</v>
      </c>
      <c r="D1914" t="s">
        <v>1561</v>
      </c>
      <c r="F1914">
        <v>1793264</v>
      </c>
      <c r="H1914" t="s">
        <v>1561</v>
      </c>
      <c r="I1914">
        <v>40</v>
      </c>
      <c r="J1914" s="1">
        <v>50000</v>
      </c>
      <c r="K1914" t="s">
        <v>26</v>
      </c>
      <c r="L1914" s="1">
        <v>50000</v>
      </c>
      <c r="M1914" t="s">
        <v>26</v>
      </c>
      <c r="Q1914" t="s">
        <v>27</v>
      </c>
      <c r="T1914" t="s">
        <v>1536</v>
      </c>
      <c r="X1914" t="s">
        <v>30</v>
      </c>
      <c r="Y1914">
        <v>1793264</v>
      </c>
      <c r="Z1914">
        <v>20251130</v>
      </c>
    </row>
    <row r="1915" spans="3:26" x14ac:dyDescent="0.25">
      <c r="C1915">
        <v>10000001</v>
      </c>
      <c r="D1915" t="s">
        <v>1561</v>
      </c>
      <c r="F1915">
        <v>1793264</v>
      </c>
      <c r="H1915" t="s">
        <v>1561</v>
      </c>
      <c r="I1915">
        <v>40</v>
      </c>
      <c r="J1915" s="1">
        <v>50000</v>
      </c>
      <c r="K1915" t="s">
        <v>26</v>
      </c>
      <c r="L1915" s="1">
        <v>50000</v>
      </c>
      <c r="M1915" t="s">
        <v>26</v>
      </c>
      <c r="Q1915" t="s">
        <v>27</v>
      </c>
      <c r="T1915" t="s">
        <v>1539</v>
      </c>
      <c r="X1915" t="s">
        <v>30</v>
      </c>
      <c r="Y1915">
        <v>1793264</v>
      </c>
      <c r="Z1915">
        <v>20251130</v>
      </c>
    </row>
    <row r="1916" spans="3:26" x14ac:dyDescent="0.25">
      <c r="C1916">
        <v>10000001</v>
      </c>
      <c r="D1916" t="s">
        <v>1561</v>
      </c>
      <c r="F1916">
        <v>1793264</v>
      </c>
      <c r="H1916" t="s">
        <v>1561</v>
      </c>
      <c r="I1916">
        <v>40</v>
      </c>
      <c r="J1916" s="1">
        <v>50000</v>
      </c>
      <c r="K1916" t="s">
        <v>26</v>
      </c>
      <c r="L1916" s="1">
        <v>50000</v>
      </c>
      <c r="M1916" t="s">
        <v>26</v>
      </c>
      <c r="Q1916" t="s">
        <v>27</v>
      </c>
      <c r="T1916" t="s">
        <v>1532</v>
      </c>
      <c r="X1916" t="s">
        <v>30</v>
      </c>
      <c r="Y1916">
        <v>1793264</v>
      </c>
      <c r="Z1916">
        <v>20251130</v>
      </c>
    </row>
    <row r="1917" spans="3:26" x14ac:dyDescent="0.25">
      <c r="C1917">
        <v>10000001</v>
      </c>
      <c r="D1917" t="s">
        <v>1561</v>
      </c>
      <c r="F1917">
        <v>1793264</v>
      </c>
      <c r="H1917" t="s">
        <v>1561</v>
      </c>
      <c r="I1917">
        <v>40</v>
      </c>
      <c r="J1917" s="1">
        <v>50000</v>
      </c>
      <c r="K1917" t="s">
        <v>26</v>
      </c>
      <c r="L1917" s="1">
        <v>50000</v>
      </c>
      <c r="M1917" t="s">
        <v>26</v>
      </c>
      <c r="Q1917" t="s">
        <v>27</v>
      </c>
      <c r="T1917" t="s">
        <v>1487</v>
      </c>
      <c r="X1917" t="s">
        <v>30</v>
      </c>
      <c r="Y1917">
        <v>1793264</v>
      </c>
      <c r="Z1917">
        <v>20251130</v>
      </c>
    </row>
    <row r="1918" spans="3:26" x14ac:dyDescent="0.25">
      <c r="C1918">
        <v>10000001</v>
      </c>
      <c r="D1918" t="s">
        <v>1561</v>
      </c>
      <c r="F1918">
        <v>1793264</v>
      </c>
      <c r="H1918" t="s">
        <v>1561</v>
      </c>
      <c r="I1918">
        <v>40</v>
      </c>
      <c r="J1918" s="1">
        <v>50000</v>
      </c>
      <c r="K1918" t="s">
        <v>26</v>
      </c>
      <c r="L1918" s="1">
        <v>50000</v>
      </c>
      <c r="M1918" t="s">
        <v>26</v>
      </c>
      <c r="Q1918" t="s">
        <v>27</v>
      </c>
      <c r="T1918" t="s">
        <v>1266</v>
      </c>
      <c r="X1918" t="s">
        <v>30</v>
      </c>
      <c r="Y1918">
        <v>1793264</v>
      </c>
      <c r="Z1918">
        <v>20251130</v>
      </c>
    </row>
    <row r="1919" spans="3:26" x14ac:dyDescent="0.25">
      <c r="C1919">
        <v>10000001</v>
      </c>
      <c r="D1919" t="s">
        <v>1561</v>
      </c>
      <c r="F1919">
        <v>1793264</v>
      </c>
      <c r="H1919" t="s">
        <v>1561</v>
      </c>
      <c r="I1919">
        <v>40</v>
      </c>
      <c r="J1919" s="1">
        <v>50000</v>
      </c>
      <c r="K1919" t="s">
        <v>26</v>
      </c>
      <c r="L1919" s="1">
        <v>50000</v>
      </c>
      <c r="M1919" t="s">
        <v>26</v>
      </c>
      <c r="Q1919" t="s">
        <v>27</v>
      </c>
      <c r="T1919" t="s">
        <v>1267</v>
      </c>
      <c r="X1919" t="s">
        <v>30</v>
      </c>
      <c r="Y1919">
        <v>1793264</v>
      </c>
      <c r="Z1919">
        <v>20251130</v>
      </c>
    </row>
    <row r="1920" spans="3:26" x14ac:dyDescent="0.25">
      <c r="C1920">
        <v>10000001</v>
      </c>
      <c r="D1920" t="s">
        <v>1561</v>
      </c>
      <c r="F1920">
        <v>1793264</v>
      </c>
      <c r="H1920" t="s">
        <v>1561</v>
      </c>
      <c r="I1920">
        <v>40</v>
      </c>
      <c r="J1920" s="1">
        <v>50000</v>
      </c>
      <c r="K1920" t="s">
        <v>26</v>
      </c>
      <c r="L1920" s="1">
        <v>50000</v>
      </c>
      <c r="M1920" t="s">
        <v>26</v>
      </c>
      <c r="Q1920" t="s">
        <v>27</v>
      </c>
      <c r="T1920" t="s">
        <v>1269</v>
      </c>
      <c r="X1920" t="s">
        <v>30</v>
      </c>
      <c r="Y1920">
        <v>1793264</v>
      </c>
      <c r="Z1920">
        <v>20251130</v>
      </c>
    </row>
    <row r="1921" spans="3:26" x14ac:dyDescent="0.25">
      <c r="C1921">
        <v>10000001</v>
      </c>
      <c r="D1921" t="s">
        <v>1561</v>
      </c>
      <c r="F1921">
        <v>1793264</v>
      </c>
      <c r="H1921" t="s">
        <v>1561</v>
      </c>
      <c r="I1921">
        <v>40</v>
      </c>
      <c r="J1921" s="1">
        <v>50000</v>
      </c>
      <c r="K1921" t="s">
        <v>26</v>
      </c>
      <c r="L1921" s="1">
        <v>50000</v>
      </c>
      <c r="M1921" t="s">
        <v>26</v>
      </c>
      <c r="Q1921" t="s">
        <v>27</v>
      </c>
      <c r="T1921" t="s">
        <v>1271</v>
      </c>
      <c r="X1921" t="s">
        <v>30</v>
      </c>
      <c r="Y1921">
        <v>1793264</v>
      </c>
      <c r="Z1921">
        <v>20251130</v>
      </c>
    </row>
    <row r="1922" spans="3:26" x14ac:dyDescent="0.25">
      <c r="C1922">
        <v>10000001</v>
      </c>
      <c r="D1922" t="s">
        <v>1561</v>
      </c>
      <c r="F1922">
        <v>1793264</v>
      </c>
      <c r="H1922" t="s">
        <v>1561</v>
      </c>
      <c r="I1922">
        <v>40</v>
      </c>
      <c r="J1922" s="1">
        <v>50000</v>
      </c>
      <c r="K1922" t="s">
        <v>26</v>
      </c>
      <c r="L1922" s="1">
        <v>50000</v>
      </c>
      <c r="M1922" t="s">
        <v>26</v>
      </c>
      <c r="Q1922" t="s">
        <v>27</v>
      </c>
      <c r="T1922" t="s">
        <v>1275</v>
      </c>
      <c r="X1922" t="s">
        <v>30</v>
      </c>
      <c r="Y1922">
        <v>1793264</v>
      </c>
      <c r="Z1922">
        <v>20251130</v>
      </c>
    </row>
    <row r="1923" spans="3:26" x14ac:dyDescent="0.25">
      <c r="C1923">
        <v>10000001</v>
      </c>
      <c r="D1923" t="s">
        <v>1561</v>
      </c>
      <c r="F1923">
        <v>1793264</v>
      </c>
      <c r="H1923" t="s">
        <v>1561</v>
      </c>
      <c r="I1923">
        <v>40</v>
      </c>
      <c r="J1923" s="1">
        <v>50000</v>
      </c>
      <c r="K1923" t="s">
        <v>26</v>
      </c>
      <c r="L1923" s="1">
        <v>50000</v>
      </c>
      <c r="M1923" t="s">
        <v>26</v>
      </c>
      <c r="Q1923" t="s">
        <v>27</v>
      </c>
      <c r="T1923" t="s">
        <v>1241</v>
      </c>
      <c r="X1923" t="s">
        <v>30</v>
      </c>
      <c r="Y1923">
        <v>1793264</v>
      </c>
      <c r="Z1923">
        <v>20251130</v>
      </c>
    </row>
    <row r="1924" spans="3:26" x14ac:dyDescent="0.25">
      <c r="C1924">
        <v>10000001</v>
      </c>
      <c r="D1924" t="s">
        <v>1561</v>
      </c>
      <c r="F1924">
        <v>1793264</v>
      </c>
      <c r="H1924" t="s">
        <v>1561</v>
      </c>
      <c r="I1924">
        <v>40</v>
      </c>
      <c r="J1924" s="1">
        <v>50000</v>
      </c>
      <c r="K1924" t="s">
        <v>26</v>
      </c>
      <c r="L1924" s="1">
        <v>50000</v>
      </c>
      <c r="M1924" t="s">
        <v>26</v>
      </c>
      <c r="Q1924" t="s">
        <v>27</v>
      </c>
      <c r="T1924" t="s">
        <v>1368</v>
      </c>
      <c r="X1924" t="s">
        <v>30</v>
      </c>
      <c r="Y1924">
        <v>1793264</v>
      </c>
      <c r="Z1924">
        <v>20251130</v>
      </c>
    </row>
    <row r="1925" spans="3:26" x14ac:dyDescent="0.25">
      <c r="C1925">
        <v>10000001</v>
      </c>
      <c r="D1925" t="s">
        <v>1561</v>
      </c>
      <c r="F1925">
        <v>1793264</v>
      </c>
      <c r="H1925" t="s">
        <v>1561</v>
      </c>
      <c r="I1925">
        <v>40</v>
      </c>
      <c r="J1925" s="1">
        <v>50000</v>
      </c>
      <c r="K1925" t="s">
        <v>26</v>
      </c>
      <c r="L1925" s="1">
        <v>50000</v>
      </c>
      <c r="M1925" t="s">
        <v>26</v>
      </c>
      <c r="Q1925" t="s">
        <v>27</v>
      </c>
      <c r="T1925" t="s">
        <v>1363</v>
      </c>
      <c r="X1925" t="s">
        <v>30</v>
      </c>
      <c r="Y1925">
        <v>1793264</v>
      </c>
      <c r="Z1925">
        <v>20251130</v>
      </c>
    </row>
    <row r="1926" spans="3:26" x14ac:dyDescent="0.25">
      <c r="C1926">
        <v>10000001</v>
      </c>
      <c r="D1926" t="s">
        <v>1561</v>
      </c>
      <c r="F1926">
        <v>1793264</v>
      </c>
      <c r="H1926" t="s">
        <v>1561</v>
      </c>
      <c r="I1926">
        <v>40</v>
      </c>
      <c r="J1926" s="1">
        <v>50000</v>
      </c>
      <c r="K1926" t="s">
        <v>26</v>
      </c>
      <c r="L1926" s="1">
        <v>50000</v>
      </c>
      <c r="M1926" t="s">
        <v>26</v>
      </c>
      <c r="Q1926" t="s">
        <v>27</v>
      </c>
      <c r="T1926" t="s">
        <v>1365</v>
      </c>
      <c r="X1926" t="s">
        <v>30</v>
      </c>
      <c r="Y1926">
        <v>1793264</v>
      </c>
      <c r="Z1926">
        <v>20251130</v>
      </c>
    </row>
    <row r="1927" spans="3:26" x14ac:dyDescent="0.25">
      <c r="C1927">
        <v>10000001</v>
      </c>
      <c r="D1927" t="s">
        <v>1561</v>
      </c>
      <c r="F1927">
        <v>1793264</v>
      </c>
      <c r="H1927" t="s">
        <v>1561</v>
      </c>
      <c r="I1927">
        <v>40</v>
      </c>
      <c r="J1927" s="1">
        <v>50000</v>
      </c>
      <c r="K1927" t="s">
        <v>26</v>
      </c>
      <c r="L1927" s="1">
        <v>50000</v>
      </c>
      <c r="M1927" t="s">
        <v>26</v>
      </c>
      <c r="Q1927" t="s">
        <v>27</v>
      </c>
      <c r="T1927" t="s">
        <v>1458</v>
      </c>
      <c r="X1927" t="s">
        <v>30</v>
      </c>
      <c r="Y1927">
        <v>1793264</v>
      </c>
      <c r="Z1927">
        <v>20251130</v>
      </c>
    </row>
    <row r="1928" spans="3:26" x14ac:dyDescent="0.25">
      <c r="C1928">
        <v>10000001</v>
      </c>
      <c r="D1928" t="s">
        <v>1561</v>
      </c>
      <c r="F1928">
        <v>1793264</v>
      </c>
      <c r="H1928" t="s">
        <v>1561</v>
      </c>
      <c r="I1928">
        <v>40</v>
      </c>
      <c r="J1928" s="1">
        <v>50000</v>
      </c>
      <c r="K1928" t="s">
        <v>26</v>
      </c>
      <c r="L1928" s="1">
        <v>50000</v>
      </c>
      <c r="M1928" t="s">
        <v>26</v>
      </c>
      <c r="Q1928" t="s">
        <v>27</v>
      </c>
      <c r="T1928" t="s">
        <v>1376</v>
      </c>
      <c r="X1928" t="s">
        <v>30</v>
      </c>
      <c r="Y1928">
        <v>1793264</v>
      </c>
      <c r="Z1928">
        <v>20251130</v>
      </c>
    </row>
    <row r="1929" spans="3:26" x14ac:dyDescent="0.25">
      <c r="C1929">
        <v>10000001</v>
      </c>
      <c r="D1929" t="s">
        <v>1561</v>
      </c>
      <c r="F1929">
        <v>1793264</v>
      </c>
      <c r="H1929" t="s">
        <v>1561</v>
      </c>
      <c r="I1929">
        <v>40</v>
      </c>
      <c r="J1929" s="1">
        <v>50000</v>
      </c>
      <c r="K1929" t="s">
        <v>26</v>
      </c>
      <c r="L1929" s="1">
        <v>50000</v>
      </c>
      <c r="M1929" t="s">
        <v>26</v>
      </c>
      <c r="Q1929" t="s">
        <v>27</v>
      </c>
      <c r="T1929" t="s">
        <v>1540</v>
      </c>
      <c r="X1929" t="s">
        <v>30</v>
      </c>
      <c r="Y1929">
        <v>1793264</v>
      </c>
      <c r="Z1929">
        <v>20251130</v>
      </c>
    </row>
    <row r="1930" spans="3:26" x14ac:dyDescent="0.25">
      <c r="C1930">
        <v>10000001</v>
      </c>
      <c r="D1930" t="s">
        <v>1561</v>
      </c>
      <c r="F1930">
        <v>1793264</v>
      </c>
      <c r="H1930" t="s">
        <v>1561</v>
      </c>
      <c r="I1930">
        <v>40</v>
      </c>
      <c r="J1930" s="1">
        <v>50000</v>
      </c>
      <c r="K1930" t="s">
        <v>26</v>
      </c>
      <c r="L1930" s="1">
        <v>50000</v>
      </c>
      <c r="M1930" t="s">
        <v>26</v>
      </c>
      <c r="Q1930" t="s">
        <v>27</v>
      </c>
      <c r="T1930" t="s">
        <v>1529</v>
      </c>
      <c r="X1930" t="s">
        <v>30</v>
      </c>
      <c r="Y1930">
        <v>1793264</v>
      </c>
      <c r="Z1930">
        <v>20251130</v>
      </c>
    </row>
    <row r="1931" spans="3:26" x14ac:dyDescent="0.25">
      <c r="C1931">
        <v>10000001</v>
      </c>
      <c r="D1931" t="s">
        <v>1561</v>
      </c>
      <c r="F1931">
        <v>1793264</v>
      </c>
      <c r="H1931" t="s">
        <v>1561</v>
      </c>
      <c r="I1931">
        <v>40</v>
      </c>
      <c r="J1931" s="1">
        <v>50000</v>
      </c>
      <c r="K1931" t="s">
        <v>26</v>
      </c>
      <c r="L1931" s="1">
        <v>50000</v>
      </c>
      <c r="M1931" t="s">
        <v>26</v>
      </c>
      <c r="Q1931" t="s">
        <v>27</v>
      </c>
      <c r="T1931" t="s">
        <v>1263</v>
      </c>
      <c r="X1931" t="s">
        <v>30</v>
      </c>
      <c r="Y1931">
        <v>1793264</v>
      </c>
      <c r="Z1931">
        <v>20251130</v>
      </c>
    </row>
    <row r="1932" spans="3:26" x14ac:dyDescent="0.25">
      <c r="C1932">
        <v>10000001</v>
      </c>
      <c r="D1932" t="s">
        <v>1561</v>
      </c>
      <c r="F1932">
        <v>1793264</v>
      </c>
      <c r="H1932" t="s">
        <v>1561</v>
      </c>
      <c r="I1932">
        <v>40</v>
      </c>
      <c r="J1932" s="1">
        <v>700000</v>
      </c>
      <c r="K1932" t="s">
        <v>26</v>
      </c>
      <c r="L1932" s="1">
        <v>700000</v>
      </c>
      <c r="M1932" t="s">
        <v>26</v>
      </c>
      <c r="Q1932" t="s">
        <v>27</v>
      </c>
      <c r="T1932" t="s">
        <v>1483</v>
      </c>
      <c r="X1932" t="s">
        <v>30</v>
      </c>
      <c r="Y1932">
        <v>1793264</v>
      </c>
      <c r="Z1932">
        <v>20251130</v>
      </c>
    </row>
    <row r="1933" spans="3:26" x14ac:dyDescent="0.25">
      <c r="C1933">
        <v>10000001</v>
      </c>
      <c r="D1933" t="s">
        <v>1561</v>
      </c>
      <c r="F1933">
        <v>1793264</v>
      </c>
      <c r="H1933" t="s">
        <v>1561</v>
      </c>
      <c r="I1933">
        <v>40</v>
      </c>
      <c r="J1933" s="1">
        <v>800000</v>
      </c>
      <c r="K1933" t="s">
        <v>26</v>
      </c>
      <c r="L1933" s="1">
        <v>800000</v>
      </c>
      <c r="M1933" t="s">
        <v>26</v>
      </c>
      <c r="Q1933" t="s">
        <v>27</v>
      </c>
      <c r="T1933" t="s">
        <v>1468</v>
      </c>
      <c r="X1933" t="s">
        <v>30</v>
      </c>
      <c r="Y1933">
        <v>1793264</v>
      </c>
      <c r="Z1933">
        <v>20251130</v>
      </c>
    </row>
    <row r="1934" spans="3:26" x14ac:dyDescent="0.25">
      <c r="C1934">
        <v>10000001</v>
      </c>
      <c r="D1934" t="s">
        <v>1561</v>
      </c>
      <c r="F1934">
        <v>1793264</v>
      </c>
      <c r="H1934" t="s">
        <v>1561</v>
      </c>
      <c r="I1934">
        <v>40</v>
      </c>
      <c r="J1934" s="1">
        <v>450000</v>
      </c>
      <c r="K1934" t="s">
        <v>26</v>
      </c>
      <c r="L1934" s="1">
        <v>450000</v>
      </c>
      <c r="M1934" t="s">
        <v>26</v>
      </c>
      <c r="Q1934" t="s">
        <v>27</v>
      </c>
      <c r="T1934" t="s">
        <v>1485</v>
      </c>
      <c r="X1934" t="s">
        <v>30</v>
      </c>
      <c r="Y1934">
        <v>1793264</v>
      </c>
      <c r="Z1934">
        <v>20251130</v>
      </c>
    </row>
    <row r="1935" spans="3:26" x14ac:dyDescent="0.25">
      <c r="C1935">
        <v>10000001</v>
      </c>
      <c r="D1935" t="s">
        <v>1561</v>
      </c>
      <c r="F1935">
        <v>1793264</v>
      </c>
      <c r="H1935" t="s">
        <v>1561</v>
      </c>
      <c r="I1935">
        <v>40</v>
      </c>
      <c r="J1935" s="1">
        <v>952650</v>
      </c>
      <c r="K1935" t="s">
        <v>26</v>
      </c>
      <c r="L1935" s="1">
        <v>952650</v>
      </c>
      <c r="M1935" t="s">
        <v>26</v>
      </c>
      <c r="Q1935" t="s">
        <v>27</v>
      </c>
      <c r="T1935" t="s">
        <v>1383</v>
      </c>
      <c r="X1935" t="s">
        <v>30</v>
      </c>
      <c r="Y1935">
        <v>1793264</v>
      </c>
      <c r="Z1935">
        <v>20251130</v>
      </c>
    </row>
    <row r="1936" spans="3:26" x14ac:dyDescent="0.25">
      <c r="C1936">
        <v>10000001</v>
      </c>
      <c r="D1936" t="s">
        <v>1561</v>
      </c>
      <c r="F1936">
        <v>1793264</v>
      </c>
      <c r="H1936" t="s">
        <v>1561</v>
      </c>
      <c r="I1936">
        <v>40</v>
      </c>
      <c r="J1936" s="1">
        <v>977650</v>
      </c>
      <c r="K1936" t="s">
        <v>26</v>
      </c>
      <c r="L1936" s="1">
        <v>977650</v>
      </c>
      <c r="M1936" t="s">
        <v>26</v>
      </c>
      <c r="Q1936" t="s">
        <v>27</v>
      </c>
      <c r="T1936" t="s">
        <v>1379</v>
      </c>
      <c r="X1936" t="s">
        <v>30</v>
      </c>
      <c r="Y1936">
        <v>1793264</v>
      </c>
      <c r="Z1936">
        <v>20251130</v>
      </c>
    </row>
    <row r="1937" spans="3:26" x14ac:dyDescent="0.25">
      <c r="C1937">
        <v>10000001</v>
      </c>
      <c r="D1937" t="s">
        <v>1561</v>
      </c>
      <c r="F1937">
        <v>1793264</v>
      </c>
      <c r="H1937" t="s">
        <v>1561</v>
      </c>
      <c r="I1937">
        <v>40</v>
      </c>
      <c r="J1937" s="1">
        <v>993960</v>
      </c>
      <c r="K1937" t="s">
        <v>26</v>
      </c>
      <c r="L1937" s="1">
        <v>993960</v>
      </c>
      <c r="M1937" t="s">
        <v>26</v>
      </c>
      <c r="Q1937" t="s">
        <v>27</v>
      </c>
      <c r="T1937" t="s">
        <v>1254</v>
      </c>
      <c r="X1937" t="s">
        <v>30</v>
      </c>
      <c r="Y1937">
        <v>1793264</v>
      </c>
      <c r="Z1937">
        <v>20251130</v>
      </c>
    </row>
    <row r="1938" spans="3:26" x14ac:dyDescent="0.25">
      <c r="C1938">
        <v>10000001</v>
      </c>
      <c r="D1938" t="s">
        <v>1561</v>
      </c>
      <c r="F1938">
        <v>1793264</v>
      </c>
      <c r="H1938" t="s">
        <v>1561</v>
      </c>
      <c r="I1938">
        <v>40</v>
      </c>
      <c r="J1938" s="1">
        <v>237500</v>
      </c>
      <c r="K1938" t="s">
        <v>26</v>
      </c>
      <c r="L1938" s="1">
        <v>237500</v>
      </c>
      <c r="M1938" t="s">
        <v>26</v>
      </c>
      <c r="Q1938" t="s">
        <v>27</v>
      </c>
      <c r="T1938" t="s">
        <v>1244</v>
      </c>
      <c r="X1938" t="s">
        <v>30</v>
      </c>
      <c r="Y1938">
        <v>1793264</v>
      </c>
      <c r="Z1938">
        <v>20251130</v>
      </c>
    </row>
    <row r="1939" spans="3:26" x14ac:dyDescent="0.25">
      <c r="C1939">
        <v>10000001</v>
      </c>
      <c r="D1939" t="s">
        <v>1561</v>
      </c>
      <c r="F1939">
        <v>1793264</v>
      </c>
      <c r="H1939" t="s">
        <v>1561</v>
      </c>
      <c r="I1939">
        <v>40</v>
      </c>
      <c r="J1939" s="1">
        <v>985000</v>
      </c>
      <c r="K1939" t="s">
        <v>26</v>
      </c>
      <c r="L1939" s="1">
        <v>985000</v>
      </c>
      <c r="M1939" t="s">
        <v>26</v>
      </c>
      <c r="Q1939" t="s">
        <v>27</v>
      </c>
      <c r="T1939" t="s">
        <v>1248</v>
      </c>
      <c r="X1939" t="s">
        <v>30</v>
      </c>
      <c r="Y1939">
        <v>1793264</v>
      </c>
      <c r="Z1939">
        <v>20251130</v>
      </c>
    </row>
    <row r="1940" spans="3:26" x14ac:dyDescent="0.25">
      <c r="C1940">
        <v>10000001</v>
      </c>
      <c r="D1940" t="s">
        <v>1561</v>
      </c>
      <c r="F1940">
        <v>1793264</v>
      </c>
      <c r="H1940" t="s">
        <v>1561</v>
      </c>
      <c r="I1940">
        <v>40</v>
      </c>
      <c r="J1940" s="1">
        <v>975000</v>
      </c>
      <c r="K1940" t="s">
        <v>26</v>
      </c>
      <c r="L1940" s="1">
        <v>975000</v>
      </c>
      <c r="M1940" t="s">
        <v>26</v>
      </c>
      <c r="Q1940" t="s">
        <v>27</v>
      </c>
      <c r="T1940" t="s">
        <v>1246</v>
      </c>
      <c r="X1940" t="s">
        <v>30</v>
      </c>
      <c r="Y1940">
        <v>1793264</v>
      </c>
      <c r="Z1940">
        <v>20251130</v>
      </c>
    </row>
    <row r="1941" spans="3:26" x14ac:dyDescent="0.25">
      <c r="C1941">
        <v>10000001</v>
      </c>
      <c r="D1941" t="s">
        <v>1561</v>
      </c>
      <c r="F1941">
        <v>1793264</v>
      </c>
      <c r="H1941" t="s">
        <v>1561</v>
      </c>
      <c r="I1941">
        <v>40</v>
      </c>
      <c r="J1941" s="1">
        <v>975000</v>
      </c>
      <c r="K1941" t="s">
        <v>26</v>
      </c>
      <c r="L1941" s="1">
        <v>975000</v>
      </c>
      <c r="M1941" t="s">
        <v>26</v>
      </c>
      <c r="Q1941" t="s">
        <v>27</v>
      </c>
      <c r="T1941" t="s">
        <v>1408</v>
      </c>
      <c r="X1941" t="s">
        <v>30</v>
      </c>
      <c r="Y1941">
        <v>1793264</v>
      </c>
      <c r="Z1941">
        <v>20251130</v>
      </c>
    </row>
    <row r="1942" spans="3:26" x14ac:dyDescent="0.25">
      <c r="C1942">
        <v>10000001</v>
      </c>
      <c r="D1942" t="s">
        <v>1561</v>
      </c>
      <c r="F1942">
        <v>1793264</v>
      </c>
      <c r="H1942" t="s">
        <v>1561</v>
      </c>
      <c r="I1942">
        <v>40</v>
      </c>
      <c r="J1942" s="1">
        <v>950000</v>
      </c>
      <c r="K1942" t="s">
        <v>26</v>
      </c>
      <c r="L1942" s="1">
        <v>950000</v>
      </c>
      <c r="M1942" t="s">
        <v>26</v>
      </c>
      <c r="Q1942" t="s">
        <v>27</v>
      </c>
      <c r="T1942" t="s">
        <v>1416</v>
      </c>
      <c r="X1942" t="s">
        <v>30</v>
      </c>
      <c r="Y1942">
        <v>1793264</v>
      </c>
      <c r="Z1942">
        <v>20251130</v>
      </c>
    </row>
    <row r="1943" spans="3:26" x14ac:dyDescent="0.25">
      <c r="C1943">
        <v>10000001</v>
      </c>
      <c r="D1943" t="s">
        <v>1561</v>
      </c>
      <c r="F1943">
        <v>1793264</v>
      </c>
      <c r="H1943" t="s">
        <v>1561</v>
      </c>
      <c r="I1943">
        <v>40</v>
      </c>
      <c r="J1943" s="1">
        <v>950000</v>
      </c>
      <c r="K1943" t="s">
        <v>26</v>
      </c>
      <c r="L1943" s="1">
        <v>950000</v>
      </c>
      <c r="M1943" t="s">
        <v>26</v>
      </c>
      <c r="Q1943" t="s">
        <v>27</v>
      </c>
      <c r="T1943" t="s">
        <v>1381</v>
      </c>
      <c r="X1943" t="s">
        <v>30</v>
      </c>
      <c r="Y1943">
        <v>1793264</v>
      </c>
      <c r="Z1943">
        <v>20251130</v>
      </c>
    </row>
    <row r="1944" spans="3:26" x14ac:dyDescent="0.25">
      <c r="C1944">
        <v>10000001</v>
      </c>
      <c r="D1944" t="s">
        <v>1561</v>
      </c>
      <c r="F1944">
        <v>1793264</v>
      </c>
      <c r="H1944" t="s">
        <v>1561</v>
      </c>
      <c r="I1944">
        <v>40</v>
      </c>
      <c r="J1944" s="1">
        <v>240000</v>
      </c>
      <c r="K1944" t="s">
        <v>26</v>
      </c>
      <c r="L1944" s="1">
        <v>240000</v>
      </c>
      <c r="M1944" t="s">
        <v>26</v>
      </c>
      <c r="Q1944" t="s">
        <v>27</v>
      </c>
      <c r="T1944" t="s">
        <v>1250</v>
      </c>
      <c r="X1944" t="s">
        <v>30</v>
      </c>
      <c r="Y1944">
        <v>1793264</v>
      </c>
      <c r="Z1944">
        <v>20251130</v>
      </c>
    </row>
    <row r="1945" spans="3:26" x14ac:dyDescent="0.25">
      <c r="C1945">
        <v>10000001</v>
      </c>
      <c r="D1945" t="s">
        <v>1561</v>
      </c>
      <c r="F1945">
        <v>1793264</v>
      </c>
      <c r="H1945" t="s">
        <v>1561</v>
      </c>
      <c r="I1945">
        <v>40</v>
      </c>
      <c r="J1945" s="1">
        <v>826800</v>
      </c>
      <c r="K1945" t="s">
        <v>26</v>
      </c>
      <c r="L1945" s="1">
        <v>826800</v>
      </c>
      <c r="M1945" t="s">
        <v>26</v>
      </c>
      <c r="Q1945" t="s">
        <v>27</v>
      </c>
      <c r="T1945" t="s">
        <v>1349</v>
      </c>
      <c r="X1945" t="s">
        <v>30</v>
      </c>
      <c r="Y1945">
        <v>1793264</v>
      </c>
      <c r="Z1945">
        <v>20251130</v>
      </c>
    </row>
    <row r="1946" spans="3:26" x14ac:dyDescent="0.25">
      <c r="C1946">
        <v>10000001</v>
      </c>
      <c r="D1946" t="s">
        <v>1561</v>
      </c>
      <c r="F1946">
        <v>1793264</v>
      </c>
      <c r="H1946" t="s">
        <v>1561</v>
      </c>
      <c r="I1946">
        <v>40</v>
      </c>
      <c r="J1946" s="1">
        <v>500000</v>
      </c>
      <c r="K1946" t="s">
        <v>26</v>
      </c>
      <c r="L1946" s="1">
        <v>500000</v>
      </c>
      <c r="M1946" t="s">
        <v>26</v>
      </c>
      <c r="Q1946" t="s">
        <v>27</v>
      </c>
      <c r="T1946" t="s">
        <v>1508</v>
      </c>
      <c r="X1946" t="s">
        <v>30</v>
      </c>
      <c r="Y1946">
        <v>1793264</v>
      </c>
      <c r="Z1946">
        <v>20251130</v>
      </c>
    </row>
    <row r="1947" spans="3:26" x14ac:dyDescent="0.25">
      <c r="C1947">
        <v>10000001</v>
      </c>
      <c r="D1947" t="s">
        <v>1561</v>
      </c>
      <c r="F1947">
        <v>1793264</v>
      </c>
      <c r="H1947" t="s">
        <v>1561</v>
      </c>
      <c r="I1947">
        <v>40</v>
      </c>
      <c r="J1947" s="1">
        <v>623500</v>
      </c>
      <c r="K1947" t="s">
        <v>26</v>
      </c>
      <c r="L1947" s="1">
        <v>623500</v>
      </c>
      <c r="M1947" t="s">
        <v>26</v>
      </c>
      <c r="Q1947" t="s">
        <v>27</v>
      </c>
      <c r="T1947" t="s">
        <v>1445</v>
      </c>
      <c r="X1947" t="s">
        <v>30</v>
      </c>
      <c r="Y1947">
        <v>1793264</v>
      </c>
      <c r="Z1947">
        <v>20251130</v>
      </c>
    </row>
    <row r="1948" spans="3:26" x14ac:dyDescent="0.25">
      <c r="C1948">
        <v>10000001</v>
      </c>
      <c r="D1948" t="s">
        <v>1561</v>
      </c>
      <c r="F1948">
        <v>1793264</v>
      </c>
      <c r="H1948" t="s">
        <v>1561</v>
      </c>
      <c r="I1948">
        <v>40</v>
      </c>
      <c r="J1948" s="1">
        <v>90000</v>
      </c>
      <c r="K1948" t="s">
        <v>26</v>
      </c>
      <c r="L1948" s="1">
        <v>90000</v>
      </c>
      <c r="M1948" t="s">
        <v>26</v>
      </c>
      <c r="Q1948" t="s">
        <v>27</v>
      </c>
      <c r="T1948" t="s">
        <v>1229</v>
      </c>
      <c r="X1948" t="s">
        <v>30</v>
      </c>
      <c r="Y1948">
        <v>1793264</v>
      </c>
      <c r="Z1948">
        <v>20251130</v>
      </c>
    </row>
    <row r="1949" spans="3:26" x14ac:dyDescent="0.25">
      <c r="C1949">
        <v>10000001</v>
      </c>
      <c r="D1949" t="s">
        <v>1561</v>
      </c>
      <c r="F1949">
        <v>1793264</v>
      </c>
      <c r="H1949" t="s">
        <v>1561</v>
      </c>
      <c r="I1949">
        <v>40</v>
      </c>
      <c r="J1949" s="1">
        <v>16000</v>
      </c>
      <c r="K1949" t="s">
        <v>26</v>
      </c>
      <c r="L1949" s="1">
        <v>16000</v>
      </c>
      <c r="M1949" t="s">
        <v>26</v>
      </c>
      <c r="Q1949" t="s">
        <v>27</v>
      </c>
      <c r="T1949" t="s">
        <v>1488</v>
      </c>
      <c r="X1949" t="s">
        <v>30</v>
      </c>
      <c r="Y1949">
        <v>1793264</v>
      </c>
      <c r="Z1949">
        <v>20251130</v>
      </c>
    </row>
    <row r="1950" spans="3:26" x14ac:dyDescent="0.25">
      <c r="C1950">
        <v>10000001</v>
      </c>
      <c r="D1950" t="s">
        <v>1561</v>
      </c>
      <c r="F1950">
        <v>1793264</v>
      </c>
      <c r="H1950" t="s">
        <v>1561</v>
      </c>
      <c r="I1950">
        <v>40</v>
      </c>
      <c r="J1950" s="1">
        <v>2000</v>
      </c>
      <c r="K1950" t="s">
        <v>26</v>
      </c>
      <c r="L1950" s="1">
        <v>2000</v>
      </c>
      <c r="M1950" t="s">
        <v>26</v>
      </c>
      <c r="Q1950" t="s">
        <v>27</v>
      </c>
      <c r="T1950" t="s">
        <v>1283</v>
      </c>
      <c r="X1950" t="s">
        <v>30</v>
      </c>
      <c r="Y1950">
        <v>1793264</v>
      </c>
      <c r="Z1950">
        <v>20251130</v>
      </c>
    </row>
    <row r="1951" spans="3:26" x14ac:dyDescent="0.25">
      <c r="C1951">
        <v>10000001</v>
      </c>
      <c r="D1951" t="s">
        <v>1561</v>
      </c>
      <c r="F1951">
        <v>1793264</v>
      </c>
      <c r="H1951" t="s">
        <v>1561</v>
      </c>
      <c r="I1951">
        <v>40</v>
      </c>
      <c r="J1951" s="1">
        <v>2000</v>
      </c>
      <c r="K1951" t="s">
        <v>26</v>
      </c>
      <c r="L1951" s="1">
        <v>2000</v>
      </c>
      <c r="M1951" t="s">
        <v>26</v>
      </c>
      <c r="Q1951" t="s">
        <v>27</v>
      </c>
      <c r="T1951" t="s">
        <v>1450</v>
      </c>
      <c r="X1951" t="s">
        <v>30</v>
      </c>
      <c r="Y1951">
        <v>1793264</v>
      </c>
      <c r="Z1951">
        <v>20251130</v>
      </c>
    </row>
    <row r="1952" spans="3:26" x14ac:dyDescent="0.25">
      <c r="C1952">
        <v>10000001</v>
      </c>
      <c r="D1952" t="s">
        <v>1561</v>
      </c>
      <c r="F1952">
        <v>1793264</v>
      </c>
      <c r="H1952" t="s">
        <v>1561</v>
      </c>
      <c r="I1952">
        <v>40</v>
      </c>
      <c r="J1952" s="1">
        <v>450000</v>
      </c>
      <c r="K1952" t="s">
        <v>26</v>
      </c>
      <c r="L1952" s="1">
        <v>450000</v>
      </c>
      <c r="M1952" t="s">
        <v>26</v>
      </c>
      <c r="Q1952" t="s">
        <v>27</v>
      </c>
      <c r="T1952" t="s">
        <v>1220</v>
      </c>
      <c r="X1952" t="s">
        <v>30</v>
      </c>
      <c r="Y1952">
        <v>1793264</v>
      </c>
      <c r="Z1952">
        <v>20251130</v>
      </c>
    </row>
    <row r="1953" spans="3:26" x14ac:dyDescent="0.25">
      <c r="C1953">
        <v>10000001</v>
      </c>
      <c r="D1953" t="s">
        <v>1561</v>
      </c>
      <c r="F1953">
        <v>1793264</v>
      </c>
      <c r="H1953" t="s">
        <v>1561</v>
      </c>
      <c r="I1953">
        <v>40</v>
      </c>
      <c r="J1953" s="1">
        <v>50000</v>
      </c>
      <c r="K1953" t="s">
        <v>26</v>
      </c>
      <c r="L1953" s="1">
        <v>50000</v>
      </c>
      <c r="M1953" t="s">
        <v>26</v>
      </c>
      <c r="Q1953" t="s">
        <v>27</v>
      </c>
      <c r="T1953" t="s">
        <v>1217</v>
      </c>
      <c r="X1953" t="s">
        <v>30</v>
      </c>
      <c r="Y1953">
        <v>1793264</v>
      </c>
      <c r="Z1953">
        <v>20251130</v>
      </c>
    </row>
    <row r="1954" spans="3:26" x14ac:dyDescent="0.25">
      <c r="C1954">
        <v>10000001</v>
      </c>
      <c r="D1954" t="s">
        <v>1561</v>
      </c>
      <c r="F1954">
        <v>1793264</v>
      </c>
      <c r="H1954" t="s">
        <v>1561</v>
      </c>
      <c r="I1954">
        <v>40</v>
      </c>
      <c r="J1954" s="1">
        <v>992050</v>
      </c>
      <c r="K1954" t="s">
        <v>26</v>
      </c>
      <c r="L1954" s="1">
        <v>992050</v>
      </c>
      <c r="M1954" t="s">
        <v>26</v>
      </c>
      <c r="Q1954" t="s">
        <v>27</v>
      </c>
      <c r="T1954" t="s">
        <v>1312</v>
      </c>
      <c r="X1954" t="s">
        <v>30</v>
      </c>
      <c r="Y1954">
        <v>1793264</v>
      </c>
      <c r="Z1954">
        <v>20251130</v>
      </c>
    </row>
    <row r="1955" spans="3:26" x14ac:dyDescent="0.25">
      <c r="C1955">
        <v>10000001</v>
      </c>
      <c r="D1955" t="s">
        <v>1561</v>
      </c>
      <c r="F1955">
        <v>1793264</v>
      </c>
      <c r="H1955" t="s">
        <v>1561</v>
      </c>
      <c r="I1955">
        <v>40</v>
      </c>
      <c r="J1955" s="1">
        <v>220500</v>
      </c>
      <c r="K1955" t="s">
        <v>26</v>
      </c>
      <c r="L1955" s="1">
        <v>220500</v>
      </c>
      <c r="M1955" t="s">
        <v>26</v>
      </c>
      <c r="Q1955" t="s">
        <v>27</v>
      </c>
      <c r="T1955" t="s">
        <v>1559</v>
      </c>
      <c r="X1955" t="s">
        <v>30</v>
      </c>
      <c r="Y1955">
        <v>1793264</v>
      </c>
      <c r="Z1955">
        <v>20251130</v>
      </c>
    </row>
    <row r="1956" spans="3:26" x14ac:dyDescent="0.25">
      <c r="C1956">
        <v>10000001</v>
      </c>
      <c r="D1956" t="s">
        <v>1561</v>
      </c>
      <c r="F1956">
        <v>1793264</v>
      </c>
      <c r="H1956" t="s">
        <v>1561</v>
      </c>
      <c r="I1956">
        <v>40</v>
      </c>
      <c r="J1956" s="1">
        <v>50000</v>
      </c>
      <c r="K1956" t="s">
        <v>26</v>
      </c>
      <c r="L1956" s="1">
        <v>50000</v>
      </c>
      <c r="M1956" t="s">
        <v>26</v>
      </c>
      <c r="Q1956" t="s">
        <v>27</v>
      </c>
      <c r="T1956" t="s">
        <v>1477</v>
      </c>
      <c r="X1956" t="s">
        <v>30</v>
      </c>
      <c r="Y1956">
        <v>1793264</v>
      </c>
      <c r="Z1956">
        <v>20251130</v>
      </c>
    </row>
    <row r="1957" spans="3:26" x14ac:dyDescent="0.25">
      <c r="C1957">
        <v>10000001</v>
      </c>
      <c r="D1957" t="s">
        <v>1561</v>
      </c>
      <c r="F1957">
        <v>1793264</v>
      </c>
      <c r="H1957" t="s">
        <v>1561</v>
      </c>
      <c r="I1957">
        <v>40</v>
      </c>
      <c r="J1957" s="1">
        <v>50000</v>
      </c>
      <c r="K1957" t="s">
        <v>26</v>
      </c>
      <c r="L1957" s="1">
        <v>50000</v>
      </c>
      <c r="M1957" t="s">
        <v>26</v>
      </c>
      <c r="Q1957" t="s">
        <v>27</v>
      </c>
      <c r="T1957" t="s">
        <v>1479</v>
      </c>
      <c r="X1957" t="s">
        <v>30</v>
      </c>
      <c r="Y1957">
        <v>1793264</v>
      </c>
      <c r="Z1957">
        <v>20251130</v>
      </c>
    </row>
    <row r="1958" spans="3:26" x14ac:dyDescent="0.25">
      <c r="C1958">
        <v>10000001</v>
      </c>
      <c r="D1958" t="s">
        <v>1561</v>
      </c>
      <c r="F1958">
        <v>1793264</v>
      </c>
      <c r="H1958" t="s">
        <v>1561</v>
      </c>
      <c r="I1958">
        <v>40</v>
      </c>
      <c r="J1958" s="1">
        <v>50000</v>
      </c>
      <c r="K1958" t="s">
        <v>26</v>
      </c>
      <c r="L1958" s="1">
        <v>50000</v>
      </c>
      <c r="M1958" t="s">
        <v>26</v>
      </c>
      <c r="Q1958" t="s">
        <v>27</v>
      </c>
      <c r="T1958" t="s">
        <v>1494</v>
      </c>
      <c r="X1958" t="s">
        <v>30</v>
      </c>
      <c r="Y1958">
        <v>1793264</v>
      </c>
      <c r="Z1958">
        <v>20251130</v>
      </c>
    </row>
    <row r="1959" spans="3:26" x14ac:dyDescent="0.25">
      <c r="C1959">
        <v>10000001</v>
      </c>
      <c r="D1959" t="s">
        <v>1561</v>
      </c>
      <c r="F1959">
        <v>1793264</v>
      </c>
      <c r="H1959" t="s">
        <v>1561</v>
      </c>
      <c r="I1959">
        <v>40</v>
      </c>
      <c r="J1959" s="1">
        <v>25000</v>
      </c>
      <c r="K1959" t="s">
        <v>26</v>
      </c>
      <c r="L1959" s="1">
        <v>25000</v>
      </c>
      <c r="M1959" t="s">
        <v>26</v>
      </c>
      <c r="Q1959" t="s">
        <v>27</v>
      </c>
      <c r="T1959" t="s">
        <v>1443</v>
      </c>
      <c r="X1959" t="s">
        <v>30</v>
      </c>
      <c r="Y1959">
        <v>1793264</v>
      </c>
      <c r="Z1959">
        <v>20251130</v>
      </c>
    </row>
    <row r="1960" spans="3:26" x14ac:dyDescent="0.25">
      <c r="C1960">
        <v>10000001</v>
      </c>
      <c r="D1960" t="s">
        <v>1561</v>
      </c>
      <c r="F1960">
        <v>1793264</v>
      </c>
      <c r="H1960" t="s">
        <v>1561</v>
      </c>
      <c r="I1960">
        <v>40</v>
      </c>
      <c r="J1960" s="1">
        <v>50000</v>
      </c>
      <c r="K1960" t="s">
        <v>26</v>
      </c>
      <c r="L1960" s="1">
        <v>50000</v>
      </c>
      <c r="M1960" t="s">
        <v>26</v>
      </c>
      <c r="Q1960" t="s">
        <v>27</v>
      </c>
      <c r="T1960" t="s">
        <v>1335</v>
      </c>
      <c r="X1960" t="s">
        <v>30</v>
      </c>
      <c r="Y1960">
        <v>1793264</v>
      </c>
      <c r="Z1960">
        <v>20251130</v>
      </c>
    </row>
    <row r="1961" spans="3:26" x14ac:dyDescent="0.25">
      <c r="C1961">
        <v>10000001</v>
      </c>
      <c r="D1961" t="s">
        <v>1561</v>
      </c>
      <c r="F1961">
        <v>1793264</v>
      </c>
      <c r="H1961" t="s">
        <v>1561</v>
      </c>
      <c r="I1961">
        <v>40</v>
      </c>
      <c r="J1961" s="1">
        <v>50000</v>
      </c>
      <c r="K1961" t="s">
        <v>26</v>
      </c>
      <c r="L1961" s="1">
        <v>50000</v>
      </c>
      <c r="M1961" t="s">
        <v>26</v>
      </c>
      <c r="Q1961" t="s">
        <v>27</v>
      </c>
      <c r="T1961" t="s">
        <v>1334</v>
      </c>
      <c r="X1961" t="s">
        <v>30</v>
      </c>
      <c r="Y1961">
        <v>1793264</v>
      </c>
      <c r="Z1961">
        <v>20251130</v>
      </c>
    </row>
    <row r="1962" spans="3:26" x14ac:dyDescent="0.25">
      <c r="C1962">
        <v>10000001</v>
      </c>
      <c r="D1962" t="s">
        <v>1561</v>
      </c>
      <c r="F1962">
        <v>1793264</v>
      </c>
      <c r="H1962" t="s">
        <v>1561</v>
      </c>
      <c r="I1962">
        <v>40</v>
      </c>
      <c r="J1962" s="1">
        <v>50000</v>
      </c>
      <c r="K1962" t="s">
        <v>26</v>
      </c>
      <c r="L1962" s="1">
        <v>50000</v>
      </c>
      <c r="M1962" t="s">
        <v>26</v>
      </c>
      <c r="Q1962" t="s">
        <v>27</v>
      </c>
      <c r="T1962" t="s">
        <v>1355</v>
      </c>
      <c r="X1962" t="s">
        <v>30</v>
      </c>
      <c r="Y1962">
        <v>1793264</v>
      </c>
      <c r="Z1962">
        <v>20251130</v>
      </c>
    </row>
    <row r="1963" spans="3:26" x14ac:dyDescent="0.25">
      <c r="C1963">
        <v>10000001</v>
      </c>
      <c r="D1963" t="s">
        <v>1561</v>
      </c>
      <c r="F1963">
        <v>1793264</v>
      </c>
      <c r="H1963" t="s">
        <v>1561</v>
      </c>
      <c r="I1963">
        <v>40</v>
      </c>
      <c r="J1963" s="1">
        <v>75000</v>
      </c>
      <c r="K1963" t="s">
        <v>26</v>
      </c>
      <c r="L1963" s="1">
        <v>75000</v>
      </c>
      <c r="M1963" t="s">
        <v>26</v>
      </c>
      <c r="Q1963" t="s">
        <v>27</v>
      </c>
      <c r="T1963" t="s">
        <v>1423</v>
      </c>
      <c r="X1963" t="s">
        <v>30</v>
      </c>
      <c r="Y1963">
        <v>1793264</v>
      </c>
      <c r="Z1963">
        <v>20251130</v>
      </c>
    </row>
    <row r="1964" spans="3:26" x14ac:dyDescent="0.25">
      <c r="C1964">
        <v>10000001</v>
      </c>
      <c r="D1964" t="s">
        <v>1561</v>
      </c>
      <c r="F1964">
        <v>1793264</v>
      </c>
      <c r="H1964" t="s">
        <v>1561</v>
      </c>
      <c r="I1964">
        <v>40</v>
      </c>
      <c r="J1964" s="1">
        <v>50000</v>
      </c>
      <c r="K1964" t="s">
        <v>26</v>
      </c>
      <c r="L1964" s="1">
        <v>50000</v>
      </c>
      <c r="M1964" t="s">
        <v>26</v>
      </c>
      <c r="Q1964" t="s">
        <v>27</v>
      </c>
      <c r="T1964" t="s">
        <v>1421</v>
      </c>
      <c r="X1964" t="s">
        <v>30</v>
      </c>
      <c r="Y1964">
        <v>1793264</v>
      </c>
      <c r="Z1964">
        <v>20251130</v>
      </c>
    </row>
    <row r="1965" spans="3:26" x14ac:dyDescent="0.25">
      <c r="C1965">
        <v>10000001</v>
      </c>
      <c r="D1965" t="s">
        <v>1561</v>
      </c>
      <c r="F1965">
        <v>1793264</v>
      </c>
      <c r="H1965" t="s">
        <v>1561</v>
      </c>
      <c r="I1965">
        <v>40</v>
      </c>
      <c r="J1965" s="1">
        <v>75000</v>
      </c>
      <c r="K1965" t="s">
        <v>26</v>
      </c>
      <c r="L1965" s="1">
        <v>75000</v>
      </c>
      <c r="M1965" t="s">
        <v>26</v>
      </c>
      <c r="Q1965" t="s">
        <v>27</v>
      </c>
      <c r="T1965" t="s">
        <v>1353</v>
      </c>
      <c r="X1965" t="s">
        <v>30</v>
      </c>
      <c r="Y1965">
        <v>1793264</v>
      </c>
      <c r="Z1965">
        <v>20251130</v>
      </c>
    </row>
    <row r="1966" spans="3:26" x14ac:dyDescent="0.25">
      <c r="C1966">
        <v>10000001</v>
      </c>
      <c r="D1966" t="s">
        <v>1561</v>
      </c>
      <c r="F1966">
        <v>1793264</v>
      </c>
      <c r="H1966" t="s">
        <v>1561</v>
      </c>
      <c r="I1966">
        <v>40</v>
      </c>
      <c r="J1966" s="1">
        <v>75000</v>
      </c>
      <c r="K1966" t="s">
        <v>26</v>
      </c>
      <c r="L1966" s="1">
        <v>75000</v>
      </c>
      <c r="M1966" t="s">
        <v>26</v>
      </c>
      <c r="Q1966" t="s">
        <v>27</v>
      </c>
      <c r="T1966" t="s">
        <v>1351</v>
      </c>
      <c r="X1966" t="s">
        <v>30</v>
      </c>
      <c r="Y1966">
        <v>1793264</v>
      </c>
      <c r="Z1966">
        <v>20251130</v>
      </c>
    </row>
    <row r="1967" spans="3:26" x14ac:dyDescent="0.25">
      <c r="C1967">
        <v>10000001</v>
      </c>
      <c r="D1967" t="s">
        <v>1561</v>
      </c>
      <c r="F1967">
        <v>1793264</v>
      </c>
      <c r="H1967" t="s">
        <v>1561</v>
      </c>
      <c r="I1967">
        <v>40</v>
      </c>
      <c r="J1967" s="1">
        <v>601200</v>
      </c>
      <c r="K1967" t="s">
        <v>26</v>
      </c>
      <c r="L1967" s="1">
        <v>601200</v>
      </c>
      <c r="M1967" t="s">
        <v>26</v>
      </c>
      <c r="Q1967" t="s">
        <v>27</v>
      </c>
      <c r="T1967" t="s">
        <v>1470</v>
      </c>
      <c r="X1967" t="s">
        <v>30</v>
      </c>
      <c r="Y1967">
        <v>1793264</v>
      </c>
      <c r="Z1967">
        <v>20251130</v>
      </c>
    </row>
    <row r="1968" spans="3:26" x14ac:dyDescent="0.25">
      <c r="C1968">
        <v>10000001</v>
      </c>
      <c r="D1968" t="s">
        <v>1561</v>
      </c>
      <c r="F1968">
        <v>1793264</v>
      </c>
      <c r="H1968" t="s">
        <v>1561</v>
      </c>
      <c r="I1968">
        <v>40</v>
      </c>
      <c r="J1968" s="1">
        <v>396000</v>
      </c>
      <c r="K1968" t="s">
        <v>26</v>
      </c>
      <c r="L1968" s="1">
        <v>396000</v>
      </c>
      <c r="M1968" t="s">
        <v>26</v>
      </c>
      <c r="Q1968" t="s">
        <v>27</v>
      </c>
      <c r="T1968" t="s">
        <v>1448</v>
      </c>
      <c r="X1968" t="s">
        <v>30</v>
      </c>
      <c r="Y1968">
        <v>1793264</v>
      </c>
      <c r="Z1968">
        <v>20251130</v>
      </c>
    </row>
    <row r="1969" spans="3:26" x14ac:dyDescent="0.25">
      <c r="C1969">
        <v>10000001</v>
      </c>
      <c r="D1969" t="s">
        <v>1561</v>
      </c>
      <c r="F1969">
        <v>1793264</v>
      </c>
      <c r="H1969" t="s">
        <v>1561</v>
      </c>
      <c r="I1969">
        <v>40</v>
      </c>
      <c r="J1969" s="1">
        <v>263450</v>
      </c>
      <c r="K1969" t="s">
        <v>26</v>
      </c>
      <c r="L1969" s="1">
        <v>263450</v>
      </c>
      <c r="M1969" t="s">
        <v>26</v>
      </c>
      <c r="Q1969" t="s">
        <v>27</v>
      </c>
      <c r="T1969" t="s">
        <v>1552</v>
      </c>
      <c r="X1969" t="s">
        <v>30</v>
      </c>
      <c r="Y1969">
        <v>1793264</v>
      </c>
      <c r="Z1969">
        <v>20251130</v>
      </c>
    </row>
    <row r="1970" spans="3:26" x14ac:dyDescent="0.25">
      <c r="C1970">
        <v>10000001</v>
      </c>
      <c r="D1970" t="s">
        <v>1561</v>
      </c>
      <c r="F1970">
        <v>1793264</v>
      </c>
      <c r="H1970" t="s">
        <v>1561</v>
      </c>
      <c r="I1970">
        <v>40</v>
      </c>
      <c r="J1970" s="1">
        <v>877100</v>
      </c>
      <c r="K1970" t="s">
        <v>26</v>
      </c>
      <c r="L1970" s="1">
        <v>877100</v>
      </c>
      <c r="M1970" t="s">
        <v>26</v>
      </c>
      <c r="Q1970" t="s">
        <v>27</v>
      </c>
      <c r="T1970" t="s">
        <v>1414</v>
      </c>
      <c r="X1970" t="s">
        <v>30</v>
      </c>
      <c r="Y1970">
        <v>1793264</v>
      </c>
      <c r="Z1970">
        <v>20251130</v>
      </c>
    </row>
    <row r="1971" spans="3:26" x14ac:dyDescent="0.25">
      <c r="C1971">
        <v>10000001</v>
      </c>
      <c r="D1971" t="s">
        <v>1561</v>
      </c>
      <c r="F1971">
        <v>1793264</v>
      </c>
      <c r="H1971" t="s">
        <v>1561</v>
      </c>
      <c r="I1971">
        <v>40</v>
      </c>
      <c r="J1971" s="1">
        <v>350000</v>
      </c>
      <c r="K1971" t="s">
        <v>26</v>
      </c>
      <c r="L1971" s="1">
        <v>350000</v>
      </c>
      <c r="M1971" t="s">
        <v>26</v>
      </c>
      <c r="Q1971" t="s">
        <v>27</v>
      </c>
      <c r="T1971" t="s">
        <v>1399</v>
      </c>
      <c r="X1971" t="s">
        <v>30</v>
      </c>
      <c r="Y1971">
        <v>1793264</v>
      </c>
      <c r="Z1971">
        <v>20251130</v>
      </c>
    </row>
    <row r="1972" spans="3:26" x14ac:dyDescent="0.25">
      <c r="C1972">
        <v>10000001</v>
      </c>
      <c r="D1972" t="s">
        <v>1561</v>
      </c>
      <c r="F1972">
        <v>1793264</v>
      </c>
      <c r="H1972" t="s">
        <v>1561</v>
      </c>
      <c r="I1972">
        <v>40</v>
      </c>
      <c r="J1972" s="1">
        <v>400000</v>
      </c>
      <c r="K1972" t="s">
        <v>26</v>
      </c>
      <c r="L1972" s="1">
        <v>400000</v>
      </c>
      <c r="M1972" t="s">
        <v>26</v>
      </c>
      <c r="Q1972" t="s">
        <v>27</v>
      </c>
      <c r="T1972" t="s">
        <v>1492</v>
      </c>
      <c r="X1972" t="s">
        <v>30</v>
      </c>
      <c r="Y1972">
        <v>1793264</v>
      </c>
      <c r="Z1972">
        <v>20251130</v>
      </c>
    </row>
    <row r="1973" spans="3:26" x14ac:dyDescent="0.25">
      <c r="C1973">
        <v>10000001</v>
      </c>
      <c r="D1973" t="s">
        <v>1561</v>
      </c>
      <c r="F1973">
        <v>1793264</v>
      </c>
      <c r="H1973" t="s">
        <v>1561</v>
      </c>
      <c r="I1973">
        <v>40</v>
      </c>
      <c r="J1973" s="1">
        <v>350000</v>
      </c>
      <c r="K1973" t="s">
        <v>26</v>
      </c>
      <c r="L1973" s="1">
        <v>350000</v>
      </c>
      <c r="M1973" t="s">
        <v>26</v>
      </c>
      <c r="Q1973" t="s">
        <v>27</v>
      </c>
      <c r="T1973" t="s">
        <v>1502</v>
      </c>
      <c r="X1973" t="s">
        <v>30</v>
      </c>
      <c r="Y1973">
        <v>1793264</v>
      </c>
      <c r="Z1973">
        <v>20251130</v>
      </c>
    </row>
    <row r="1974" spans="3:26" x14ac:dyDescent="0.25">
      <c r="C1974">
        <v>10000001</v>
      </c>
      <c r="D1974" t="s">
        <v>1561</v>
      </c>
      <c r="F1974">
        <v>1793264</v>
      </c>
      <c r="H1974" t="s">
        <v>1561</v>
      </c>
      <c r="I1974">
        <v>40</v>
      </c>
      <c r="J1974" s="1">
        <v>500000</v>
      </c>
      <c r="K1974" t="s">
        <v>26</v>
      </c>
      <c r="L1974" s="1">
        <v>500000</v>
      </c>
      <c r="M1974" t="s">
        <v>26</v>
      </c>
      <c r="Q1974" t="s">
        <v>27</v>
      </c>
      <c r="T1974" t="s">
        <v>1314</v>
      </c>
      <c r="X1974" t="s">
        <v>30</v>
      </c>
      <c r="Y1974">
        <v>1793264</v>
      </c>
      <c r="Z1974">
        <v>20251130</v>
      </c>
    </row>
    <row r="1975" spans="3:26" x14ac:dyDescent="0.25">
      <c r="C1975">
        <v>10000001</v>
      </c>
      <c r="D1975" t="s">
        <v>1561</v>
      </c>
      <c r="F1975">
        <v>1793264</v>
      </c>
      <c r="H1975" t="s">
        <v>1561</v>
      </c>
      <c r="I1975">
        <v>40</v>
      </c>
      <c r="J1975" s="1">
        <v>500000</v>
      </c>
      <c r="K1975" t="s">
        <v>26</v>
      </c>
      <c r="L1975" s="1">
        <v>500000</v>
      </c>
      <c r="M1975" t="s">
        <v>26</v>
      </c>
      <c r="Q1975" t="s">
        <v>27</v>
      </c>
      <c r="T1975" t="s">
        <v>1347</v>
      </c>
      <c r="X1975" t="s">
        <v>30</v>
      </c>
      <c r="Y1975">
        <v>1793264</v>
      </c>
      <c r="Z1975">
        <v>20251130</v>
      </c>
    </row>
    <row r="1976" spans="3:26" x14ac:dyDescent="0.25">
      <c r="C1976">
        <v>10000001</v>
      </c>
      <c r="D1976" t="s">
        <v>1561</v>
      </c>
      <c r="F1976">
        <v>1793264</v>
      </c>
      <c r="H1976" t="s">
        <v>1561</v>
      </c>
      <c r="I1976">
        <v>40</v>
      </c>
      <c r="J1976" s="1">
        <v>162060</v>
      </c>
      <c r="K1976" t="s">
        <v>26</v>
      </c>
      <c r="L1976" s="1">
        <v>162060</v>
      </c>
      <c r="M1976" t="s">
        <v>26</v>
      </c>
      <c r="Q1976" t="s">
        <v>27</v>
      </c>
      <c r="T1976" t="s">
        <v>1547</v>
      </c>
      <c r="X1976" t="s">
        <v>30</v>
      </c>
      <c r="Y1976">
        <v>1793264</v>
      </c>
      <c r="Z1976">
        <v>20251130</v>
      </c>
    </row>
    <row r="1977" spans="3:26" x14ac:dyDescent="0.25">
      <c r="C1977">
        <v>10000001</v>
      </c>
      <c r="D1977" t="s">
        <v>1561</v>
      </c>
      <c r="F1977">
        <v>1793264</v>
      </c>
      <c r="H1977" t="s">
        <v>1561</v>
      </c>
      <c r="I1977">
        <v>40</v>
      </c>
      <c r="J1977" s="1">
        <v>489500</v>
      </c>
      <c r="K1977" t="s">
        <v>26</v>
      </c>
      <c r="L1977" s="1">
        <v>489500</v>
      </c>
      <c r="M1977" t="s">
        <v>26</v>
      </c>
      <c r="Q1977" t="s">
        <v>27</v>
      </c>
      <c r="T1977" t="s">
        <v>1215</v>
      </c>
      <c r="X1977" t="s">
        <v>30</v>
      </c>
      <c r="Y1977">
        <v>1793264</v>
      </c>
      <c r="Z1977">
        <v>20251130</v>
      </c>
    </row>
    <row r="1978" spans="3:26" x14ac:dyDescent="0.25">
      <c r="C1978">
        <v>10000001</v>
      </c>
      <c r="D1978" t="s">
        <v>1561</v>
      </c>
      <c r="F1978">
        <v>1793264</v>
      </c>
      <c r="H1978" t="s">
        <v>1561</v>
      </c>
      <c r="I1978">
        <v>40</v>
      </c>
      <c r="J1978" s="1">
        <v>176000</v>
      </c>
      <c r="K1978" t="s">
        <v>26</v>
      </c>
      <c r="L1978" s="1">
        <v>176000</v>
      </c>
      <c r="M1978" t="s">
        <v>26</v>
      </c>
      <c r="Q1978" t="s">
        <v>27</v>
      </c>
      <c r="T1978" t="s">
        <v>1295</v>
      </c>
      <c r="X1978" t="s">
        <v>30</v>
      </c>
      <c r="Y1978">
        <v>1793264</v>
      </c>
      <c r="Z1978">
        <v>20251130</v>
      </c>
    </row>
    <row r="1979" spans="3:26" x14ac:dyDescent="0.25">
      <c r="C1979">
        <v>10000001</v>
      </c>
      <c r="D1979" t="s">
        <v>1561</v>
      </c>
      <c r="F1979">
        <v>1793264</v>
      </c>
      <c r="H1979" t="s">
        <v>1561</v>
      </c>
      <c r="I1979">
        <v>40</v>
      </c>
      <c r="J1979" s="1">
        <v>256000</v>
      </c>
      <c r="K1979" t="s">
        <v>26</v>
      </c>
      <c r="L1979" s="1">
        <v>256000</v>
      </c>
      <c r="M1979" t="s">
        <v>26</v>
      </c>
      <c r="Q1979" t="s">
        <v>27</v>
      </c>
      <c r="T1979" t="s">
        <v>1316</v>
      </c>
      <c r="X1979" t="s">
        <v>30</v>
      </c>
      <c r="Y1979">
        <v>1793264</v>
      </c>
      <c r="Z1979">
        <v>20251130</v>
      </c>
    </row>
    <row r="1980" spans="3:26" x14ac:dyDescent="0.25">
      <c r="C1980">
        <v>10000001</v>
      </c>
      <c r="D1980" t="s">
        <v>1561</v>
      </c>
      <c r="F1980">
        <v>1793264</v>
      </c>
      <c r="H1980" t="s">
        <v>1561</v>
      </c>
      <c r="I1980">
        <v>40</v>
      </c>
      <c r="J1980" s="1">
        <v>290500</v>
      </c>
      <c r="K1980" t="s">
        <v>26</v>
      </c>
      <c r="L1980" s="1">
        <v>290500</v>
      </c>
      <c r="M1980" t="s">
        <v>26</v>
      </c>
      <c r="Q1980" t="s">
        <v>27</v>
      </c>
      <c r="T1980" t="s">
        <v>1454</v>
      </c>
      <c r="X1980" t="s">
        <v>30</v>
      </c>
      <c r="Y1980">
        <v>1793264</v>
      </c>
      <c r="Z1980">
        <v>20251130</v>
      </c>
    </row>
    <row r="1981" spans="3:26" x14ac:dyDescent="0.25">
      <c r="C1981">
        <v>10000001</v>
      </c>
      <c r="D1981" t="s">
        <v>1561</v>
      </c>
      <c r="F1981">
        <v>1793264</v>
      </c>
      <c r="H1981" t="s">
        <v>1561</v>
      </c>
      <c r="I1981">
        <v>40</v>
      </c>
      <c r="J1981" s="1">
        <v>167756</v>
      </c>
      <c r="K1981" t="s">
        <v>26</v>
      </c>
      <c r="L1981" s="1">
        <v>167756</v>
      </c>
      <c r="M1981" t="s">
        <v>26</v>
      </c>
      <c r="Q1981" t="s">
        <v>27</v>
      </c>
      <c r="T1981" t="s">
        <v>1471</v>
      </c>
      <c r="X1981" t="s">
        <v>30</v>
      </c>
      <c r="Y1981">
        <v>1793264</v>
      </c>
      <c r="Z1981">
        <v>20251130</v>
      </c>
    </row>
    <row r="1982" spans="3:26" x14ac:dyDescent="0.25">
      <c r="C1982">
        <v>10000001</v>
      </c>
      <c r="D1982" t="s">
        <v>1561</v>
      </c>
      <c r="F1982">
        <v>1793264</v>
      </c>
      <c r="H1982" t="s">
        <v>1561</v>
      </c>
      <c r="I1982">
        <v>40</v>
      </c>
      <c r="J1982" s="1">
        <v>443000</v>
      </c>
      <c r="K1982" t="s">
        <v>26</v>
      </c>
      <c r="L1982" s="1">
        <v>443000</v>
      </c>
      <c r="M1982" t="s">
        <v>26</v>
      </c>
      <c r="Q1982" t="s">
        <v>27</v>
      </c>
      <c r="T1982" t="s">
        <v>1289</v>
      </c>
      <c r="X1982" t="s">
        <v>30</v>
      </c>
      <c r="Y1982">
        <v>1793264</v>
      </c>
      <c r="Z1982">
        <v>20251130</v>
      </c>
    </row>
    <row r="1983" spans="3:26" x14ac:dyDescent="0.25">
      <c r="C1983">
        <v>10000001</v>
      </c>
      <c r="D1983" t="s">
        <v>1561</v>
      </c>
      <c r="F1983">
        <v>1793264</v>
      </c>
      <c r="H1983" t="s">
        <v>1561</v>
      </c>
      <c r="I1983">
        <v>40</v>
      </c>
      <c r="J1983" s="1">
        <v>430000</v>
      </c>
      <c r="K1983" t="s">
        <v>26</v>
      </c>
      <c r="L1983" s="1">
        <v>430000</v>
      </c>
      <c r="M1983" t="s">
        <v>26</v>
      </c>
      <c r="Q1983" t="s">
        <v>27</v>
      </c>
      <c r="T1983" t="s">
        <v>1516</v>
      </c>
      <c r="X1983" t="s">
        <v>30</v>
      </c>
      <c r="Y1983">
        <v>1793264</v>
      </c>
      <c r="Z1983">
        <v>20251130</v>
      </c>
    </row>
    <row r="1984" spans="3:26" x14ac:dyDescent="0.25">
      <c r="C1984">
        <v>10000001</v>
      </c>
      <c r="D1984" t="s">
        <v>1561</v>
      </c>
      <c r="F1984">
        <v>1793264</v>
      </c>
      <c r="H1984" t="s">
        <v>1561</v>
      </c>
      <c r="I1984">
        <v>40</v>
      </c>
      <c r="J1984" s="1">
        <v>50000</v>
      </c>
      <c r="K1984" t="s">
        <v>26</v>
      </c>
      <c r="L1984" s="1">
        <v>50000</v>
      </c>
      <c r="M1984" t="s">
        <v>26</v>
      </c>
      <c r="Q1984" t="s">
        <v>27</v>
      </c>
      <c r="T1984" t="s">
        <v>1510</v>
      </c>
      <c r="X1984" t="s">
        <v>30</v>
      </c>
      <c r="Y1984">
        <v>1793264</v>
      </c>
      <c r="Z1984">
        <v>20251130</v>
      </c>
    </row>
    <row r="1985" spans="3:26" x14ac:dyDescent="0.25">
      <c r="C1985">
        <v>10000001</v>
      </c>
      <c r="D1985" t="s">
        <v>1561</v>
      </c>
      <c r="F1985">
        <v>1793264</v>
      </c>
      <c r="H1985" t="s">
        <v>1561</v>
      </c>
      <c r="I1985">
        <v>40</v>
      </c>
      <c r="J1985" s="1">
        <v>385000</v>
      </c>
      <c r="K1985" t="s">
        <v>26</v>
      </c>
      <c r="L1985" s="1">
        <v>385000</v>
      </c>
      <c r="M1985" t="s">
        <v>26</v>
      </c>
      <c r="Q1985" t="s">
        <v>27</v>
      </c>
      <c r="T1985" t="s">
        <v>1306</v>
      </c>
      <c r="X1985" t="s">
        <v>30</v>
      </c>
      <c r="Y1985">
        <v>1793264</v>
      </c>
      <c r="Z1985">
        <v>20251130</v>
      </c>
    </row>
    <row r="1986" spans="3:26" x14ac:dyDescent="0.25">
      <c r="C1986">
        <v>10000001</v>
      </c>
      <c r="D1986" t="s">
        <v>1561</v>
      </c>
      <c r="F1986">
        <v>1793264</v>
      </c>
      <c r="H1986" t="s">
        <v>1561</v>
      </c>
      <c r="I1986">
        <v>40</v>
      </c>
      <c r="J1986" s="1">
        <v>80000</v>
      </c>
      <c r="K1986" t="s">
        <v>26</v>
      </c>
      <c r="L1986" s="1">
        <v>80000</v>
      </c>
      <c r="M1986" t="s">
        <v>26</v>
      </c>
      <c r="Q1986" t="s">
        <v>27</v>
      </c>
      <c r="T1986" t="s">
        <v>1504</v>
      </c>
      <c r="X1986" t="s">
        <v>30</v>
      </c>
      <c r="Y1986">
        <v>1793264</v>
      </c>
      <c r="Z1986">
        <v>20251130</v>
      </c>
    </row>
    <row r="1987" spans="3:26" x14ac:dyDescent="0.25">
      <c r="C1987">
        <v>10000001</v>
      </c>
      <c r="D1987" t="s">
        <v>1561</v>
      </c>
      <c r="F1987">
        <v>1793264</v>
      </c>
      <c r="H1987" t="s">
        <v>1561</v>
      </c>
      <c r="I1987">
        <v>40</v>
      </c>
      <c r="J1987" s="1">
        <v>118400</v>
      </c>
      <c r="K1987" t="s">
        <v>26</v>
      </c>
      <c r="L1987" s="1">
        <v>118400</v>
      </c>
      <c r="M1987" t="s">
        <v>26</v>
      </c>
      <c r="Q1987" t="s">
        <v>27</v>
      </c>
      <c r="T1987" t="s">
        <v>1426</v>
      </c>
      <c r="X1987" t="s">
        <v>30</v>
      </c>
      <c r="Y1987">
        <v>1793264</v>
      </c>
      <c r="Z1987">
        <v>20251130</v>
      </c>
    </row>
    <row r="1988" spans="3:26" x14ac:dyDescent="0.25">
      <c r="C1988">
        <v>10000001</v>
      </c>
      <c r="D1988" t="s">
        <v>1561</v>
      </c>
      <c r="F1988">
        <v>1793264</v>
      </c>
      <c r="H1988" t="s">
        <v>1561</v>
      </c>
      <c r="I1988">
        <v>40</v>
      </c>
      <c r="J1988" s="1">
        <v>715000</v>
      </c>
      <c r="K1988" t="s">
        <v>26</v>
      </c>
      <c r="L1988" s="1">
        <v>715000</v>
      </c>
      <c r="M1988" t="s">
        <v>26</v>
      </c>
      <c r="Q1988" t="s">
        <v>27</v>
      </c>
      <c r="T1988" t="s">
        <v>1299</v>
      </c>
      <c r="X1988" t="s">
        <v>30</v>
      </c>
      <c r="Y1988">
        <v>1793264</v>
      </c>
      <c r="Z1988">
        <v>20251130</v>
      </c>
    </row>
    <row r="1989" spans="3:26" x14ac:dyDescent="0.25">
      <c r="C1989">
        <v>10000001</v>
      </c>
      <c r="D1989" t="s">
        <v>1561</v>
      </c>
      <c r="F1989">
        <v>1793264</v>
      </c>
      <c r="H1989" t="s">
        <v>1561</v>
      </c>
      <c r="I1989">
        <v>40</v>
      </c>
      <c r="J1989" s="1">
        <v>530000</v>
      </c>
      <c r="K1989" t="s">
        <v>26</v>
      </c>
      <c r="L1989" s="1">
        <v>530000</v>
      </c>
      <c r="M1989" t="s">
        <v>26</v>
      </c>
      <c r="Q1989" t="s">
        <v>27</v>
      </c>
      <c r="T1989" t="s">
        <v>1549</v>
      </c>
      <c r="X1989" t="s">
        <v>30</v>
      </c>
      <c r="Y1989">
        <v>1793264</v>
      </c>
      <c r="Z1989">
        <v>20251130</v>
      </c>
    </row>
    <row r="1990" spans="3:26" x14ac:dyDescent="0.25">
      <c r="C1990">
        <v>10000001</v>
      </c>
      <c r="D1990" t="s">
        <v>1561</v>
      </c>
      <c r="F1990">
        <v>1793264</v>
      </c>
      <c r="H1990" t="s">
        <v>1561</v>
      </c>
      <c r="I1990">
        <v>40</v>
      </c>
      <c r="J1990" s="1">
        <v>543200</v>
      </c>
      <c r="K1990" t="s">
        <v>26</v>
      </c>
      <c r="L1990" s="1">
        <v>543200</v>
      </c>
      <c r="M1990" t="s">
        <v>26</v>
      </c>
      <c r="Q1990" t="s">
        <v>27</v>
      </c>
      <c r="T1990" t="s">
        <v>1512</v>
      </c>
      <c r="X1990" t="s">
        <v>30</v>
      </c>
      <c r="Y1990">
        <v>1793264</v>
      </c>
      <c r="Z1990">
        <v>20251130</v>
      </c>
    </row>
    <row r="1991" spans="3:26" x14ac:dyDescent="0.25">
      <c r="C1991">
        <v>10000001</v>
      </c>
      <c r="D1991" t="s">
        <v>1561</v>
      </c>
      <c r="F1991">
        <v>1793264</v>
      </c>
      <c r="H1991" t="s">
        <v>1561</v>
      </c>
      <c r="I1991">
        <v>40</v>
      </c>
      <c r="J1991" s="1">
        <v>100000</v>
      </c>
      <c r="K1991" t="s">
        <v>26</v>
      </c>
      <c r="L1991" s="1">
        <v>100000</v>
      </c>
      <c r="M1991" t="s">
        <v>26</v>
      </c>
      <c r="Q1991" t="s">
        <v>27</v>
      </c>
      <c r="T1991" t="s">
        <v>1345</v>
      </c>
      <c r="X1991" t="s">
        <v>30</v>
      </c>
      <c r="Y1991">
        <v>1793264</v>
      </c>
      <c r="Z1991">
        <v>20251130</v>
      </c>
    </row>
    <row r="1992" spans="3:26" x14ac:dyDescent="0.25">
      <c r="C1992">
        <v>10000001</v>
      </c>
      <c r="D1992" t="s">
        <v>1561</v>
      </c>
      <c r="F1992">
        <v>1793264</v>
      </c>
      <c r="H1992" t="s">
        <v>1561</v>
      </c>
      <c r="I1992">
        <v>40</v>
      </c>
      <c r="J1992" s="1">
        <v>208000</v>
      </c>
      <c r="K1992" t="s">
        <v>26</v>
      </c>
      <c r="L1992" s="1">
        <v>208000</v>
      </c>
      <c r="M1992" t="s">
        <v>26</v>
      </c>
      <c r="Q1992" t="s">
        <v>27</v>
      </c>
      <c r="T1992" t="s">
        <v>1520</v>
      </c>
      <c r="X1992" t="s">
        <v>30</v>
      </c>
      <c r="Y1992">
        <v>1793264</v>
      </c>
      <c r="Z1992">
        <v>20251130</v>
      </c>
    </row>
    <row r="1993" spans="3:26" x14ac:dyDescent="0.25">
      <c r="C1993">
        <v>10000001</v>
      </c>
      <c r="D1993" t="s">
        <v>1561</v>
      </c>
      <c r="F1993">
        <v>1793264</v>
      </c>
      <c r="H1993" t="s">
        <v>1561</v>
      </c>
      <c r="I1993">
        <v>40</v>
      </c>
      <c r="J1993" s="1">
        <v>262820</v>
      </c>
      <c r="K1993" t="s">
        <v>26</v>
      </c>
      <c r="L1993" s="1">
        <v>262820</v>
      </c>
      <c r="M1993" t="s">
        <v>26</v>
      </c>
      <c r="Q1993" t="s">
        <v>27</v>
      </c>
      <c r="T1993" t="s">
        <v>1424</v>
      </c>
      <c r="X1993" t="s">
        <v>30</v>
      </c>
      <c r="Y1993">
        <v>1793264</v>
      </c>
      <c r="Z1993">
        <v>20251130</v>
      </c>
    </row>
    <row r="1994" spans="3:26" x14ac:dyDescent="0.25">
      <c r="C1994">
        <v>10000001</v>
      </c>
      <c r="D1994" t="s">
        <v>1561</v>
      </c>
      <c r="F1994">
        <v>1793264</v>
      </c>
      <c r="H1994" t="s">
        <v>1561</v>
      </c>
      <c r="I1994">
        <v>40</v>
      </c>
      <c r="J1994" s="1">
        <v>423500</v>
      </c>
      <c r="K1994" t="s">
        <v>26</v>
      </c>
      <c r="L1994" s="1">
        <v>423500</v>
      </c>
      <c r="M1994" t="s">
        <v>26</v>
      </c>
      <c r="Q1994" t="s">
        <v>27</v>
      </c>
      <c r="T1994" t="s">
        <v>1473</v>
      </c>
      <c r="X1994" t="s">
        <v>30</v>
      </c>
      <c r="Y1994">
        <v>1793264</v>
      </c>
      <c r="Z1994">
        <v>20251130</v>
      </c>
    </row>
    <row r="1995" spans="3:26" x14ac:dyDescent="0.25">
      <c r="C1995">
        <v>10000001</v>
      </c>
      <c r="D1995" t="s">
        <v>1561</v>
      </c>
      <c r="F1995">
        <v>1793264</v>
      </c>
      <c r="H1995" t="s">
        <v>1561</v>
      </c>
      <c r="I1995">
        <v>40</v>
      </c>
      <c r="J1995" s="1">
        <v>302000</v>
      </c>
      <c r="K1995" t="s">
        <v>26</v>
      </c>
      <c r="L1995" s="1">
        <v>302000</v>
      </c>
      <c r="M1995" t="s">
        <v>26</v>
      </c>
      <c r="Q1995" t="s">
        <v>27</v>
      </c>
      <c r="T1995" t="s">
        <v>1401</v>
      </c>
      <c r="X1995" t="s">
        <v>30</v>
      </c>
      <c r="Y1995">
        <v>1793264</v>
      </c>
      <c r="Z1995">
        <v>20251130</v>
      </c>
    </row>
    <row r="1996" spans="3:26" x14ac:dyDescent="0.25">
      <c r="C1996">
        <v>10000001</v>
      </c>
      <c r="D1996" t="s">
        <v>1561</v>
      </c>
      <c r="F1996">
        <v>1793264</v>
      </c>
      <c r="H1996" t="s">
        <v>1561</v>
      </c>
      <c r="I1996">
        <v>40</v>
      </c>
      <c r="J1996" s="1">
        <v>1000000</v>
      </c>
      <c r="K1996" t="s">
        <v>26</v>
      </c>
      <c r="L1996" s="1">
        <v>1000000</v>
      </c>
      <c r="M1996" t="s">
        <v>26</v>
      </c>
      <c r="Q1996" t="s">
        <v>27</v>
      </c>
      <c r="T1996" t="s">
        <v>1291</v>
      </c>
      <c r="X1996" t="s">
        <v>30</v>
      </c>
      <c r="Y1996">
        <v>1793264</v>
      </c>
      <c r="Z1996">
        <v>20251130</v>
      </c>
    </row>
    <row r="1997" spans="3:26" x14ac:dyDescent="0.25">
      <c r="C1997">
        <v>10000001</v>
      </c>
      <c r="D1997" t="s">
        <v>1561</v>
      </c>
      <c r="F1997">
        <v>1793264</v>
      </c>
      <c r="H1997" t="s">
        <v>1561</v>
      </c>
      <c r="I1997">
        <v>40</v>
      </c>
      <c r="J1997" s="1">
        <v>1000000</v>
      </c>
      <c r="K1997" t="s">
        <v>26</v>
      </c>
      <c r="L1997" s="1">
        <v>1000000</v>
      </c>
      <c r="M1997" t="s">
        <v>26</v>
      </c>
      <c r="Q1997" t="s">
        <v>27</v>
      </c>
      <c r="T1997" t="s">
        <v>1418</v>
      </c>
      <c r="X1997" t="s">
        <v>30</v>
      </c>
      <c r="Y1997">
        <v>1793264</v>
      </c>
      <c r="Z1997">
        <v>20251130</v>
      </c>
    </row>
    <row r="1998" spans="3:26" x14ac:dyDescent="0.25">
      <c r="C1998">
        <v>10000001</v>
      </c>
      <c r="D1998" t="s">
        <v>1561</v>
      </c>
      <c r="F1998">
        <v>1793264</v>
      </c>
      <c r="H1998" t="s">
        <v>1561</v>
      </c>
      <c r="I1998">
        <v>40</v>
      </c>
      <c r="J1998" s="1">
        <v>106000</v>
      </c>
      <c r="K1998" t="s">
        <v>26</v>
      </c>
      <c r="L1998" s="1">
        <v>106000</v>
      </c>
      <c r="M1998" t="s">
        <v>26</v>
      </c>
      <c r="Q1998" t="s">
        <v>27</v>
      </c>
      <c r="T1998" t="s">
        <v>1463</v>
      </c>
      <c r="X1998" t="s">
        <v>30</v>
      </c>
      <c r="Y1998">
        <v>1793264</v>
      </c>
      <c r="Z1998">
        <v>20251130</v>
      </c>
    </row>
    <row r="1999" spans="3:26" x14ac:dyDescent="0.25">
      <c r="C1999">
        <v>10000001</v>
      </c>
      <c r="D1999" t="s">
        <v>1561</v>
      </c>
      <c r="F1999">
        <v>1793264</v>
      </c>
      <c r="H1999" t="s">
        <v>1561</v>
      </c>
      <c r="I1999">
        <v>40</v>
      </c>
      <c r="J1999" s="1">
        <v>996100</v>
      </c>
      <c r="K1999" t="s">
        <v>26</v>
      </c>
      <c r="L1999" s="1">
        <v>996100</v>
      </c>
      <c r="M1999" t="s">
        <v>26</v>
      </c>
      <c r="Q1999" t="s">
        <v>27</v>
      </c>
      <c r="T1999" t="s">
        <v>1518</v>
      </c>
      <c r="X1999" t="s">
        <v>30</v>
      </c>
      <c r="Y1999">
        <v>1793264</v>
      </c>
      <c r="Z1999">
        <v>20251130</v>
      </c>
    </row>
    <row r="2000" spans="3:26" x14ac:dyDescent="0.25">
      <c r="C2000">
        <v>10000001</v>
      </c>
      <c r="D2000" t="s">
        <v>1561</v>
      </c>
      <c r="F2000">
        <v>1793264</v>
      </c>
      <c r="H2000" t="s">
        <v>1561</v>
      </c>
      <c r="I2000">
        <v>40</v>
      </c>
      <c r="J2000" s="1">
        <v>543510</v>
      </c>
      <c r="K2000" t="s">
        <v>26</v>
      </c>
      <c r="L2000" s="1">
        <v>543510</v>
      </c>
      <c r="M2000" t="s">
        <v>26</v>
      </c>
      <c r="Q2000" t="s">
        <v>27</v>
      </c>
      <c r="T2000" t="s">
        <v>1323</v>
      </c>
      <c r="X2000" t="s">
        <v>30</v>
      </c>
      <c r="Y2000">
        <v>1793264</v>
      </c>
      <c r="Z2000">
        <v>20251130</v>
      </c>
    </row>
    <row r="2001" spans="3:26" x14ac:dyDescent="0.25">
      <c r="C2001">
        <v>10000001</v>
      </c>
      <c r="D2001" t="s">
        <v>1561</v>
      </c>
      <c r="F2001">
        <v>1793264</v>
      </c>
      <c r="H2001" t="s">
        <v>1561</v>
      </c>
      <c r="I2001">
        <v>40</v>
      </c>
      <c r="J2001" s="1">
        <v>945000</v>
      </c>
      <c r="K2001" t="s">
        <v>26</v>
      </c>
      <c r="L2001" s="1">
        <v>945000</v>
      </c>
      <c r="M2001" t="s">
        <v>26</v>
      </c>
      <c r="Q2001" t="s">
        <v>27</v>
      </c>
      <c r="T2001" t="s">
        <v>1287</v>
      </c>
      <c r="X2001" t="s">
        <v>30</v>
      </c>
      <c r="Y2001">
        <v>1793264</v>
      </c>
      <c r="Z2001">
        <v>20251130</v>
      </c>
    </row>
    <row r="2002" spans="3:26" x14ac:dyDescent="0.25">
      <c r="C2002">
        <v>10000001</v>
      </c>
      <c r="D2002" t="s">
        <v>1561</v>
      </c>
      <c r="F2002">
        <v>1793264</v>
      </c>
      <c r="H2002" t="s">
        <v>1561</v>
      </c>
      <c r="I2002">
        <v>40</v>
      </c>
      <c r="J2002" s="1">
        <v>591120</v>
      </c>
      <c r="K2002" t="s">
        <v>26</v>
      </c>
      <c r="L2002" s="1">
        <v>591120</v>
      </c>
      <c r="M2002" t="s">
        <v>26</v>
      </c>
      <c r="Q2002" t="s">
        <v>27</v>
      </c>
      <c r="T2002" t="s">
        <v>1546</v>
      </c>
      <c r="X2002" t="s">
        <v>30</v>
      </c>
      <c r="Y2002">
        <v>1793264</v>
      </c>
      <c r="Z2002">
        <v>20251130</v>
      </c>
    </row>
    <row r="2003" spans="3:26" x14ac:dyDescent="0.25">
      <c r="C2003">
        <v>10000001</v>
      </c>
      <c r="D2003" t="s">
        <v>1561</v>
      </c>
      <c r="F2003">
        <v>1793264</v>
      </c>
      <c r="H2003" t="s">
        <v>1561</v>
      </c>
      <c r="I2003">
        <v>40</v>
      </c>
      <c r="J2003" s="1">
        <v>22000</v>
      </c>
      <c r="K2003" t="s">
        <v>26</v>
      </c>
      <c r="L2003" s="1">
        <v>22000</v>
      </c>
      <c r="M2003" t="s">
        <v>26</v>
      </c>
      <c r="Q2003" t="s">
        <v>27</v>
      </c>
      <c r="T2003" t="s">
        <v>1300</v>
      </c>
      <c r="X2003" t="s">
        <v>30</v>
      </c>
      <c r="Y2003">
        <v>1793264</v>
      </c>
      <c r="Z2003">
        <v>20251130</v>
      </c>
    </row>
    <row r="2004" spans="3:26" x14ac:dyDescent="0.25">
      <c r="C2004">
        <v>10000001</v>
      </c>
      <c r="D2004" t="s">
        <v>1561</v>
      </c>
      <c r="F2004">
        <v>1793264</v>
      </c>
      <c r="H2004" t="s">
        <v>1561</v>
      </c>
      <c r="I2004">
        <v>40</v>
      </c>
      <c r="J2004" s="1">
        <v>225500</v>
      </c>
      <c r="K2004" t="s">
        <v>26</v>
      </c>
      <c r="L2004" s="1">
        <v>225500</v>
      </c>
      <c r="M2004" t="s">
        <v>26</v>
      </c>
      <c r="Q2004" t="s">
        <v>27</v>
      </c>
      <c r="T2004" t="s">
        <v>1425</v>
      </c>
      <c r="X2004" t="s">
        <v>30</v>
      </c>
      <c r="Y2004">
        <v>1793264</v>
      </c>
      <c r="Z2004">
        <v>20251130</v>
      </c>
    </row>
    <row r="2005" spans="3:26" x14ac:dyDescent="0.25">
      <c r="C2005">
        <v>10000001</v>
      </c>
      <c r="D2005" t="s">
        <v>1561</v>
      </c>
      <c r="F2005">
        <v>1793264</v>
      </c>
      <c r="H2005" t="s">
        <v>1561</v>
      </c>
      <c r="I2005">
        <v>40</v>
      </c>
      <c r="J2005" s="1">
        <v>188500</v>
      </c>
      <c r="K2005" t="s">
        <v>26</v>
      </c>
      <c r="L2005" s="1">
        <v>188500</v>
      </c>
      <c r="M2005" t="s">
        <v>26</v>
      </c>
      <c r="Q2005" t="s">
        <v>27</v>
      </c>
      <c r="T2005" t="s">
        <v>1302</v>
      </c>
      <c r="X2005" t="s">
        <v>30</v>
      </c>
      <c r="Y2005">
        <v>1793264</v>
      </c>
      <c r="Z2005">
        <v>20251130</v>
      </c>
    </row>
    <row r="2006" spans="3:26" x14ac:dyDescent="0.25">
      <c r="C2006">
        <v>10000001</v>
      </c>
      <c r="D2006" t="s">
        <v>1561</v>
      </c>
      <c r="F2006">
        <v>1793264</v>
      </c>
      <c r="H2006" t="s">
        <v>1561</v>
      </c>
      <c r="I2006">
        <v>40</v>
      </c>
      <c r="J2006" s="1">
        <v>289600</v>
      </c>
      <c r="K2006" t="s">
        <v>26</v>
      </c>
      <c r="L2006" s="1">
        <v>289600</v>
      </c>
      <c r="M2006" t="s">
        <v>26</v>
      </c>
      <c r="Q2006" t="s">
        <v>27</v>
      </c>
      <c r="T2006" t="s">
        <v>1385</v>
      </c>
      <c r="X2006" t="s">
        <v>30</v>
      </c>
      <c r="Y2006">
        <v>1793264</v>
      </c>
      <c r="Z2006">
        <v>20251130</v>
      </c>
    </row>
    <row r="2007" spans="3:26" x14ac:dyDescent="0.25">
      <c r="C2007">
        <v>10000001</v>
      </c>
      <c r="D2007" t="s">
        <v>1561</v>
      </c>
      <c r="F2007">
        <v>1793264</v>
      </c>
      <c r="H2007" t="s">
        <v>1561</v>
      </c>
      <c r="I2007">
        <v>40</v>
      </c>
      <c r="J2007" s="1">
        <v>159800</v>
      </c>
      <c r="K2007" t="s">
        <v>26</v>
      </c>
      <c r="L2007" s="1">
        <v>159800</v>
      </c>
      <c r="M2007" t="s">
        <v>26</v>
      </c>
      <c r="Q2007" t="s">
        <v>27</v>
      </c>
      <c r="T2007" t="s">
        <v>1462</v>
      </c>
      <c r="X2007" t="s">
        <v>30</v>
      </c>
      <c r="Y2007">
        <v>1793264</v>
      </c>
      <c r="Z2007">
        <v>20251130</v>
      </c>
    </row>
    <row r="2008" spans="3:26" x14ac:dyDescent="0.25">
      <c r="C2008">
        <v>10000001</v>
      </c>
      <c r="D2008" t="s">
        <v>1561</v>
      </c>
      <c r="F2008">
        <v>1793264</v>
      </c>
      <c r="H2008" t="s">
        <v>1561</v>
      </c>
      <c r="I2008">
        <v>40</v>
      </c>
      <c r="J2008" s="1">
        <v>200000</v>
      </c>
      <c r="K2008" t="s">
        <v>26</v>
      </c>
      <c r="L2008" s="1">
        <v>200000</v>
      </c>
      <c r="M2008" t="s">
        <v>26</v>
      </c>
      <c r="Q2008" t="s">
        <v>27</v>
      </c>
      <c r="T2008" t="s">
        <v>1221</v>
      </c>
      <c r="X2008" t="s">
        <v>30</v>
      </c>
      <c r="Y2008">
        <v>1793264</v>
      </c>
      <c r="Z2008">
        <v>20251130</v>
      </c>
    </row>
    <row r="2009" spans="3:26" x14ac:dyDescent="0.25">
      <c r="C2009">
        <v>10000001</v>
      </c>
      <c r="D2009" t="s">
        <v>1561</v>
      </c>
      <c r="F2009">
        <v>1793264</v>
      </c>
      <c r="H2009" t="s">
        <v>1561</v>
      </c>
      <c r="I2009">
        <v>40</v>
      </c>
      <c r="J2009" s="1">
        <v>210500</v>
      </c>
      <c r="K2009" t="s">
        <v>26</v>
      </c>
      <c r="L2009" s="1">
        <v>210500</v>
      </c>
      <c r="M2009" t="s">
        <v>26</v>
      </c>
      <c r="Q2009" t="s">
        <v>27</v>
      </c>
      <c r="T2009" t="s">
        <v>1403</v>
      </c>
      <c r="X2009" t="s">
        <v>30</v>
      </c>
      <c r="Y2009">
        <v>1793264</v>
      </c>
      <c r="Z2009">
        <v>20251130</v>
      </c>
    </row>
    <row r="2010" spans="3:26" x14ac:dyDescent="0.25">
      <c r="C2010">
        <v>10000001</v>
      </c>
      <c r="D2010" t="s">
        <v>1561</v>
      </c>
      <c r="F2010">
        <v>1793264</v>
      </c>
      <c r="H2010" t="s">
        <v>1561</v>
      </c>
      <c r="I2010">
        <v>40</v>
      </c>
      <c r="J2010" s="1">
        <v>180000</v>
      </c>
      <c r="K2010" t="s">
        <v>26</v>
      </c>
      <c r="L2010" s="1">
        <v>180000</v>
      </c>
      <c r="M2010" t="s">
        <v>26</v>
      </c>
      <c r="Q2010" t="s">
        <v>27</v>
      </c>
      <c r="T2010" t="s">
        <v>1304</v>
      </c>
      <c r="X2010" t="s">
        <v>30</v>
      </c>
      <c r="Y2010">
        <v>1793264</v>
      </c>
      <c r="Z2010">
        <v>20251130</v>
      </c>
    </row>
    <row r="2011" spans="3:26" x14ac:dyDescent="0.25">
      <c r="C2011">
        <v>10000001</v>
      </c>
      <c r="D2011" t="s">
        <v>1561</v>
      </c>
      <c r="F2011">
        <v>1793264</v>
      </c>
      <c r="H2011" t="s">
        <v>1561</v>
      </c>
      <c r="I2011">
        <v>40</v>
      </c>
      <c r="J2011" s="1">
        <v>452000</v>
      </c>
      <c r="K2011" t="s">
        <v>26</v>
      </c>
      <c r="L2011" s="1">
        <v>452000</v>
      </c>
      <c r="M2011" t="s">
        <v>26</v>
      </c>
      <c r="Q2011" t="s">
        <v>27</v>
      </c>
      <c r="T2011" t="s">
        <v>181</v>
      </c>
      <c r="X2011" t="s">
        <v>30</v>
      </c>
      <c r="Y2011">
        <v>1793264</v>
      </c>
      <c r="Z2011">
        <v>20251130</v>
      </c>
    </row>
    <row r="2012" spans="3:26" x14ac:dyDescent="0.25">
      <c r="C2012">
        <v>10000001</v>
      </c>
      <c r="D2012" t="s">
        <v>1561</v>
      </c>
      <c r="F2012">
        <v>1793264</v>
      </c>
      <c r="H2012" t="s">
        <v>1561</v>
      </c>
      <c r="I2012">
        <v>40</v>
      </c>
      <c r="J2012" s="1">
        <v>358000</v>
      </c>
      <c r="K2012" t="s">
        <v>26</v>
      </c>
      <c r="L2012" s="1">
        <v>358000</v>
      </c>
      <c r="M2012" t="s">
        <v>26</v>
      </c>
      <c r="Q2012" t="s">
        <v>27</v>
      </c>
      <c r="T2012" t="s">
        <v>179</v>
      </c>
      <c r="X2012" t="s">
        <v>30</v>
      </c>
      <c r="Y2012">
        <v>1793264</v>
      </c>
      <c r="Z2012">
        <v>20251130</v>
      </c>
    </row>
    <row r="2013" spans="3:26" x14ac:dyDescent="0.25">
      <c r="C2013">
        <v>10000001</v>
      </c>
      <c r="D2013" t="s">
        <v>1561</v>
      </c>
      <c r="F2013">
        <v>1793264</v>
      </c>
      <c r="H2013" t="s">
        <v>1561</v>
      </c>
      <c r="I2013">
        <v>40</v>
      </c>
      <c r="J2013" s="1">
        <v>122500</v>
      </c>
      <c r="K2013" t="s">
        <v>26</v>
      </c>
      <c r="L2013" s="1">
        <v>122500</v>
      </c>
      <c r="M2013" t="s">
        <v>26</v>
      </c>
      <c r="Q2013" t="s">
        <v>27</v>
      </c>
      <c r="T2013" t="s">
        <v>1219</v>
      </c>
      <c r="X2013" t="s">
        <v>30</v>
      </c>
      <c r="Y2013">
        <v>1793264</v>
      </c>
      <c r="Z2013">
        <v>20251130</v>
      </c>
    </row>
    <row r="2014" spans="3:26" x14ac:dyDescent="0.25">
      <c r="C2014">
        <v>10000001</v>
      </c>
      <c r="D2014" t="s">
        <v>1561</v>
      </c>
      <c r="F2014">
        <v>1793264</v>
      </c>
      <c r="H2014" t="s">
        <v>1561</v>
      </c>
      <c r="I2014">
        <v>40</v>
      </c>
      <c r="J2014" s="1">
        <v>420500</v>
      </c>
      <c r="K2014" t="s">
        <v>26</v>
      </c>
      <c r="L2014" s="1">
        <v>420500</v>
      </c>
      <c r="M2014" t="s">
        <v>26</v>
      </c>
      <c r="Q2014" t="s">
        <v>27</v>
      </c>
      <c r="T2014" t="s">
        <v>1475</v>
      </c>
      <c r="X2014" t="s">
        <v>30</v>
      </c>
      <c r="Y2014">
        <v>1793264</v>
      </c>
      <c r="Z2014">
        <v>20251130</v>
      </c>
    </row>
    <row r="2015" spans="3:26" x14ac:dyDescent="0.25">
      <c r="C2015">
        <v>10000001</v>
      </c>
      <c r="D2015" t="s">
        <v>1561</v>
      </c>
      <c r="F2015">
        <v>1793264</v>
      </c>
      <c r="H2015" t="s">
        <v>1561</v>
      </c>
      <c r="I2015">
        <v>40</v>
      </c>
      <c r="J2015" s="1">
        <v>417360</v>
      </c>
      <c r="K2015" t="s">
        <v>26</v>
      </c>
      <c r="L2015" s="1">
        <v>417360</v>
      </c>
      <c r="M2015" t="s">
        <v>26</v>
      </c>
      <c r="Q2015" t="s">
        <v>27</v>
      </c>
      <c r="T2015" t="s">
        <v>1555</v>
      </c>
      <c r="X2015" t="s">
        <v>30</v>
      </c>
      <c r="Y2015">
        <v>1793264</v>
      </c>
      <c r="Z2015">
        <v>20251130</v>
      </c>
    </row>
    <row r="2016" spans="3:26" x14ac:dyDescent="0.25">
      <c r="C2016">
        <v>10000001</v>
      </c>
      <c r="D2016" t="s">
        <v>1561</v>
      </c>
      <c r="F2016">
        <v>1793264</v>
      </c>
      <c r="H2016" t="s">
        <v>1561</v>
      </c>
      <c r="I2016">
        <v>40</v>
      </c>
      <c r="J2016" s="1">
        <v>666000</v>
      </c>
      <c r="K2016" t="s">
        <v>26</v>
      </c>
      <c r="L2016" s="1">
        <v>666000</v>
      </c>
      <c r="M2016" t="s">
        <v>26</v>
      </c>
      <c r="Q2016" t="s">
        <v>27</v>
      </c>
      <c r="T2016" t="s">
        <v>1553</v>
      </c>
      <c r="X2016" t="s">
        <v>30</v>
      </c>
      <c r="Y2016">
        <v>1793264</v>
      </c>
      <c r="Z2016">
        <v>20251130</v>
      </c>
    </row>
    <row r="2017" spans="3:26" x14ac:dyDescent="0.25">
      <c r="C2017">
        <v>10000001</v>
      </c>
      <c r="D2017" t="s">
        <v>1561</v>
      </c>
      <c r="F2017">
        <v>1793264</v>
      </c>
      <c r="H2017" t="s">
        <v>1561</v>
      </c>
      <c r="I2017">
        <v>40</v>
      </c>
      <c r="J2017" s="1">
        <v>600000</v>
      </c>
      <c r="K2017" t="s">
        <v>26</v>
      </c>
      <c r="L2017" s="1">
        <v>600000</v>
      </c>
      <c r="M2017" t="s">
        <v>26</v>
      </c>
      <c r="Q2017" t="s">
        <v>27</v>
      </c>
      <c r="T2017" t="s">
        <v>1232</v>
      </c>
      <c r="X2017" t="s">
        <v>30</v>
      </c>
      <c r="Y2017">
        <v>1793264</v>
      </c>
      <c r="Z2017">
        <v>20251130</v>
      </c>
    </row>
    <row r="2018" spans="3:26" x14ac:dyDescent="0.25">
      <c r="C2018">
        <v>10000001</v>
      </c>
      <c r="D2018" t="s">
        <v>1561</v>
      </c>
      <c r="F2018">
        <v>1793264</v>
      </c>
      <c r="H2018" t="s">
        <v>1561</v>
      </c>
      <c r="I2018">
        <v>40</v>
      </c>
      <c r="J2018" s="1">
        <v>174000</v>
      </c>
      <c r="K2018" t="s">
        <v>26</v>
      </c>
      <c r="L2018" s="1">
        <v>174000</v>
      </c>
      <c r="M2018" t="s">
        <v>26</v>
      </c>
      <c r="Q2018" t="s">
        <v>27</v>
      </c>
      <c r="T2018" t="s">
        <v>1388</v>
      </c>
      <c r="X2018" t="s">
        <v>30</v>
      </c>
      <c r="Y2018">
        <v>1793264</v>
      </c>
      <c r="Z2018">
        <v>20251130</v>
      </c>
    </row>
    <row r="2019" spans="3:26" x14ac:dyDescent="0.25">
      <c r="C2019">
        <v>10000001</v>
      </c>
      <c r="D2019" t="s">
        <v>1561</v>
      </c>
      <c r="F2019">
        <v>1793264</v>
      </c>
      <c r="H2019" t="s">
        <v>1561</v>
      </c>
      <c r="I2019">
        <v>40</v>
      </c>
      <c r="J2019" s="1">
        <v>299200</v>
      </c>
      <c r="K2019" t="s">
        <v>26</v>
      </c>
      <c r="L2019" s="1">
        <v>299200</v>
      </c>
      <c r="M2019" t="s">
        <v>26</v>
      </c>
      <c r="Q2019" t="s">
        <v>27</v>
      </c>
      <c r="T2019" t="s">
        <v>1394</v>
      </c>
      <c r="X2019" t="s">
        <v>30</v>
      </c>
      <c r="Y2019">
        <v>1793264</v>
      </c>
      <c r="Z2019">
        <v>20251130</v>
      </c>
    </row>
    <row r="2020" spans="3:26" x14ac:dyDescent="0.25">
      <c r="C2020">
        <v>10000001</v>
      </c>
      <c r="D2020" t="s">
        <v>1561</v>
      </c>
      <c r="F2020">
        <v>1793264</v>
      </c>
      <c r="H2020" t="s">
        <v>1561</v>
      </c>
      <c r="I2020">
        <v>40</v>
      </c>
      <c r="J2020" s="1">
        <v>410000</v>
      </c>
      <c r="K2020" t="s">
        <v>26</v>
      </c>
      <c r="L2020" s="1">
        <v>410000</v>
      </c>
      <c r="M2020" t="s">
        <v>26</v>
      </c>
      <c r="Q2020" t="s">
        <v>27</v>
      </c>
      <c r="T2020" t="s">
        <v>1438</v>
      </c>
      <c r="X2020" t="s">
        <v>30</v>
      </c>
      <c r="Y2020">
        <v>1793264</v>
      </c>
      <c r="Z2020">
        <v>20251130</v>
      </c>
    </row>
    <row r="2021" spans="3:26" x14ac:dyDescent="0.25">
      <c r="C2021">
        <v>10000001</v>
      </c>
      <c r="D2021" t="s">
        <v>1561</v>
      </c>
      <c r="F2021">
        <v>1793264</v>
      </c>
      <c r="H2021" t="s">
        <v>1561</v>
      </c>
      <c r="I2021">
        <v>40</v>
      </c>
      <c r="J2021" s="1">
        <v>410000</v>
      </c>
      <c r="K2021" t="s">
        <v>26</v>
      </c>
      <c r="L2021" s="1">
        <v>410000</v>
      </c>
      <c r="M2021" t="s">
        <v>26</v>
      </c>
      <c r="Q2021" t="s">
        <v>27</v>
      </c>
      <c r="T2021" t="s">
        <v>1439</v>
      </c>
      <c r="X2021" t="s">
        <v>30</v>
      </c>
      <c r="Y2021">
        <v>1793264</v>
      </c>
      <c r="Z2021">
        <v>20251130</v>
      </c>
    </row>
    <row r="2022" spans="3:26" x14ac:dyDescent="0.25">
      <c r="C2022">
        <v>10000001</v>
      </c>
      <c r="D2022" t="s">
        <v>1561</v>
      </c>
      <c r="F2022">
        <v>1793264</v>
      </c>
      <c r="H2022" t="s">
        <v>1561</v>
      </c>
      <c r="I2022">
        <v>40</v>
      </c>
      <c r="J2022" s="1">
        <v>954000</v>
      </c>
      <c r="K2022" t="s">
        <v>26</v>
      </c>
      <c r="L2022" s="1">
        <v>954000</v>
      </c>
      <c r="M2022" t="s">
        <v>26</v>
      </c>
      <c r="Q2022" t="s">
        <v>27</v>
      </c>
      <c r="T2022" t="s">
        <v>1285</v>
      </c>
      <c r="X2022" t="s">
        <v>30</v>
      </c>
      <c r="Y2022">
        <v>1793264</v>
      </c>
      <c r="Z2022">
        <v>20251130</v>
      </c>
    </row>
    <row r="2023" spans="3:26" x14ac:dyDescent="0.25">
      <c r="C2023">
        <v>10000001</v>
      </c>
      <c r="D2023" t="s">
        <v>1561</v>
      </c>
      <c r="F2023">
        <v>1793264</v>
      </c>
      <c r="H2023" t="s">
        <v>1561</v>
      </c>
      <c r="I2023">
        <v>40</v>
      </c>
      <c r="J2023" s="1">
        <v>800000</v>
      </c>
      <c r="K2023" t="s">
        <v>26</v>
      </c>
      <c r="L2023" s="1">
        <v>800000</v>
      </c>
      <c r="M2023" t="s">
        <v>26</v>
      </c>
      <c r="Q2023" t="s">
        <v>27</v>
      </c>
      <c r="T2023" t="s">
        <v>1412</v>
      </c>
      <c r="X2023" t="s">
        <v>30</v>
      </c>
      <c r="Y2023">
        <v>1793264</v>
      </c>
      <c r="Z2023">
        <v>20251130</v>
      </c>
    </row>
    <row r="2024" spans="3:26" x14ac:dyDescent="0.25">
      <c r="C2024">
        <v>10000001</v>
      </c>
      <c r="D2024" t="s">
        <v>1561</v>
      </c>
      <c r="F2024">
        <v>1793264</v>
      </c>
      <c r="H2024" t="s">
        <v>1561</v>
      </c>
      <c r="I2024">
        <v>40</v>
      </c>
      <c r="J2024" s="1">
        <v>490000</v>
      </c>
      <c r="K2024" t="s">
        <v>26</v>
      </c>
      <c r="L2024" s="1">
        <v>490000</v>
      </c>
      <c r="M2024" t="s">
        <v>26</v>
      </c>
      <c r="Q2024" t="s">
        <v>27</v>
      </c>
      <c r="T2024" t="s">
        <v>1410</v>
      </c>
      <c r="X2024" t="s">
        <v>30</v>
      </c>
      <c r="Y2024">
        <v>1793264</v>
      </c>
      <c r="Z2024">
        <v>20251130</v>
      </c>
    </row>
    <row r="2025" spans="3:26" x14ac:dyDescent="0.25">
      <c r="C2025">
        <v>10000001</v>
      </c>
      <c r="D2025" t="s">
        <v>1561</v>
      </c>
      <c r="F2025">
        <v>1793264</v>
      </c>
      <c r="H2025" t="s">
        <v>1561</v>
      </c>
      <c r="I2025">
        <v>40</v>
      </c>
      <c r="J2025" s="1">
        <v>650000</v>
      </c>
      <c r="K2025" t="s">
        <v>26</v>
      </c>
      <c r="L2025" s="1">
        <v>650000</v>
      </c>
      <c r="M2025" t="s">
        <v>26</v>
      </c>
      <c r="Q2025" t="s">
        <v>27</v>
      </c>
      <c r="T2025" t="s">
        <v>1452</v>
      </c>
      <c r="X2025" t="s">
        <v>30</v>
      </c>
      <c r="Y2025">
        <v>1793264</v>
      </c>
      <c r="Z2025">
        <v>20251130</v>
      </c>
    </row>
    <row r="2026" spans="3:26" x14ac:dyDescent="0.25">
      <c r="C2026">
        <v>10000001</v>
      </c>
      <c r="D2026" t="s">
        <v>1561</v>
      </c>
      <c r="F2026">
        <v>1793264</v>
      </c>
      <c r="H2026" t="s">
        <v>1561</v>
      </c>
      <c r="I2026">
        <v>40</v>
      </c>
      <c r="J2026" s="1">
        <v>510000</v>
      </c>
      <c r="K2026" t="s">
        <v>26</v>
      </c>
      <c r="L2026" s="1">
        <v>510000</v>
      </c>
      <c r="M2026" t="s">
        <v>26</v>
      </c>
      <c r="Q2026" t="s">
        <v>27</v>
      </c>
      <c r="T2026" t="s">
        <v>1456</v>
      </c>
      <c r="X2026" t="s">
        <v>30</v>
      </c>
      <c r="Y2026">
        <v>1793264</v>
      </c>
      <c r="Z2026">
        <v>20251130</v>
      </c>
    </row>
    <row r="2027" spans="3:26" x14ac:dyDescent="0.25">
      <c r="C2027">
        <v>10000001</v>
      </c>
      <c r="D2027" t="s">
        <v>1561</v>
      </c>
      <c r="F2027">
        <v>1793264</v>
      </c>
      <c r="H2027" t="s">
        <v>1561</v>
      </c>
      <c r="I2027">
        <v>40</v>
      </c>
      <c r="J2027" s="1">
        <v>780000</v>
      </c>
      <c r="K2027" t="s">
        <v>26</v>
      </c>
      <c r="L2027" s="1">
        <v>780000</v>
      </c>
      <c r="M2027" t="s">
        <v>26</v>
      </c>
      <c r="Q2027" t="s">
        <v>27</v>
      </c>
      <c r="T2027" t="s">
        <v>1465</v>
      </c>
      <c r="X2027" t="s">
        <v>30</v>
      </c>
      <c r="Y2027">
        <v>1793264</v>
      </c>
      <c r="Z2027">
        <v>20251130</v>
      </c>
    </row>
    <row r="2028" spans="3:26" x14ac:dyDescent="0.25">
      <c r="C2028">
        <v>10000001</v>
      </c>
      <c r="D2028" t="s">
        <v>1561</v>
      </c>
      <c r="F2028">
        <v>1793264</v>
      </c>
      <c r="H2028" t="s">
        <v>1561</v>
      </c>
      <c r="I2028">
        <v>40</v>
      </c>
      <c r="J2028" s="1">
        <v>750000</v>
      </c>
      <c r="K2028" t="s">
        <v>26</v>
      </c>
      <c r="L2028" s="1">
        <v>750000</v>
      </c>
      <c r="M2028" t="s">
        <v>26</v>
      </c>
      <c r="Q2028" t="s">
        <v>27</v>
      </c>
      <c r="T2028" t="s">
        <v>1481</v>
      </c>
      <c r="X2028" t="s">
        <v>30</v>
      </c>
      <c r="Y2028">
        <v>1793264</v>
      </c>
      <c r="Z2028">
        <v>20251130</v>
      </c>
    </row>
    <row r="2029" spans="3:26" x14ac:dyDescent="0.25">
      <c r="C2029">
        <v>10000001</v>
      </c>
      <c r="D2029" t="s">
        <v>1561</v>
      </c>
      <c r="F2029">
        <v>1793264</v>
      </c>
      <c r="H2029" t="s">
        <v>1561</v>
      </c>
      <c r="I2029">
        <v>40</v>
      </c>
      <c r="J2029" s="1">
        <v>740000</v>
      </c>
      <c r="K2029" t="s">
        <v>26</v>
      </c>
      <c r="L2029" s="1">
        <v>740000</v>
      </c>
      <c r="M2029" t="s">
        <v>26</v>
      </c>
      <c r="Q2029" t="s">
        <v>27</v>
      </c>
      <c r="T2029" t="s">
        <v>1490</v>
      </c>
      <c r="X2029" t="s">
        <v>30</v>
      </c>
      <c r="Y2029">
        <v>1793264</v>
      </c>
      <c r="Z2029">
        <v>20251130</v>
      </c>
    </row>
    <row r="2030" spans="3:26" x14ac:dyDescent="0.25">
      <c r="C2030">
        <v>10000001</v>
      </c>
      <c r="D2030" t="s">
        <v>1561</v>
      </c>
      <c r="F2030">
        <v>1793264</v>
      </c>
      <c r="H2030" t="s">
        <v>1561</v>
      </c>
      <c r="I2030">
        <v>40</v>
      </c>
      <c r="J2030" s="1">
        <v>720000</v>
      </c>
      <c r="K2030" t="s">
        <v>26</v>
      </c>
      <c r="L2030" s="1">
        <v>720000</v>
      </c>
      <c r="M2030" t="s">
        <v>26</v>
      </c>
      <c r="Q2030" t="s">
        <v>27</v>
      </c>
      <c r="T2030" t="s">
        <v>1234</v>
      </c>
      <c r="X2030" t="s">
        <v>30</v>
      </c>
      <c r="Y2030">
        <v>1793264</v>
      </c>
      <c r="Z2030">
        <v>20251130</v>
      </c>
    </row>
    <row r="2031" spans="3:26" x14ac:dyDescent="0.25">
      <c r="C2031">
        <v>10000001</v>
      </c>
      <c r="D2031" t="s">
        <v>1561</v>
      </c>
      <c r="F2031">
        <v>1793264</v>
      </c>
      <c r="H2031" t="s">
        <v>1561</v>
      </c>
      <c r="I2031">
        <v>40</v>
      </c>
      <c r="J2031" s="1">
        <v>800000</v>
      </c>
      <c r="K2031" t="s">
        <v>26</v>
      </c>
      <c r="L2031" s="1">
        <v>800000</v>
      </c>
      <c r="M2031" t="s">
        <v>26</v>
      </c>
      <c r="Q2031" t="s">
        <v>27</v>
      </c>
      <c r="T2031" t="s">
        <v>1506</v>
      </c>
      <c r="X2031" t="s">
        <v>30</v>
      </c>
      <c r="Y2031">
        <v>1793264</v>
      </c>
      <c r="Z2031">
        <v>20251130</v>
      </c>
    </row>
    <row r="2032" spans="3:26" x14ac:dyDescent="0.25">
      <c r="C2032">
        <v>10000001</v>
      </c>
      <c r="D2032" t="s">
        <v>1561</v>
      </c>
      <c r="F2032">
        <v>1793264</v>
      </c>
      <c r="H2032" t="s">
        <v>1561</v>
      </c>
      <c r="I2032">
        <v>40</v>
      </c>
      <c r="J2032" s="1">
        <v>550000</v>
      </c>
      <c r="K2032" t="s">
        <v>26</v>
      </c>
      <c r="L2032" s="1">
        <v>550000</v>
      </c>
      <c r="M2032" t="s">
        <v>26</v>
      </c>
      <c r="Q2032" t="s">
        <v>27</v>
      </c>
      <c r="T2032" t="s">
        <v>1514</v>
      </c>
      <c r="X2032" t="s">
        <v>30</v>
      </c>
      <c r="Y2032">
        <v>1793264</v>
      </c>
      <c r="Z2032">
        <v>20251130</v>
      </c>
    </row>
    <row r="2033" spans="3:26" x14ac:dyDescent="0.25">
      <c r="C2033">
        <v>10000001</v>
      </c>
      <c r="D2033" t="s">
        <v>1561</v>
      </c>
      <c r="F2033">
        <v>1793264</v>
      </c>
      <c r="H2033" t="s">
        <v>1561</v>
      </c>
      <c r="I2033">
        <v>40</v>
      </c>
      <c r="J2033" s="1">
        <v>650000</v>
      </c>
      <c r="K2033" t="s">
        <v>26</v>
      </c>
      <c r="L2033" s="1">
        <v>650000</v>
      </c>
      <c r="M2033" t="s">
        <v>26</v>
      </c>
      <c r="Q2033" t="s">
        <v>27</v>
      </c>
      <c r="T2033" t="s">
        <v>1252</v>
      </c>
      <c r="X2033" t="s">
        <v>30</v>
      </c>
      <c r="Y2033">
        <v>1793264</v>
      </c>
      <c r="Z2033">
        <v>20251130</v>
      </c>
    </row>
    <row r="2034" spans="3:26" x14ac:dyDescent="0.25">
      <c r="C2034">
        <v>10000001</v>
      </c>
      <c r="D2034" t="s">
        <v>1561</v>
      </c>
      <c r="F2034">
        <v>1793264</v>
      </c>
      <c r="H2034" t="s">
        <v>1561</v>
      </c>
      <c r="I2034">
        <v>40</v>
      </c>
      <c r="J2034" s="1">
        <v>490000</v>
      </c>
      <c r="K2034" t="s">
        <v>26</v>
      </c>
      <c r="L2034" s="1">
        <v>490000</v>
      </c>
      <c r="M2034" t="s">
        <v>26</v>
      </c>
      <c r="Q2034" t="s">
        <v>27</v>
      </c>
      <c r="T2034" t="s">
        <v>1293</v>
      </c>
      <c r="X2034" t="s">
        <v>30</v>
      </c>
      <c r="Y2034">
        <v>1793264</v>
      </c>
      <c r="Z2034">
        <v>20251130</v>
      </c>
    </row>
    <row r="2035" spans="3:26" x14ac:dyDescent="0.25">
      <c r="C2035">
        <v>10000001</v>
      </c>
      <c r="D2035" t="s">
        <v>1561</v>
      </c>
      <c r="F2035">
        <v>1793264</v>
      </c>
      <c r="H2035" t="s">
        <v>1561</v>
      </c>
      <c r="I2035">
        <v>40</v>
      </c>
      <c r="J2035" s="1">
        <v>790000</v>
      </c>
      <c r="K2035" t="s">
        <v>26</v>
      </c>
      <c r="L2035" s="1">
        <v>790000</v>
      </c>
      <c r="M2035" t="s">
        <v>26</v>
      </c>
      <c r="Q2035" t="s">
        <v>27</v>
      </c>
      <c r="T2035" t="s">
        <v>1297</v>
      </c>
      <c r="X2035" t="s">
        <v>30</v>
      </c>
      <c r="Y2035">
        <v>1793264</v>
      </c>
      <c r="Z2035">
        <v>20251130</v>
      </c>
    </row>
    <row r="2036" spans="3:26" x14ac:dyDescent="0.25">
      <c r="C2036">
        <v>10000001</v>
      </c>
      <c r="D2036" t="s">
        <v>1561</v>
      </c>
      <c r="F2036">
        <v>1793264</v>
      </c>
      <c r="H2036" t="s">
        <v>1561</v>
      </c>
      <c r="I2036">
        <v>40</v>
      </c>
      <c r="J2036" s="1">
        <v>700000</v>
      </c>
      <c r="K2036" t="s">
        <v>26</v>
      </c>
      <c r="L2036" s="1">
        <v>700000</v>
      </c>
      <c r="M2036" t="s">
        <v>26</v>
      </c>
      <c r="Q2036" t="s">
        <v>27</v>
      </c>
      <c r="T2036" t="s">
        <v>1319</v>
      </c>
      <c r="X2036" t="s">
        <v>30</v>
      </c>
      <c r="Y2036">
        <v>1793264</v>
      </c>
      <c r="Z2036">
        <v>20251130</v>
      </c>
    </row>
    <row r="2037" spans="3:26" x14ac:dyDescent="0.25">
      <c r="C2037">
        <v>10000001</v>
      </c>
      <c r="D2037" t="s">
        <v>1561</v>
      </c>
      <c r="F2037">
        <v>1793264</v>
      </c>
      <c r="H2037" t="s">
        <v>1561</v>
      </c>
      <c r="I2037">
        <v>40</v>
      </c>
      <c r="J2037" s="1">
        <v>490000</v>
      </c>
      <c r="K2037" t="s">
        <v>26</v>
      </c>
      <c r="L2037" s="1">
        <v>490000</v>
      </c>
      <c r="M2037" t="s">
        <v>26</v>
      </c>
      <c r="Q2037" t="s">
        <v>27</v>
      </c>
      <c r="T2037" t="s">
        <v>1325</v>
      </c>
      <c r="X2037" t="s">
        <v>30</v>
      </c>
      <c r="Y2037">
        <v>1793264</v>
      </c>
      <c r="Z2037">
        <v>20251130</v>
      </c>
    </row>
    <row r="2038" spans="3:26" x14ac:dyDescent="0.25">
      <c r="C2038">
        <v>10000001</v>
      </c>
      <c r="D2038" t="s">
        <v>1561</v>
      </c>
      <c r="F2038">
        <v>1793264</v>
      </c>
      <c r="H2038" t="s">
        <v>1561</v>
      </c>
      <c r="I2038">
        <v>40</v>
      </c>
      <c r="J2038" s="1">
        <v>200000</v>
      </c>
      <c r="K2038" t="s">
        <v>26</v>
      </c>
      <c r="L2038" s="1">
        <v>200000</v>
      </c>
      <c r="M2038" t="s">
        <v>26</v>
      </c>
      <c r="Q2038" t="s">
        <v>27</v>
      </c>
      <c r="T2038" t="s">
        <v>1341</v>
      </c>
      <c r="X2038" t="s">
        <v>30</v>
      </c>
      <c r="Y2038">
        <v>1793264</v>
      </c>
      <c r="Z2038">
        <v>20251130</v>
      </c>
    </row>
    <row r="2039" spans="3:26" x14ac:dyDescent="0.25">
      <c r="C2039">
        <v>10000001</v>
      </c>
      <c r="D2039" t="s">
        <v>1561</v>
      </c>
      <c r="F2039">
        <v>1793264</v>
      </c>
      <c r="H2039" t="s">
        <v>1561</v>
      </c>
      <c r="I2039">
        <v>40</v>
      </c>
      <c r="J2039" s="1">
        <v>129500</v>
      </c>
      <c r="K2039" t="s">
        <v>26</v>
      </c>
      <c r="L2039" s="1">
        <v>129500</v>
      </c>
      <c r="M2039" t="s">
        <v>26</v>
      </c>
      <c r="Q2039" t="s">
        <v>27</v>
      </c>
      <c r="T2039" t="s">
        <v>1420</v>
      </c>
      <c r="X2039" t="s">
        <v>30</v>
      </c>
      <c r="Y2039">
        <v>1793264</v>
      </c>
      <c r="Z2039">
        <v>20251130</v>
      </c>
    </row>
    <row r="2040" spans="3:26" x14ac:dyDescent="0.25">
      <c r="C2040">
        <v>10000001</v>
      </c>
      <c r="D2040" t="s">
        <v>1561</v>
      </c>
      <c r="F2040">
        <v>1793264</v>
      </c>
      <c r="H2040" t="s">
        <v>1561</v>
      </c>
      <c r="I2040">
        <v>40</v>
      </c>
      <c r="J2040" s="1">
        <v>5873000</v>
      </c>
      <c r="K2040" t="s">
        <v>26</v>
      </c>
      <c r="L2040" s="1">
        <v>5873000</v>
      </c>
      <c r="M2040" t="s">
        <v>26</v>
      </c>
      <c r="Q2040" t="s">
        <v>27</v>
      </c>
      <c r="T2040" t="s">
        <v>98</v>
      </c>
      <c r="X2040" t="s">
        <v>30</v>
      </c>
      <c r="Y2040">
        <v>1793264</v>
      </c>
      <c r="Z2040">
        <v>20251130</v>
      </c>
    </row>
    <row r="2041" spans="3:26" x14ac:dyDescent="0.25">
      <c r="C2041">
        <v>10000001</v>
      </c>
      <c r="D2041" t="s">
        <v>1561</v>
      </c>
      <c r="F2041">
        <v>1793264</v>
      </c>
      <c r="H2041" t="s">
        <v>1561</v>
      </c>
      <c r="I2041">
        <v>40</v>
      </c>
      <c r="J2041" s="1">
        <v>509000</v>
      </c>
      <c r="K2041" t="s">
        <v>26</v>
      </c>
      <c r="L2041" s="1">
        <v>509000</v>
      </c>
      <c r="M2041" t="s">
        <v>26</v>
      </c>
      <c r="Q2041" t="s">
        <v>27</v>
      </c>
      <c r="T2041" t="s">
        <v>1224</v>
      </c>
      <c r="X2041" t="s">
        <v>30</v>
      </c>
      <c r="Y2041">
        <v>1793264</v>
      </c>
      <c r="Z2041">
        <v>20251130</v>
      </c>
    </row>
    <row r="2042" spans="3:26" x14ac:dyDescent="0.25">
      <c r="C2042">
        <v>10000001</v>
      </c>
      <c r="D2042" t="s">
        <v>1561</v>
      </c>
      <c r="F2042">
        <v>1793264</v>
      </c>
      <c r="H2042" t="s">
        <v>1561</v>
      </c>
      <c r="I2042">
        <v>40</v>
      </c>
      <c r="J2042" s="1">
        <v>497000</v>
      </c>
      <c r="K2042" t="s">
        <v>26</v>
      </c>
      <c r="L2042" s="1">
        <v>497000</v>
      </c>
      <c r="M2042" t="s">
        <v>26</v>
      </c>
      <c r="Q2042" t="s">
        <v>27</v>
      </c>
      <c r="T2042" t="s">
        <v>1226</v>
      </c>
      <c r="X2042" t="s">
        <v>30</v>
      </c>
      <c r="Y2042">
        <v>1793264</v>
      </c>
      <c r="Z2042">
        <v>20251130</v>
      </c>
    </row>
    <row r="2043" spans="3:26" x14ac:dyDescent="0.25">
      <c r="C2043">
        <v>10000001</v>
      </c>
      <c r="D2043" t="s">
        <v>1561</v>
      </c>
      <c r="F2043">
        <v>1793264</v>
      </c>
      <c r="H2043" t="s">
        <v>1561</v>
      </c>
      <c r="I2043">
        <v>40</v>
      </c>
      <c r="J2043" s="1">
        <v>915000</v>
      </c>
      <c r="K2043" t="s">
        <v>26</v>
      </c>
      <c r="L2043" s="1">
        <v>915000</v>
      </c>
      <c r="M2043" t="s">
        <v>26</v>
      </c>
      <c r="Q2043" t="s">
        <v>27</v>
      </c>
      <c r="T2043" t="s">
        <v>1321</v>
      </c>
      <c r="X2043" t="s">
        <v>30</v>
      </c>
      <c r="Y2043">
        <v>1793264</v>
      </c>
      <c r="Z2043">
        <v>20251130</v>
      </c>
    </row>
    <row r="2044" spans="3:26" x14ac:dyDescent="0.25">
      <c r="C2044">
        <v>10000001</v>
      </c>
      <c r="D2044" t="s">
        <v>1561</v>
      </c>
      <c r="F2044">
        <v>1793264</v>
      </c>
      <c r="H2044" t="s">
        <v>1561</v>
      </c>
      <c r="I2044">
        <v>50</v>
      </c>
      <c r="J2044" s="1">
        <v>-35051945</v>
      </c>
      <c r="K2044" t="s">
        <v>26</v>
      </c>
      <c r="L2044" s="1">
        <v>-35051945</v>
      </c>
      <c r="M2044" t="s">
        <v>26</v>
      </c>
      <c r="Q2044" t="s">
        <v>27</v>
      </c>
      <c r="T2044" t="s">
        <v>1396</v>
      </c>
      <c r="X2044" t="s">
        <v>30</v>
      </c>
      <c r="Y2044">
        <v>1793264</v>
      </c>
      <c r="Z2044">
        <v>20251130</v>
      </c>
    </row>
    <row r="2045" spans="3:26" x14ac:dyDescent="0.25">
      <c r="C2045">
        <v>10000001</v>
      </c>
      <c r="D2045" t="s">
        <v>1561</v>
      </c>
      <c r="F2045">
        <v>1793264</v>
      </c>
      <c r="H2045" t="s">
        <v>1561</v>
      </c>
      <c r="I2045">
        <v>50</v>
      </c>
      <c r="J2045" s="1">
        <v>-31093973</v>
      </c>
      <c r="K2045" t="s">
        <v>26</v>
      </c>
      <c r="L2045" s="1">
        <v>-31093973</v>
      </c>
      <c r="M2045" t="s">
        <v>26</v>
      </c>
      <c r="Q2045" t="s">
        <v>27</v>
      </c>
      <c r="T2045" t="s">
        <v>1560</v>
      </c>
      <c r="X2045" t="s">
        <v>30</v>
      </c>
      <c r="Y2045">
        <v>1793264</v>
      </c>
      <c r="Z2045">
        <v>20251130</v>
      </c>
    </row>
    <row r="2046" spans="3:26" x14ac:dyDescent="0.25">
      <c r="C2046">
        <v>10000001</v>
      </c>
      <c r="D2046" t="s">
        <v>1561</v>
      </c>
      <c r="F2046">
        <v>1812822</v>
      </c>
      <c r="H2046" t="s">
        <v>1561</v>
      </c>
      <c r="I2046">
        <v>50</v>
      </c>
      <c r="J2046">
        <v>0</v>
      </c>
      <c r="K2046" t="s">
        <v>26</v>
      </c>
      <c r="L2046">
        <v>0</v>
      </c>
      <c r="M2046" t="s">
        <v>26</v>
      </c>
      <c r="Q2046" t="s">
        <v>27</v>
      </c>
      <c r="S2046" t="s">
        <v>28</v>
      </c>
      <c r="T2046" t="s">
        <v>1562</v>
      </c>
      <c r="X2046" t="s">
        <v>30</v>
      </c>
      <c r="Y2046">
        <v>1814443</v>
      </c>
      <c r="Z2046">
        <v>20251130</v>
      </c>
    </row>
    <row r="2047" spans="3:26" x14ac:dyDescent="0.25">
      <c r="C2047">
        <v>10000001</v>
      </c>
      <c r="D2047" t="s">
        <v>1561</v>
      </c>
      <c r="F2047">
        <v>1812823</v>
      </c>
      <c r="H2047" t="s">
        <v>1563</v>
      </c>
      <c r="I2047">
        <v>40</v>
      </c>
      <c r="J2047">
        <v>0</v>
      </c>
      <c r="K2047" t="s">
        <v>26</v>
      </c>
      <c r="L2047">
        <v>0</v>
      </c>
      <c r="M2047" t="s">
        <v>26</v>
      </c>
      <c r="Q2047" t="s">
        <v>27</v>
      </c>
      <c r="S2047" t="s">
        <v>33</v>
      </c>
      <c r="T2047" t="s">
        <v>1564</v>
      </c>
      <c r="X2047" t="s">
        <v>30</v>
      </c>
      <c r="Y2047">
        <v>1814443</v>
      </c>
      <c r="Z2047">
        <v>20251201</v>
      </c>
    </row>
    <row r="2048" spans="3:26" x14ac:dyDescent="0.25">
      <c r="C2048">
        <v>10000001</v>
      </c>
      <c r="D2048" t="s">
        <v>1565</v>
      </c>
      <c r="F2048">
        <v>1814443</v>
      </c>
      <c r="H2048" t="s">
        <v>1565</v>
      </c>
      <c r="I2048">
        <v>40</v>
      </c>
      <c r="J2048">
        <v>0</v>
      </c>
      <c r="K2048" t="s">
        <v>26</v>
      </c>
      <c r="L2048">
        <v>0</v>
      </c>
      <c r="M2048" t="s">
        <v>26</v>
      </c>
      <c r="Q2048" t="s">
        <v>27</v>
      </c>
      <c r="S2048" t="s">
        <v>36</v>
      </c>
      <c r="T2048" t="s">
        <v>1562</v>
      </c>
      <c r="X2048" t="s">
        <v>38</v>
      </c>
      <c r="Y2048">
        <v>1814443</v>
      </c>
      <c r="Z2048">
        <v>20251203</v>
      </c>
    </row>
    <row r="2049" spans="3:26" x14ac:dyDescent="0.25">
      <c r="C2049">
        <v>10000001</v>
      </c>
      <c r="D2049" t="s">
        <v>1565</v>
      </c>
      <c r="F2049">
        <v>1814443</v>
      </c>
      <c r="H2049" t="s">
        <v>1565</v>
      </c>
      <c r="I2049">
        <v>50</v>
      </c>
      <c r="J2049">
        <v>0</v>
      </c>
      <c r="K2049" t="s">
        <v>26</v>
      </c>
      <c r="L2049">
        <v>0</v>
      </c>
      <c r="M2049" t="s">
        <v>26</v>
      </c>
      <c r="Q2049" t="s">
        <v>27</v>
      </c>
      <c r="S2049" t="s">
        <v>36</v>
      </c>
      <c r="T2049" t="s">
        <v>1564</v>
      </c>
      <c r="X2049" t="s">
        <v>38</v>
      </c>
      <c r="Y2049">
        <v>1814443</v>
      </c>
      <c r="Z2049">
        <v>20251203</v>
      </c>
    </row>
    <row r="2050" spans="3:26" x14ac:dyDescent="0.25">
      <c r="C2050">
        <v>10000001</v>
      </c>
      <c r="D2050" t="s">
        <v>1566</v>
      </c>
      <c r="F2050">
        <v>12010040</v>
      </c>
      <c r="H2050" t="s">
        <v>1566</v>
      </c>
      <c r="I2050">
        <v>50</v>
      </c>
      <c r="J2050" s="1">
        <v>-1000000</v>
      </c>
      <c r="K2050" t="s">
        <v>26</v>
      </c>
      <c r="L2050" s="1">
        <v>-1000000</v>
      </c>
      <c r="M2050" t="s">
        <v>26</v>
      </c>
      <c r="Q2050" t="s">
        <v>27</v>
      </c>
      <c r="R2050" t="s">
        <v>1567</v>
      </c>
      <c r="S2050" t="s">
        <v>57</v>
      </c>
      <c r="T2050" t="s">
        <v>1568</v>
      </c>
      <c r="X2050" t="s">
        <v>43</v>
      </c>
      <c r="Y2050">
        <v>1880288</v>
      </c>
      <c r="Z2050">
        <v>20251202</v>
      </c>
    </row>
    <row r="2051" spans="3:26" x14ac:dyDescent="0.25">
      <c r="C2051">
        <v>10000001</v>
      </c>
      <c r="D2051" t="s">
        <v>1566</v>
      </c>
      <c r="F2051">
        <v>12010041</v>
      </c>
      <c r="H2051" t="s">
        <v>1566</v>
      </c>
      <c r="I2051">
        <v>50</v>
      </c>
      <c r="J2051" s="1">
        <v>-800000</v>
      </c>
      <c r="K2051" t="s">
        <v>26</v>
      </c>
      <c r="L2051" s="1">
        <v>-800000</v>
      </c>
      <c r="M2051" t="s">
        <v>26</v>
      </c>
      <c r="Q2051" t="s">
        <v>27</v>
      </c>
      <c r="R2051" t="s">
        <v>1569</v>
      </c>
      <c r="S2051" t="s">
        <v>57</v>
      </c>
      <c r="T2051" t="s">
        <v>1570</v>
      </c>
      <c r="X2051" t="s">
        <v>43</v>
      </c>
      <c r="Y2051">
        <v>1880288</v>
      </c>
      <c r="Z2051">
        <v>20251202</v>
      </c>
    </row>
    <row r="2052" spans="3:26" x14ac:dyDescent="0.25">
      <c r="C2052">
        <v>10000001</v>
      </c>
      <c r="D2052" t="s">
        <v>1566</v>
      </c>
      <c r="F2052">
        <v>12010042</v>
      </c>
      <c r="H2052" t="s">
        <v>1566</v>
      </c>
      <c r="I2052">
        <v>50</v>
      </c>
      <c r="J2052" s="1">
        <v>-670000</v>
      </c>
      <c r="K2052" t="s">
        <v>26</v>
      </c>
      <c r="L2052" s="1">
        <v>-670000</v>
      </c>
      <c r="M2052" t="s">
        <v>26</v>
      </c>
      <c r="Q2052" t="s">
        <v>27</v>
      </c>
      <c r="R2052" t="s">
        <v>1571</v>
      </c>
      <c r="S2052" t="s">
        <v>1187</v>
      </c>
      <c r="T2052" t="s">
        <v>1572</v>
      </c>
      <c r="X2052" t="s">
        <v>43</v>
      </c>
      <c r="Y2052">
        <v>1880288</v>
      </c>
      <c r="Z2052">
        <v>20251202</v>
      </c>
    </row>
    <row r="2053" spans="3:26" x14ac:dyDescent="0.25">
      <c r="C2053">
        <v>10000001</v>
      </c>
      <c r="D2053" t="s">
        <v>1565</v>
      </c>
      <c r="F2053">
        <v>12010043</v>
      </c>
      <c r="H2053" t="s">
        <v>1565</v>
      </c>
      <c r="I2053">
        <v>50</v>
      </c>
      <c r="J2053" s="1">
        <v>-340500</v>
      </c>
      <c r="K2053" t="s">
        <v>26</v>
      </c>
      <c r="L2053" s="1">
        <v>-340500</v>
      </c>
      <c r="M2053" t="s">
        <v>26</v>
      </c>
      <c r="Q2053" t="s">
        <v>27</v>
      </c>
      <c r="R2053" t="s">
        <v>1573</v>
      </c>
      <c r="S2053" t="s">
        <v>126</v>
      </c>
      <c r="T2053" t="s">
        <v>1574</v>
      </c>
      <c r="X2053" t="s">
        <v>43</v>
      </c>
      <c r="Y2053">
        <v>1880288</v>
      </c>
      <c r="Z2053">
        <v>20251203</v>
      </c>
    </row>
    <row r="2054" spans="3:26" x14ac:dyDescent="0.25">
      <c r="C2054">
        <v>10000001</v>
      </c>
      <c r="D2054" t="s">
        <v>1565</v>
      </c>
      <c r="F2054">
        <v>12010044</v>
      </c>
      <c r="H2054" t="s">
        <v>1565</v>
      </c>
      <c r="I2054">
        <v>50</v>
      </c>
      <c r="J2054" s="1">
        <v>-277000</v>
      </c>
      <c r="K2054" t="s">
        <v>26</v>
      </c>
      <c r="L2054" s="1">
        <v>-277000</v>
      </c>
      <c r="M2054" t="s">
        <v>26</v>
      </c>
      <c r="Q2054" t="s">
        <v>27</v>
      </c>
      <c r="R2054" t="s">
        <v>1575</v>
      </c>
      <c r="S2054" t="s">
        <v>126</v>
      </c>
      <c r="T2054" t="s">
        <v>1576</v>
      </c>
      <c r="X2054" t="s">
        <v>43</v>
      </c>
      <c r="Y2054">
        <v>1880288</v>
      </c>
      <c r="Z2054">
        <v>20251203</v>
      </c>
    </row>
    <row r="2055" spans="3:26" x14ac:dyDescent="0.25">
      <c r="C2055">
        <v>10000001</v>
      </c>
      <c r="D2055" t="s">
        <v>1565</v>
      </c>
      <c r="F2055">
        <v>12010045</v>
      </c>
      <c r="H2055" t="s">
        <v>1565</v>
      </c>
      <c r="I2055">
        <v>50</v>
      </c>
      <c r="J2055" s="1">
        <v>-21000</v>
      </c>
      <c r="K2055" t="s">
        <v>26</v>
      </c>
      <c r="L2055" s="1">
        <v>-21000</v>
      </c>
      <c r="M2055" t="s">
        <v>26</v>
      </c>
      <c r="Q2055" t="s">
        <v>27</v>
      </c>
      <c r="R2055" t="s">
        <v>1575</v>
      </c>
      <c r="S2055" t="s">
        <v>274</v>
      </c>
      <c r="T2055" t="s">
        <v>1577</v>
      </c>
      <c r="X2055" t="s">
        <v>43</v>
      </c>
      <c r="Y2055">
        <v>1880288</v>
      </c>
      <c r="Z2055">
        <v>20251203</v>
      </c>
    </row>
    <row r="2056" spans="3:26" x14ac:dyDescent="0.25">
      <c r="C2056">
        <v>10000001</v>
      </c>
      <c r="D2056" t="s">
        <v>1565</v>
      </c>
      <c r="F2056">
        <v>12010046</v>
      </c>
      <c r="H2056" t="s">
        <v>1565</v>
      </c>
      <c r="I2056">
        <v>50</v>
      </c>
      <c r="J2056" s="1">
        <v>-400000</v>
      </c>
      <c r="K2056" t="s">
        <v>26</v>
      </c>
      <c r="L2056" s="1">
        <v>-400000</v>
      </c>
      <c r="M2056" t="s">
        <v>26</v>
      </c>
      <c r="Q2056" t="s">
        <v>27</v>
      </c>
      <c r="R2056" t="s">
        <v>1578</v>
      </c>
      <c r="S2056" t="s">
        <v>41</v>
      </c>
      <c r="T2056" t="s">
        <v>1579</v>
      </c>
      <c r="X2056" t="s">
        <v>43</v>
      </c>
      <c r="Y2056">
        <v>1880288</v>
      </c>
      <c r="Z2056">
        <v>20251203</v>
      </c>
    </row>
    <row r="2057" spans="3:26" x14ac:dyDescent="0.25">
      <c r="C2057">
        <v>10000001</v>
      </c>
      <c r="D2057" t="s">
        <v>1565</v>
      </c>
      <c r="F2057">
        <v>12010047</v>
      </c>
      <c r="H2057" t="s">
        <v>1565</v>
      </c>
      <c r="I2057">
        <v>50</v>
      </c>
      <c r="J2057" s="1">
        <v>-850000</v>
      </c>
      <c r="K2057" t="s">
        <v>26</v>
      </c>
      <c r="L2057" s="1">
        <v>-850000</v>
      </c>
      <c r="M2057" t="s">
        <v>26</v>
      </c>
      <c r="Q2057" t="s">
        <v>27</v>
      </c>
      <c r="R2057" t="s">
        <v>1580</v>
      </c>
      <c r="S2057" t="s">
        <v>57</v>
      </c>
      <c r="T2057" t="s">
        <v>1581</v>
      </c>
      <c r="X2057" t="s">
        <v>43</v>
      </c>
      <c r="Y2057">
        <v>1880288</v>
      </c>
      <c r="Z2057">
        <v>20251203</v>
      </c>
    </row>
    <row r="2058" spans="3:26" x14ac:dyDescent="0.25">
      <c r="C2058">
        <v>10000001</v>
      </c>
      <c r="D2058" t="s">
        <v>1565</v>
      </c>
      <c r="F2058">
        <v>12010048</v>
      </c>
      <c r="H2058" t="s">
        <v>1565</v>
      </c>
      <c r="I2058">
        <v>50</v>
      </c>
      <c r="J2058" s="1">
        <v>-98016</v>
      </c>
      <c r="K2058" t="s">
        <v>26</v>
      </c>
      <c r="L2058" s="1">
        <v>-98016</v>
      </c>
      <c r="M2058" t="s">
        <v>26</v>
      </c>
      <c r="Q2058" t="s">
        <v>27</v>
      </c>
      <c r="R2058" t="s">
        <v>1582</v>
      </c>
      <c r="S2058" t="s">
        <v>274</v>
      </c>
      <c r="T2058" t="s">
        <v>1583</v>
      </c>
      <c r="X2058" t="s">
        <v>43</v>
      </c>
      <c r="Y2058">
        <v>1880288</v>
      </c>
      <c r="Z2058">
        <v>20251203</v>
      </c>
    </row>
    <row r="2059" spans="3:26" x14ac:dyDescent="0.25">
      <c r="C2059">
        <v>10000001</v>
      </c>
      <c r="D2059" t="s">
        <v>1565</v>
      </c>
      <c r="F2059">
        <v>12010049</v>
      </c>
      <c r="H2059" t="s">
        <v>1565</v>
      </c>
      <c r="I2059">
        <v>50</v>
      </c>
      <c r="J2059" s="1">
        <v>-669765</v>
      </c>
      <c r="K2059" t="s">
        <v>26</v>
      </c>
      <c r="L2059" s="1">
        <v>-669765</v>
      </c>
      <c r="M2059" t="s">
        <v>26</v>
      </c>
      <c r="Q2059" t="s">
        <v>27</v>
      </c>
      <c r="R2059" t="s">
        <v>1582</v>
      </c>
      <c r="S2059" t="s">
        <v>146</v>
      </c>
      <c r="T2059" t="s">
        <v>1584</v>
      </c>
      <c r="X2059" t="s">
        <v>43</v>
      </c>
      <c r="Y2059">
        <v>1880288</v>
      </c>
      <c r="Z2059">
        <v>20251203</v>
      </c>
    </row>
    <row r="2060" spans="3:26" x14ac:dyDescent="0.25">
      <c r="C2060">
        <v>10000001</v>
      </c>
      <c r="D2060" t="s">
        <v>1565</v>
      </c>
      <c r="F2060">
        <v>12010050</v>
      </c>
      <c r="H2060" t="s">
        <v>1565</v>
      </c>
      <c r="I2060">
        <v>50</v>
      </c>
      <c r="J2060" s="1">
        <v>-183500</v>
      </c>
      <c r="K2060" t="s">
        <v>26</v>
      </c>
      <c r="L2060" s="1">
        <v>-183500</v>
      </c>
      <c r="M2060" t="s">
        <v>26</v>
      </c>
      <c r="Q2060" t="s">
        <v>27</v>
      </c>
      <c r="R2060" t="s">
        <v>1582</v>
      </c>
      <c r="S2060" t="s">
        <v>146</v>
      </c>
      <c r="T2060" t="s">
        <v>1585</v>
      </c>
      <c r="X2060" t="s">
        <v>43</v>
      </c>
      <c r="Y2060">
        <v>1880288</v>
      </c>
      <c r="Z2060">
        <v>20251203</v>
      </c>
    </row>
    <row r="2061" spans="3:26" x14ac:dyDescent="0.25">
      <c r="C2061">
        <v>10000001</v>
      </c>
      <c r="D2061" t="s">
        <v>1565</v>
      </c>
      <c r="F2061">
        <v>12010051</v>
      </c>
      <c r="H2061" t="s">
        <v>1565</v>
      </c>
      <c r="I2061">
        <v>50</v>
      </c>
      <c r="J2061" s="1">
        <v>-190000</v>
      </c>
      <c r="K2061" t="s">
        <v>26</v>
      </c>
      <c r="L2061" s="1">
        <v>-190000</v>
      </c>
      <c r="M2061" t="s">
        <v>26</v>
      </c>
      <c r="Q2061" t="s">
        <v>27</v>
      </c>
      <c r="R2061" t="s">
        <v>1586</v>
      </c>
      <c r="S2061" t="s">
        <v>59</v>
      </c>
      <c r="T2061" t="s">
        <v>1587</v>
      </c>
      <c r="X2061" t="s">
        <v>43</v>
      </c>
      <c r="Y2061">
        <v>1880288</v>
      </c>
      <c r="Z2061">
        <v>20251203</v>
      </c>
    </row>
    <row r="2062" spans="3:26" x14ac:dyDescent="0.25">
      <c r="C2062">
        <v>10000001</v>
      </c>
      <c r="D2062" t="s">
        <v>1565</v>
      </c>
      <c r="F2062">
        <v>12010052</v>
      </c>
      <c r="H2062" t="s">
        <v>1565</v>
      </c>
      <c r="I2062">
        <v>50</v>
      </c>
      <c r="J2062" s="1">
        <v>-235000</v>
      </c>
      <c r="K2062" t="s">
        <v>26</v>
      </c>
      <c r="L2062" s="1">
        <v>-235000</v>
      </c>
      <c r="M2062" t="s">
        <v>26</v>
      </c>
      <c r="Q2062" t="s">
        <v>27</v>
      </c>
      <c r="R2062" t="s">
        <v>1586</v>
      </c>
      <c r="S2062" t="s">
        <v>274</v>
      </c>
      <c r="T2062" t="s">
        <v>1588</v>
      </c>
      <c r="X2062" t="s">
        <v>43</v>
      </c>
      <c r="Y2062">
        <v>1880288</v>
      </c>
      <c r="Z2062">
        <v>20251203</v>
      </c>
    </row>
    <row r="2063" spans="3:26" x14ac:dyDescent="0.25">
      <c r="C2063">
        <v>10000001</v>
      </c>
      <c r="D2063" t="s">
        <v>1565</v>
      </c>
      <c r="F2063">
        <v>12010053</v>
      </c>
      <c r="H2063" t="s">
        <v>1565</v>
      </c>
      <c r="I2063">
        <v>50</v>
      </c>
      <c r="J2063" s="1">
        <v>-61000</v>
      </c>
      <c r="K2063" t="s">
        <v>26</v>
      </c>
      <c r="L2063" s="1">
        <v>-61000</v>
      </c>
      <c r="M2063" t="s">
        <v>26</v>
      </c>
      <c r="Q2063" t="s">
        <v>27</v>
      </c>
      <c r="R2063" t="s">
        <v>1586</v>
      </c>
      <c r="S2063" t="s">
        <v>518</v>
      </c>
      <c r="T2063" t="s">
        <v>1589</v>
      </c>
      <c r="X2063" t="s">
        <v>43</v>
      </c>
      <c r="Y2063">
        <v>1880288</v>
      </c>
      <c r="Z2063">
        <v>20251203</v>
      </c>
    </row>
    <row r="2064" spans="3:26" x14ac:dyDescent="0.25">
      <c r="C2064">
        <v>10000001</v>
      </c>
      <c r="D2064" t="s">
        <v>1565</v>
      </c>
      <c r="F2064">
        <v>12010054</v>
      </c>
      <c r="H2064" t="s">
        <v>1565</v>
      </c>
      <c r="I2064">
        <v>50</v>
      </c>
      <c r="J2064" s="1">
        <v>-471630</v>
      </c>
      <c r="K2064" t="s">
        <v>26</v>
      </c>
      <c r="L2064" s="1">
        <v>-471630</v>
      </c>
      <c r="M2064" t="s">
        <v>26</v>
      </c>
      <c r="Q2064" t="s">
        <v>27</v>
      </c>
      <c r="R2064" t="s">
        <v>1586</v>
      </c>
      <c r="S2064" t="s">
        <v>146</v>
      </c>
      <c r="T2064" t="s">
        <v>1590</v>
      </c>
      <c r="X2064" t="s">
        <v>43</v>
      </c>
      <c r="Y2064">
        <v>1880288</v>
      </c>
      <c r="Z2064">
        <v>20251203</v>
      </c>
    </row>
    <row r="2065" spans="3:26" x14ac:dyDescent="0.25">
      <c r="C2065">
        <v>10000001</v>
      </c>
      <c r="D2065" t="s">
        <v>1565</v>
      </c>
      <c r="F2065">
        <v>12010055</v>
      </c>
      <c r="H2065" t="s">
        <v>1565</v>
      </c>
      <c r="I2065">
        <v>50</v>
      </c>
      <c r="J2065" s="1">
        <v>-851670</v>
      </c>
      <c r="K2065" t="s">
        <v>26</v>
      </c>
      <c r="L2065" s="1">
        <v>-851670</v>
      </c>
      <c r="M2065" t="s">
        <v>26</v>
      </c>
      <c r="Q2065" t="s">
        <v>27</v>
      </c>
      <c r="R2065" t="s">
        <v>1591</v>
      </c>
      <c r="S2065" t="s">
        <v>59</v>
      </c>
      <c r="T2065" t="s">
        <v>1592</v>
      </c>
      <c r="X2065" t="s">
        <v>43</v>
      </c>
      <c r="Y2065">
        <v>1880288</v>
      </c>
      <c r="Z2065">
        <v>20251203</v>
      </c>
    </row>
    <row r="2066" spans="3:26" x14ac:dyDescent="0.25">
      <c r="C2066">
        <v>10000001</v>
      </c>
      <c r="D2066" t="s">
        <v>1565</v>
      </c>
      <c r="F2066">
        <v>12010056</v>
      </c>
      <c r="H2066" t="s">
        <v>1565</v>
      </c>
      <c r="I2066">
        <v>50</v>
      </c>
      <c r="J2066" s="1">
        <v>-900000</v>
      </c>
      <c r="K2066" t="s">
        <v>26</v>
      </c>
      <c r="L2066" s="1">
        <v>-900000</v>
      </c>
      <c r="M2066" t="s">
        <v>26</v>
      </c>
      <c r="Q2066" t="s">
        <v>27</v>
      </c>
      <c r="R2066" t="s">
        <v>1593</v>
      </c>
      <c r="S2066" t="s">
        <v>96</v>
      </c>
      <c r="T2066" t="s">
        <v>1594</v>
      </c>
      <c r="X2066" t="s">
        <v>43</v>
      </c>
      <c r="Y2066">
        <v>1880288</v>
      </c>
      <c r="Z2066">
        <v>20251203</v>
      </c>
    </row>
    <row r="2067" spans="3:26" x14ac:dyDescent="0.25">
      <c r="C2067">
        <v>10000001</v>
      </c>
      <c r="D2067" t="s">
        <v>1565</v>
      </c>
      <c r="F2067">
        <v>12010057</v>
      </c>
      <c r="H2067" t="s">
        <v>1565</v>
      </c>
      <c r="I2067">
        <v>50</v>
      </c>
      <c r="J2067" s="1">
        <v>-100000</v>
      </c>
      <c r="K2067" t="s">
        <v>26</v>
      </c>
      <c r="L2067" s="1">
        <v>-100000</v>
      </c>
      <c r="M2067" t="s">
        <v>26</v>
      </c>
      <c r="Q2067" t="s">
        <v>27</v>
      </c>
      <c r="R2067" t="s">
        <v>1593</v>
      </c>
      <c r="S2067" t="s">
        <v>67</v>
      </c>
      <c r="T2067" t="s">
        <v>98</v>
      </c>
      <c r="X2067" t="s">
        <v>43</v>
      </c>
      <c r="Y2067">
        <v>1880288</v>
      </c>
      <c r="Z2067">
        <v>20251203</v>
      </c>
    </row>
    <row r="2068" spans="3:26" x14ac:dyDescent="0.25">
      <c r="C2068">
        <v>10000001</v>
      </c>
      <c r="D2068" t="s">
        <v>1565</v>
      </c>
      <c r="F2068">
        <v>12010058</v>
      </c>
      <c r="H2068" t="s">
        <v>1565</v>
      </c>
      <c r="I2068">
        <v>50</v>
      </c>
      <c r="J2068" s="1">
        <v>-900000</v>
      </c>
      <c r="K2068" t="s">
        <v>26</v>
      </c>
      <c r="L2068" s="1">
        <v>-900000</v>
      </c>
      <c r="M2068" t="s">
        <v>26</v>
      </c>
      <c r="Q2068" t="s">
        <v>27</v>
      </c>
      <c r="R2068" t="s">
        <v>1595</v>
      </c>
      <c r="S2068" t="s">
        <v>96</v>
      </c>
      <c r="T2068" t="s">
        <v>1596</v>
      </c>
      <c r="X2068" t="s">
        <v>43</v>
      </c>
      <c r="Y2068">
        <v>1880288</v>
      </c>
      <c r="Z2068">
        <v>20251203</v>
      </c>
    </row>
    <row r="2069" spans="3:26" x14ac:dyDescent="0.25">
      <c r="C2069">
        <v>10000001</v>
      </c>
      <c r="D2069" t="s">
        <v>1565</v>
      </c>
      <c r="F2069">
        <v>12010059</v>
      </c>
      <c r="H2069" t="s">
        <v>1565</v>
      </c>
      <c r="I2069">
        <v>50</v>
      </c>
      <c r="J2069" s="1">
        <v>-100000</v>
      </c>
      <c r="K2069" t="s">
        <v>26</v>
      </c>
      <c r="L2069" s="1">
        <v>-100000</v>
      </c>
      <c r="M2069" t="s">
        <v>26</v>
      </c>
      <c r="Q2069" t="s">
        <v>27</v>
      </c>
      <c r="R2069" t="s">
        <v>1595</v>
      </c>
      <c r="S2069" t="s">
        <v>67</v>
      </c>
      <c r="T2069" t="s">
        <v>98</v>
      </c>
      <c r="X2069" t="s">
        <v>43</v>
      </c>
      <c r="Y2069">
        <v>1880288</v>
      </c>
      <c r="Z2069">
        <v>20251203</v>
      </c>
    </row>
    <row r="2070" spans="3:26" x14ac:dyDescent="0.25">
      <c r="C2070">
        <v>10000001</v>
      </c>
      <c r="D2070" t="s">
        <v>1565</v>
      </c>
      <c r="F2070">
        <v>12010060</v>
      </c>
      <c r="H2070" t="s">
        <v>1565</v>
      </c>
      <c r="I2070">
        <v>50</v>
      </c>
      <c r="J2070" s="1">
        <v>-50000</v>
      </c>
      <c r="K2070" t="s">
        <v>26</v>
      </c>
      <c r="L2070" s="1">
        <v>-50000</v>
      </c>
      <c r="M2070" t="s">
        <v>26</v>
      </c>
      <c r="Q2070" t="s">
        <v>27</v>
      </c>
      <c r="R2070" t="s">
        <v>1597</v>
      </c>
      <c r="S2070" t="s">
        <v>126</v>
      </c>
      <c r="T2070" t="s">
        <v>1598</v>
      </c>
      <c r="X2070" t="s">
        <v>43</v>
      </c>
      <c r="Y2070">
        <v>1880288</v>
      </c>
      <c r="Z2070">
        <v>20251203</v>
      </c>
    </row>
    <row r="2071" spans="3:26" x14ac:dyDescent="0.25">
      <c r="C2071">
        <v>10000001</v>
      </c>
      <c r="D2071" t="s">
        <v>1565</v>
      </c>
      <c r="F2071">
        <v>12010061</v>
      </c>
      <c r="H2071" t="s">
        <v>1565</v>
      </c>
      <c r="I2071">
        <v>50</v>
      </c>
      <c r="J2071" s="1">
        <v>-650000</v>
      </c>
      <c r="K2071" t="s">
        <v>26</v>
      </c>
      <c r="L2071" s="1">
        <v>-650000</v>
      </c>
      <c r="M2071" t="s">
        <v>26</v>
      </c>
      <c r="Q2071" t="s">
        <v>27</v>
      </c>
      <c r="R2071" t="s">
        <v>1599</v>
      </c>
      <c r="S2071" t="s">
        <v>57</v>
      </c>
      <c r="T2071" t="s">
        <v>1581</v>
      </c>
      <c r="X2071" t="s">
        <v>43</v>
      </c>
      <c r="Y2071">
        <v>1880288</v>
      </c>
      <c r="Z2071">
        <v>20251203</v>
      </c>
    </row>
    <row r="2072" spans="3:26" x14ac:dyDescent="0.25">
      <c r="C2072">
        <v>10000001</v>
      </c>
      <c r="D2072" t="s">
        <v>1600</v>
      </c>
      <c r="F2072">
        <v>12010062</v>
      </c>
      <c r="H2072" t="s">
        <v>1600</v>
      </c>
      <c r="I2072">
        <v>50</v>
      </c>
      <c r="J2072" s="1">
        <v>-50000</v>
      </c>
      <c r="K2072" t="s">
        <v>26</v>
      </c>
      <c r="L2072" s="1">
        <v>-50000</v>
      </c>
      <c r="M2072" t="s">
        <v>26</v>
      </c>
      <c r="Q2072" t="s">
        <v>27</v>
      </c>
      <c r="R2072" t="s">
        <v>1601</v>
      </c>
      <c r="S2072" t="s">
        <v>334</v>
      </c>
      <c r="T2072" t="s">
        <v>1602</v>
      </c>
      <c r="X2072" t="s">
        <v>43</v>
      </c>
      <c r="Y2072">
        <v>1880288</v>
      </c>
      <c r="Z2072">
        <v>20251205</v>
      </c>
    </row>
    <row r="2073" spans="3:26" x14ac:dyDescent="0.25">
      <c r="C2073">
        <v>10000001</v>
      </c>
      <c r="D2073" t="s">
        <v>1600</v>
      </c>
      <c r="F2073">
        <v>12010063</v>
      </c>
      <c r="H2073" t="s">
        <v>1600</v>
      </c>
      <c r="I2073">
        <v>50</v>
      </c>
      <c r="J2073" s="1">
        <v>-50000</v>
      </c>
      <c r="K2073" t="s">
        <v>26</v>
      </c>
      <c r="L2073" s="1">
        <v>-50000</v>
      </c>
      <c r="M2073" t="s">
        <v>26</v>
      </c>
      <c r="Q2073" t="s">
        <v>27</v>
      </c>
      <c r="R2073" t="s">
        <v>1601</v>
      </c>
      <c r="S2073" t="s">
        <v>334</v>
      </c>
      <c r="T2073" t="s">
        <v>1603</v>
      </c>
      <c r="X2073" t="s">
        <v>43</v>
      </c>
      <c r="Y2073">
        <v>1880288</v>
      </c>
      <c r="Z2073">
        <v>20251205</v>
      </c>
    </row>
    <row r="2074" spans="3:26" x14ac:dyDescent="0.25">
      <c r="C2074">
        <v>10000001</v>
      </c>
      <c r="D2074" t="s">
        <v>1600</v>
      </c>
      <c r="F2074">
        <v>12010064</v>
      </c>
      <c r="H2074" t="s">
        <v>1600</v>
      </c>
      <c r="I2074">
        <v>50</v>
      </c>
      <c r="J2074" s="1">
        <v>-580000</v>
      </c>
      <c r="K2074" t="s">
        <v>26</v>
      </c>
      <c r="L2074" s="1">
        <v>-580000</v>
      </c>
      <c r="M2074" t="s">
        <v>26</v>
      </c>
      <c r="Q2074" t="s">
        <v>27</v>
      </c>
      <c r="R2074" t="s">
        <v>1604</v>
      </c>
      <c r="S2074" t="s">
        <v>96</v>
      </c>
      <c r="T2074" t="s">
        <v>1605</v>
      </c>
      <c r="X2074" t="s">
        <v>43</v>
      </c>
      <c r="Y2074">
        <v>1880288</v>
      </c>
      <c r="Z2074">
        <v>20251205</v>
      </c>
    </row>
    <row r="2075" spans="3:26" x14ac:dyDescent="0.25">
      <c r="C2075">
        <v>10000001</v>
      </c>
      <c r="D2075" t="s">
        <v>1600</v>
      </c>
      <c r="F2075">
        <v>12010065</v>
      </c>
      <c r="H2075" t="s">
        <v>1600</v>
      </c>
      <c r="I2075">
        <v>50</v>
      </c>
      <c r="J2075" s="1">
        <v>-420000</v>
      </c>
      <c r="K2075" t="s">
        <v>26</v>
      </c>
      <c r="L2075" s="1">
        <v>-420000</v>
      </c>
      <c r="M2075" t="s">
        <v>26</v>
      </c>
      <c r="Q2075" t="s">
        <v>27</v>
      </c>
      <c r="R2075" t="s">
        <v>1604</v>
      </c>
      <c r="S2075" t="s">
        <v>67</v>
      </c>
      <c r="T2075" t="s">
        <v>98</v>
      </c>
      <c r="X2075" t="s">
        <v>43</v>
      </c>
      <c r="Y2075">
        <v>1880288</v>
      </c>
      <c r="Z2075">
        <v>20251205</v>
      </c>
    </row>
    <row r="2076" spans="3:26" x14ac:dyDescent="0.25">
      <c r="C2076">
        <v>10000001</v>
      </c>
      <c r="D2076" t="s">
        <v>1600</v>
      </c>
      <c r="F2076">
        <v>12010066</v>
      </c>
      <c r="H2076" t="s">
        <v>1600</v>
      </c>
      <c r="I2076">
        <v>50</v>
      </c>
      <c r="J2076" s="1">
        <v>-175000</v>
      </c>
      <c r="K2076" t="s">
        <v>26</v>
      </c>
      <c r="L2076" s="1">
        <v>-175000</v>
      </c>
      <c r="M2076" t="s">
        <v>26</v>
      </c>
      <c r="Q2076" t="s">
        <v>27</v>
      </c>
      <c r="R2076" t="s">
        <v>1606</v>
      </c>
      <c r="S2076" t="s">
        <v>126</v>
      </c>
      <c r="T2076" t="s">
        <v>1607</v>
      </c>
      <c r="X2076" t="s">
        <v>43</v>
      </c>
      <c r="Y2076">
        <v>1880288</v>
      </c>
      <c r="Z2076">
        <v>20251205</v>
      </c>
    </row>
    <row r="2077" spans="3:26" x14ac:dyDescent="0.25">
      <c r="C2077">
        <v>10000001</v>
      </c>
      <c r="D2077" t="s">
        <v>1600</v>
      </c>
      <c r="F2077">
        <v>12010067</v>
      </c>
      <c r="H2077" t="s">
        <v>1600</v>
      </c>
      <c r="I2077">
        <v>50</v>
      </c>
      <c r="J2077" s="1">
        <v>-201100</v>
      </c>
      <c r="K2077" t="s">
        <v>26</v>
      </c>
      <c r="L2077" s="1">
        <v>-201100</v>
      </c>
      <c r="M2077" t="s">
        <v>26</v>
      </c>
      <c r="Q2077" t="s">
        <v>27</v>
      </c>
      <c r="R2077" t="s">
        <v>1608</v>
      </c>
      <c r="S2077" t="s">
        <v>59</v>
      </c>
      <c r="T2077" t="s">
        <v>1609</v>
      </c>
      <c r="X2077" t="s">
        <v>43</v>
      </c>
      <c r="Y2077">
        <v>1880288</v>
      </c>
      <c r="Z2077">
        <v>20251205</v>
      </c>
    </row>
    <row r="2078" spans="3:26" x14ac:dyDescent="0.25">
      <c r="C2078">
        <v>10000001</v>
      </c>
      <c r="D2078" t="s">
        <v>1600</v>
      </c>
      <c r="F2078">
        <v>12010068</v>
      </c>
      <c r="H2078" t="s">
        <v>1600</v>
      </c>
      <c r="I2078">
        <v>50</v>
      </c>
      <c r="J2078" s="1">
        <v>-215000</v>
      </c>
      <c r="K2078" t="s">
        <v>26</v>
      </c>
      <c r="L2078" s="1">
        <v>-215000</v>
      </c>
      <c r="M2078" t="s">
        <v>26</v>
      </c>
      <c r="Q2078" t="s">
        <v>27</v>
      </c>
      <c r="R2078" t="s">
        <v>1608</v>
      </c>
      <c r="S2078" t="s">
        <v>57</v>
      </c>
      <c r="T2078" t="s">
        <v>1610</v>
      </c>
      <c r="X2078" t="s">
        <v>43</v>
      </c>
      <c r="Y2078">
        <v>1880288</v>
      </c>
      <c r="Z2078">
        <v>20251205</v>
      </c>
    </row>
    <row r="2079" spans="3:26" x14ac:dyDescent="0.25">
      <c r="C2079">
        <v>10000001</v>
      </c>
      <c r="D2079" t="s">
        <v>1600</v>
      </c>
      <c r="F2079">
        <v>12010069</v>
      </c>
      <c r="H2079" t="s">
        <v>1600</v>
      </c>
      <c r="I2079">
        <v>50</v>
      </c>
      <c r="J2079" s="1">
        <v>-239480</v>
      </c>
      <c r="K2079" t="s">
        <v>26</v>
      </c>
      <c r="L2079" s="1">
        <v>-239480</v>
      </c>
      <c r="M2079" t="s">
        <v>26</v>
      </c>
      <c r="Q2079" t="s">
        <v>27</v>
      </c>
      <c r="R2079" t="s">
        <v>1611</v>
      </c>
      <c r="S2079" t="s">
        <v>41</v>
      </c>
      <c r="T2079" t="s">
        <v>1612</v>
      </c>
      <c r="X2079" t="s">
        <v>43</v>
      </c>
      <c r="Y2079">
        <v>1880288</v>
      </c>
      <c r="Z2079">
        <v>20251205</v>
      </c>
    </row>
    <row r="2080" spans="3:26" x14ac:dyDescent="0.25">
      <c r="C2080">
        <v>10000001</v>
      </c>
      <c r="D2080" t="s">
        <v>1600</v>
      </c>
      <c r="F2080">
        <v>12010070</v>
      </c>
      <c r="H2080" t="s">
        <v>1600</v>
      </c>
      <c r="I2080">
        <v>50</v>
      </c>
      <c r="J2080" s="1">
        <v>-700000</v>
      </c>
      <c r="K2080" t="s">
        <v>26</v>
      </c>
      <c r="L2080" s="1">
        <v>-700000</v>
      </c>
      <c r="M2080" t="s">
        <v>26</v>
      </c>
      <c r="Q2080" t="s">
        <v>27</v>
      </c>
      <c r="R2080" t="s">
        <v>1613</v>
      </c>
      <c r="S2080" t="s">
        <v>96</v>
      </c>
      <c r="T2080" t="s">
        <v>1614</v>
      </c>
      <c r="X2080" t="s">
        <v>43</v>
      </c>
      <c r="Y2080">
        <v>1880288</v>
      </c>
      <c r="Z2080">
        <v>20251205</v>
      </c>
    </row>
    <row r="2081" spans="3:26" x14ac:dyDescent="0.25">
      <c r="C2081">
        <v>10000001</v>
      </c>
      <c r="D2081" t="s">
        <v>1600</v>
      </c>
      <c r="F2081">
        <v>12010071</v>
      </c>
      <c r="H2081" t="s">
        <v>1600</v>
      </c>
      <c r="I2081">
        <v>50</v>
      </c>
      <c r="J2081" s="1">
        <v>-300000</v>
      </c>
      <c r="K2081" t="s">
        <v>26</v>
      </c>
      <c r="L2081" s="1">
        <v>-300000</v>
      </c>
      <c r="M2081" t="s">
        <v>26</v>
      </c>
      <c r="Q2081" t="s">
        <v>27</v>
      </c>
      <c r="R2081" t="s">
        <v>1613</v>
      </c>
      <c r="S2081" t="s">
        <v>67</v>
      </c>
      <c r="T2081" t="s">
        <v>98</v>
      </c>
      <c r="X2081" t="s">
        <v>43</v>
      </c>
      <c r="Y2081">
        <v>1880288</v>
      </c>
      <c r="Z2081">
        <v>20251205</v>
      </c>
    </row>
    <row r="2082" spans="3:26" x14ac:dyDescent="0.25">
      <c r="C2082">
        <v>10000001</v>
      </c>
      <c r="D2082" t="s">
        <v>1600</v>
      </c>
      <c r="F2082">
        <v>12010072</v>
      </c>
      <c r="H2082" t="s">
        <v>1600</v>
      </c>
      <c r="I2082">
        <v>50</v>
      </c>
      <c r="J2082" s="1">
        <v>-150000</v>
      </c>
      <c r="K2082" t="s">
        <v>26</v>
      </c>
      <c r="L2082" s="1">
        <v>-150000</v>
      </c>
      <c r="M2082" t="s">
        <v>26</v>
      </c>
      <c r="Q2082" t="s">
        <v>27</v>
      </c>
      <c r="R2082" t="s">
        <v>1615</v>
      </c>
      <c r="S2082" t="s">
        <v>96</v>
      </c>
      <c r="T2082" t="s">
        <v>1616</v>
      </c>
      <c r="X2082" t="s">
        <v>43</v>
      </c>
      <c r="Y2082">
        <v>1880288</v>
      </c>
      <c r="Z2082">
        <v>20251205</v>
      </c>
    </row>
    <row r="2083" spans="3:26" x14ac:dyDescent="0.25">
      <c r="C2083">
        <v>10000001</v>
      </c>
      <c r="D2083" t="s">
        <v>1600</v>
      </c>
      <c r="F2083">
        <v>12010073</v>
      </c>
      <c r="H2083" t="s">
        <v>1600</v>
      </c>
      <c r="I2083">
        <v>50</v>
      </c>
      <c r="J2083" s="1">
        <v>-850000</v>
      </c>
      <c r="K2083" t="s">
        <v>26</v>
      </c>
      <c r="L2083" s="1">
        <v>-850000</v>
      </c>
      <c r="M2083" t="s">
        <v>26</v>
      </c>
      <c r="Q2083" t="s">
        <v>27</v>
      </c>
      <c r="R2083" t="s">
        <v>1615</v>
      </c>
      <c r="S2083" t="s">
        <v>67</v>
      </c>
      <c r="T2083" t="s">
        <v>98</v>
      </c>
      <c r="X2083" t="s">
        <v>43</v>
      </c>
      <c r="Y2083">
        <v>1880288</v>
      </c>
      <c r="Z2083">
        <v>20251205</v>
      </c>
    </row>
    <row r="2084" spans="3:26" x14ac:dyDescent="0.25">
      <c r="C2084">
        <v>10000001</v>
      </c>
      <c r="D2084" t="s">
        <v>1600</v>
      </c>
      <c r="F2084">
        <v>12010074</v>
      </c>
      <c r="H2084" t="s">
        <v>1600</v>
      </c>
      <c r="I2084">
        <v>50</v>
      </c>
      <c r="J2084" s="1">
        <v>-775080</v>
      </c>
      <c r="K2084" t="s">
        <v>26</v>
      </c>
      <c r="L2084" s="1">
        <v>-775080</v>
      </c>
      <c r="M2084" t="s">
        <v>26</v>
      </c>
      <c r="Q2084" t="s">
        <v>27</v>
      </c>
      <c r="R2084" t="s">
        <v>1617</v>
      </c>
      <c r="S2084" t="s">
        <v>59</v>
      </c>
      <c r="T2084" t="s">
        <v>1618</v>
      </c>
      <c r="X2084" t="s">
        <v>43</v>
      </c>
      <c r="Y2084">
        <v>1880288</v>
      </c>
      <c r="Z2084">
        <v>20251205</v>
      </c>
    </row>
    <row r="2085" spans="3:26" x14ac:dyDescent="0.25">
      <c r="C2085">
        <v>10000001</v>
      </c>
      <c r="D2085" t="s">
        <v>1600</v>
      </c>
      <c r="F2085">
        <v>12010075</v>
      </c>
      <c r="H2085" t="s">
        <v>1600</v>
      </c>
      <c r="I2085">
        <v>50</v>
      </c>
      <c r="J2085" s="1">
        <v>-809460</v>
      </c>
      <c r="K2085" t="s">
        <v>26</v>
      </c>
      <c r="L2085" s="1">
        <v>-809460</v>
      </c>
      <c r="M2085" t="s">
        <v>26</v>
      </c>
      <c r="Q2085" t="s">
        <v>27</v>
      </c>
      <c r="R2085" t="s">
        <v>1619</v>
      </c>
      <c r="S2085" t="s">
        <v>59</v>
      </c>
      <c r="T2085" t="s">
        <v>1620</v>
      </c>
      <c r="X2085" t="s">
        <v>43</v>
      </c>
      <c r="Y2085">
        <v>1880288</v>
      </c>
      <c r="Z2085">
        <v>20251205</v>
      </c>
    </row>
    <row r="2086" spans="3:26" x14ac:dyDescent="0.25">
      <c r="C2086">
        <v>10000001</v>
      </c>
      <c r="D2086" t="s">
        <v>1600</v>
      </c>
      <c r="F2086">
        <v>12010076</v>
      </c>
      <c r="H2086" t="s">
        <v>1600</v>
      </c>
      <c r="I2086">
        <v>50</v>
      </c>
      <c r="J2086" s="1">
        <v>-50000</v>
      </c>
      <c r="K2086" t="s">
        <v>26</v>
      </c>
      <c r="L2086" s="1">
        <v>-50000</v>
      </c>
      <c r="M2086" t="s">
        <v>26</v>
      </c>
      <c r="Q2086" t="s">
        <v>27</v>
      </c>
      <c r="R2086" t="s">
        <v>1621</v>
      </c>
      <c r="S2086" t="s">
        <v>334</v>
      </c>
      <c r="T2086" t="s">
        <v>1622</v>
      </c>
      <c r="X2086" t="s">
        <v>43</v>
      </c>
      <c r="Y2086">
        <v>1880288</v>
      </c>
      <c r="Z2086">
        <v>20251205</v>
      </c>
    </row>
    <row r="2087" spans="3:26" x14ac:dyDescent="0.25">
      <c r="C2087">
        <v>10000001</v>
      </c>
      <c r="D2087" t="s">
        <v>1600</v>
      </c>
      <c r="F2087">
        <v>12010077</v>
      </c>
      <c r="H2087" t="s">
        <v>1600</v>
      </c>
      <c r="I2087">
        <v>50</v>
      </c>
      <c r="J2087" s="1">
        <v>-50000</v>
      </c>
      <c r="K2087" t="s">
        <v>26</v>
      </c>
      <c r="L2087" s="1">
        <v>-50000</v>
      </c>
      <c r="M2087" t="s">
        <v>26</v>
      </c>
      <c r="Q2087" t="s">
        <v>27</v>
      </c>
      <c r="R2087" t="s">
        <v>1621</v>
      </c>
      <c r="S2087" t="s">
        <v>334</v>
      </c>
      <c r="T2087" t="s">
        <v>1623</v>
      </c>
      <c r="X2087" t="s">
        <v>43</v>
      </c>
      <c r="Y2087">
        <v>1880288</v>
      </c>
      <c r="Z2087">
        <v>20251205</v>
      </c>
    </row>
    <row r="2088" spans="3:26" x14ac:dyDescent="0.25">
      <c r="C2088">
        <v>10000001</v>
      </c>
      <c r="D2088" t="s">
        <v>1600</v>
      </c>
      <c r="F2088">
        <v>12010078</v>
      </c>
      <c r="H2088" t="s">
        <v>1600</v>
      </c>
      <c r="I2088">
        <v>50</v>
      </c>
      <c r="J2088" s="1">
        <v>-50000</v>
      </c>
      <c r="K2088" t="s">
        <v>26</v>
      </c>
      <c r="L2088" s="1">
        <v>-50000</v>
      </c>
      <c r="M2088" t="s">
        <v>26</v>
      </c>
      <c r="Q2088" t="s">
        <v>27</v>
      </c>
      <c r="R2088" t="s">
        <v>1621</v>
      </c>
      <c r="S2088" t="s">
        <v>334</v>
      </c>
      <c r="T2088" t="s">
        <v>1624</v>
      </c>
      <c r="X2088" t="s">
        <v>43</v>
      </c>
      <c r="Y2088">
        <v>1880288</v>
      </c>
      <c r="Z2088">
        <v>20251205</v>
      </c>
    </row>
    <row r="2089" spans="3:26" x14ac:dyDescent="0.25">
      <c r="C2089">
        <v>10000001</v>
      </c>
      <c r="D2089" t="s">
        <v>1600</v>
      </c>
      <c r="F2089">
        <v>12010079</v>
      </c>
      <c r="H2089" t="s">
        <v>1600</v>
      </c>
      <c r="I2089">
        <v>50</v>
      </c>
      <c r="J2089" s="1">
        <v>-50000</v>
      </c>
      <c r="K2089" t="s">
        <v>26</v>
      </c>
      <c r="L2089" s="1">
        <v>-50000</v>
      </c>
      <c r="M2089" t="s">
        <v>26</v>
      </c>
      <c r="Q2089" t="s">
        <v>27</v>
      </c>
      <c r="R2089" t="s">
        <v>1621</v>
      </c>
      <c r="S2089" t="s">
        <v>334</v>
      </c>
      <c r="T2089" t="s">
        <v>1625</v>
      </c>
      <c r="X2089" t="s">
        <v>43</v>
      </c>
      <c r="Y2089">
        <v>1880288</v>
      </c>
      <c r="Z2089">
        <v>20251205</v>
      </c>
    </row>
    <row r="2090" spans="3:26" x14ac:dyDescent="0.25">
      <c r="C2090">
        <v>10000001</v>
      </c>
      <c r="D2090" t="s">
        <v>1600</v>
      </c>
      <c r="F2090">
        <v>12010080</v>
      </c>
      <c r="H2090" t="s">
        <v>1600</v>
      </c>
      <c r="I2090">
        <v>50</v>
      </c>
      <c r="J2090" s="1">
        <v>-50000</v>
      </c>
      <c r="K2090" t="s">
        <v>26</v>
      </c>
      <c r="L2090" s="1">
        <v>-50000</v>
      </c>
      <c r="M2090" t="s">
        <v>26</v>
      </c>
      <c r="Q2090" t="s">
        <v>27</v>
      </c>
      <c r="R2090" t="s">
        <v>1621</v>
      </c>
      <c r="S2090" t="s">
        <v>334</v>
      </c>
      <c r="T2090" t="s">
        <v>1626</v>
      </c>
      <c r="X2090" t="s">
        <v>43</v>
      </c>
      <c r="Y2090">
        <v>1880288</v>
      </c>
      <c r="Z2090">
        <v>20251205</v>
      </c>
    </row>
    <row r="2091" spans="3:26" x14ac:dyDescent="0.25">
      <c r="C2091">
        <v>10000001</v>
      </c>
      <c r="D2091" t="s">
        <v>1600</v>
      </c>
      <c r="F2091">
        <v>12010081</v>
      </c>
      <c r="H2091" t="s">
        <v>1600</v>
      </c>
      <c r="I2091">
        <v>50</v>
      </c>
      <c r="J2091" s="1">
        <v>-50000</v>
      </c>
      <c r="K2091" t="s">
        <v>26</v>
      </c>
      <c r="L2091" s="1">
        <v>-50000</v>
      </c>
      <c r="M2091" t="s">
        <v>26</v>
      </c>
      <c r="Q2091" t="s">
        <v>27</v>
      </c>
      <c r="R2091" t="s">
        <v>1621</v>
      </c>
      <c r="S2091" t="s">
        <v>334</v>
      </c>
      <c r="T2091" t="s">
        <v>1627</v>
      </c>
      <c r="X2091" t="s">
        <v>43</v>
      </c>
      <c r="Y2091">
        <v>1880288</v>
      </c>
      <c r="Z2091">
        <v>20251205</v>
      </c>
    </row>
    <row r="2092" spans="3:26" x14ac:dyDescent="0.25">
      <c r="C2092">
        <v>10000001</v>
      </c>
      <c r="D2092" t="s">
        <v>1600</v>
      </c>
      <c r="F2092">
        <v>12010082</v>
      </c>
      <c r="H2092" t="s">
        <v>1600</v>
      </c>
      <c r="I2092">
        <v>50</v>
      </c>
      <c r="J2092" s="1">
        <v>-100000</v>
      </c>
      <c r="K2092" t="s">
        <v>26</v>
      </c>
      <c r="L2092" s="1">
        <v>-100000</v>
      </c>
      <c r="M2092" t="s">
        <v>26</v>
      </c>
      <c r="Q2092" t="s">
        <v>27</v>
      </c>
      <c r="R2092" t="s">
        <v>1621</v>
      </c>
      <c r="S2092" t="s">
        <v>334</v>
      </c>
      <c r="T2092" t="s">
        <v>1628</v>
      </c>
      <c r="X2092" t="s">
        <v>43</v>
      </c>
      <c r="Y2092">
        <v>1880288</v>
      </c>
      <c r="Z2092">
        <v>20251205</v>
      </c>
    </row>
    <row r="2093" spans="3:26" x14ac:dyDescent="0.25">
      <c r="C2093">
        <v>10000001</v>
      </c>
      <c r="D2093" t="s">
        <v>1600</v>
      </c>
      <c r="F2093">
        <v>12010083</v>
      </c>
      <c r="H2093" t="s">
        <v>1600</v>
      </c>
      <c r="I2093">
        <v>50</v>
      </c>
      <c r="J2093" s="1">
        <v>-100000</v>
      </c>
      <c r="K2093" t="s">
        <v>26</v>
      </c>
      <c r="L2093" s="1">
        <v>-100000</v>
      </c>
      <c r="M2093" t="s">
        <v>26</v>
      </c>
      <c r="Q2093" t="s">
        <v>27</v>
      </c>
      <c r="R2093" t="s">
        <v>1621</v>
      </c>
      <c r="S2093" t="s">
        <v>334</v>
      </c>
      <c r="T2093" t="s">
        <v>1629</v>
      </c>
      <c r="X2093" t="s">
        <v>43</v>
      </c>
      <c r="Y2093">
        <v>1880288</v>
      </c>
      <c r="Z2093">
        <v>20251205</v>
      </c>
    </row>
    <row r="2094" spans="3:26" x14ac:dyDescent="0.25">
      <c r="C2094">
        <v>10000001</v>
      </c>
      <c r="D2094" t="s">
        <v>1600</v>
      </c>
      <c r="F2094">
        <v>12010084</v>
      </c>
      <c r="H2094" t="s">
        <v>1600</v>
      </c>
      <c r="I2094">
        <v>50</v>
      </c>
      <c r="J2094" s="1">
        <v>-961250</v>
      </c>
      <c r="K2094" t="s">
        <v>26</v>
      </c>
      <c r="L2094" s="1">
        <v>-961250</v>
      </c>
      <c r="M2094" t="s">
        <v>26</v>
      </c>
      <c r="Q2094" t="s">
        <v>27</v>
      </c>
      <c r="R2094" t="s">
        <v>1630</v>
      </c>
      <c r="S2094" t="s">
        <v>129</v>
      </c>
      <c r="T2094" t="s">
        <v>1631</v>
      </c>
      <c r="X2094" t="s">
        <v>43</v>
      </c>
      <c r="Y2094">
        <v>1880288</v>
      </c>
      <c r="Z2094">
        <v>20251205</v>
      </c>
    </row>
    <row r="2095" spans="3:26" x14ac:dyDescent="0.25">
      <c r="C2095">
        <v>10000001</v>
      </c>
      <c r="D2095" t="s">
        <v>1600</v>
      </c>
      <c r="F2095">
        <v>12010085</v>
      </c>
      <c r="H2095" t="s">
        <v>1600</v>
      </c>
      <c r="I2095">
        <v>50</v>
      </c>
      <c r="J2095" s="1">
        <v>-154000</v>
      </c>
      <c r="K2095" t="s">
        <v>26</v>
      </c>
      <c r="L2095" s="1">
        <v>-154000</v>
      </c>
      <c r="M2095" t="s">
        <v>26</v>
      </c>
      <c r="Q2095" t="s">
        <v>27</v>
      </c>
      <c r="R2095" t="s">
        <v>1632</v>
      </c>
      <c r="S2095" t="s">
        <v>67</v>
      </c>
      <c r="T2095" t="s">
        <v>1633</v>
      </c>
      <c r="X2095" t="s">
        <v>43</v>
      </c>
      <c r="Y2095">
        <v>1880288</v>
      </c>
      <c r="Z2095">
        <v>20251205</v>
      </c>
    </row>
    <row r="2096" spans="3:26" x14ac:dyDescent="0.25">
      <c r="C2096">
        <v>10000001</v>
      </c>
      <c r="D2096" t="s">
        <v>1600</v>
      </c>
      <c r="F2096">
        <v>12010086</v>
      </c>
      <c r="H2096" t="s">
        <v>1600</v>
      </c>
      <c r="I2096">
        <v>50</v>
      </c>
      <c r="J2096" s="1">
        <v>-50000</v>
      </c>
      <c r="K2096" t="s">
        <v>26</v>
      </c>
      <c r="L2096" s="1">
        <v>-50000</v>
      </c>
      <c r="M2096" t="s">
        <v>26</v>
      </c>
      <c r="Q2096" t="s">
        <v>27</v>
      </c>
      <c r="R2096" t="s">
        <v>1634</v>
      </c>
      <c r="S2096" t="s">
        <v>334</v>
      </c>
      <c r="T2096" t="s">
        <v>1635</v>
      </c>
      <c r="X2096" t="s">
        <v>43</v>
      </c>
      <c r="Y2096">
        <v>1880288</v>
      </c>
      <c r="Z2096">
        <v>20251205</v>
      </c>
    </row>
    <row r="2097" spans="3:26" x14ac:dyDescent="0.25">
      <c r="C2097">
        <v>10000001</v>
      </c>
      <c r="D2097" t="s">
        <v>1600</v>
      </c>
      <c r="F2097">
        <v>12010087</v>
      </c>
      <c r="H2097" t="s">
        <v>1600</v>
      </c>
      <c r="I2097">
        <v>50</v>
      </c>
      <c r="J2097" s="1">
        <v>-50000</v>
      </c>
      <c r="K2097" t="s">
        <v>26</v>
      </c>
      <c r="L2097" s="1">
        <v>-50000</v>
      </c>
      <c r="M2097" t="s">
        <v>26</v>
      </c>
      <c r="Q2097" t="s">
        <v>27</v>
      </c>
      <c r="R2097" t="s">
        <v>1636</v>
      </c>
      <c r="S2097" t="s">
        <v>334</v>
      </c>
      <c r="T2097" t="s">
        <v>1637</v>
      </c>
      <c r="X2097" t="s">
        <v>43</v>
      </c>
      <c r="Y2097">
        <v>1880288</v>
      </c>
      <c r="Z2097">
        <v>20251205</v>
      </c>
    </row>
    <row r="2098" spans="3:26" x14ac:dyDescent="0.25">
      <c r="C2098">
        <v>10000001</v>
      </c>
      <c r="D2098" t="s">
        <v>1600</v>
      </c>
      <c r="F2098">
        <v>12010088</v>
      </c>
      <c r="H2098" t="s">
        <v>1600</v>
      </c>
      <c r="I2098">
        <v>50</v>
      </c>
      <c r="J2098" s="1">
        <v>-50000</v>
      </c>
      <c r="K2098" t="s">
        <v>26</v>
      </c>
      <c r="L2098" s="1">
        <v>-50000</v>
      </c>
      <c r="M2098" t="s">
        <v>26</v>
      </c>
      <c r="Q2098" t="s">
        <v>27</v>
      </c>
      <c r="R2098" t="s">
        <v>1636</v>
      </c>
      <c r="S2098" t="s">
        <v>334</v>
      </c>
      <c r="T2098" t="s">
        <v>1638</v>
      </c>
      <c r="X2098" t="s">
        <v>43</v>
      </c>
      <c r="Y2098">
        <v>1880288</v>
      </c>
      <c r="Z2098">
        <v>20251205</v>
      </c>
    </row>
    <row r="2099" spans="3:26" x14ac:dyDescent="0.25">
      <c r="C2099">
        <v>10000001</v>
      </c>
      <c r="D2099" t="s">
        <v>1600</v>
      </c>
      <c r="F2099">
        <v>12010089</v>
      </c>
      <c r="H2099" t="s">
        <v>1600</v>
      </c>
      <c r="I2099">
        <v>50</v>
      </c>
      <c r="J2099" s="1">
        <v>-50000</v>
      </c>
      <c r="K2099" t="s">
        <v>26</v>
      </c>
      <c r="L2099" s="1">
        <v>-50000</v>
      </c>
      <c r="M2099" t="s">
        <v>26</v>
      </c>
      <c r="Q2099" t="s">
        <v>27</v>
      </c>
      <c r="R2099" t="s">
        <v>1636</v>
      </c>
      <c r="S2099" t="s">
        <v>334</v>
      </c>
      <c r="T2099" t="s">
        <v>1639</v>
      </c>
      <c r="X2099" t="s">
        <v>43</v>
      </c>
      <c r="Y2099">
        <v>1880288</v>
      </c>
      <c r="Z2099">
        <v>20251205</v>
      </c>
    </row>
    <row r="2100" spans="3:26" x14ac:dyDescent="0.25">
      <c r="C2100">
        <v>10000001</v>
      </c>
      <c r="D2100" t="s">
        <v>1600</v>
      </c>
      <c r="F2100">
        <v>12010090</v>
      </c>
      <c r="H2100" t="s">
        <v>1600</v>
      </c>
      <c r="I2100">
        <v>50</v>
      </c>
      <c r="J2100" s="1">
        <v>-50000</v>
      </c>
      <c r="K2100" t="s">
        <v>26</v>
      </c>
      <c r="L2100" s="1">
        <v>-50000</v>
      </c>
      <c r="M2100" t="s">
        <v>26</v>
      </c>
      <c r="Q2100" t="s">
        <v>27</v>
      </c>
      <c r="R2100" t="s">
        <v>1636</v>
      </c>
      <c r="S2100" t="s">
        <v>334</v>
      </c>
      <c r="T2100" t="s">
        <v>1640</v>
      </c>
      <c r="X2100" t="s">
        <v>43</v>
      </c>
      <c r="Y2100">
        <v>1880288</v>
      </c>
      <c r="Z2100">
        <v>20251205</v>
      </c>
    </row>
    <row r="2101" spans="3:26" x14ac:dyDescent="0.25">
      <c r="C2101">
        <v>10000001</v>
      </c>
      <c r="D2101" t="s">
        <v>1600</v>
      </c>
      <c r="F2101">
        <v>12010091</v>
      </c>
      <c r="H2101" t="s">
        <v>1600</v>
      </c>
      <c r="I2101">
        <v>50</v>
      </c>
      <c r="J2101" s="1">
        <v>-50000</v>
      </c>
      <c r="K2101" t="s">
        <v>26</v>
      </c>
      <c r="L2101" s="1">
        <v>-50000</v>
      </c>
      <c r="M2101" t="s">
        <v>26</v>
      </c>
      <c r="Q2101" t="s">
        <v>27</v>
      </c>
      <c r="R2101" t="s">
        <v>1636</v>
      </c>
      <c r="S2101" t="s">
        <v>334</v>
      </c>
      <c r="T2101" t="s">
        <v>1641</v>
      </c>
      <c r="X2101" t="s">
        <v>43</v>
      </c>
      <c r="Y2101">
        <v>1880288</v>
      </c>
      <c r="Z2101">
        <v>20251205</v>
      </c>
    </row>
    <row r="2102" spans="3:26" x14ac:dyDescent="0.25">
      <c r="C2102">
        <v>10000001</v>
      </c>
      <c r="D2102" t="s">
        <v>1600</v>
      </c>
      <c r="F2102">
        <v>12010092</v>
      </c>
      <c r="H2102" t="s">
        <v>1600</v>
      </c>
      <c r="I2102">
        <v>50</v>
      </c>
      <c r="J2102" s="1">
        <v>-50000</v>
      </c>
      <c r="K2102" t="s">
        <v>26</v>
      </c>
      <c r="L2102" s="1">
        <v>-50000</v>
      </c>
      <c r="M2102" t="s">
        <v>26</v>
      </c>
      <c r="Q2102" t="s">
        <v>27</v>
      </c>
      <c r="R2102" t="s">
        <v>1636</v>
      </c>
      <c r="S2102" t="s">
        <v>334</v>
      </c>
      <c r="T2102" t="s">
        <v>1642</v>
      </c>
      <c r="X2102" t="s">
        <v>43</v>
      </c>
      <c r="Y2102">
        <v>1880288</v>
      </c>
      <c r="Z2102">
        <v>20251205</v>
      </c>
    </row>
    <row r="2103" spans="3:26" x14ac:dyDescent="0.25">
      <c r="C2103">
        <v>10000001</v>
      </c>
      <c r="D2103" t="s">
        <v>1600</v>
      </c>
      <c r="F2103">
        <v>12010093</v>
      </c>
      <c r="H2103" t="s">
        <v>1600</v>
      </c>
      <c r="I2103">
        <v>50</v>
      </c>
      <c r="J2103" s="1">
        <v>-50000</v>
      </c>
      <c r="K2103" t="s">
        <v>26</v>
      </c>
      <c r="L2103" s="1">
        <v>-50000</v>
      </c>
      <c r="M2103" t="s">
        <v>26</v>
      </c>
      <c r="Q2103" t="s">
        <v>27</v>
      </c>
      <c r="R2103" t="s">
        <v>1636</v>
      </c>
      <c r="S2103" t="s">
        <v>334</v>
      </c>
      <c r="T2103" t="s">
        <v>1643</v>
      </c>
      <c r="X2103" t="s">
        <v>43</v>
      </c>
      <c r="Y2103">
        <v>1880288</v>
      </c>
      <c r="Z2103">
        <v>20251205</v>
      </c>
    </row>
    <row r="2104" spans="3:26" x14ac:dyDescent="0.25">
      <c r="C2104">
        <v>10000001</v>
      </c>
      <c r="D2104" t="s">
        <v>1600</v>
      </c>
      <c r="F2104">
        <v>12010094</v>
      </c>
      <c r="H2104" t="s">
        <v>1600</v>
      </c>
      <c r="I2104">
        <v>50</v>
      </c>
      <c r="J2104" s="1">
        <v>-50000</v>
      </c>
      <c r="K2104" t="s">
        <v>26</v>
      </c>
      <c r="L2104" s="1">
        <v>-50000</v>
      </c>
      <c r="M2104" t="s">
        <v>26</v>
      </c>
      <c r="Q2104" t="s">
        <v>27</v>
      </c>
      <c r="R2104" t="s">
        <v>1636</v>
      </c>
      <c r="S2104" t="s">
        <v>334</v>
      </c>
      <c r="T2104" t="s">
        <v>1644</v>
      </c>
      <c r="X2104" t="s">
        <v>43</v>
      </c>
      <c r="Y2104">
        <v>1880288</v>
      </c>
      <c r="Z2104">
        <v>20251205</v>
      </c>
    </row>
    <row r="2105" spans="3:26" x14ac:dyDescent="0.25">
      <c r="C2105">
        <v>10000001</v>
      </c>
      <c r="D2105" t="s">
        <v>1600</v>
      </c>
      <c r="F2105">
        <v>12010095</v>
      </c>
      <c r="H2105" t="s">
        <v>1600</v>
      </c>
      <c r="I2105">
        <v>50</v>
      </c>
      <c r="J2105" s="1">
        <v>-50000</v>
      </c>
      <c r="K2105" t="s">
        <v>26</v>
      </c>
      <c r="L2105" s="1">
        <v>-50000</v>
      </c>
      <c r="M2105" t="s">
        <v>26</v>
      </c>
      <c r="Q2105" t="s">
        <v>27</v>
      </c>
      <c r="R2105" t="s">
        <v>1636</v>
      </c>
      <c r="S2105" t="s">
        <v>334</v>
      </c>
      <c r="T2105" t="s">
        <v>1645</v>
      </c>
      <c r="X2105" t="s">
        <v>43</v>
      </c>
      <c r="Y2105">
        <v>1880288</v>
      </c>
      <c r="Z2105">
        <v>20251205</v>
      </c>
    </row>
    <row r="2106" spans="3:26" x14ac:dyDescent="0.25">
      <c r="C2106">
        <v>10000001</v>
      </c>
      <c r="D2106" t="s">
        <v>1600</v>
      </c>
      <c r="F2106">
        <v>12010096</v>
      </c>
      <c r="H2106" t="s">
        <v>1600</v>
      </c>
      <c r="I2106">
        <v>50</v>
      </c>
      <c r="J2106" s="1">
        <v>-50000</v>
      </c>
      <c r="K2106" t="s">
        <v>26</v>
      </c>
      <c r="L2106" s="1">
        <v>-50000</v>
      </c>
      <c r="M2106" t="s">
        <v>26</v>
      </c>
      <c r="Q2106" t="s">
        <v>27</v>
      </c>
      <c r="R2106" t="s">
        <v>1636</v>
      </c>
      <c r="S2106" t="s">
        <v>334</v>
      </c>
      <c r="T2106" t="s">
        <v>1646</v>
      </c>
      <c r="X2106" t="s">
        <v>43</v>
      </c>
      <c r="Y2106">
        <v>1880288</v>
      </c>
      <c r="Z2106">
        <v>20251205</v>
      </c>
    </row>
    <row r="2107" spans="3:26" x14ac:dyDescent="0.25">
      <c r="C2107">
        <v>10000001</v>
      </c>
      <c r="D2107" t="s">
        <v>1600</v>
      </c>
      <c r="F2107">
        <v>12010097</v>
      </c>
      <c r="H2107" t="s">
        <v>1600</v>
      </c>
      <c r="I2107">
        <v>50</v>
      </c>
      <c r="J2107" s="1">
        <v>-18000</v>
      </c>
      <c r="K2107" t="s">
        <v>26</v>
      </c>
      <c r="L2107" s="1">
        <v>-18000</v>
      </c>
      <c r="M2107" t="s">
        <v>26</v>
      </c>
      <c r="Q2107" t="s">
        <v>27</v>
      </c>
      <c r="R2107" t="s">
        <v>1636</v>
      </c>
      <c r="S2107" t="s">
        <v>334</v>
      </c>
      <c r="T2107" t="s">
        <v>1647</v>
      </c>
      <c r="X2107" t="s">
        <v>43</v>
      </c>
      <c r="Y2107">
        <v>1880288</v>
      </c>
      <c r="Z2107">
        <v>20251205</v>
      </c>
    </row>
    <row r="2108" spans="3:26" x14ac:dyDescent="0.25">
      <c r="C2108">
        <v>10000001</v>
      </c>
      <c r="D2108" t="s">
        <v>1600</v>
      </c>
      <c r="F2108">
        <v>12010098</v>
      </c>
      <c r="H2108" t="s">
        <v>1600</v>
      </c>
      <c r="I2108">
        <v>50</v>
      </c>
      <c r="J2108" s="1">
        <v>-50000</v>
      </c>
      <c r="K2108" t="s">
        <v>26</v>
      </c>
      <c r="L2108" s="1">
        <v>-50000</v>
      </c>
      <c r="M2108" t="s">
        <v>26</v>
      </c>
      <c r="Q2108" t="s">
        <v>27</v>
      </c>
      <c r="R2108" t="s">
        <v>1648</v>
      </c>
      <c r="S2108" t="s">
        <v>334</v>
      </c>
      <c r="T2108" t="s">
        <v>1649</v>
      </c>
      <c r="X2108" t="s">
        <v>43</v>
      </c>
      <c r="Y2108">
        <v>1880288</v>
      </c>
      <c r="Z2108">
        <v>20251205</v>
      </c>
    </row>
    <row r="2109" spans="3:26" x14ac:dyDescent="0.25">
      <c r="C2109">
        <v>10000001</v>
      </c>
      <c r="D2109" t="s">
        <v>1600</v>
      </c>
      <c r="F2109">
        <v>12010099</v>
      </c>
      <c r="H2109" t="s">
        <v>1600</v>
      </c>
      <c r="I2109">
        <v>50</v>
      </c>
      <c r="J2109" s="1">
        <v>-50000</v>
      </c>
      <c r="K2109" t="s">
        <v>26</v>
      </c>
      <c r="L2109" s="1">
        <v>-50000</v>
      </c>
      <c r="M2109" t="s">
        <v>26</v>
      </c>
      <c r="Q2109" t="s">
        <v>27</v>
      </c>
      <c r="R2109" t="s">
        <v>1648</v>
      </c>
      <c r="S2109" t="s">
        <v>334</v>
      </c>
      <c r="T2109" t="s">
        <v>1650</v>
      </c>
      <c r="X2109" t="s">
        <v>43</v>
      </c>
      <c r="Y2109">
        <v>1880288</v>
      </c>
      <c r="Z2109">
        <v>20251205</v>
      </c>
    </row>
    <row r="2110" spans="3:26" x14ac:dyDescent="0.25">
      <c r="C2110">
        <v>10000001</v>
      </c>
      <c r="D2110" t="s">
        <v>1600</v>
      </c>
      <c r="F2110">
        <v>12010100</v>
      </c>
      <c r="H2110" t="s">
        <v>1600</v>
      </c>
      <c r="I2110">
        <v>50</v>
      </c>
      <c r="J2110" s="1">
        <v>-50000</v>
      </c>
      <c r="K2110" t="s">
        <v>26</v>
      </c>
      <c r="L2110" s="1">
        <v>-50000</v>
      </c>
      <c r="M2110" t="s">
        <v>26</v>
      </c>
      <c r="Q2110" t="s">
        <v>27</v>
      </c>
      <c r="R2110" t="s">
        <v>1648</v>
      </c>
      <c r="S2110" t="s">
        <v>334</v>
      </c>
      <c r="T2110" t="s">
        <v>1651</v>
      </c>
      <c r="X2110" t="s">
        <v>43</v>
      </c>
      <c r="Y2110">
        <v>1880288</v>
      </c>
      <c r="Z2110">
        <v>20251205</v>
      </c>
    </row>
    <row r="2111" spans="3:26" x14ac:dyDescent="0.25">
      <c r="C2111">
        <v>10000001</v>
      </c>
      <c r="D2111" t="s">
        <v>1600</v>
      </c>
      <c r="F2111">
        <v>12010101</v>
      </c>
      <c r="H2111" t="s">
        <v>1600</v>
      </c>
      <c r="I2111">
        <v>50</v>
      </c>
      <c r="J2111" s="1">
        <v>-50000</v>
      </c>
      <c r="K2111" t="s">
        <v>26</v>
      </c>
      <c r="L2111" s="1">
        <v>-50000</v>
      </c>
      <c r="M2111" t="s">
        <v>26</v>
      </c>
      <c r="Q2111" t="s">
        <v>27</v>
      </c>
      <c r="R2111" t="s">
        <v>1648</v>
      </c>
      <c r="S2111" t="s">
        <v>334</v>
      </c>
      <c r="T2111" t="s">
        <v>1652</v>
      </c>
      <c r="X2111" t="s">
        <v>43</v>
      </c>
      <c r="Y2111">
        <v>1880288</v>
      </c>
      <c r="Z2111">
        <v>20251205</v>
      </c>
    </row>
    <row r="2112" spans="3:26" x14ac:dyDescent="0.25">
      <c r="C2112">
        <v>10000001</v>
      </c>
      <c r="D2112" t="s">
        <v>1600</v>
      </c>
      <c r="F2112">
        <v>12010102</v>
      </c>
      <c r="H2112" t="s">
        <v>1600</v>
      </c>
      <c r="I2112">
        <v>50</v>
      </c>
      <c r="J2112" s="1">
        <v>-50000</v>
      </c>
      <c r="K2112" t="s">
        <v>26</v>
      </c>
      <c r="L2112" s="1">
        <v>-50000</v>
      </c>
      <c r="M2112" t="s">
        <v>26</v>
      </c>
      <c r="Q2112" t="s">
        <v>27</v>
      </c>
      <c r="R2112" t="s">
        <v>1648</v>
      </c>
      <c r="S2112" t="s">
        <v>334</v>
      </c>
      <c r="T2112" t="s">
        <v>1653</v>
      </c>
      <c r="X2112" t="s">
        <v>43</v>
      </c>
      <c r="Y2112">
        <v>1880288</v>
      </c>
      <c r="Z2112">
        <v>20251205</v>
      </c>
    </row>
    <row r="2113" spans="3:26" x14ac:dyDescent="0.25">
      <c r="C2113">
        <v>10000001</v>
      </c>
      <c r="D2113" t="s">
        <v>1600</v>
      </c>
      <c r="F2113">
        <v>12010103</v>
      </c>
      <c r="H2113" t="s">
        <v>1600</v>
      </c>
      <c r="I2113">
        <v>50</v>
      </c>
      <c r="J2113" s="1">
        <v>-50000</v>
      </c>
      <c r="K2113" t="s">
        <v>26</v>
      </c>
      <c r="L2113" s="1">
        <v>-50000</v>
      </c>
      <c r="M2113" t="s">
        <v>26</v>
      </c>
      <c r="Q2113" t="s">
        <v>27</v>
      </c>
      <c r="R2113" t="s">
        <v>1648</v>
      </c>
      <c r="S2113" t="s">
        <v>334</v>
      </c>
      <c r="T2113" t="s">
        <v>1654</v>
      </c>
      <c r="X2113" t="s">
        <v>43</v>
      </c>
      <c r="Y2113">
        <v>1880288</v>
      </c>
      <c r="Z2113">
        <v>20251205</v>
      </c>
    </row>
    <row r="2114" spans="3:26" x14ac:dyDescent="0.25">
      <c r="C2114">
        <v>10000001</v>
      </c>
      <c r="D2114" t="s">
        <v>1600</v>
      </c>
      <c r="F2114">
        <v>12010104</v>
      </c>
      <c r="H2114" t="s">
        <v>1600</v>
      </c>
      <c r="I2114">
        <v>50</v>
      </c>
      <c r="J2114" s="1">
        <v>-50000</v>
      </c>
      <c r="K2114" t="s">
        <v>26</v>
      </c>
      <c r="L2114" s="1">
        <v>-50000</v>
      </c>
      <c r="M2114" t="s">
        <v>26</v>
      </c>
      <c r="Q2114" t="s">
        <v>27</v>
      </c>
      <c r="R2114" t="s">
        <v>1648</v>
      </c>
      <c r="S2114" t="s">
        <v>334</v>
      </c>
      <c r="T2114" t="s">
        <v>1655</v>
      </c>
      <c r="X2114" t="s">
        <v>43</v>
      </c>
      <c r="Y2114">
        <v>1880288</v>
      </c>
      <c r="Z2114">
        <v>20251205</v>
      </c>
    </row>
    <row r="2115" spans="3:26" x14ac:dyDescent="0.25">
      <c r="C2115">
        <v>10000001</v>
      </c>
      <c r="D2115" t="s">
        <v>1600</v>
      </c>
      <c r="F2115">
        <v>12010105</v>
      </c>
      <c r="H2115" t="s">
        <v>1600</v>
      </c>
      <c r="I2115">
        <v>50</v>
      </c>
      <c r="J2115" s="1">
        <v>-50000</v>
      </c>
      <c r="K2115" t="s">
        <v>26</v>
      </c>
      <c r="L2115" s="1">
        <v>-50000</v>
      </c>
      <c r="M2115" t="s">
        <v>26</v>
      </c>
      <c r="Q2115" t="s">
        <v>27</v>
      </c>
      <c r="R2115" t="s">
        <v>1648</v>
      </c>
      <c r="S2115" t="s">
        <v>334</v>
      </c>
      <c r="T2115" t="s">
        <v>1656</v>
      </c>
      <c r="X2115" t="s">
        <v>43</v>
      </c>
      <c r="Y2115">
        <v>1880288</v>
      </c>
      <c r="Z2115">
        <v>20251205</v>
      </c>
    </row>
    <row r="2116" spans="3:26" x14ac:dyDescent="0.25">
      <c r="C2116">
        <v>10000001</v>
      </c>
      <c r="D2116" t="s">
        <v>1600</v>
      </c>
      <c r="F2116">
        <v>12010106</v>
      </c>
      <c r="H2116" t="s">
        <v>1600</v>
      </c>
      <c r="I2116">
        <v>50</v>
      </c>
      <c r="J2116" s="1">
        <v>-50000</v>
      </c>
      <c r="K2116" t="s">
        <v>26</v>
      </c>
      <c r="L2116" s="1">
        <v>-50000</v>
      </c>
      <c r="M2116" t="s">
        <v>26</v>
      </c>
      <c r="Q2116" t="s">
        <v>27</v>
      </c>
      <c r="R2116" t="s">
        <v>1648</v>
      </c>
      <c r="S2116" t="s">
        <v>334</v>
      </c>
      <c r="T2116" t="s">
        <v>1657</v>
      </c>
      <c r="X2116" t="s">
        <v>43</v>
      </c>
      <c r="Y2116">
        <v>1880288</v>
      </c>
      <c r="Z2116">
        <v>20251205</v>
      </c>
    </row>
    <row r="2117" spans="3:26" x14ac:dyDescent="0.25">
      <c r="C2117">
        <v>10000001</v>
      </c>
      <c r="D2117" t="s">
        <v>1600</v>
      </c>
      <c r="F2117">
        <v>12010107</v>
      </c>
      <c r="H2117" t="s">
        <v>1600</v>
      </c>
      <c r="I2117">
        <v>50</v>
      </c>
      <c r="J2117" s="1">
        <v>-50000</v>
      </c>
      <c r="K2117" t="s">
        <v>26</v>
      </c>
      <c r="L2117" s="1">
        <v>-50000</v>
      </c>
      <c r="M2117" t="s">
        <v>26</v>
      </c>
      <c r="Q2117" t="s">
        <v>27</v>
      </c>
      <c r="R2117" t="s">
        <v>1648</v>
      </c>
      <c r="S2117" t="s">
        <v>334</v>
      </c>
      <c r="T2117" t="s">
        <v>1658</v>
      </c>
      <c r="X2117" t="s">
        <v>43</v>
      </c>
      <c r="Y2117">
        <v>1880288</v>
      </c>
      <c r="Z2117">
        <v>20251205</v>
      </c>
    </row>
    <row r="2118" spans="3:26" x14ac:dyDescent="0.25">
      <c r="C2118">
        <v>10000001</v>
      </c>
      <c r="D2118" t="s">
        <v>1600</v>
      </c>
      <c r="F2118">
        <v>12010108</v>
      </c>
      <c r="H2118" t="s">
        <v>1600</v>
      </c>
      <c r="I2118">
        <v>50</v>
      </c>
      <c r="J2118" s="1">
        <v>-50000</v>
      </c>
      <c r="K2118" t="s">
        <v>26</v>
      </c>
      <c r="L2118" s="1">
        <v>-50000</v>
      </c>
      <c r="M2118" t="s">
        <v>26</v>
      </c>
      <c r="Q2118" t="s">
        <v>27</v>
      </c>
      <c r="R2118" t="s">
        <v>1648</v>
      </c>
      <c r="S2118" t="s">
        <v>334</v>
      </c>
      <c r="T2118" t="s">
        <v>1659</v>
      </c>
      <c r="X2118" t="s">
        <v>43</v>
      </c>
      <c r="Y2118">
        <v>1880288</v>
      </c>
      <c r="Z2118">
        <v>20251205</v>
      </c>
    </row>
    <row r="2119" spans="3:26" x14ac:dyDescent="0.25">
      <c r="C2119">
        <v>10000001</v>
      </c>
      <c r="D2119" t="s">
        <v>1600</v>
      </c>
      <c r="F2119">
        <v>12010109</v>
      </c>
      <c r="H2119" t="s">
        <v>1600</v>
      </c>
      <c r="I2119">
        <v>50</v>
      </c>
      <c r="J2119" s="1">
        <v>-50000</v>
      </c>
      <c r="K2119" t="s">
        <v>26</v>
      </c>
      <c r="L2119" s="1">
        <v>-50000</v>
      </c>
      <c r="M2119" t="s">
        <v>26</v>
      </c>
      <c r="Q2119" t="s">
        <v>27</v>
      </c>
      <c r="R2119" t="s">
        <v>1648</v>
      </c>
      <c r="S2119" t="s">
        <v>334</v>
      </c>
      <c r="T2119" t="s">
        <v>1660</v>
      </c>
      <c r="X2119" t="s">
        <v>43</v>
      </c>
      <c r="Y2119">
        <v>1880288</v>
      </c>
      <c r="Z2119">
        <v>20251205</v>
      </c>
    </row>
    <row r="2120" spans="3:26" x14ac:dyDescent="0.25">
      <c r="C2120">
        <v>10000001</v>
      </c>
      <c r="D2120" t="s">
        <v>1600</v>
      </c>
      <c r="F2120">
        <v>12010110</v>
      </c>
      <c r="H2120" t="s">
        <v>1600</v>
      </c>
      <c r="I2120">
        <v>50</v>
      </c>
      <c r="J2120" s="1">
        <v>-1000000</v>
      </c>
      <c r="K2120" t="s">
        <v>26</v>
      </c>
      <c r="L2120" s="1">
        <v>-1000000</v>
      </c>
      <c r="M2120" t="s">
        <v>26</v>
      </c>
      <c r="Q2120" t="s">
        <v>27</v>
      </c>
      <c r="R2120" t="s">
        <v>1661</v>
      </c>
      <c r="S2120" t="s">
        <v>259</v>
      </c>
      <c r="T2120" t="s">
        <v>1662</v>
      </c>
      <c r="X2120" t="s">
        <v>43</v>
      </c>
      <c r="Y2120">
        <v>1880288</v>
      </c>
      <c r="Z2120">
        <v>20251205</v>
      </c>
    </row>
    <row r="2121" spans="3:26" x14ac:dyDescent="0.25">
      <c r="C2121">
        <v>10000001</v>
      </c>
      <c r="D2121" t="s">
        <v>1600</v>
      </c>
      <c r="F2121">
        <v>12010111</v>
      </c>
      <c r="H2121" t="s">
        <v>1600</v>
      </c>
      <c r="I2121">
        <v>50</v>
      </c>
      <c r="J2121" s="1">
        <v>-949248</v>
      </c>
      <c r="K2121" t="s">
        <v>26</v>
      </c>
      <c r="L2121" s="1">
        <v>-949248</v>
      </c>
      <c r="M2121" t="s">
        <v>26</v>
      </c>
      <c r="Q2121" t="s">
        <v>27</v>
      </c>
      <c r="R2121" t="s">
        <v>1663</v>
      </c>
      <c r="S2121" t="s">
        <v>59</v>
      </c>
      <c r="T2121" t="s">
        <v>1664</v>
      </c>
      <c r="X2121" t="s">
        <v>43</v>
      </c>
      <c r="Y2121">
        <v>1880288</v>
      </c>
      <c r="Z2121">
        <v>20251205</v>
      </c>
    </row>
    <row r="2122" spans="3:26" x14ac:dyDescent="0.25">
      <c r="C2122">
        <v>10000001</v>
      </c>
      <c r="D2122" t="s">
        <v>1600</v>
      </c>
      <c r="F2122">
        <v>12010112</v>
      </c>
      <c r="H2122" t="s">
        <v>1600</v>
      </c>
      <c r="I2122">
        <v>50</v>
      </c>
      <c r="J2122" s="1">
        <v>-682500</v>
      </c>
      <c r="K2122" t="s">
        <v>26</v>
      </c>
      <c r="L2122" s="1">
        <v>-682500</v>
      </c>
      <c r="M2122" t="s">
        <v>26</v>
      </c>
      <c r="Q2122" t="s">
        <v>27</v>
      </c>
      <c r="R2122" t="s">
        <v>1665</v>
      </c>
      <c r="S2122" t="s">
        <v>126</v>
      </c>
      <c r="T2122" t="s">
        <v>1666</v>
      </c>
      <c r="X2122" t="s">
        <v>43</v>
      </c>
      <c r="Y2122">
        <v>1880288</v>
      </c>
      <c r="Z2122">
        <v>20251205</v>
      </c>
    </row>
    <row r="2123" spans="3:26" x14ac:dyDescent="0.25">
      <c r="C2123">
        <v>10000001</v>
      </c>
      <c r="D2123" t="s">
        <v>1600</v>
      </c>
      <c r="F2123">
        <v>12010113</v>
      </c>
      <c r="H2123" t="s">
        <v>1600</v>
      </c>
      <c r="I2123">
        <v>50</v>
      </c>
      <c r="J2123" s="1">
        <v>-647500</v>
      </c>
      <c r="K2123" t="s">
        <v>26</v>
      </c>
      <c r="L2123" s="1">
        <v>-647500</v>
      </c>
      <c r="M2123" t="s">
        <v>26</v>
      </c>
      <c r="Q2123" t="s">
        <v>27</v>
      </c>
      <c r="R2123" t="s">
        <v>1667</v>
      </c>
      <c r="S2123" t="s">
        <v>126</v>
      </c>
      <c r="T2123" t="s">
        <v>1668</v>
      </c>
      <c r="X2123" t="s">
        <v>43</v>
      </c>
      <c r="Y2123">
        <v>1880288</v>
      </c>
      <c r="Z2123">
        <v>20251205</v>
      </c>
    </row>
    <row r="2124" spans="3:26" x14ac:dyDescent="0.25">
      <c r="C2124">
        <v>10000001</v>
      </c>
      <c r="D2124" t="s">
        <v>1600</v>
      </c>
      <c r="F2124">
        <v>12010114</v>
      </c>
      <c r="H2124" t="s">
        <v>1600</v>
      </c>
      <c r="I2124">
        <v>50</v>
      </c>
      <c r="J2124" s="1">
        <v>-612500</v>
      </c>
      <c r="K2124" t="s">
        <v>26</v>
      </c>
      <c r="L2124" s="1">
        <v>-612500</v>
      </c>
      <c r="M2124" t="s">
        <v>26</v>
      </c>
      <c r="Q2124" t="s">
        <v>27</v>
      </c>
      <c r="R2124" t="s">
        <v>1669</v>
      </c>
      <c r="S2124" t="s">
        <v>126</v>
      </c>
      <c r="T2124" t="s">
        <v>1670</v>
      </c>
      <c r="X2124" t="s">
        <v>43</v>
      </c>
      <c r="Y2124">
        <v>1880288</v>
      </c>
      <c r="Z2124">
        <v>20251205</v>
      </c>
    </row>
    <row r="2125" spans="3:26" x14ac:dyDescent="0.25">
      <c r="C2125">
        <v>10000001</v>
      </c>
      <c r="D2125" t="s">
        <v>1600</v>
      </c>
      <c r="F2125">
        <v>12010115</v>
      </c>
      <c r="H2125" t="s">
        <v>1600</v>
      </c>
      <c r="I2125">
        <v>50</v>
      </c>
      <c r="J2125" s="1">
        <v>-760000</v>
      </c>
      <c r="K2125" t="s">
        <v>26</v>
      </c>
      <c r="L2125" s="1">
        <v>-760000</v>
      </c>
      <c r="M2125" t="s">
        <v>26</v>
      </c>
      <c r="Q2125" t="s">
        <v>27</v>
      </c>
      <c r="R2125" t="s">
        <v>1671</v>
      </c>
      <c r="S2125" t="s">
        <v>96</v>
      </c>
      <c r="T2125" t="s">
        <v>1672</v>
      </c>
      <c r="X2125" t="s">
        <v>43</v>
      </c>
      <c r="Y2125">
        <v>1880288</v>
      </c>
      <c r="Z2125">
        <v>20251205</v>
      </c>
    </row>
    <row r="2126" spans="3:26" x14ac:dyDescent="0.25">
      <c r="C2126">
        <v>10000001</v>
      </c>
      <c r="D2126" t="s">
        <v>1600</v>
      </c>
      <c r="F2126">
        <v>12010116</v>
      </c>
      <c r="H2126" t="s">
        <v>1600</v>
      </c>
      <c r="I2126">
        <v>50</v>
      </c>
      <c r="J2126" s="1">
        <v>-240000</v>
      </c>
      <c r="K2126" t="s">
        <v>26</v>
      </c>
      <c r="L2126" s="1">
        <v>-240000</v>
      </c>
      <c r="M2126" t="s">
        <v>26</v>
      </c>
      <c r="Q2126" t="s">
        <v>27</v>
      </c>
      <c r="R2126" t="s">
        <v>1671</v>
      </c>
      <c r="S2126" t="s">
        <v>67</v>
      </c>
      <c r="T2126" t="s">
        <v>98</v>
      </c>
      <c r="X2126" t="s">
        <v>43</v>
      </c>
      <c r="Y2126">
        <v>1880288</v>
      </c>
      <c r="Z2126">
        <v>20251205</v>
      </c>
    </row>
    <row r="2127" spans="3:26" x14ac:dyDescent="0.25">
      <c r="C2127">
        <v>10000001</v>
      </c>
      <c r="D2127" t="s">
        <v>1600</v>
      </c>
      <c r="F2127">
        <v>12010117</v>
      </c>
      <c r="H2127" t="s">
        <v>1600</v>
      </c>
      <c r="I2127">
        <v>50</v>
      </c>
      <c r="J2127" s="1">
        <v>-961950</v>
      </c>
      <c r="K2127" t="s">
        <v>26</v>
      </c>
      <c r="L2127" s="1">
        <v>-961950</v>
      </c>
      <c r="M2127" t="s">
        <v>26</v>
      </c>
      <c r="Q2127" t="s">
        <v>27</v>
      </c>
      <c r="R2127" t="s">
        <v>1673</v>
      </c>
      <c r="S2127" t="s">
        <v>126</v>
      </c>
      <c r="T2127" t="s">
        <v>1674</v>
      </c>
      <c r="X2127" t="s">
        <v>43</v>
      </c>
      <c r="Y2127">
        <v>1880288</v>
      </c>
      <c r="Z2127">
        <v>20251205</v>
      </c>
    </row>
    <row r="2128" spans="3:26" x14ac:dyDescent="0.25">
      <c r="C2128">
        <v>10000001</v>
      </c>
      <c r="D2128" t="s">
        <v>1600</v>
      </c>
      <c r="F2128">
        <v>12010118</v>
      </c>
      <c r="H2128" t="s">
        <v>1600</v>
      </c>
      <c r="I2128">
        <v>50</v>
      </c>
      <c r="J2128" s="1">
        <v>-50000</v>
      </c>
      <c r="K2128" t="s">
        <v>26</v>
      </c>
      <c r="L2128" s="1">
        <v>-50000</v>
      </c>
      <c r="M2128" t="s">
        <v>26</v>
      </c>
      <c r="Q2128" t="s">
        <v>27</v>
      </c>
      <c r="R2128" t="s">
        <v>1675</v>
      </c>
      <c r="S2128" t="s">
        <v>334</v>
      </c>
      <c r="T2128" t="s">
        <v>1676</v>
      </c>
      <c r="X2128" t="s">
        <v>43</v>
      </c>
      <c r="Y2128">
        <v>1880288</v>
      </c>
      <c r="Z2128">
        <v>20251205</v>
      </c>
    </row>
    <row r="2129" spans="3:26" x14ac:dyDescent="0.25">
      <c r="C2129">
        <v>10000001</v>
      </c>
      <c r="D2129" t="s">
        <v>1600</v>
      </c>
      <c r="F2129">
        <v>12010119</v>
      </c>
      <c r="H2129" t="s">
        <v>1600</v>
      </c>
      <c r="I2129">
        <v>50</v>
      </c>
      <c r="J2129" s="1">
        <v>-50000</v>
      </c>
      <c r="K2129" t="s">
        <v>26</v>
      </c>
      <c r="L2129" s="1">
        <v>-50000</v>
      </c>
      <c r="M2129" t="s">
        <v>26</v>
      </c>
      <c r="Q2129" t="s">
        <v>27</v>
      </c>
      <c r="R2129" t="s">
        <v>1675</v>
      </c>
      <c r="S2129" t="s">
        <v>334</v>
      </c>
      <c r="T2129" t="s">
        <v>1677</v>
      </c>
      <c r="X2129" t="s">
        <v>43</v>
      </c>
      <c r="Y2129">
        <v>1880288</v>
      </c>
      <c r="Z2129">
        <v>20251205</v>
      </c>
    </row>
    <row r="2130" spans="3:26" x14ac:dyDescent="0.25">
      <c r="C2130">
        <v>10000001</v>
      </c>
      <c r="D2130" t="s">
        <v>1600</v>
      </c>
      <c r="F2130">
        <v>12010120</v>
      </c>
      <c r="H2130" t="s">
        <v>1600</v>
      </c>
      <c r="I2130">
        <v>50</v>
      </c>
      <c r="J2130" s="1">
        <v>-50000</v>
      </c>
      <c r="K2130" t="s">
        <v>26</v>
      </c>
      <c r="L2130" s="1">
        <v>-50000</v>
      </c>
      <c r="M2130" t="s">
        <v>26</v>
      </c>
      <c r="Q2130" t="s">
        <v>27</v>
      </c>
      <c r="R2130" t="s">
        <v>1675</v>
      </c>
      <c r="S2130" t="s">
        <v>334</v>
      </c>
      <c r="T2130" t="s">
        <v>1678</v>
      </c>
      <c r="X2130" t="s">
        <v>43</v>
      </c>
      <c r="Y2130">
        <v>1880288</v>
      </c>
      <c r="Z2130">
        <v>20251205</v>
      </c>
    </row>
    <row r="2131" spans="3:26" x14ac:dyDescent="0.25">
      <c r="C2131">
        <v>10000001</v>
      </c>
      <c r="D2131" t="s">
        <v>1600</v>
      </c>
      <c r="F2131">
        <v>12010121</v>
      </c>
      <c r="H2131" t="s">
        <v>1600</v>
      </c>
      <c r="I2131">
        <v>50</v>
      </c>
      <c r="J2131" s="1">
        <v>-50000</v>
      </c>
      <c r="K2131" t="s">
        <v>26</v>
      </c>
      <c r="L2131" s="1">
        <v>-50000</v>
      </c>
      <c r="M2131" t="s">
        <v>26</v>
      </c>
      <c r="Q2131" t="s">
        <v>27</v>
      </c>
      <c r="R2131" t="s">
        <v>1675</v>
      </c>
      <c r="S2131" t="s">
        <v>334</v>
      </c>
      <c r="T2131" t="s">
        <v>1679</v>
      </c>
      <c r="X2131" t="s">
        <v>43</v>
      </c>
      <c r="Y2131">
        <v>1880288</v>
      </c>
      <c r="Z2131">
        <v>20251205</v>
      </c>
    </row>
    <row r="2132" spans="3:26" x14ac:dyDescent="0.25">
      <c r="C2132">
        <v>10000001</v>
      </c>
      <c r="D2132" t="s">
        <v>1600</v>
      </c>
      <c r="F2132">
        <v>12010122</v>
      </c>
      <c r="H2132" t="s">
        <v>1600</v>
      </c>
      <c r="I2132">
        <v>50</v>
      </c>
      <c r="J2132" s="1">
        <v>-50000</v>
      </c>
      <c r="K2132" t="s">
        <v>26</v>
      </c>
      <c r="L2132" s="1">
        <v>-50000</v>
      </c>
      <c r="M2132" t="s">
        <v>26</v>
      </c>
      <c r="Q2132" t="s">
        <v>27</v>
      </c>
      <c r="R2132" t="s">
        <v>1675</v>
      </c>
      <c r="S2132" t="s">
        <v>334</v>
      </c>
      <c r="T2132" t="s">
        <v>1680</v>
      </c>
      <c r="X2132" t="s">
        <v>43</v>
      </c>
      <c r="Y2132">
        <v>1880288</v>
      </c>
      <c r="Z2132">
        <v>20251205</v>
      </c>
    </row>
    <row r="2133" spans="3:26" x14ac:dyDescent="0.25">
      <c r="C2133">
        <v>10000001</v>
      </c>
      <c r="D2133" t="s">
        <v>1600</v>
      </c>
      <c r="F2133">
        <v>12010123</v>
      </c>
      <c r="H2133" t="s">
        <v>1600</v>
      </c>
      <c r="I2133">
        <v>50</v>
      </c>
      <c r="J2133" s="1">
        <v>-50000</v>
      </c>
      <c r="K2133" t="s">
        <v>26</v>
      </c>
      <c r="L2133" s="1">
        <v>-50000</v>
      </c>
      <c r="M2133" t="s">
        <v>26</v>
      </c>
      <c r="Q2133" t="s">
        <v>27</v>
      </c>
      <c r="R2133" t="s">
        <v>1675</v>
      </c>
      <c r="S2133" t="s">
        <v>334</v>
      </c>
      <c r="T2133" t="s">
        <v>1681</v>
      </c>
      <c r="X2133" t="s">
        <v>43</v>
      </c>
      <c r="Y2133">
        <v>1880288</v>
      </c>
      <c r="Z2133">
        <v>20251205</v>
      </c>
    </row>
    <row r="2134" spans="3:26" x14ac:dyDescent="0.25">
      <c r="C2134">
        <v>10000001</v>
      </c>
      <c r="D2134" t="s">
        <v>1600</v>
      </c>
      <c r="F2134">
        <v>12010124</v>
      </c>
      <c r="H2134" t="s">
        <v>1600</v>
      </c>
      <c r="I2134">
        <v>50</v>
      </c>
      <c r="J2134" s="1">
        <v>-50000</v>
      </c>
      <c r="K2134" t="s">
        <v>26</v>
      </c>
      <c r="L2134" s="1">
        <v>-50000</v>
      </c>
      <c r="M2134" t="s">
        <v>26</v>
      </c>
      <c r="Q2134" t="s">
        <v>27</v>
      </c>
      <c r="R2134" t="s">
        <v>1675</v>
      </c>
      <c r="S2134" t="s">
        <v>334</v>
      </c>
      <c r="T2134" t="s">
        <v>1682</v>
      </c>
      <c r="X2134" t="s">
        <v>43</v>
      </c>
      <c r="Y2134">
        <v>1880288</v>
      </c>
      <c r="Z2134">
        <v>20251205</v>
      </c>
    </row>
    <row r="2135" spans="3:26" x14ac:dyDescent="0.25">
      <c r="C2135">
        <v>10000001</v>
      </c>
      <c r="D2135" t="s">
        <v>1600</v>
      </c>
      <c r="F2135">
        <v>12010125</v>
      </c>
      <c r="H2135" t="s">
        <v>1600</v>
      </c>
      <c r="I2135">
        <v>50</v>
      </c>
      <c r="J2135" s="1">
        <v>-50000</v>
      </c>
      <c r="K2135" t="s">
        <v>26</v>
      </c>
      <c r="L2135" s="1">
        <v>-50000</v>
      </c>
      <c r="M2135" t="s">
        <v>26</v>
      </c>
      <c r="Q2135" t="s">
        <v>27</v>
      </c>
      <c r="R2135" t="s">
        <v>1675</v>
      </c>
      <c r="S2135" t="s">
        <v>334</v>
      </c>
      <c r="T2135" t="s">
        <v>1683</v>
      </c>
      <c r="X2135" t="s">
        <v>43</v>
      </c>
      <c r="Y2135">
        <v>1880288</v>
      </c>
      <c r="Z2135">
        <v>20251205</v>
      </c>
    </row>
    <row r="2136" spans="3:26" x14ac:dyDescent="0.25">
      <c r="C2136">
        <v>10000001</v>
      </c>
      <c r="D2136" t="s">
        <v>1600</v>
      </c>
      <c r="F2136">
        <v>12010126</v>
      </c>
      <c r="H2136" t="s">
        <v>1600</v>
      </c>
      <c r="I2136">
        <v>50</v>
      </c>
      <c r="J2136" s="1">
        <v>-50000</v>
      </c>
      <c r="K2136" t="s">
        <v>26</v>
      </c>
      <c r="L2136" s="1">
        <v>-50000</v>
      </c>
      <c r="M2136" t="s">
        <v>26</v>
      </c>
      <c r="Q2136" t="s">
        <v>27</v>
      </c>
      <c r="R2136" t="s">
        <v>1675</v>
      </c>
      <c r="S2136" t="s">
        <v>334</v>
      </c>
      <c r="T2136" t="s">
        <v>1684</v>
      </c>
      <c r="X2136" t="s">
        <v>43</v>
      </c>
      <c r="Y2136">
        <v>1880288</v>
      </c>
      <c r="Z2136">
        <v>20251205</v>
      </c>
    </row>
    <row r="2137" spans="3:26" x14ac:dyDescent="0.25">
      <c r="C2137">
        <v>10000001</v>
      </c>
      <c r="D2137" t="s">
        <v>1600</v>
      </c>
      <c r="F2137">
        <v>12010127</v>
      </c>
      <c r="H2137" t="s">
        <v>1600</v>
      </c>
      <c r="I2137">
        <v>50</v>
      </c>
      <c r="J2137" s="1">
        <v>-50000</v>
      </c>
      <c r="K2137" t="s">
        <v>26</v>
      </c>
      <c r="L2137" s="1">
        <v>-50000</v>
      </c>
      <c r="M2137" t="s">
        <v>26</v>
      </c>
      <c r="Q2137" t="s">
        <v>27</v>
      </c>
      <c r="R2137" t="s">
        <v>1675</v>
      </c>
      <c r="S2137" t="s">
        <v>334</v>
      </c>
      <c r="T2137" t="s">
        <v>1685</v>
      </c>
      <c r="X2137" t="s">
        <v>43</v>
      </c>
      <c r="Y2137">
        <v>1880288</v>
      </c>
      <c r="Z2137">
        <v>20251205</v>
      </c>
    </row>
    <row r="2138" spans="3:26" x14ac:dyDescent="0.25">
      <c r="C2138">
        <v>10000001</v>
      </c>
      <c r="D2138" t="s">
        <v>1600</v>
      </c>
      <c r="F2138">
        <v>12010128</v>
      </c>
      <c r="H2138" t="s">
        <v>1600</v>
      </c>
      <c r="I2138">
        <v>50</v>
      </c>
      <c r="J2138" s="1">
        <v>-50000</v>
      </c>
      <c r="K2138" t="s">
        <v>26</v>
      </c>
      <c r="L2138" s="1">
        <v>-50000</v>
      </c>
      <c r="M2138" t="s">
        <v>26</v>
      </c>
      <c r="Q2138" t="s">
        <v>27</v>
      </c>
      <c r="R2138" t="s">
        <v>1675</v>
      </c>
      <c r="S2138" t="s">
        <v>334</v>
      </c>
      <c r="T2138" t="s">
        <v>1686</v>
      </c>
      <c r="X2138" t="s">
        <v>43</v>
      </c>
      <c r="Y2138">
        <v>1880288</v>
      </c>
      <c r="Z2138">
        <v>20251205</v>
      </c>
    </row>
    <row r="2139" spans="3:26" x14ac:dyDescent="0.25">
      <c r="C2139">
        <v>10000001</v>
      </c>
      <c r="D2139" t="s">
        <v>1600</v>
      </c>
      <c r="F2139">
        <v>12010129</v>
      </c>
      <c r="H2139" t="s">
        <v>1600</v>
      </c>
      <c r="I2139">
        <v>50</v>
      </c>
      <c r="J2139" s="1">
        <v>-50000</v>
      </c>
      <c r="K2139" t="s">
        <v>26</v>
      </c>
      <c r="L2139" s="1">
        <v>-50000</v>
      </c>
      <c r="M2139" t="s">
        <v>26</v>
      </c>
      <c r="Q2139" t="s">
        <v>27</v>
      </c>
      <c r="R2139" t="s">
        <v>1675</v>
      </c>
      <c r="S2139" t="s">
        <v>334</v>
      </c>
      <c r="T2139" t="s">
        <v>1687</v>
      </c>
      <c r="X2139" t="s">
        <v>43</v>
      </c>
      <c r="Y2139">
        <v>1880288</v>
      </c>
      <c r="Z2139">
        <v>20251205</v>
      </c>
    </row>
    <row r="2140" spans="3:26" x14ac:dyDescent="0.25">
      <c r="C2140">
        <v>10000001</v>
      </c>
      <c r="D2140" t="s">
        <v>1600</v>
      </c>
      <c r="F2140">
        <v>12010130</v>
      </c>
      <c r="H2140" t="s">
        <v>1600</v>
      </c>
      <c r="I2140">
        <v>50</v>
      </c>
      <c r="J2140" s="1">
        <v>-50000</v>
      </c>
      <c r="K2140" t="s">
        <v>26</v>
      </c>
      <c r="L2140" s="1">
        <v>-50000</v>
      </c>
      <c r="M2140" t="s">
        <v>26</v>
      </c>
      <c r="Q2140" t="s">
        <v>27</v>
      </c>
      <c r="R2140" t="s">
        <v>1675</v>
      </c>
      <c r="S2140" t="s">
        <v>334</v>
      </c>
      <c r="T2140" t="s">
        <v>1688</v>
      </c>
      <c r="X2140" t="s">
        <v>43</v>
      </c>
      <c r="Y2140">
        <v>1880288</v>
      </c>
      <c r="Z2140">
        <v>20251205</v>
      </c>
    </row>
    <row r="2141" spans="3:26" x14ac:dyDescent="0.25">
      <c r="C2141">
        <v>10000001</v>
      </c>
      <c r="D2141" t="s">
        <v>1600</v>
      </c>
      <c r="F2141">
        <v>12010131</v>
      </c>
      <c r="H2141" t="s">
        <v>1600</v>
      </c>
      <c r="I2141">
        <v>50</v>
      </c>
      <c r="J2141" s="1">
        <v>-50000</v>
      </c>
      <c r="K2141" t="s">
        <v>26</v>
      </c>
      <c r="L2141" s="1">
        <v>-50000</v>
      </c>
      <c r="M2141" t="s">
        <v>26</v>
      </c>
      <c r="Q2141" t="s">
        <v>27</v>
      </c>
      <c r="R2141" t="s">
        <v>1675</v>
      </c>
      <c r="S2141" t="s">
        <v>334</v>
      </c>
      <c r="T2141" t="s">
        <v>1689</v>
      </c>
      <c r="X2141" t="s">
        <v>43</v>
      </c>
      <c r="Y2141">
        <v>1880288</v>
      </c>
      <c r="Z2141">
        <v>20251205</v>
      </c>
    </row>
    <row r="2142" spans="3:26" x14ac:dyDescent="0.25">
      <c r="C2142">
        <v>10000001</v>
      </c>
      <c r="D2142" t="s">
        <v>1600</v>
      </c>
      <c r="F2142">
        <v>12010132</v>
      </c>
      <c r="H2142" t="s">
        <v>1600</v>
      </c>
      <c r="I2142">
        <v>50</v>
      </c>
      <c r="J2142" s="1">
        <v>-50000</v>
      </c>
      <c r="K2142" t="s">
        <v>26</v>
      </c>
      <c r="L2142" s="1">
        <v>-50000</v>
      </c>
      <c r="M2142" t="s">
        <v>26</v>
      </c>
      <c r="Q2142" t="s">
        <v>27</v>
      </c>
      <c r="R2142" t="s">
        <v>1675</v>
      </c>
      <c r="S2142" t="s">
        <v>334</v>
      </c>
      <c r="T2142" t="s">
        <v>1690</v>
      </c>
      <c r="X2142" t="s">
        <v>43</v>
      </c>
      <c r="Y2142">
        <v>1880288</v>
      </c>
      <c r="Z2142">
        <v>20251205</v>
      </c>
    </row>
    <row r="2143" spans="3:26" x14ac:dyDescent="0.25">
      <c r="C2143">
        <v>10000001</v>
      </c>
      <c r="D2143" t="s">
        <v>1600</v>
      </c>
      <c r="F2143">
        <v>12010133</v>
      </c>
      <c r="H2143" t="s">
        <v>1600</v>
      </c>
      <c r="I2143">
        <v>50</v>
      </c>
      <c r="J2143" s="1">
        <v>-50000</v>
      </c>
      <c r="K2143" t="s">
        <v>26</v>
      </c>
      <c r="L2143" s="1">
        <v>-50000</v>
      </c>
      <c r="M2143" t="s">
        <v>26</v>
      </c>
      <c r="Q2143" t="s">
        <v>27</v>
      </c>
      <c r="R2143" t="s">
        <v>1675</v>
      </c>
      <c r="S2143" t="s">
        <v>334</v>
      </c>
      <c r="T2143" t="s">
        <v>1691</v>
      </c>
      <c r="X2143" t="s">
        <v>43</v>
      </c>
      <c r="Y2143">
        <v>1880288</v>
      </c>
      <c r="Z2143">
        <v>20251205</v>
      </c>
    </row>
    <row r="2144" spans="3:26" x14ac:dyDescent="0.25">
      <c r="C2144">
        <v>10000001</v>
      </c>
      <c r="D2144" t="s">
        <v>1600</v>
      </c>
      <c r="F2144">
        <v>12010134</v>
      </c>
      <c r="H2144" t="s">
        <v>1600</v>
      </c>
      <c r="I2144">
        <v>50</v>
      </c>
      <c r="J2144" s="1">
        <v>-50000</v>
      </c>
      <c r="K2144" t="s">
        <v>26</v>
      </c>
      <c r="L2144" s="1">
        <v>-50000</v>
      </c>
      <c r="M2144" t="s">
        <v>26</v>
      </c>
      <c r="Q2144" t="s">
        <v>27</v>
      </c>
      <c r="R2144" t="s">
        <v>1675</v>
      </c>
      <c r="S2144" t="s">
        <v>334</v>
      </c>
      <c r="T2144" t="s">
        <v>1692</v>
      </c>
      <c r="X2144" t="s">
        <v>43</v>
      </c>
      <c r="Y2144">
        <v>1880288</v>
      </c>
      <c r="Z2144">
        <v>20251205</v>
      </c>
    </row>
    <row r="2145" spans="3:26" x14ac:dyDescent="0.25">
      <c r="C2145">
        <v>10000001</v>
      </c>
      <c r="D2145" t="s">
        <v>1600</v>
      </c>
      <c r="F2145">
        <v>12010135</v>
      </c>
      <c r="H2145" t="s">
        <v>1600</v>
      </c>
      <c r="I2145">
        <v>50</v>
      </c>
      <c r="J2145" s="1">
        <v>-50000</v>
      </c>
      <c r="K2145" t="s">
        <v>26</v>
      </c>
      <c r="L2145" s="1">
        <v>-50000</v>
      </c>
      <c r="M2145" t="s">
        <v>26</v>
      </c>
      <c r="Q2145" t="s">
        <v>27</v>
      </c>
      <c r="R2145" t="s">
        <v>1675</v>
      </c>
      <c r="S2145" t="s">
        <v>334</v>
      </c>
      <c r="T2145" t="s">
        <v>1693</v>
      </c>
      <c r="X2145" t="s">
        <v>43</v>
      </c>
      <c r="Y2145">
        <v>1880288</v>
      </c>
      <c r="Z2145">
        <v>20251205</v>
      </c>
    </row>
    <row r="2146" spans="3:26" x14ac:dyDescent="0.25">
      <c r="C2146">
        <v>10000001</v>
      </c>
      <c r="D2146" t="s">
        <v>1600</v>
      </c>
      <c r="F2146">
        <v>12010136</v>
      </c>
      <c r="H2146" t="s">
        <v>1600</v>
      </c>
      <c r="I2146">
        <v>50</v>
      </c>
      <c r="J2146" s="1">
        <v>-26000</v>
      </c>
      <c r="K2146" t="s">
        <v>26</v>
      </c>
      <c r="L2146" s="1">
        <v>-26000</v>
      </c>
      <c r="M2146" t="s">
        <v>26</v>
      </c>
      <c r="Q2146" t="s">
        <v>27</v>
      </c>
      <c r="R2146" t="s">
        <v>1675</v>
      </c>
      <c r="S2146" t="s">
        <v>259</v>
      </c>
      <c r="T2146" t="s">
        <v>1694</v>
      </c>
      <c r="X2146" t="s">
        <v>43</v>
      </c>
      <c r="Y2146">
        <v>1880288</v>
      </c>
      <c r="Z2146">
        <v>20251205</v>
      </c>
    </row>
    <row r="2147" spans="3:26" x14ac:dyDescent="0.25">
      <c r="C2147">
        <v>10000001</v>
      </c>
      <c r="D2147" t="s">
        <v>1600</v>
      </c>
      <c r="F2147">
        <v>12010137</v>
      </c>
      <c r="H2147" t="s">
        <v>1600</v>
      </c>
      <c r="I2147">
        <v>50</v>
      </c>
      <c r="J2147" s="1">
        <v>-620000</v>
      </c>
      <c r="K2147" t="s">
        <v>26</v>
      </c>
      <c r="L2147" s="1">
        <v>-620000</v>
      </c>
      <c r="M2147" t="s">
        <v>26</v>
      </c>
      <c r="Q2147" t="s">
        <v>27</v>
      </c>
      <c r="R2147" t="s">
        <v>1695</v>
      </c>
      <c r="S2147" t="s">
        <v>96</v>
      </c>
      <c r="T2147" t="s">
        <v>1696</v>
      </c>
      <c r="X2147" t="s">
        <v>43</v>
      </c>
      <c r="Y2147">
        <v>1880288</v>
      </c>
      <c r="Z2147">
        <v>20251205</v>
      </c>
    </row>
    <row r="2148" spans="3:26" x14ac:dyDescent="0.25">
      <c r="C2148">
        <v>10000001</v>
      </c>
      <c r="D2148" t="s">
        <v>1600</v>
      </c>
      <c r="F2148">
        <v>12010138</v>
      </c>
      <c r="H2148" t="s">
        <v>1600</v>
      </c>
      <c r="I2148">
        <v>50</v>
      </c>
      <c r="J2148" s="1">
        <v>-378000</v>
      </c>
      <c r="K2148" t="s">
        <v>26</v>
      </c>
      <c r="L2148" s="1">
        <v>-378000</v>
      </c>
      <c r="M2148" t="s">
        <v>26</v>
      </c>
      <c r="Q2148" t="s">
        <v>27</v>
      </c>
      <c r="R2148" t="s">
        <v>1695</v>
      </c>
      <c r="S2148" t="s">
        <v>67</v>
      </c>
      <c r="T2148" t="s">
        <v>98</v>
      </c>
      <c r="X2148" t="s">
        <v>43</v>
      </c>
      <c r="Y2148">
        <v>1880288</v>
      </c>
      <c r="Z2148">
        <v>20251205</v>
      </c>
    </row>
    <row r="2149" spans="3:26" x14ac:dyDescent="0.25">
      <c r="C2149">
        <v>10000001</v>
      </c>
      <c r="D2149" t="s">
        <v>1600</v>
      </c>
      <c r="F2149">
        <v>12010139</v>
      </c>
      <c r="H2149" t="s">
        <v>1600</v>
      </c>
      <c r="I2149">
        <v>50</v>
      </c>
      <c r="J2149" s="1">
        <v>-310000</v>
      </c>
      <c r="K2149" t="s">
        <v>26</v>
      </c>
      <c r="L2149" s="1">
        <v>-310000</v>
      </c>
      <c r="M2149" t="s">
        <v>26</v>
      </c>
      <c r="Q2149" t="s">
        <v>27</v>
      </c>
      <c r="R2149" t="s">
        <v>1697</v>
      </c>
      <c r="S2149" t="s">
        <v>57</v>
      </c>
      <c r="T2149" t="s">
        <v>181</v>
      </c>
      <c r="X2149" t="s">
        <v>43</v>
      </c>
      <c r="Y2149">
        <v>1880288</v>
      </c>
      <c r="Z2149">
        <v>20251205</v>
      </c>
    </row>
    <row r="2150" spans="3:26" x14ac:dyDescent="0.25">
      <c r="C2150">
        <v>10000001</v>
      </c>
      <c r="D2150" t="s">
        <v>1600</v>
      </c>
      <c r="F2150">
        <v>12010140</v>
      </c>
      <c r="H2150" t="s">
        <v>1600</v>
      </c>
      <c r="I2150">
        <v>50</v>
      </c>
      <c r="J2150" s="1">
        <v>-330000</v>
      </c>
      <c r="K2150" t="s">
        <v>26</v>
      </c>
      <c r="L2150" s="1">
        <v>-330000</v>
      </c>
      <c r="M2150" t="s">
        <v>26</v>
      </c>
      <c r="Q2150" t="s">
        <v>27</v>
      </c>
      <c r="R2150" t="s">
        <v>1698</v>
      </c>
      <c r="S2150" t="s">
        <v>57</v>
      </c>
      <c r="T2150" t="s">
        <v>179</v>
      </c>
      <c r="X2150" t="s">
        <v>43</v>
      </c>
      <c r="Y2150">
        <v>1880288</v>
      </c>
      <c r="Z2150">
        <v>20251205</v>
      </c>
    </row>
    <row r="2151" spans="3:26" x14ac:dyDescent="0.25">
      <c r="C2151">
        <v>10000001</v>
      </c>
      <c r="D2151" t="s">
        <v>1600</v>
      </c>
      <c r="F2151">
        <v>12010141</v>
      </c>
      <c r="H2151" t="s">
        <v>1600</v>
      </c>
      <c r="I2151">
        <v>50</v>
      </c>
      <c r="J2151" s="1">
        <v>-50000</v>
      </c>
      <c r="K2151" t="s">
        <v>26</v>
      </c>
      <c r="L2151" s="1">
        <v>-50000</v>
      </c>
      <c r="M2151" t="s">
        <v>26</v>
      </c>
      <c r="Q2151" t="s">
        <v>27</v>
      </c>
      <c r="R2151" t="s">
        <v>1699</v>
      </c>
      <c r="S2151" t="s">
        <v>334</v>
      </c>
      <c r="T2151" t="s">
        <v>1700</v>
      </c>
      <c r="X2151" t="s">
        <v>43</v>
      </c>
      <c r="Y2151">
        <v>1880288</v>
      </c>
      <c r="Z2151">
        <v>20251205</v>
      </c>
    </row>
    <row r="2152" spans="3:26" x14ac:dyDescent="0.25">
      <c r="C2152">
        <v>10000001</v>
      </c>
      <c r="D2152" t="s">
        <v>1600</v>
      </c>
      <c r="F2152">
        <v>12010142</v>
      </c>
      <c r="H2152" t="s">
        <v>1600</v>
      </c>
      <c r="I2152">
        <v>50</v>
      </c>
      <c r="J2152" s="1">
        <v>-50000</v>
      </c>
      <c r="K2152" t="s">
        <v>26</v>
      </c>
      <c r="L2152" s="1">
        <v>-50000</v>
      </c>
      <c r="M2152" t="s">
        <v>26</v>
      </c>
      <c r="Q2152" t="s">
        <v>27</v>
      </c>
      <c r="R2152" t="s">
        <v>1699</v>
      </c>
      <c r="S2152" t="s">
        <v>334</v>
      </c>
      <c r="T2152" t="s">
        <v>1701</v>
      </c>
      <c r="X2152" t="s">
        <v>43</v>
      </c>
      <c r="Y2152">
        <v>1880288</v>
      </c>
      <c r="Z2152">
        <v>20251205</v>
      </c>
    </row>
    <row r="2153" spans="3:26" x14ac:dyDescent="0.25">
      <c r="C2153">
        <v>10000001</v>
      </c>
      <c r="D2153" t="s">
        <v>1600</v>
      </c>
      <c r="F2153">
        <v>12010143</v>
      </c>
      <c r="H2153" t="s">
        <v>1600</v>
      </c>
      <c r="I2153">
        <v>50</v>
      </c>
      <c r="J2153" s="1">
        <v>-50000</v>
      </c>
      <c r="K2153" t="s">
        <v>26</v>
      </c>
      <c r="L2153" s="1">
        <v>-50000</v>
      </c>
      <c r="M2153" t="s">
        <v>26</v>
      </c>
      <c r="Q2153" t="s">
        <v>27</v>
      </c>
      <c r="R2153" t="s">
        <v>1699</v>
      </c>
      <c r="S2153" t="s">
        <v>334</v>
      </c>
      <c r="T2153" t="s">
        <v>1702</v>
      </c>
      <c r="X2153" t="s">
        <v>43</v>
      </c>
      <c r="Y2153">
        <v>1880288</v>
      </c>
      <c r="Z2153">
        <v>20251205</v>
      </c>
    </row>
    <row r="2154" spans="3:26" x14ac:dyDescent="0.25">
      <c r="C2154">
        <v>10000001</v>
      </c>
      <c r="D2154" t="s">
        <v>1600</v>
      </c>
      <c r="F2154">
        <v>12010144</v>
      </c>
      <c r="H2154" t="s">
        <v>1600</v>
      </c>
      <c r="I2154">
        <v>50</v>
      </c>
      <c r="J2154" s="1">
        <v>-50000</v>
      </c>
      <c r="K2154" t="s">
        <v>26</v>
      </c>
      <c r="L2154" s="1">
        <v>-50000</v>
      </c>
      <c r="M2154" t="s">
        <v>26</v>
      </c>
      <c r="Q2154" t="s">
        <v>27</v>
      </c>
      <c r="R2154" t="s">
        <v>1699</v>
      </c>
      <c r="S2154" t="s">
        <v>334</v>
      </c>
      <c r="T2154" t="s">
        <v>1703</v>
      </c>
      <c r="X2154" t="s">
        <v>43</v>
      </c>
      <c r="Y2154">
        <v>1880288</v>
      </c>
      <c r="Z2154">
        <v>20251205</v>
      </c>
    </row>
    <row r="2155" spans="3:26" x14ac:dyDescent="0.25">
      <c r="C2155">
        <v>10000001</v>
      </c>
      <c r="D2155" t="s">
        <v>1600</v>
      </c>
      <c r="F2155">
        <v>12010145</v>
      </c>
      <c r="H2155" t="s">
        <v>1600</v>
      </c>
      <c r="I2155">
        <v>50</v>
      </c>
      <c r="J2155" s="1">
        <v>-50000</v>
      </c>
      <c r="K2155" t="s">
        <v>26</v>
      </c>
      <c r="L2155" s="1">
        <v>-50000</v>
      </c>
      <c r="M2155" t="s">
        <v>26</v>
      </c>
      <c r="Q2155" t="s">
        <v>27</v>
      </c>
      <c r="R2155" t="s">
        <v>1699</v>
      </c>
      <c r="S2155" t="s">
        <v>334</v>
      </c>
      <c r="T2155" t="s">
        <v>1704</v>
      </c>
      <c r="X2155" t="s">
        <v>43</v>
      </c>
      <c r="Y2155">
        <v>1880288</v>
      </c>
      <c r="Z2155">
        <v>20251205</v>
      </c>
    </row>
    <row r="2156" spans="3:26" x14ac:dyDescent="0.25">
      <c r="C2156">
        <v>10000001</v>
      </c>
      <c r="D2156" t="s">
        <v>1600</v>
      </c>
      <c r="F2156">
        <v>12010146</v>
      </c>
      <c r="H2156" t="s">
        <v>1600</v>
      </c>
      <c r="I2156">
        <v>50</v>
      </c>
      <c r="J2156" s="1">
        <v>-57800</v>
      </c>
      <c r="K2156" t="s">
        <v>26</v>
      </c>
      <c r="L2156" s="1">
        <v>-57800</v>
      </c>
      <c r="M2156" t="s">
        <v>26</v>
      </c>
      <c r="Q2156" t="s">
        <v>27</v>
      </c>
      <c r="R2156" t="s">
        <v>1705</v>
      </c>
      <c r="S2156" t="s">
        <v>193</v>
      </c>
      <c r="T2156" t="s">
        <v>1706</v>
      </c>
      <c r="X2156" t="s">
        <v>43</v>
      </c>
      <c r="Y2156">
        <v>1880288</v>
      </c>
      <c r="Z2156">
        <v>20251205</v>
      </c>
    </row>
    <row r="2157" spans="3:26" x14ac:dyDescent="0.25">
      <c r="C2157">
        <v>10000001</v>
      </c>
      <c r="D2157" t="s">
        <v>1600</v>
      </c>
      <c r="F2157">
        <v>12010147</v>
      </c>
      <c r="H2157" t="s">
        <v>1600</v>
      </c>
      <c r="I2157">
        <v>50</v>
      </c>
      <c r="J2157" s="1">
        <v>-875000</v>
      </c>
      <c r="K2157" t="s">
        <v>26</v>
      </c>
      <c r="L2157" s="1">
        <v>-875000</v>
      </c>
      <c r="M2157" t="s">
        <v>26</v>
      </c>
      <c r="Q2157" t="s">
        <v>27</v>
      </c>
      <c r="R2157" t="s">
        <v>1707</v>
      </c>
      <c r="S2157" t="s">
        <v>57</v>
      </c>
      <c r="T2157" t="s">
        <v>1708</v>
      </c>
      <c r="X2157" t="s">
        <v>43</v>
      </c>
      <c r="Y2157">
        <v>1880288</v>
      </c>
      <c r="Z2157">
        <v>20251205</v>
      </c>
    </row>
    <row r="2158" spans="3:26" x14ac:dyDescent="0.25">
      <c r="C2158">
        <v>10000001</v>
      </c>
      <c r="D2158" t="s">
        <v>1600</v>
      </c>
      <c r="F2158">
        <v>12010148</v>
      </c>
      <c r="H2158" t="s">
        <v>1600</v>
      </c>
      <c r="I2158">
        <v>50</v>
      </c>
      <c r="J2158" s="1">
        <v>-200000</v>
      </c>
      <c r="K2158" t="s">
        <v>26</v>
      </c>
      <c r="L2158" s="1">
        <v>-200000</v>
      </c>
      <c r="M2158" t="s">
        <v>26</v>
      </c>
      <c r="Q2158" t="s">
        <v>27</v>
      </c>
      <c r="R2158" t="s">
        <v>1709</v>
      </c>
      <c r="S2158" t="s">
        <v>334</v>
      </c>
      <c r="T2158" t="s">
        <v>1710</v>
      </c>
      <c r="X2158" t="s">
        <v>43</v>
      </c>
      <c r="Y2158">
        <v>1880288</v>
      </c>
      <c r="Z2158">
        <v>20251205</v>
      </c>
    </row>
    <row r="2159" spans="3:26" x14ac:dyDescent="0.25">
      <c r="C2159">
        <v>10000001</v>
      </c>
      <c r="D2159" t="s">
        <v>1600</v>
      </c>
      <c r="F2159">
        <v>12010149</v>
      </c>
      <c r="H2159" t="s">
        <v>1600</v>
      </c>
      <c r="I2159">
        <v>50</v>
      </c>
      <c r="J2159" s="1">
        <v>-150000</v>
      </c>
      <c r="K2159" t="s">
        <v>26</v>
      </c>
      <c r="L2159" s="1">
        <v>-150000</v>
      </c>
      <c r="M2159" t="s">
        <v>26</v>
      </c>
      <c r="Q2159" t="s">
        <v>27</v>
      </c>
      <c r="R2159" t="s">
        <v>1709</v>
      </c>
      <c r="S2159" t="s">
        <v>334</v>
      </c>
      <c r="T2159" t="s">
        <v>1711</v>
      </c>
      <c r="X2159" t="s">
        <v>43</v>
      </c>
      <c r="Y2159">
        <v>1880288</v>
      </c>
      <c r="Z2159">
        <v>20251205</v>
      </c>
    </row>
    <row r="2160" spans="3:26" x14ac:dyDescent="0.25">
      <c r="C2160">
        <v>10000001</v>
      </c>
      <c r="D2160" t="s">
        <v>1600</v>
      </c>
      <c r="F2160">
        <v>12010150</v>
      </c>
      <c r="H2160" t="s">
        <v>1600</v>
      </c>
      <c r="I2160">
        <v>50</v>
      </c>
      <c r="J2160" s="1">
        <v>-150000</v>
      </c>
      <c r="K2160" t="s">
        <v>26</v>
      </c>
      <c r="L2160" s="1">
        <v>-150000</v>
      </c>
      <c r="M2160" t="s">
        <v>26</v>
      </c>
      <c r="Q2160" t="s">
        <v>27</v>
      </c>
      <c r="R2160" t="s">
        <v>1709</v>
      </c>
      <c r="S2160" t="s">
        <v>334</v>
      </c>
      <c r="T2160" t="s">
        <v>1712</v>
      </c>
      <c r="X2160" t="s">
        <v>43</v>
      </c>
      <c r="Y2160">
        <v>1880288</v>
      </c>
      <c r="Z2160">
        <v>20251205</v>
      </c>
    </row>
    <row r="2161" spans="3:26" x14ac:dyDescent="0.25">
      <c r="C2161">
        <v>10000001</v>
      </c>
      <c r="D2161" t="s">
        <v>1600</v>
      </c>
      <c r="F2161">
        <v>12010151</v>
      </c>
      <c r="H2161" t="s">
        <v>1600</v>
      </c>
      <c r="I2161">
        <v>50</v>
      </c>
      <c r="J2161" s="1">
        <v>-283000</v>
      </c>
      <c r="K2161" t="s">
        <v>26</v>
      </c>
      <c r="L2161" s="1">
        <v>-283000</v>
      </c>
      <c r="M2161" t="s">
        <v>26</v>
      </c>
      <c r="Q2161" t="s">
        <v>27</v>
      </c>
      <c r="R2161" t="s">
        <v>1713</v>
      </c>
      <c r="S2161" t="s">
        <v>67</v>
      </c>
      <c r="T2161" t="s">
        <v>1714</v>
      </c>
      <c r="X2161" t="s">
        <v>43</v>
      </c>
      <c r="Y2161">
        <v>1880288</v>
      </c>
      <c r="Z2161">
        <v>20251205</v>
      </c>
    </row>
    <row r="2162" spans="3:26" x14ac:dyDescent="0.25">
      <c r="C2162">
        <v>10000001</v>
      </c>
      <c r="D2162" t="s">
        <v>1600</v>
      </c>
      <c r="F2162">
        <v>12010152</v>
      </c>
      <c r="H2162" t="s">
        <v>1600</v>
      </c>
      <c r="I2162">
        <v>50</v>
      </c>
      <c r="J2162" s="1">
        <v>-28000</v>
      </c>
      <c r="K2162" t="s">
        <v>26</v>
      </c>
      <c r="L2162" s="1">
        <v>-28000</v>
      </c>
      <c r="M2162" t="s">
        <v>26</v>
      </c>
      <c r="Q2162" t="s">
        <v>27</v>
      </c>
      <c r="R2162" t="s">
        <v>1713</v>
      </c>
      <c r="S2162" t="s">
        <v>64</v>
      </c>
      <c r="T2162" t="s">
        <v>1715</v>
      </c>
      <c r="X2162" t="s">
        <v>43</v>
      </c>
      <c r="Y2162">
        <v>1880288</v>
      </c>
      <c r="Z2162">
        <v>20251205</v>
      </c>
    </row>
    <row r="2163" spans="3:26" x14ac:dyDescent="0.25">
      <c r="C2163">
        <v>10000001</v>
      </c>
      <c r="D2163" t="s">
        <v>1600</v>
      </c>
      <c r="F2163">
        <v>12010153</v>
      </c>
      <c r="H2163" t="s">
        <v>1600</v>
      </c>
      <c r="I2163">
        <v>50</v>
      </c>
      <c r="J2163" s="1">
        <v>-50000</v>
      </c>
      <c r="K2163" t="s">
        <v>26</v>
      </c>
      <c r="L2163" s="1">
        <v>-50000</v>
      </c>
      <c r="M2163" t="s">
        <v>26</v>
      </c>
      <c r="Q2163" t="s">
        <v>27</v>
      </c>
      <c r="R2163" t="s">
        <v>1716</v>
      </c>
      <c r="S2163" t="s">
        <v>334</v>
      </c>
      <c r="T2163" t="s">
        <v>1717</v>
      </c>
      <c r="X2163" t="s">
        <v>43</v>
      </c>
      <c r="Y2163">
        <v>1880288</v>
      </c>
      <c r="Z2163">
        <v>20251205</v>
      </c>
    </row>
    <row r="2164" spans="3:26" x14ac:dyDescent="0.25">
      <c r="C2164">
        <v>10000001</v>
      </c>
      <c r="D2164" t="s">
        <v>1600</v>
      </c>
      <c r="F2164">
        <v>12010154</v>
      </c>
      <c r="H2164" t="s">
        <v>1600</v>
      </c>
      <c r="I2164">
        <v>50</v>
      </c>
      <c r="J2164" s="1">
        <v>-50000</v>
      </c>
      <c r="K2164" t="s">
        <v>26</v>
      </c>
      <c r="L2164" s="1">
        <v>-50000</v>
      </c>
      <c r="M2164" t="s">
        <v>26</v>
      </c>
      <c r="Q2164" t="s">
        <v>27</v>
      </c>
      <c r="R2164" t="s">
        <v>1716</v>
      </c>
      <c r="S2164" t="s">
        <v>334</v>
      </c>
      <c r="T2164" t="s">
        <v>1718</v>
      </c>
      <c r="X2164" t="s">
        <v>43</v>
      </c>
      <c r="Y2164">
        <v>1880288</v>
      </c>
      <c r="Z2164">
        <v>20251205</v>
      </c>
    </row>
    <row r="2165" spans="3:26" x14ac:dyDescent="0.25">
      <c r="C2165">
        <v>10000001</v>
      </c>
      <c r="D2165" t="s">
        <v>1600</v>
      </c>
      <c r="F2165">
        <v>12010155</v>
      </c>
      <c r="H2165" t="s">
        <v>1600</v>
      </c>
      <c r="I2165">
        <v>50</v>
      </c>
      <c r="J2165" s="1">
        <v>-50000</v>
      </c>
      <c r="K2165" t="s">
        <v>26</v>
      </c>
      <c r="L2165" s="1">
        <v>-50000</v>
      </c>
      <c r="M2165" t="s">
        <v>26</v>
      </c>
      <c r="Q2165" t="s">
        <v>27</v>
      </c>
      <c r="R2165" t="s">
        <v>1716</v>
      </c>
      <c r="S2165" t="s">
        <v>334</v>
      </c>
      <c r="T2165" t="s">
        <v>1719</v>
      </c>
      <c r="X2165" t="s">
        <v>43</v>
      </c>
      <c r="Y2165">
        <v>1880288</v>
      </c>
      <c r="Z2165">
        <v>20251205</v>
      </c>
    </row>
    <row r="2166" spans="3:26" x14ac:dyDescent="0.25">
      <c r="C2166">
        <v>10000001</v>
      </c>
      <c r="D2166" t="s">
        <v>1600</v>
      </c>
      <c r="F2166">
        <v>12010156</v>
      </c>
      <c r="H2166" t="s">
        <v>1600</v>
      </c>
      <c r="I2166">
        <v>50</v>
      </c>
      <c r="J2166" s="1">
        <v>-50000</v>
      </c>
      <c r="K2166" t="s">
        <v>26</v>
      </c>
      <c r="L2166" s="1">
        <v>-50000</v>
      </c>
      <c r="M2166" t="s">
        <v>26</v>
      </c>
      <c r="Q2166" t="s">
        <v>27</v>
      </c>
      <c r="R2166" t="s">
        <v>1720</v>
      </c>
      <c r="S2166" t="s">
        <v>334</v>
      </c>
      <c r="T2166" t="s">
        <v>1721</v>
      </c>
      <c r="X2166" t="s">
        <v>43</v>
      </c>
      <c r="Y2166">
        <v>1880288</v>
      </c>
      <c r="Z2166">
        <v>20251205</v>
      </c>
    </row>
    <row r="2167" spans="3:26" x14ac:dyDescent="0.25">
      <c r="C2167">
        <v>10000001</v>
      </c>
      <c r="D2167" t="s">
        <v>1600</v>
      </c>
      <c r="F2167">
        <v>12010157</v>
      </c>
      <c r="H2167" t="s">
        <v>1600</v>
      </c>
      <c r="I2167">
        <v>50</v>
      </c>
      <c r="J2167" s="1">
        <v>-50000</v>
      </c>
      <c r="K2167" t="s">
        <v>26</v>
      </c>
      <c r="L2167" s="1">
        <v>-50000</v>
      </c>
      <c r="M2167" t="s">
        <v>26</v>
      </c>
      <c r="Q2167" t="s">
        <v>27</v>
      </c>
      <c r="R2167" t="s">
        <v>1720</v>
      </c>
      <c r="S2167" t="s">
        <v>334</v>
      </c>
      <c r="T2167" t="s">
        <v>1722</v>
      </c>
      <c r="X2167" t="s">
        <v>43</v>
      </c>
      <c r="Y2167">
        <v>1880288</v>
      </c>
      <c r="Z2167">
        <v>20251205</v>
      </c>
    </row>
    <row r="2168" spans="3:26" x14ac:dyDescent="0.25">
      <c r="C2168">
        <v>10000001</v>
      </c>
      <c r="D2168" t="s">
        <v>1600</v>
      </c>
      <c r="F2168">
        <v>12010158</v>
      </c>
      <c r="H2168" t="s">
        <v>1600</v>
      </c>
      <c r="I2168">
        <v>50</v>
      </c>
      <c r="J2168" s="1">
        <v>-50000</v>
      </c>
      <c r="K2168" t="s">
        <v>26</v>
      </c>
      <c r="L2168" s="1">
        <v>-50000</v>
      </c>
      <c r="M2168" t="s">
        <v>26</v>
      </c>
      <c r="Q2168" t="s">
        <v>27</v>
      </c>
      <c r="R2168" t="s">
        <v>1720</v>
      </c>
      <c r="S2168" t="s">
        <v>334</v>
      </c>
      <c r="T2168" t="s">
        <v>1723</v>
      </c>
      <c r="X2168" t="s">
        <v>43</v>
      </c>
      <c r="Y2168">
        <v>1880288</v>
      </c>
      <c r="Z2168">
        <v>20251205</v>
      </c>
    </row>
    <row r="2169" spans="3:26" x14ac:dyDescent="0.25">
      <c r="C2169">
        <v>10000001</v>
      </c>
      <c r="D2169" t="s">
        <v>1600</v>
      </c>
      <c r="F2169">
        <v>12010159</v>
      </c>
      <c r="H2169" t="s">
        <v>1600</v>
      </c>
      <c r="I2169">
        <v>50</v>
      </c>
      <c r="J2169" s="1">
        <v>-50000</v>
      </c>
      <c r="K2169" t="s">
        <v>26</v>
      </c>
      <c r="L2169" s="1">
        <v>-50000</v>
      </c>
      <c r="M2169" t="s">
        <v>26</v>
      </c>
      <c r="Q2169" t="s">
        <v>27</v>
      </c>
      <c r="R2169" t="s">
        <v>1724</v>
      </c>
      <c r="S2169" t="s">
        <v>334</v>
      </c>
      <c r="T2169" t="s">
        <v>1725</v>
      </c>
      <c r="X2169" t="s">
        <v>43</v>
      </c>
      <c r="Y2169">
        <v>1880288</v>
      </c>
      <c r="Z2169">
        <v>20251205</v>
      </c>
    </row>
    <row r="2170" spans="3:26" x14ac:dyDescent="0.25">
      <c r="C2170">
        <v>10000001</v>
      </c>
      <c r="D2170" t="s">
        <v>1600</v>
      </c>
      <c r="F2170">
        <v>12010160</v>
      </c>
      <c r="H2170" t="s">
        <v>1600</v>
      </c>
      <c r="I2170">
        <v>50</v>
      </c>
      <c r="J2170" s="1">
        <v>-50000</v>
      </c>
      <c r="K2170" t="s">
        <v>26</v>
      </c>
      <c r="L2170" s="1">
        <v>-50000</v>
      </c>
      <c r="M2170" t="s">
        <v>26</v>
      </c>
      <c r="Q2170" t="s">
        <v>27</v>
      </c>
      <c r="R2170" t="s">
        <v>1675</v>
      </c>
      <c r="S2170" t="s">
        <v>334</v>
      </c>
      <c r="T2170" t="s">
        <v>1726</v>
      </c>
      <c r="X2170" t="s">
        <v>43</v>
      </c>
      <c r="Y2170">
        <v>1880288</v>
      </c>
      <c r="Z2170">
        <v>20251205</v>
      </c>
    </row>
    <row r="2171" spans="3:26" x14ac:dyDescent="0.25">
      <c r="C2171">
        <v>10000001</v>
      </c>
      <c r="D2171" t="s">
        <v>1727</v>
      </c>
      <c r="F2171">
        <v>12010161</v>
      </c>
      <c r="H2171" t="s">
        <v>1727</v>
      </c>
      <c r="I2171">
        <v>50</v>
      </c>
      <c r="J2171" s="1">
        <v>-50000</v>
      </c>
      <c r="K2171" t="s">
        <v>26</v>
      </c>
      <c r="L2171" s="1">
        <v>-50000</v>
      </c>
      <c r="M2171" t="s">
        <v>26</v>
      </c>
      <c r="Q2171" t="s">
        <v>27</v>
      </c>
      <c r="R2171" t="s">
        <v>1728</v>
      </c>
      <c r="S2171" t="s">
        <v>334</v>
      </c>
      <c r="T2171" t="s">
        <v>1729</v>
      </c>
      <c r="X2171" t="s">
        <v>43</v>
      </c>
      <c r="Y2171">
        <v>1880288</v>
      </c>
      <c r="Z2171">
        <v>20251208</v>
      </c>
    </row>
    <row r="2172" spans="3:26" x14ac:dyDescent="0.25">
      <c r="C2172">
        <v>10000001</v>
      </c>
      <c r="D2172" t="s">
        <v>1727</v>
      </c>
      <c r="F2172">
        <v>12010162</v>
      </c>
      <c r="H2172" t="s">
        <v>1727</v>
      </c>
      <c r="I2172">
        <v>50</v>
      </c>
      <c r="J2172" s="1">
        <v>-50000</v>
      </c>
      <c r="K2172" t="s">
        <v>26</v>
      </c>
      <c r="L2172" s="1">
        <v>-50000</v>
      </c>
      <c r="M2172" t="s">
        <v>26</v>
      </c>
      <c r="Q2172" t="s">
        <v>27</v>
      </c>
      <c r="R2172" t="s">
        <v>1728</v>
      </c>
      <c r="S2172" t="s">
        <v>334</v>
      </c>
      <c r="T2172" t="s">
        <v>1730</v>
      </c>
      <c r="X2172" t="s">
        <v>43</v>
      </c>
      <c r="Y2172">
        <v>1880288</v>
      </c>
      <c r="Z2172">
        <v>20251208</v>
      </c>
    </row>
    <row r="2173" spans="3:26" x14ac:dyDescent="0.25">
      <c r="C2173">
        <v>10000001</v>
      </c>
      <c r="D2173" t="s">
        <v>1727</v>
      </c>
      <c r="F2173">
        <v>12010163</v>
      </c>
      <c r="H2173" t="s">
        <v>1727</v>
      </c>
      <c r="I2173">
        <v>50</v>
      </c>
      <c r="J2173" s="1">
        <v>-50000</v>
      </c>
      <c r="K2173" t="s">
        <v>26</v>
      </c>
      <c r="L2173" s="1">
        <v>-50000</v>
      </c>
      <c r="M2173" t="s">
        <v>26</v>
      </c>
      <c r="Q2173" t="s">
        <v>27</v>
      </c>
      <c r="R2173" t="s">
        <v>1728</v>
      </c>
      <c r="S2173" t="s">
        <v>334</v>
      </c>
      <c r="T2173" t="s">
        <v>1731</v>
      </c>
      <c r="X2173" t="s">
        <v>43</v>
      </c>
      <c r="Y2173">
        <v>1880288</v>
      </c>
      <c r="Z2173">
        <v>20251208</v>
      </c>
    </row>
    <row r="2174" spans="3:26" x14ac:dyDescent="0.25">
      <c r="C2174">
        <v>10000001</v>
      </c>
      <c r="D2174" t="s">
        <v>1727</v>
      </c>
      <c r="F2174">
        <v>12010164</v>
      </c>
      <c r="H2174" t="s">
        <v>1727</v>
      </c>
      <c r="I2174">
        <v>50</v>
      </c>
      <c r="J2174" s="1">
        <v>-50000</v>
      </c>
      <c r="K2174" t="s">
        <v>26</v>
      </c>
      <c r="L2174" s="1">
        <v>-50000</v>
      </c>
      <c r="M2174" t="s">
        <v>26</v>
      </c>
      <c r="Q2174" t="s">
        <v>27</v>
      </c>
      <c r="R2174" t="s">
        <v>1728</v>
      </c>
      <c r="S2174" t="s">
        <v>334</v>
      </c>
      <c r="T2174" t="s">
        <v>1732</v>
      </c>
      <c r="X2174" t="s">
        <v>43</v>
      </c>
      <c r="Y2174">
        <v>1880288</v>
      </c>
      <c r="Z2174">
        <v>20251208</v>
      </c>
    </row>
    <row r="2175" spans="3:26" x14ac:dyDescent="0.25">
      <c r="C2175">
        <v>10000001</v>
      </c>
      <c r="D2175" t="s">
        <v>1727</v>
      </c>
      <c r="F2175">
        <v>12010165</v>
      </c>
      <c r="H2175" t="s">
        <v>1727</v>
      </c>
      <c r="I2175">
        <v>50</v>
      </c>
      <c r="J2175" s="1">
        <v>-50000</v>
      </c>
      <c r="K2175" t="s">
        <v>26</v>
      </c>
      <c r="L2175" s="1">
        <v>-50000</v>
      </c>
      <c r="M2175" t="s">
        <v>26</v>
      </c>
      <c r="Q2175" t="s">
        <v>27</v>
      </c>
      <c r="R2175" t="s">
        <v>1728</v>
      </c>
      <c r="S2175" t="s">
        <v>334</v>
      </c>
      <c r="T2175" t="s">
        <v>1733</v>
      </c>
      <c r="X2175" t="s">
        <v>43</v>
      </c>
      <c r="Y2175">
        <v>1880288</v>
      </c>
      <c r="Z2175">
        <v>20251208</v>
      </c>
    </row>
    <row r="2176" spans="3:26" x14ac:dyDescent="0.25">
      <c r="C2176">
        <v>10000001</v>
      </c>
      <c r="D2176" t="s">
        <v>1727</v>
      </c>
      <c r="F2176">
        <v>12010166</v>
      </c>
      <c r="H2176" t="s">
        <v>1727</v>
      </c>
      <c r="I2176">
        <v>50</v>
      </c>
      <c r="J2176" s="1">
        <v>-50000</v>
      </c>
      <c r="K2176" t="s">
        <v>26</v>
      </c>
      <c r="L2176" s="1">
        <v>-50000</v>
      </c>
      <c r="M2176" t="s">
        <v>26</v>
      </c>
      <c r="Q2176" t="s">
        <v>27</v>
      </c>
      <c r="R2176" t="s">
        <v>1728</v>
      </c>
      <c r="S2176" t="s">
        <v>334</v>
      </c>
      <c r="T2176" t="s">
        <v>1734</v>
      </c>
      <c r="X2176" t="s">
        <v>43</v>
      </c>
      <c r="Y2176">
        <v>1880288</v>
      </c>
      <c r="Z2176">
        <v>20251208</v>
      </c>
    </row>
    <row r="2177" spans="3:26" x14ac:dyDescent="0.25">
      <c r="C2177">
        <v>10000001</v>
      </c>
      <c r="D2177" t="s">
        <v>1727</v>
      </c>
      <c r="F2177">
        <v>12010167</v>
      </c>
      <c r="H2177" t="s">
        <v>1727</v>
      </c>
      <c r="I2177">
        <v>50</v>
      </c>
      <c r="J2177" s="1">
        <v>-50000</v>
      </c>
      <c r="K2177" t="s">
        <v>26</v>
      </c>
      <c r="L2177" s="1">
        <v>-50000</v>
      </c>
      <c r="M2177" t="s">
        <v>26</v>
      </c>
      <c r="Q2177" t="s">
        <v>27</v>
      </c>
      <c r="R2177" t="s">
        <v>1728</v>
      </c>
      <c r="S2177" t="s">
        <v>334</v>
      </c>
      <c r="T2177" t="s">
        <v>1735</v>
      </c>
      <c r="X2177" t="s">
        <v>43</v>
      </c>
      <c r="Y2177">
        <v>1880288</v>
      </c>
      <c r="Z2177">
        <v>20251208</v>
      </c>
    </row>
    <row r="2178" spans="3:26" x14ac:dyDescent="0.25">
      <c r="C2178">
        <v>10000001</v>
      </c>
      <c r="D2178" t="s">
        <v>1727</v>
      </c>
      <c r="F2178">
        <v>12010168</v>
      </c>
      <c r="H2178" t="s">
        <v>1727</v>
      </c>
      <c r="I2178">
        <v>50</v>
      </c>
      <c r="J2178" s="1">
        <v>-50000</v>
      </c>
      <c r="K2178" t="s">
        <v>26</v>
      </c>
      <c r="L2178" s="1">
        <v>-50000</v>
      </c>
      <c r="M2178" t="s">
        <v>26</v>
      </c>
      <c r="Q2178" t="s">
        <v>27</v>
      </c>
      <c r="R2178" t="s">
        <v>1728</v>
      </c>
      <c r="S2178" t="s">
        <v>334</v>
      </c>
      <c r="T2178" t="s">
        <v>1736</v>
      </c>
      <c r="X2178" t="s">
        <v>43</v>
      </c>
      <c r="Y2178">
        <v>1880288</v>
      </c>
      <c r="Z2178">
        <v>20251208</v>
      </c>
    </row>
    <row r="2179" spans="3:26" x14ac:dyDescent="0.25">
      <c r="C2179">
        <v>10000001</v>
      </c>
      <c r="D2179" t="s">
        <v>1727</v>
      </c>
      <c r="F2179">
        <v>12010169</v>
      </c>
      <c r="H2179" t="s">
        <v>1727</v>
      </c>
      <c r="I2179">
        <v>50</v>
      </c>
      <c r="J2179" s="1">
        <v>-50000</v>
      </c>
      <c r="K2179" t="s">
        <v>26</v>
      </c>
      <c r="L2179" s="1">
        <v>-50000</v>
      </c>
      <c r="M2179" t="s">
        <v>26</v>
      </c>
      <c r="Q2179" t="s">
        <v>27</v>
      </c>
      <c r="R2179" t="s">
        <v>1728</v>
      </c>
      <c r="S2179" t="s">
        <v>334</v>
      </c>
      <c r="T2179" t="s">
        <v>1736</v>
      </c>
      <c r="X2179" t="s">
        <v>43</v>
      </c>
      <c r="Y2179">
        <v>1880288</v>
      </c>
      <c r="Z2179">
        <v>20251208</v>
      </c>
    </row>
    <row r="2180" spans="3:26" x14ac:dyDescent="0.25">
      <c r="C2180">
        <v>10000001</v>
      </c>
      <c r="D2180" t="s">
        <v>1727</v>
      </c>
      <c r="F2180">
        <v>12010170</v>
      </c>
      <c r="H2180" t="s">
        <v>1727</v>
      </c>
      <c r="I2180">
        <v>50</v>
      </c>
      <c r="J2180" s="1">
        <v>-50000</v>
      </c>
      <c r="K2180" t="s">
        <v>26</v>
      </c>
      <c r="L2180" s="1">
        <v>-50000</v>
      </c>
      <c r="M2180" t="s">
        <v>26</v>
      </c>
      <c r="Q2180" t="s">
        <v>27</v>
      </c>
      <c r="R2180" t="s">
        <v>1728</v>
      </c>
      <c r="S2180" t="s">
        <v>334</v>
      </c>
      <c r="T2180" t="s">
        <v>1736</v>
      </c>
      <c r="X2180" t="s">
        <v>43</v>
      </c>
      <c r="Y2180">
        <v>1880288</v>
      </c>
      <c r="Z2180">
        <v>20251208</v>
      </c>
    </row>
    <row r="2181" spans="3:26" x14ac:dyDescent="0.25">
      <c r="C2181">
        <v>10000001</v>
      </c>
      <c r="D2181" t="s">
        <v>1727</v>
      </c>
      <c r="F2181">
        <v>12010171</v>
      </c>
      <c r="H2181" t="s">
        <v>1727</v>
      </c>
      <c r="I2181">
        <v>50</v>
      </c>
      <c r="J2181" s="1">
        <v>-50000</v>
      </c>
      <c r="K2181" t="s">
        <v>26</v>
      </c>
      <c r="L2181" s="1">
        <v>-50000</v>
      </c>
      <c r="M2181" t="s">
        <v>26</v>
      </c>
      <c r="Q2181" t="s">
        <v>27</v>
      </c>
      <c r="R2181" t="s">
        <v>1728</v>
      </c>
      <c r="S2181" t="s">
        <v>334</v>
      </c>
      <c r="T2181" t="s">
        <v>1737</v>
      </c>
      <c r="X2181" t="s">
        <v>43</v>
      </c>
      <c r="Y2181">
        <v>1880288</v>
      </c>
      <c r="Z2181">
        <v>20251208</v>
      </c>
    </row>
    <row r="2182" spans="3:26" x14ac:dyDescent="0.25">
      <c r="C2182">
        <v>10000001</v>
      </c>
      <c r="D2182" t="s">
        <v>1727</v>
      </c>
      <c r="F2182">
        <v>12010172</v>
      </c>
      <c r="H2182" t="s">
        <v>1727</v>
      </c>
      <c r="I2182">
        <v>50</v>
      </c>
      <c r="J2182" s="1">
        <v>-50000</v>
      </c>
      <c r="K2182" t="s">
        <v>26</v>
      </c>
      <c r="L2182" s="1">
        <v>-50000</v>
      </c>
      <c r="M2182" t="s">
        <v>26</v>
      </c>
      <c r="Q2182" t="s">
        <v>27</v>
      </c>
      <c r="R2182" t="s">
        <v>1728</v>
      </c>
      <c r="S2182" t="s">
        <v>334</v>
      </c>
      <c r="T2182" t="s">
        <v>1737</v>
      </c>
      <c r="X2182" t="s">
        <v>43</v>
      </c>
      <c r="Y2182">
        <v>1880288</v>
      </c>
      <c r="Z2182">
        <v>20251208</v>
      </c>
    </row>
    <row r="2183" spans="3:26" x14ac:dyDescent="0.25">
      <c r="C2183">
        <v>10000001</v>
      </c>
      <c r="D2183" t="s">
        <v>1727</v>
      </c>
      <c r="F2183">
        <v>12010173</v>
      </c>
      <c r="H2183" t="s">
        <v>1727</v>
      </c>
      <c r="I2183">
        <v>50</v>
      </c>
      <c r="J2183" s="1">
        <v>-637500</v>
      </c>
      <c r="K2183" t="s">
        <v>26</v>
      </c>
      <c r="L2183" s="1">
        <v>-637500</v>
      </c>
      <c r="M2183" t="s">
        <v>26</v>
      </c>
      <c r="Q2183" t="s">
        <v>27</v>
      </c>
      <c r="R2183" t="s">
        <v>1738</v>
      </c>
      <c r="S2183" t="s">
        <v>57</v>
      </c>
      <c r="T2183" t="s">
        <v>1739</v>
      </c>
      <c r="X2183" t="s">
        <v>43</v>
      </c>
      <c r="Y2183">
        <v>1880288</v>
      </c>
      <c r="Z2183">
        <v>20251208</v>
      </c>
    </row>
    <row r="2184" spans="3:26" x14ac:dyDescent="0.25">
      <c r="C2184">
        <v>10000001</v>
      </c>
      <c r="D2184" t="s">
        <v>1727</v>
      </c>
      <c r="F2184">
        <v>12010174</v>
      </c>
      <c r="H2184" t="s">
        <v>1727</v>
      </c>
      <c r="I2184">
        <v>50</v>
      </c>
      <c r="J2184" s="1">
        <v>-515500</v>
      </c>
      <c r="K2184" t="s">
        <v>26</v>
      </c>
      <c r="L2184" s="1">
        <v>-515500</v>
      </c>
      <c r="M2184" t="s">
        <v>26</v>
      </c>
      <c r="Q2184" t="s">
        <v>27</v>
      </c>
      <c r="R2184" t="s">
        <v>1740</v>
      </c>
      <c r="S2184" t="s">
        <v>1474</v>
      </c>
      <c r="T2184" t="s">
        <v>1741</v>
      </c>
      <c r="X2184" t="s">
        <v>43</v>
      </c>
      <c r="Y2184">
        <v>1880288</v>
      </c>
      <c r="Z2184">
        <v>20251208</v>
      </c>
    </row>
    <row r="2185" spans="3:26" x14ac:dyDescent="0.25">
      <c r="C2185">
        <v>10000001</v>
      </c>
      <c r="D2185" t="s">
        <v>1727</v>
      </c>
      <c r="F2185">
        <v>12010175</v>
      </c>
      <c r="H2185" t="s">
        <v>1727</v>
      </c>
      <c r="I2185">
        <v>50</v>
      </c>
      <c r="J2185" s="1">
        <v>-323000</v>
      </c>
      <c r="K2185" t="s">
        <v>26</v>
      </c>
      <c r="L2185" s="1">
        <v>-323000</v>
      </c>
      <c r="M2185" t="s">
        <v>26</v>
      </c>
      <c r="Q2185" t="s">
        <v>27</v>
      </c>
      <c r="R2185" t="s">
        <v>1742</v>
      </c>
      <c r="S2185" t="s">
        <v>57</v>
      </c>
      <c r="T2185" t="s">
        <v>1743</v>
      </c>
      <c r="X2185" t="s">
        <v>43</v>
      </c>
      <c r="Y2185">
        <v>1880288</v>
      </c>
      <c r="Z2185">
        <v>20251208</v>
      </c>
    </row>
    <row r="2186" spans="3:26" x14ac:dyDescent="0.25">
      <c r="C2186">
        <v>10000001</v>
      </c>
      <c r="D2186" t="s">
        <v>1727</v>
      </c>
      <c r="F2186">
        <v>12010176</v>
      </c>
      <c r="H2186" t="s">
        <v>1727</v>
      </c>
      <c r="I2186">
        <v>50</v>
      </c>
      <c r="J2186" s="1">
        <v>-619800</v>
      </c>
      <c r="K2186" t="s">
        <v>26</v>
      </c>
      <c r="L2186" s="1">
        <v>-619800</v>
      </c>
      <c r="M2186" t="s">
        <v>26</v>
      </c>
      <c r="Q2186" t="s">
        <v>27</v>
      </c>
      <c r="R2186" t="s">
        <v>1742</v>
      </c>
      <c r="S2186" t="s">
        <v>375</v>
      </c>
      <c r="T2186" t="s">
        <v>1744</v>
      </c>
      <c r="X2186" t="s">
        <v>43</v>
      </c>
      <c r="Y2186">
        <v>1880288</v>
      </c>
      <c r="Z2186">
        <v>20251208</v>
      </c>
    </row>
    <row r="2187" spans="3:26" x14ac:dyDescent="0.25">
      <c r="C2187">
        <v>10000001</v>
      </c>
      <c r="D2187" t="s">
        <v>1727</v>
      </c>
      <c r="F2187">
        <v>12010177</v>
      </c>
      <c r="H2187" t="s">
        <v>1727</v>
      </c>
      <c r="I2187">
        <v>50</v>
      </c>
      <c r="J2187" s="1">
        <v>-300544</v>
      </c>
      <c r="K2187" t="s">
        <v>26</v>
      </c>
      <c r="L2187" s="1">
        <v>-300544</v>
      </c>
      <c r="M2187" t="s">
        <v>26</v>
      </c>
      <c r="Q2187" t="s">
        <v>27</v>
      </c>
      <c r="R2187" t="s">
        <v>1745</v>
      </c>
      <c r="S2187" t="s">
        <v>375</v>
      </c>
      <c r="T2187" t="s">
        <v>1746</v>
      </c>
      <c r="X2187" t="s">
        <v>43</v>
      </c>
      <c r="Y2187">
        <v>1880288</v>
      </c>
      <c r="Z2187">
        <v>20251208</v>
      </c>
    </row>
    <row r="2188" spans="3:26" x14ac:dyDescent="0.25">
      <c r="C2188">
        <v>10000001</v>
      </c>
      <c r="D2188" t="s">
        <v>1727</v>
      </c>
      <c r="F2188">
        <v>12010178</v>
      </c>
      <c r="H2188" t="s">
        <v>1727</v>
      </c>
      <c r="I2188">
        <v>50</v>
      </c>
      <c r="J2188" s="1">
        <v>-600000</v>
      </c>
      <c r="K2188" t="s">
        <v>26</v>
      </c>
      <c r="L2188" s="1">
        <v>-600000</v>
      </c>
      <c r="M2188" t="s">
        <v>26</v>
      </c>
      <c r="Q2188" t="s">
        <v>27</v>
      </c>
      <c r="R2188" t="s">
        <v>1747</v>
      </c>
      <c r="S2188" t="s">
        <v>57</v>
      </c>
      <c r="T2188" t="s">
        <v>1748</v>
      </c>
      <c r="X2188" t="s">
        <v>43</v>
      </c>
      <c r="Y2188">
        <v>1880288</v>
      </c>
      <c r="Z2188">
        <v>20251208</v>
      </c>
    </row>
    <row r="2189" spans="3:26" x14ac:dyDescent="0.25">
      <c r="C2189">
        <v>10000001</v>
      </c>
      <c r="D2189" t="s">
        <v>1727</v>
      </c>
      <c r="F2189">
        <v>12010179</v>
      </c>
      <c r="H2189" t="s">
        <v>1727</v>
      </c>
      <c r="I2189">
        <v>50</v>
      </c>
      <c r="J2189" s="1">
        <v>-333000</v>
      </c>
      <c r="K2189" t="s">
        <v>26</v>
      </c>
      <c r="L2189" s="1">
        <v>-333000</v>
      </c>
      <c r="M2189" t="s">
        <v>26</v>
      </c>
      <c r="Q2189" t="s">
        <v>27</v>
      </c>
      <c r="R2189" t="s">
        <v>1747</v>
      </c>
      <c r="S2189" t="s">
        <v>375</v>
      </c>
      <c r="T2189" t="s">
        <v>1749</v>
      </c>
      <c r="X2189" t="s">
        <v>43</v>
      </c>
      <c r="Y2189">
        <v>1880288</v>
      </c>
      <c r="Z2189">
        <v>20251208</v>
      </c>
    </row>
    <row r="2190" spans="3:26" x14ac:dyDescent="0.25">
      <c r="C2190">
        <v>10000001</v>
      </c>
      <c r="D2190" t="s">
        <v>1727</v>
      </c>
      <c r="F2190">
        <v>12010180</v>
      </c>
      <c r="H2190" t="s">
        <v>1727</v>
      </c>
      <c r="I2190">
        <v>50</v>
      </c>
      <c r="J2190" s="1">
        <v>-654000</v>
      </c>
      <c r="K2190" t="s">
        <v>26</v>
      </c>
      <c r="L2190" s="1">
        <v>-654000</v>
      </c>
      <c r="M2190" t="s">
        <v>26</v>
      </c>
      <c r="Q2190" t="s">
        <v>27</v>
      </c>
      <c r="R2190" t="s">
        <v>1750</v>
      </c>
      <c r="S2190" t="s">
        <v>375</v>
      </c>
      <c r="T2190" t="s">
        <v>1751</v>
      </c>
      <c r="X2190" t="s">
        <v>43</v>
      </c>
      <c r="Y2190">
        <v>1880288</v>
      </c>
      <c r="Z2190">
        <v>20251208</v>
      </c>
    </row>
    <row r="2191" spans="3:26" x14ac:dyDescent="0.25">
      <c r="C2191">
        <v>10000001</v>
      </c>
      <c r="D2191" t="s">
        <v>1727</v>
      </c>
      <c r="F2191">
        <v>12010181</v>
      </c>
      <c r="H2191" t="s">
        <v>1727</v>
      </c>
      <c r="I2191">
        <v>40</v>
      </c>
      <c r="J2191" s="1">
        <v>33512293</v>
      </c>
      <c r="K2191" t="s">
        <v>26</v>
      </c>
      <c r="L2191" s="1">
        <v>33512293</v>
      </c>
      <c r="M2191" t="s">
        <v>26</v>
      </c>
      <c r="Q2191" t="s">
        <v>27</v>
      </c>
      <c r="S2191" t="s">
        <v>249</v>
      </c>
      <c r="T2191" t="s">
        <v>1752</v>
      </c>
      <c r="X2191" t="s">
        <v>43</v>
      </c>
      <c r="Y2191">
        <v>1880288</v>
      </c>
      <c r="Z2191">
        <v>20251208</v>
      </c>
    </row>
    <row r="2192" spans="3:26" x14ac:dyDescent="0.25">
      <c r="C2192">
        <v>10000001</v>
      </c>
      <c r="D2192" t="s">
        <v>1753</v>
      </c>
      <c r="F2192">
        <v>12010373</v>
      </c>
      <c r="H2192" t="s">
        <v>1753</v>
      </c>
      <c r="I2192">
        <v>50</v>
      </c>
      <c r="J2192" s="1">
        <v>-600000</v>
      </c>
      <c r="K2192" t="s">
        <v>26</v>
      </c>
      <c r="L2192" s="1">
        <v>-600000</v>
      </c>
      <c r="M2192" t="s">
        <v>26</v>
      </c>
      <c r="Q2192" t="s">
        <v>27</v>
      </c>
      <c r="R2192" t="s">
        <v>1754</v>
      </c>
      <c r="S2192" t="s">
        <v>41</v>
      </c>
      <c r="T2192" t="s">
        <v>1755</v>
      </c>
      <c r="X2192" t="s">
        <v>43</v>
      </c>
      <c r="Y2192">
        <v>1880288</v>
      </c>
      <c r="Z2192">
        <v>20251216</v>
      </c>
    </row>
    <row r="2193" spans="3:26" x14ac:dyDescent="0.25">
      <c r="C2193">
        <v>10000001</v>
      </c>
      <c r="D2193" t="s">
        <v>1753</v>
      </c>
      <c r="F2193">
        <v>12010374</v>
      </c>
      <c r="H2193" t="s">
        <v>1753</v>
      </c>
      <c r="I2193">
        <v>50</v>
      </c>
      <c r="J2193" s="1">
        <v>-162360</v>
      </c>
      <c r="K2193" t="s">
        <v>26</v>
      </c>
      <c r="L2193" s="1">
        <v>-162360</v>
      </c>
      <c r="M2193" t="s">
        <v>26</v>
      </c>
      <c r="Q2193" t="s">
        <v>27</v>
      </c>
      <c r="R2193" t="s">
        <v>1756</v>
      </c>
      <c r="S2193" t="s">
        <v>59</v>
      </c>
      <c r="T2193" t="s">
        <v>1757</v>
      </c>
      <c r="X2193" t="s">
        <v>43</v>
      </c>
      <c r="Y2193">
        <v>1880288</v>
      </c>
      <c r="Z2193">
        <v>20251216</v>
      </c>
    </row>
    <row r="2194" spans="3:26" x14ac:dyDescent="0.25">
      <c r="C2194">
        <v>10000001</v>
      </c>
      <c r="D2194" t="s">
        <v>1753</v>
      </c>
      <c r="F2194">
        <v>12010375</v>
      </c>
      <c r="H2194" t="s">
        <v>1753</v>
      </c>
      <c r="I2194">
        <v>50</v>
      </c>
      <c r="J2194" s="1">
        <v>-200000</v>
      </c>
      <c r="K2194" t="s">
        <v>26</v>
      </c>
      <c r="L2194" s="1">
        <v>-200000</v>
      </c>
      <c r="M2194" t="s">
        <v>26</v>
      </c>
      <c r="Q2194" t="s">
        <v>27</v>
      </c>
      <c r="R2194" t="s">
        <v>1758</v>
      </c>
      <c r="S2194" t="s">
        <v>96</v>
      </c>
      <c r="T2194" t="s">
        <v>1759</v>
      </c>
      <c r="X2194" t="s">
        <v>43</v>
      </c>
      <c r="Y2194">
        <v>1880288</v>
      </c>
      <c r="Z2194">
        <v>20251216</v>
      </c>
    </row>
    <row r="2195" spans="3:26" x14ac:dyDescent="0.25">
      <c r="C2195">
        <v>10000001</v>
      </c>
      <c r="D2195" t="s">
        <v>1753</v>
      </c>
      <c r="F2195">
        <v>12010376</v>
      </c>
      <c r="H2195" t="s">
        <v>1753</v>
      </c>
      <c r="I2195">
        <v>50</v>
      </c>
      <c r="J2195" s="1">
        <v>-800000</v>
      </c>
      <c r="K2195" t="s">
        <v>26</v>
      </c>
      <c r="L2195" s="1">
        <v>-800000</v>
      </c>
      <c r="M2195" t="s">
        <v>26</v>
      </c>
      <c r="Q2195" t="s">
        <v>27</v>
      </c>
      <c r="R2195" t="s">
        <v>1758</v>
      </c>
      <c r="S2195" t="s">
        <v>67</v>
      </c>
      <c r="T2195" t="s">
        <v>98</v>
      </c>
      <c r="X2195" t="s">
        <v>43</v>
      </c>
      <c r="Y2195">
        <v>1880288</v>
      </c>
      <c r="Z2195">
        <v>20251216</v>
      </c>
    </row>
    <row r="2196" spans="3:26" x14ac:dyDescent="0.25">
      <c r="C2196">
        <v>10000001</v>
      </c>
      <c r="D2196" t="s">
        <v>1753</v>
      </c>
      <c r="F2196">
        <v>12010377</v>
      </c>
      <c r="H2196" t="s">
        <v>1753</v>
      </c>
      <c r="I2196">
        <v>50</v>
      </c>
      <c r="J2196" s="1">
        <v>-840000</v>
      </c>
      <c r="K2196" t="s">
        <v>26</v>
      </c>
      <c r="L2196" s="1">
        <v>-840000</v>
      </c>
      <c r="M2196" t="s">
        <v>26</v>
      </c>
      <c r="Q2196" t="s">
        <v>27</v>
      </c>
      <c r="R2196" t="s">
        <v>1760</v>
      </c>
      <c r="S2196" t="s">
        <v>96</v>
      </c>
      <c r="T2196" t="s">
        <v>1761</v>
      </c>
      <c r="X2196" t="s">
        <v>43</v>
      </c>
      <c r="Y2196">
        <v>1880288</v>
      </c>
      <c r="Z2196">
        <v>20251216</v>
      </c>
    </row>
    <row r="2197" spans="3:26" x14ac:dyDescent="0.25">
      <c r="C2197">
        <v>10000001</v>
      </c>
      <c r="D2197" t="s">
        <v>1753</v>
      </c>
      <c r="F2197">
        <v>12010378</v>
      </c>
      <c r="H2197" t="s">
        <v>1753</v>
      </c>
      <c r="I2197">
        <v>50</v>
      </c>
      <c r="J2197" s="1">
        <v>-159500</v>
      </c>
      <c r="K2197" t="s">
        <v>26</v>
      </c>
      <c r="L2197" s="1">
        <v>-159500</v>
      </c>
      <c r="M2197" t="s">
        <v>26</v>
      </c>
      <c r="Q2197" t="s">
        <v>27</v>
      </c>
      <c r="R2197" t="s">
        <v>1760</v>
      </c>
      <c r="S2197" t="s">
        <v>67</v>
      </c>
      <c r="T2197" t="s">
        <v>98</v>
      </c>
      <c r="X2197" t="s">
        <v>43</v>
      </c>
      <c r="Y2197">
        <v>1880288</v>
      </c>
      <c r="Z2197">
        <v>20251216</v>
      </c>
    </row>
    <row r="2198" spans="3:26" x14ac:dyDescent="0.25">
      <c r="C2198">
        <v>10000001</v>
      </c>
      <c r="D2198" t="s">
        <v>1753</v>
      </c>
      <c r="F2198">
        <v>12010379</v>
      </c>
      <c r="H2198" t="s">
        <v>1753</v>
      </c>
      <c r="I2198">
        <v>50</v>
      </c>
      <c r="J2198" s="1">
        <v>-76000</v>
      </c>
      <c r="K2198" t="s">
        <v>26</v>
      </c>
      <c r="L2198" s="1">
        <v>-76000</v>
      </c>
      <c r="M2198" t="s">
        <v>26</v>
      </c>
      <c r="Q2198" t="s">
        <v>27</v>
      </c>
      <c r="R2198" t="s">
        <v>1762</v>
      </c>
      <c r="S2198" t="s">
        <v>126</v>
      </c>
      <c r="T2198" t="s">
        <v>1763</v>
      </c>
      <c r="X2198" t="s">
        <v>43</v>
      </c>
      <c r="Y2198">
        <v>1880288</v>
      </c>
      <c r="Z2198">
        <v>20251216</v>
      </c>
    </row>
    <row r="2199" spans="3:26" x14ac:dyDescent="0.25">
      <c r="C2199">
        <v>10000001</v>
      </c>
      <c r="D2199" t="s">
        <v>1753</v>
      </c>
      <c r="F2199">
        <v>12010380</v>
      </c>
      <c r="H2199" t="s">
        <v>1753</v>
      </c>
      <c r="I2199">
        <v>50</v>
      </c>
      <c r="J2199" s="1">
        <v>-665000</v>
      </c>
      <c r="K2199" t="s">
        <v>26</v>
      </c>
      <c r="L2199" s="1">
        <v>-665000</v>
      </c>
      <c r="M2199" t="s">
        <v>26</v>
      </c>
      <c r="Q2199" t="s">
        <v>27</v>
      </c>
      <c r="R2199" t="s">
        <v>1764</v>
      </c>
      <c r="S2199" t="s">
        <v>1187</v>
      </c>
      <c r="T2199" t="s">
        <v>1765</v>
      </c>
      <c r="X2199" t="s">
        <v>43</v>
      </c>
      <c r="Y2199">
        <v>1880288</v>
      </c>
      <c r="Z2199">
        <v>20251216</v>
      </c>
    </row>
    <row r="2200" spans="3:26" x14ac:dyDescent="0.25">
      <c r="C2200">
        <v>10000001</v>
      </c>
      <c r="D2200" t="s">
        <v>1753</v>
      </c>
      <c r="F2200">
        <v>12010381</v>
      </c>
      <c r="H2200" t="s">
        <v>1753</v>
      </c>
      <c r="I2200">
        <v>50</v>
      </c>
      <c r="J2200" s="1">
        <v>-50000</v>
      </c>
      <c r="K2200" t="s">
        <v>26</v>
      </c>
      <c r="L2200" s="1">
        <v>-50000</v>
      </c>
      <c r="M2200" t="s">
        <v>26</v>
      </c>
      <c r="Q2200" t="s">
        <v>27</v>
      </c>
      <c r="R2200" t="s">
        <v>1766</v>
      </c>
      <c r="S2200" t="s">
        <v>334</v>
      </c>
      <c r="T2200" t="s">
        <v>1767</v>
      </c>
      <c r="X2200" t="s">
        <v>43</v>
      </c>
      <c r="Y2200">
        <v>1880288</v>
      </c>
      <c r="Z2200">
        <v>20251216</v>
      </c>
    </row>
    <row r="2201" spans="3:26" x14ac:dyDescent="0.25">
      <c r="C2201">
        <v>10000001</v>
      </c>
      <c r="D2201" t="s">
        <v>1753</v>
      </c>
      <c r="F2201">
        <v>12010382</v>
      </c>
      <c r="H2201" t="s">
        <v>1753</v>
      </c>
      <c r="I2201">
        <v>50</v>
      </c>
      <c r="J2201" s="1">
        <v>-50000</v>
      </c>
      <c r="K2201" t="s">
        <v>26</v>
      </c>
      <c r="L2201" s="1">
        <v>-50000</v>
      </c>
      <c r="M2201" t="s">
        <v>26</v>
      </c>
      <c r="Q2201" t="s">
        <v>27</v>
      </c>
      <c r="R2201" t="s">
        <v>1766</v>
      </c>
      <c r="S2201" t="s">
        <v>334</v>
      </c>
      <c r="T2201" t="s">
        <v>1768</v>
      </c>
      <c r="X2201" t="s">
        <v>43</v>
      </c>
      <c r="Y2201">
        <v>1880288</v>
      </c>
      <c r="Z2201">
        <v>20251216</v>
      </c>
    </row>
    <row r="2202" spans="3:26" x14ac:dyDescent="0.25">
      <c r="C2202">
        <v>10000001</v>
      </c>
      <c r="D2202" t="s">
        <v>1753</v>
      </c>
      <c r="F2202">
        <v>12010383</v>
      </c>
      <c r="H2202" t="s">
        <v>1753</v>
      </c>
      <c r="I2202">
        <v>50</v>
      </c>
      <c r="J2202" s="1">
        <v>-50000</v>
      </c>
      <c r="K2202" t="s">
        <v>26</v>
      </c>
      <c r="L2202" s="1">
        <v>-50000</v>
      </c>
      <c r="M2202" t="s">
        <v>26</v>
      </c>
      <c r="Q2202" t="s">
        <v>27</v>
      </c>
      <c r="R2202" t="s">
        <v>1766</v>
      </c>
      <c r="S2202" t="s">
        <v>334</v>
      </c>
      <c r="T2202" t="s">
        <v>1769</v>
      </c>
      <c r="X2202" t="s">
        <v>43</v>
      </c>
      <c r="Y2202">
        <v>1880288</v>
      </c>
      <c r="Z2202">
        <v>20251216</v>
      </c>
    </row>
    <row r="2203" spans="3:26" x14ac:dyDescent="0.25">
      <c r="C2203">
        <v>10000001</v>
      </c>
      <c r="D2203" t="s">
        <v>1753</v>
      </c>
      <c r="F2203">
        <v>12010384</v>
      </c>
      <c r="H2203" t="s">
        <v>1753</v>
      </c>
      <c r="I2203">
        <v>50</v>
      </c>
      <c r="J2203" s="1">
        <v>-200000</v>
      </c>
      <c r="K2203" t="s">
        <v>26</v>
      </c>
      <c r="L2203" s="1">
        <v>-200000</v>
      </c>
      <c r="M2203" t="s">
        <v>26</v>
      </c>
      <c r="Q2203" t="s">
        <v>27</v>
      </c>
      <c r="R2203" t="s">
        <v>1766</v>
      </c>
      <c r="S2203" t="s">
        <v>334</v>
      </c>
      <c r="T2203" t="s">
        <v>1770</v>
      </c>
      <c r="X2203" t="s">
        <v>43</v>
      </c>
      <c r="Y2203">
        <v>1880288</v>
      </c>
      <c r="Z2203">
        <v>20251216</v>
      </c>
    </row>
    <row r="2204" spans="3:26" x14ac:dyDescent="0.25">
      <c r="C2204">
        <v>10000001</v>
      </c>
      <c r="D2204" t="s">
        <v>1753</v>
      </c>
      <c r="F2204">
        <v>12010385</v>
      </c>
      <c r="H2204" t="s">
        <v>1753</v>
      </c>
      <c r="I2204">
        <v>50</v>
      </c>
      <c r="J2204" s="1">
        <v>-1000000</v>
      </c>
      <c r="K2204" t="s">
        <v>26</v>
      </c>
      <c r="L2204" s="1">
        <v>-1000000</v>
      </c>
      <c r="M2204" t="s">
        <v>26</v>
      </c>
      <c r="Q2204" t="s">
        <v>27</v>
      </c>
      <c r="R2204" t="s">
        <v>1771</v>
      </c>
      <c r="S2204" t="s">
        <v>259</v>
      </c>
      <c r="T2204" t="s">
        <v>1772</v>
      </c>
      <c r="X2204" t="s">
        <v>43</v>
      </c>
      <c r="Y2204">
        <v>1880288</v>
      </c>
      <c r="Z2204">
        <v>20251216</v>
      </c>
    </row>
    <row r="2205" spans="3:26" x14ac:dyDescent="0.25">
      <c r="C2205">
        <v>10000001</v>
      </c>
      <c r="D2205" t="s">
        <v>1753</v>
      </c>
      <c r="F2205">
        <v>12010386</v>
      </c>
      <c r="H2205" t="s">
        <v>1753</v>
      </c>
      <c r="I2205">
        <v>50</v>
      </c>
      <c r="J2205" s="1">
        <v>-951106</v>
      </c>
      <c r="K2205" t="s">
        <v>26</v>
      </c>
      <c r="L2205" s="1">
        <v>-951106</v>
      </c>
      <c r="M2205" t="s">
        <v>26</v>
      </c>
      <c r="Q2205" t="s">
        <v>27</v>
      </c>
      <c r="R2205" t="s">
        <v>1773</v>
      </c>
      <c r="S2205" t="s">
        <v>59</v>
      </c>
      <c r="T2205" t="s">
        <v>1774</v>
      </c>
      <c r="X2205" t="s">
        <v>43</v>
      </c>
      <c r="Y2205">
        <v>1880288</v>
      </c>
      <c r="Z2205">
        <v>20251216</v>
      </c>
    </row>
    <row r="2206" spans="3:26" x14ac:dyDescent="0.25">
      <c r="C2206">
        <v>10000001</v>
      </c>
      <c r="D2206" t="s">
        <v>1753</v>
      </c>
      <c r="F2206">
        <v>12010387</v>
      </c>
      <c r="H2206" t="s">
        <v>1753</v>
      </c>
      <c r="I2206">
        <v>50</v>
      </c>
      <c r="J2206" s="1">
        <v>-560000</v>
      </c>
      <c r="K2206" t="s">
        <v>26</v>
      </c>
      <c r="L2206" s="1">
        <v>-560000</v>
      </c>
      <c r="M2206" t="s">
        <v>26</v>
      </c>
      <c r="Q2206" t="s">
        <v>27</v>
      </c>
      <c r="R2206" t="s">
        <v>1775</v>
      </c>
      <c r="S2206" t="s">
        <v>96</v>
      </c>
      <c r="T2206" t="s">
        <v>1776</v>
      </c>
      <c r="X2206" t="s">
        <v>43</v>
      </c>
      <c r="Y2206">
        <v>1880288</v>
      </c>
      <c r="Z2206">
        <v>20251216</v>
      </c>
    </row>
    <row r="2207" spans="3:26" x14ac:dyDescent="0.25">
      <c r="C2207">
        <v>10000001</v>
      </c>
      <c r="D2207" t="s">
        <v>1753</v>
      </c>
      <c r="F2207">
        <v>12010388</v>
      </c>
      <c r="H2207" t="s">
        <v>1753</v>
      </c>
      <c r="I2207">
        <v>50</v>
      </c>
      <c r="J2207" s="1">
        <v>-438000</v>
      </c>
      <c r="K2207" t="s">
        <v>26</v>
      </c>
      <c r="L2207" s="1">
        <v>-438000</v>
      </c>
      <c r="M2207" t="s">
        <v>26</v>
      </c>
      <c r="Q2207" t="s">
        <v>27</v>
      </c>
      <c r="R2207" t="s">
        <v>1775</v>
      </c>
      <c r="S2207" t="s">
        <v>67</v>
      </c>
      <c r="T2207" t="s">
        <v>98</v>
      </c>
      <c r="X2207" t="s">
        <v>43</v>
      </c>
      <c r="Y2207">
        <v>1880288</v>
      </c>
      <c r="Z2207">
        <v>20251216</v>
      </c>
    </row>
    <row r="2208" spans="3:26" x14ac:dyDescent="0.25">
      <c r="C2208">
        <v>10000001</v>
      </c>
      <c r="D2208" t="s">
        <v>1753</v>
      </c>
      <c r="F2208">
        <v>12010389</v>
      </c>
      <c r="H2208" t="s">
        <v>1753</v>
      </c>
      <c r="I2208">
        <v>50</v>
      </c>
      <c r="J2208" s="1">
        <v>-507000</v>
      </c>
      <c r="K2208" t="s">
        <v>26</v>
      </c>
      <c r="L2208" s="1">
        <v>-507000</v>
      </c>
      <c r="M2208" t="s">
        <v>26</v>
      </c>
      <c r="Q2208" t="s">
        <v>27</v>
      </c>
      <c r="R2208" t="s">
        <v>1777</v>
      </c>
      <c r="S2208" t="s">
        <v>59</v>
      </c>
      <c r="T2208" t="s">
        <v>1778</v>
      </c>
      <c r="X2208" t="s">
        <v>43</v>
      </c>
      <c r="Y2208">
        <v>1880288</v>
      </c>
      <c r="Z2208">
        <v>20251216</v>
      </c>
    </row>
    <row r="2209" spans="3:26" x14ac:dyDescent="0.25">
      <c r="C2209">
        <v>10000001</v>
      </c>
      <c r="D2209" t="s">
        <v>1753</v>
      </c>
      <c r="F2209">
        <v>12010390</v>
      </c>
      <c r="H2209" t="s">
        <v>1753</v>
      </c>
      <c r="I2209">
        <v>50</v>
      </c>
      <c r="J2209" s="1">
        <v>-227500</v>
      </c>
      <c r="K2209" t="s">
        <v>26</v>
      </c>
      <c r="L2209" s="1">
        <v>-227500</v>
      </c>
      <c r="M2209" t="s">
        <v>26</v>
      </c>
      <c r="Q2209" t="s">
        <v>27</v>
      </c>
      <c r="R2209" t="s">
        <v>1779</v>
      </c>
      <c r="S2209" t="s">
        <v>146</v>
      </c>
      <c r="T2209" t="s">
        <v>303</v>
      </c>
      <c r="X2209" t="s">
        <v>43</v>
      </c>
      <c r="Y2209">
        <v>1880288</v>
      </c>
      <c r="Z2209">
        <v>20251216</v>
      </c>
    </row>
    <row r="2210" spans="3:26" x14ac:dyDescent="0.25">
      <c r="C2210">
        <v>10000001</v>
      </c>
      <c r="D2210" t="s">
        <v>1753</v>
      </c>
      <c r="F2210">
        <v>12010391</v>
      </c>
      <c r="H2210" t="s">
        <v>1753</v>
      </c>
      <c r="I2210">
        <v>50</v>
      </c>
      <c r="J2210" s="1">
        <v>-65502</v>
      </c>
      <c r="K2210" t="s">
        <v>26</v>
      </c>
      <c r="L2210" s="1">
        <v>-65502</v>
      </c>
      <c r="M2210" t="s">
        <v>26</v>
      </c>
      <c r="Q2210" t="s">
        <v>27</v>
      </c>
      <c r="R2210" t="s">
        <v>1779</v>
      </c>
      <c r="S2210" t="s">
        <v>59</v>
      </c>
      <c r="T2210" t="s">
        <v>1780</v>
      </c>
      <c r="X2210" t="s">
        <v>43</v>
      </c>
      <c r="Y2210">
        <v>1880288</v>
      </c>
      <c r="Z2210">
        <v>20251216</v>
      </c>
    </row>
    <row r="2211" spans="3:26" x14ac:dyDescent="0.25">
      <c r="C2211">
        <v>10000001</v>
      </c>
      <c r="D2211" t="s">
        <v>1753</v>
      </c>
      <c r="F2211">
        <v>12010392</v>
      </c>
      <c r="H2211" t="s">
        <v>1753</v>
      </c>
      <c r="I2211">
        <v>50</v>
      </c>
      <c r="J2211" s="1">
        <v>-800000</v>
      </c>
      <c r="K2211" t="s">
        <v>26</v>
      </c>
      <c r="L2211" s="1">
        <v>-800000</v>
      </c>
      <c r="M2211" t="s">
        <v>26</v>
      </c>
      <c r="Q2211" t="s">
        <v>27</v>
      </c>
      <c r="R2211" t="s">
        <v>1781</v>
      </c>
      <c r="S2211" t="s">
        <v>254</v>
      </c>
      <c r="T2211" t="s">
        <v>1782</v>
      </c>
      <c r="X2211" t="s">
        <v>43</v>
      </c>
      <c r="Y2211">
        <v>1880288</v>
      </c>
      <c r="Z2211">
        <v>20251216</v>
      </c>
    </row>
    <row r="2212" spans="3:26" x14ac:dyDescent="0.25">
      <c r="C2212">
        <v>10000001</v>
      </c>
      <c r="D2212" t="s">
        <v>1753</v>
      </c>
      <c r="F2212">
        <v>12010393</v>
      </c>
      <c r="H2212" t="s">
        <v>1753</v>
      </c>
      <c r="I2212">
        <v>50</v>
      </c>
      <c r="J2212" s="1">
        <v>-851896</v>
      </c>
      <c r="K2212" t="s">
        <v>26</v>
      </c>
      <c r="L2212" s="1">
        <v>-851896</v>
      </c>
      <c r="M2212" t="s">
        <v>26</v>
      </c>
      <c r="Q2212" t="s">
        <v>27</v>
      </c>
      <c r="R2212" t="s">
        <v>1783</v>
      </c>
      <c r="S2212" t="s">
        <v>146</v>
      </c>
      <c r="T2212" t="s">
        <v>1784</v>
      </c>
      <c r="X2212" t="s">
        <v>43</v>
      </c>
      <c r="Y2212">
        <v>1880288</v>
      </c>
      <c r="Z2212">
        <v>20251216</v>
      </c>
    </row>
    <row r="2213" spans="3:26" x14ac:dyDescent="0.25">
      <c r="C2213">
        <v>10000001</v>
      </c>
      <c r="D2213" t="s">
        <v>1753</v>
      </c>
      <c r="F2213">
        <v>12010394</v>
      </c>
      <c r="H2213" t="s">
        <v>1753</v>
      </c>
      <c r="I2213">
        <v>50</v>
      </c>
      <c r="J2213" s="1">
        <v>-109450</v>
      </c>
      <c r="K2213" t="s">
        <v>26</v>
      </c>
      <c r="L2213" s="1">
        <v>-109450</v>
      </c>
      <c r="M2213" t="s">
        <v>26</v>
      </c>
      <c r="Q2213" t="s">
        <v>27</v>
      </c>
      <c r="R2213" t="s">
        <v>1783</v>
      </c>
      <c r="S2213" t="s">
        <v>59</v>
      </c>
      <c r="T2213" t="s">
        <v>1785</v>
      </c>
      <c r="X2213" t="s">
        <v>43</v>
      </c>
      <c r="Y2213">
        <v>1880288</v>
      </c>
      <c r="Z2213">
        <v>20251216</v>
      </c>
    </row>
    <row r="2214" spans="3:26" x14ac:dyDescent="0.25">
      <c r="C2214">
        <v>10000001</v>
      </c>
      <c r="D2214" t="s">
        <v>1753</v>
      </c>
      <c r="F2214">
        <v>12010395</v>
      </c>
      <c r="H2214" t="s">
        <v>1753</v>
      </c>
      <c r="I2214">
        <v>50</v>
      </c>
      <c r="J2214" s="1">
        <v>-730769</v>
      </c>
      <c r="K2214" t="s">
        <v>26</v>
      </c>
      <c r="L2214" s="1">
        <v>-730769</v>
      </c>
      <c r="M2214" t="s">
        <v>26</v>
      </c>
      <c r="Q2214" t="s">
        <v>27</v>
      </c>
      <c r="R2214" t="s">
        <v>1786</v>
      </c>
      <c r="S2214" t="s">
        <v>59</v>
      </c>
      <c r="T2214" t="s">
        <v>1787</v>
      </c>
      <c r="X2214" t="s">
        <v>43</v>
      </c>
      <c r="Y2214">
        <v>1880288</v>
      </c>
      <c r="Z2214">
        <v>20251216</v>
      </c>
    </row>
    <row r="2215" spans="3:26" x14ac:dyDescent="0.25">
      <c r="C2215">
        <v>10000001</v>
      </c>
      <c r="D2215" t="s">
        <v>1753</v>
      </c>
      <c r="F2215">
        <v>12010396</v>
      </c>
      <c r="H2215" t="s">
        <v>1753</v>
      </c>
      <c r="I2215">
        <v>50</v>
      </c>
      <c r="J2215" s="1">
        <v>-43000</v>
      </c>
      <c r="K2215" t="s">
        <v>26</v>
      </c>
      <c r="L2215" s="1">
        <v>-43000</v>
      </c>
      <c r="M2215" t="s">
        <v>26</v>
      </c>
      <c r="Q2215" t="s">
        <v>27</v>
      </c>
      <c r="R2215" t="s">
        <v>1786</v>
      </c>
      <c r="S2215" t="s">
        <v>518</v>
      </c>
      <c r="T2215" t="s">
        <v>1788</v>
      </c>
      <c r="X2215" t="s">
        <v>43</v>
      </c>
      <c r="Y2215">
        <v>1880288</v>
      </c>
      <c r="Z2215">
        <v>20251216</v>
      </c>
    </row>
    <row r="2216" spans="3:26" x14ac:dyDescent="0.25">
      <c r="C2216">
        <v>10000001</v>
      </c>
      <c r="D2216" t="s">
        <v>1753</v>
      </c>
      <c r="F2216">
        <v>12010397</v>
      </c>
      <c r="H2216" t="s">
        <v>1753</v>
      </c>
      <c r="I2216">
        <v>50</v>
      </c>
      <c r="J2216" s="1">
        <v>-155500</v>
      </c>
      <c r="K2216" t="s">
        <v>26</v>
      </c>
      <c r="L2216" s="1">
        <v>-155500</v>
      </c>
      <c r="M2216" t="s">
        <v>26</v>
      </c>
      <c r="Q2216" t="s">
        <v>27</v>
      </c>
      <c r="R2216" t="s">
        <v>1786</v>
      </c>
      <c r="S2216" t="s">
        <v>146</v>
      </c>
      <c r="T2216" t="s">
        <v>1789</v>
      </c>
      <c r="X2216" t="s">
        <v>43</v>
      </c>
      <c r="Y2216">
        <v>1880288</v>
      </c>
      <c r="Z2216">
        <v>20251216</v>
      </c>
    </row>
    <row r="2217" spans="3:26" x14ac:dyDescent="0.25">
      <c r="C2217">
        <v>10000001</v>
      </c>
      <c r="D2217" t="s">
        <v>1753</v>
      </c>
      <c r="F2217">
        <v>12010398</v>
      </c>
      <c r="H2217" t="s">
        <v>1753</v>
      </c>
      <c r="I2217">
        <v>50</v>
      </c>
      <c r="J2217" s="1">
        <v>-64000</v>
      </c>
      <c r="K2217" t="s">
        <v>26</v>
      </c>
      <c r="L2217" s="1">
        <v>-64000</v>
      </c>
      <c r="M2217" t="s">
        <v>26</v>
      </c>
      <c r="Q2217" t="s">
        <v>27</v>
      </c>
      <c r="R2217" t="s">
        <v>1786</v>
      </c>
      <c r="S2217" t="s">
        <v>274</v>
      </c>
      <c r="T2217" t="s">
        <v>1790</v>
      </c>
      <c r="X2217" t="s">
        <v>43</v>
      </c>
      <c r="Y2217">
        <v>1880288</v>
      </c>
      <c r="Z2217">
        <v>20251216</v>
      </c>
    </row>
    <row r="2218" spans="3:26" x14ac:dyDescent="0.25">
      <c r="C2218">
        <v>10000001</v>
      </c>
      <c r="D2218" t="s">
        <v>1753</v>
      </c>
      <c r="F2218">
        <v>12010399</v>
      </c>
      <c r="H2218" t="s">
        <v>1753</v>
      </c>
      <c r="I2218">
        <v>50</v>
      </c>
      <c r="J2218" s="1">
        <v>-600000</v>
      </c>
      <c r="K2218" t="s">
        <v>26</v>
      </c>
      <c r="L2218" s="1">
        <v>-600000</v>
      </c>
      <c r="M2218" t="s">
        <v>26</v>
      </c>
      <c r="Q2218" t="s">
        <v>27</v>
      </c>
      <c r="R2218" t="s">
        <v>1791</v>
      </c>
      <c r="S2218" t="s">
        <v>439</v>
      </c>
      <c r="T2218" t="s">
        <v>1792</v>
      </c>
      <c r="X2218" t="s">
        <v>43</v>
      </c>
      <c r="Y2218">
        <v>1880288</v>
      </c>
      <c r="Z2218">
        <v>20251216</v>
      </c>
    </row>
    <row r="2219" spans="3:26" x14ac:dyDescent="0.25">
      <c r="C2219">
        <v>10000001</v>
      </c>
      <c r="D2219" t="s">
        <v>1753</v>
      </c>
      <c r="F2219">
        <v>12010400</v>
      </c>
      <c r="H2219" t="s">
        <v>1753</v>
      </c>
      <c r="I2219">
        <v>50</v>
      </c>
      <c r="J2219" s="1">
        <v>-600000</v>
      </c>
      <c r="K2219" t="s">
        <v>26</v>
      </c>
      <c r="L2219" s="1">
        <v>-600000</v>
      </c>
      <c r="M2219" t="s">
        <v>26</v>
      </c>
      <c r="Q2219" t="s">
        <v>27</v>
      </c>
      <c r="R2219" t="s">
        <v>1793</v>
      </c>
      <c r="S2219" t="s">
        <v>439</v>
      </c>
      <c r="T2219" t="s">
        <v>1794</v>
      </c>
      <c r="X2219" t="s">
        <v>43</v>
      </c>
      <c r="Y2219">
        <v>1880288</v>
      </c>
      <c r="Z2219">
        <v>20251216</v>
      </c>
    </row>
    <row r="2220" spans="3:26" x14ac:dyDescent="0.25">
      <c r="C2220">
        <v>10000001</v>
      </c>
      <c r="D2220" t="s">
        <v>1753</v>
      </c>
      <c r="F2220">
        <v>12010401</v>
      </c>
      <c r="H2220" t="s">
        <v>1753</v>
      </c>
      <c r="I2220">
        <v>50</v>
      </c>
      <c r="J2220" s="1">
        <v>-600000</v>
      </c>
      <c r="K2220" t="s">
        <v>26</v>
      </c>
      <c r="L2220" s="1">
        <v>-600000</v>
      </c>
      <c r="M2220" t="s">
        <v>26</v>
      </c>
      <c r="Q2220" t="s">
        <v>27</v>
      </c>
      <c r="R2220" t="s">
        <v>1795</v>
      </c>
      <c r="S2220" t="s">
        <v>439</v>
      </c>
      <c r="T2220" t="s">
        <v>1796</v>
      </c>
      <c r="X2220" t="s">
        <v>43</v>
      </c>
      <c r="Y2220">
        <v>1880288</v>
      </c>
      <c r="Z2220">
        <v>20251216</v>
      </c>
    </row>
    <row r="2221" spans="3:26" x14ac:dyDescent="0.25">
      <c r="C2221">
        <v>10000001</v>
      </c>
      <c r="D2221" t="s">
        <v>1753</v>
      </c>
      <c r="F2221">
        <v>12010402</v>
      </c>
      <c r="H2221" t="s">
        <v>1753</v>
      </c>
      <c r="I2221">
        <v>50</v>
      </c>
      <c r="J2221" s="1">
        <v>-50000</v>
      </c>
      <c r="K2221" t="s">
        <v>26</v>
      </c>
      <c r="L2221" s="1">
        <v>-50000</v>
      </c>
      <c r="M2221" t="s">
        <v>26</v>
      </c>
      <c r="Q2221" t="s">
        <v>27</v>
      </c>
      <c r="R2221" t="s">
        <v>1797</v>
      </c>
      <c r="S2221" t="s">
        <v>334</v>
      </c>
      <c r="T2221" t="s">
        <v>1798</v>
      </c>
      <c r="X2221" t="s">
        <v>43</v>
      </c>
      <c r="Y2221">
        <v>1880288</v>
      </c>
      <c r="Z2221">
        <v>20251216</v>
      </c>
    </row>
    <row r="2222" spans="3:26" x14ac:dyDescent="0.25">
      <c r="C2222">
        <v>10000001</v>
      </c>
      <c r="D2222" t="s">
        <v>1753</v>
      </c>
      <c r="F2222">
        <v>12010403</v>
      </c>
      <c r="H2222" t="s">
        <v>1753</v>
      </c>
      <c r="I2222">
        <v>50</v>
      </c>
      <c r="J2222" s="1">
        <v>-50000</v>
      </c>
      <c r="K2222" t="s">
        <v>26</v>
      </c>
      <c r="L2222" s="1">
        <v>-50000</v>
      </c>
      <c r="M2222" t="s">
        <v>26</v>
      </c>
      <c r="Q2222" t="s">
        <v>27</v>
      </c>
      <c r="R2222" t="s">
        <v>1797</v>
      </c>
      <c r="S2222" t="s">
        <v>334</v>
      </c>
      <c r="T2222" t="s">
        <v>1799</v>
      </c>
      <c r="X2222" t="s">
        <v>43</v>
      </c>
      <c r="Y2222">
        <v>1880288</v>
      </c>
      <c r="Z2222">
        <v>20251216</v>
      </c>
    </row>
    <row r="2223" spans="3:26" x14ac:dyDescent="0.25">
      <c r="C2223">
        <v>10000001</v>
      </c>
      <c r="D2223" t="s">
        <v>1753</v>
      </c>
      <c r="F2223">
        <v>12010404</v>
      </c>
      <c r="H2223" t="s">
        <v>1753</v>
      </c>
      <c r="I2223">
        <v>50</v>
      </c>
      <c r="J2223" s="1">
        <v>-50000</v>
      </c>
      <c r="K2223" t="s">
        <v>26</v>
      </c>
      <c r="L2223" s="1">
        <v>-50000</v>
      </c>
      <c r="M2223" t="s">
        <v>26</v>
      </c>
      <c r="Q2223" t="s">
        <v>27</v>
      </c>
      <c r="R2223" t="s">
        <v>1797</v>
      </c>
      <c r="S2223" t="s">
        <v>334</v>
      </c>
      <c r="T2223" t="s">
        <v>1800</v>
      </c>
      <c r="X2223" t="s">
        <v>43</v>
      </c>
      <c r="Y2223">
        <v>1880288</v>
      </c>
      <c r="Z2223">
        <v>20251216</v>
      </c>
    </row>
    <row r="2224" spans="3:26" x14ac:dyDescent="0.25">
      <c r="C2224">
        <v>10000001</v>
      </c>
      <c r="D2224" t="s">
        <v>1753</v>
      </c>
      <c r="F2224">
        <v>12010405</v>
      </c>
      <c r="H2224" t="s">
        <v>1753</v>
      </c>
      <c r="I2224">
        <v>50</v>
      </c>
      <c r="J2224" s="1">
        <v>-509000</v>
      </c>
      <c r="K2224" t="s">
        <v>26</v>
      </c>
      <c r="L2224" s="1">
        <v>-509000</v>
      </c>
      <c r="M2224" t="s">
        <v>26</v>
      </c>
      <c r="Q2224" t="s">
        <v>27</v>
      </c>
      <c r="R2224" t="s">
        <v>1801</v>
      </c>
      <c r="S2224" t="s">
        <v>129</v>
      </c>
      <c r="T2224" t="s">
        <v>1802</v>
      </c>
      <c r="X2224" t="s">
        <v>43</v>
      </c>
      <c r="Y2224">
        <v>1880288</v>
      </c>
      <c r="Z2224">
        <v>20251216</v>
      </c>
    </row>
    <row r="2225" spans="3:26" x14ac:dyDescent="0.25">
      <c r="C2225">
        <v>10000001</v>
      </c>
      <c r="D2225" t="s">
        <v>1753</v>
      </c>
      <c r="F2225">
        <v>12010406</v>
      </c>
      <c r="H2225" t="s">
        <v>1753</v>
      </c>
      <c r="I2225">
        <v>50</v>
      </c>
      <c r="J2225" s="1">
        <v>-290500</v>
      </c>
      <c r="K2225" t="s">
        <v>26</v>
      </c>
      <c r="L2225" s="1">
        <v>-290500</v>
      </c>
      <c r="M2225" t="s">
        <v>26</v>
      </c>
      <c r="Q2225" t="s">
        <v>27</v>
      </c>
      <c r="R2225" t="s">
        <v>1803</v>
      </c>
      <c r="S2225" t="s">
        <v>254</v>
      </c>
      <c r="T2225" t="s">
        <v>1804</v>
      </c>
      <c r="X2225" t="s">
        <v>43</v>
      </c>
      <c r="Y2225">
        <v>1880288</v>
      </c>
      <c r="Z2225">
        <v>20251216</v>
      </c>
    </row>
    <row r="2226" spans="3:26" x14ac:dyDescent="0.25">
      <c r="C2226">
        <v>10000001</v>
      </c>
      <c r="D2226" t="s">
        <v>1753</v>
      </c>
      <c r="F2226">
        <v>12010407</v>
      </c>
      <c r="H2226" t="s">
        <v>1753</v>
      </c>
      <c r="I2226">
        <v>50</v>
      </c>
      <c r="J2226" s="1">
        <v>-386262</v>
      </c>
      <c r="K2226" t="s">
        <v>26</v>
      </c>
      <c r="L2226" s="1">
        <v>-386262</v>
      </c>
      <c r="M2226" t="s">
        <v>26</v>
      </c>
      <c r="Q2226" t="s">
        <v>27</v>
      </c>
      <c r="R2226" t="s">
        <v>1805</v>
      </c>
      <c r="S2226" t="s">
        <v>126</v>
      </c>
      <c r="T2226" t="s">
        <v>1806</v>
      </c>
      <c r="X2226" t="s">
        <v>43</v>
      </c>
      <c r="Y2226">
        <v>1880288</v>
      </c>
      <c r="Z2226">
        <v>20251216</v>
      </c>
    </row>
    <row r="2227" spans="3:26" x14ac:dyDescent="0.25">
      <c r="C2227">
        <v>10000001</v>
      </c>
      <c r="D2227" t="s">
        <v>1753</v>
      </c>
      <c r="F2227">
        <v>12010408</v>
      </c>
      <c r="H2227" t="s">
        <v>1753</v>
      </c>
      <c r="I2227">
        <v>50</v>
      </c>
      <c r="J2227" s="1">
        <v>-1000000</v>
      </c>
      <c r="K2227" t="s">
        <v>26</v>
      </c>
      <c r="L2227" s="1">
        <v>-1000000</v>
      </c>
      <c r="M2227" t="s">
        <v>26</v>
      </c>
      <c r="Q2227" t="s">
        <v>27</v>
      </c>
      <c r="R2227" t="s">
        <v>1807</v>
      </c>
      <c r="S2227" t="s">
        <v>96</v>
      </c>
      <c r="T2227" t="s">
        <v>1808</v>
      </c>
      <c r="X2227" t="s">
        <v>43</v>
      </c>
      <c r="Y2227">
        <v>1880288</v>
      </c>
      <c r="Z2227">
        <v>20251216</v>
      </c>
    </row>
    <row r="2228" spans="3:26" x14ac:dyDescent="0.25">
      <c r="C2228">
        <v>10000001</v>
      </c>
      <c r="D2228" t="s">
        <v>1753</v>
      </c>
      <c r="F2228">
        <v>12010409</v>
      </c>
      <c r="H2228" t="s">
        <v>1753</v>
      </c>
      <c r="I2228">
        <v>50</v>
      </c>
      <c r="J2228" s="1">
        <v>-50000</v>
      </c>
      <c r="K2228" t="s">
        <v>26</v>
      </c>
      <c r="L2228" s="1">
        <v>-50000</v>
      </c>
      <c r="M2228" t="s">
        <v>26</v>
      </c>
      <c r="Q2228" t="s">
        <v>27</v>
      </c>
      <c r="R2228" t="s">
        <v>1809</v>
      </c>
      <c r="S2228" t="s">
        <v>334</v>
      </c>
      <c r="T2228" t="s">
        <v>1810</v>
      </c>
      <c r="X2228" t="s">
        <v>43</v>
      </c>
      <c r="Y2228">
        <v>1880288</v>
      </c>
      <c r="Z2228">
        <v>20251216</v>
      </c>
    </row>
    <row r="2229" spans="3:26" x14ac:dyDescent="0.25">
      <c r="C2229">
        <v>10000001</v>
      </c>
      <c r="D2229" t="s">
        <v>1753</v>
      </c>
      <c r="F2229">
        <v>12010410</v>
      </c>
      <c r="H2229" t="s">
        <v>1753</v>
      </c>
      <c r="I2229">
        <v>50</v>
      </c>
      <c r="J2229" s="1">
        <v>-50000</v>
      </c>
      <c r="K2229" t="s">
        <v>26</v>
      </c>
      <c r="L2229" s="1">
        <v>-50000</v>
      </c>
      <c r="M2229" t="s">
        <v>26</v>
      </c>
      <c r="Q2229" t="s">
        <v>27</v>
      </c>
      <c r="R2229" t="s">
        <v>1809</v>
      </c>
      <c r="S2229" t="s">
        <v>334</v>
      </c>
      <c r="T2229" t="s">
        <v>1811</v>
      </c>
      <c r="X2229" t="s">
        <v>43</v>
      </c>
      <c r="Y2229">
        <v>1880288</v>
      </c>
      <c r="Z2229">
        <v>20251216</v>
      </c>
    </row>
    <row r="2230" spans="3:26" x14ac:dyDescent="0.25">
      <c r="C2230">
        <v>10000001</v>
      </c>
      <c r="D2230" t="s">
        <v>1753</v>
      </c>
      <c r="F2230">
        <v>12010411</v>
      </c>
      <c r="H2230" t="s">
        <v>1753</v>
      </c>
      <c r="I2230">
        <v>50</v>
      </c>
      <c r="J2230" s="1">
        <v>-50000</v>
      </c>
      <c r="K2230" t="s">
        <v>26</v>
      </c>
      <c r="L2230" s="1">
        <v>-50000</v>
      </c>
      <c r="M2230" t="s">
        <v>26</v>
      </c>
      <c r="Q2230" t="s">
        <v>27</v>
      </c>
      <c r="R2230" t="s">
        <v>1809</v>
      </c>
      <c r="S2230" t="s">
        <v>334</v>
      </c>
      <c r="T2230" t="s">
        <v>1812</v>
      </c>
      <c r="X2230" t="s">
        <v>43</v>
      </c>
      <c r="Y2230">
        <v>1880288</v>
      </c>
      <c r="Z2230">
        <v>20251216</v>
      </c>
    </row>
    <row r="2231" spans="3:26" x14ac:dyDescent="0.25">
      <c r="C2231">
        <v>10000001</v>
      </c>
      <c r="D2231" t="s">
        <v>1753</v>
      </c>
      <c r="F2231">
        <v>12010412</v>
      </c>
      <c r="H2231" t="s">
        <v>1753</v>
      </c>
      <c r="I2231">
        <v>50</v>
      </c>
      <c r="J2231" s="1">
        <v>-50000</v>
      </c>
      <c r="K2231" t="s">
        <v>26</v>
      </c>
      <c r="L2231" s="1">
        <v>-50000</v>
      </c>
      <c r="M2231" t="s">
        <v>26</v>
      </c>
      <c r="Q2231" t="s">
        <v>27</v>
      </c>
      <c r="R2231" t="s">
        <v>1809</v>
      </c>
      <c r="S2231" t="s">
        <v>334</v>
      </c>
      <c r="T2231" t="s">
        <v>1813</v>
      </c>
      <c r="X2231" t="s">
        <v>43</v>
      </c>
      <c r="Y2231">
        <v>1880288</v>
      </c>
      <c r="Z2231">
        <v>20251216</v>
      </c>
    </row>
    <row r="2232" spans="3:26" x14ac:dyDescent="0.25">
      <c r="C2232">
        <v>10000001</v>
      </c>
      <c r="D2232" t="s">
        <v>1753</v>
      </c>
      <c r="F2232">
        <v>12010413</v>
      </c>
      <c r="H2232" t="s">
        <v>1753</v>
      </c>
      <c r="I2232">
        <v>50</v>
      </c>
      <c r="J2232" s="1">
        <v>-50000</v>
      </c>
      <c r="K2232" t="s">
        <v>26</v>
      </c>
      <c r="L2232" s="1">
        <v>-50000</v>
      </c>
      <c r="M2232" t="s">
        <v>26</v>
      </c>
      <c r="Q2232" t="s">
        <v>27</v>
      </c>
      <c r="R2232" t="s">
        <v>1809</v>
      </c>
      <c r="S2232" t="s">
        <v>334</v>
      </c>
      <c r="T2232" t="s">
        <v>1814</v>
      </c>
      <c r="X2232" t="s">
        <v>43</v>
      </c>
      <c r="Y2232">
        <v>1880288</v>
      </c>
      <c r="Z2232">
        <v>20251216</v>
      </c>
    </row>
    <row r="2233" spans="3:26" x14ac:dyDescent="0.25">
      <c r="C2233">
        <v>10000001</v>
      </c>
      <c r="D2233" t="s">
        <v>1753</v>
      </c>
      <c r="F2233">
        <v>12010414</v>
      </c>
      <c r="H2233" t="s">
        <v>1753</v>
      </c>
      <c r="I2233">
        <v>50</v>
      </c>
      <c r="J2233" s="1">
        <v>-50000</v>
      </c>
      <c r="K2233" t="s">
        <v>26</v>
      </c>
      <c r="L2233" s="1">
        <v>-50000</v>
      </c>
      <c r="M2233" t="s">
        <v>26</v>
      </c>
      <c r="Q2233" t="s">
        <v>27</v>
      </c>
      <c r="R2233" t="s">
        <v>1809</v>
      </c>
      <c r="S2233" t="s">
        <v>334</v>
      </c>
      <c r="T2233" t="s">
        <v>1815</v>
      </c>
      <c r="X2233" t="s">
        <v>43</v>
      </c>
      <c r="Y2233">
        <v>1880288</v>
      </c>
      <c r="Z2233">
        <v>20251216</v>
      </c>
    </row>
    <row r="2234" spans="3:26" x14ac:dyDescent="0.25">
      <c r="C2234">
        <v>10000001</v>
      </c>
      <c r="D2234" t="s">
        <v>1753</v>
      </c>
      <c r="F2234">
        <v>12010415</v>
      </c>
      <c r="H2234" t="s">
        <v>1753</v>
      </c>
      <c r="I2234">
        <v>50</v>
      </c>
      <c r="J2234" s="1">
        <v>-400000</v>
      </c>
      <c r="K2234" t="s">
        <v>26</v>
      </c>
      <c r="L2234" s="1">
        <v>-400000</v>
      </c>
      <c r="M2234" t="s">
        <v>26</v>
      </c>
      <c r="Q2234" t="s">
        <v>27</v>
      </c>
      <c r="R2234" t="s">
        <v>1816</v>
      </c>
      <c r="S2234" t="s">
        <v>41</v>
      </c>
      <c r="T2234" t="s">
        <v>1817</v>
      </c>
      <c r="X2234" t="s">
        <v>43</v>
      </c>
      <c r="Y2234">
        <v>1880288</v>
      </c>
      <c r="Z2234">
        <v>20251216</v>
      </c>
    </row>
    <row r="2235" spans="3:26" x14ac:dyDescent="0.25">
      <c r="C2235">
        <v>10000001</v>
      </c>
      <c r="D2235" t="s">
        <v>1753</v>
      </c>
      <c r="F2235">
        <v>12010416</v>
      </c>
      <c r="H2235" t="s">
        <v>1753</v>
      </c>
      <c r="I2235">
        <v>50</v>
      </c>
      <c r="J2235" s="1">
        <v>-620000</v>
      </c>
      <c r="K2235" t="s">
        <v>26</v>
      </c>
      <c r="L2235" s="1">
        <v>-620000</v>
      </c>
      <c r="M2235" t="s">
        <v>26</v>
      </c>
      <c r="Q2235" t="s">
        <v>27</v>
      </c>
      <c r="R2235" t="s">
        <v>1818</v>
      </c>
      <c r="S2235" t="s">
        <v>96</v>
      </c>
      <c r="T2235" t="s">
        <v>1819</v>
      </c>
      <c r="X2235" t="s">
        <v>43</v>
      </c>
      <c r="Y2235">
        <v>1880288</v>
      </c>
      <c r="Z2235">
        <v>20251216</v>
      </c>
    </row>
    <row r="2236" spans="3:26" x14ac:dyDescent="0.25">
      <c r="C2236">
        <v>10000001</v>
      </c>
      <c r="D2236" t="s">
        <v>1753</v>
      </c>
      <c r="F2236">
        <v>12010417</v>
      </c>
      <c r="H2236" t="s">
        <v>1753</v>
      </c>
      <c r="I2236">
        <v>50</v>
      </c>
      <c r="J2236" s="1">
        <v>-380000</v>
      </c>
      <c r="K2236" t="s">
        <v>26</v>
      </c>
      <c r="L2236" s="1">
        <v>-380000</v>
      </c>
      <c r="M2236" t="s">
        <v>26</v>
      </c>
      <c r="Q2236" t="s">
        <v>27</v>
      </c>
      <c r="R2236" t="s">
        <v>1818</v>
      </c>
      <c r="S2236" t="s">
        <v>67</v>
      </c>
      <c r="T2236" t="s">
        <v>98</v>
      </c>
      <c r="X2236" t="s">
        <v>43</v>
      </c>
      <c r="Y2236">
        <v>1880288</v>
      </c>
      <c r="Z2236">
        <v>20251216</v>
      </c>
    </row>
    <row r="2237" spans="3:26" x14ac:dyDescent="0.25">
      <c r="C2237">
        <v>10000001</v>
      </c>
      <c r="D2237" t="s">
        <v>1753</v>
      </c>
      <c r="F2237">
        <v>12010418</v>
      </c>
      <c r="H2237" t="s">
        <v>1753</v>
      </c>
      <c r="I2237">
        <v>50</v>
      </c>
      <c r="J2237" s="1">
        <v>-512300</v>
      </c>
      <c r="K2237" t="s">
        <v>26</v>
      </c>
      <c r="L2237" s="1">
        <v>-512300</v>
      </c>
      <c r="M2237" t="s">
        <v>26</v>
      </c>
      <c r="Q2237" t="s">
        <v>27</v>
      </c>
      <c r="R2237" t="s">
        <v>1820</v>
      </c>
      <c r="S2237" t="s">
        <v>146</v>
      </c>
      <c r="T2237" t="s">
        <v>1821</v>
      </c>
      <c r="X2237" t="s">
        <v>43</v>
      </c>
      <c r="Y2237">
        <v>1880288</v>
      </c>
      <c r="Z2237">
        <v>20251216</v>
      </c>
    </row>
    <row r="2238" spans="3:26" x14ac:dyDescent="0.25">
      <c r="C2238">
        <v>10000001</v>
      </c>
      <c r="D2238" t="s">
        <v>1753</v>
      </c>
      <c r="F2238">
        <v>12010419</v>
      </c>
      <c r="H2238" t="s">
        <v>1753</v>
      </c>
      <c r="I2238">
        <v>50</v>
      </c>
      <c r="J2238" s="1">
        <v>-151500</v>
      </c>
      <c r="K2238" t="s">
        <v>26</v>
      </c>
      <c r="L2238" s="1">
        <v>-151500</v>
      </c>
      <c r="M2238" t="s">
        <v>26</v>
      </c>
      <c r="Q2238" t="s">
        <v>27</v>
      </c>
      <c r="R2238" t="s">
        <v>1822</v>
      </c>
      <c r="S2238" t="s">
        <v>274</v>
      </c>
      <c r="T2238" t="s">
        <v>1823</v>
      </c>
      <c r="X2238" t="s">
        <v>43</v>
      </c>
      <c r="Y2238">
        <v>1880288</v>
      </c>
      <c r="Z2238">
        <v>20251216</v>
      </c>
    </row>
    <row r="2239" spans="3:26" x14ac:dyDescent="0.25">
      <c r="C2239">
        <v>10000001</v>
      </c>
      <c r="D2239" t="s">
        <v>1753</v>
      </c>
      <c r="F2239">
        <v>12010420</v>
      </c>
      <c r="H2239" t="s">
        <v>1753</v>
      </c>
      <c r="I2239">
        <v>50</v>
      </c>
      <c r="J2239" s="1">
        <v>-50000</v>
      </c>
      <c r="K2239" t="s">
        <v>26</v>
      </c>
      <c r="L2239" s="1">
        <v>-50000</v>
      </c>
      <c r="M2239" t="s">
        <v>26</v>
      </c>
      <c r="Q2239" t="s">
        <v>27</v>
      </c>
      <c r="R2239" t="s">
        <v>1824</v>
      </c>
      <c r="S2239" t="s">
        <v>334</v>
      </c>
      <c r="T2239" t="s">
        <v>1825</v>
      </c>
      <c r="X2239" t="s">
        <v>43</v>
      </c>
      <c r="Y2239">
        <v>1880288</v>
      </c>
      <c r="Z2239">
        <v>20251216</v>
      </c>
    </row>
    <row r="2240" spans="3:26" x14ac:dyDescent="0.25">
      <c r="C2240">
        <v>10000001</v>
      </c>
      <c r="D2240" t="s">
        <v>1753</v>
      </c>
      <c r="F2240">
        <v>12010421</v>
      </c>
      <c r="H2240" t="s">
        <v>1753</v>
      </c>
      <c r="I2240">
        <v>50</v>
      </c>
      <c r="J2240" s="1">
        <v>-50000</v>
      </c>
      <c r="K2240" t="s">
        <v>26</v>
      </c>
      <c r="L2240" s="1">
        <v>-50000</v>
      </c>
      <c r="M2240" t="s">
        <v>26</v>
      </c>
      <c r="Q2240" t="s">
        <v>27</v>
      </c>
      <c r="R2240" t="s">
        <v>1824</v>
      </c>
      <c r="S2240" t="s">
        <v>334</v>
      </c>
      <c r="T2240" t="s">
        <v>1826</v>
      </c>
      <c r="X2240" t="s">
        <v>43</v>
      </c>
      <c r="Y2240">
        <v>1880288</v>
      </c>
      <c r="Z2240">
        <v>20251216</v>
      </c>
    </row>
    <row r="2241" spans="3:26" x14ac:dyDescent="0.25">
      <c r="C2241">
        <v>10000001</v>
      </c>
      <c r="D2241" t="s">
        <v>1753</v>
      </c>
      <c r="F2241">
        <v>12010422</v>
      </c>
      <c r="H2241" t="s">
        <v>1753</v>
      </c>
      <c r="I2241">
        <v>50</v>
      </c>
      <c r="J2241" s="1">
        <v>-50000</v>
      </c>
      <c r="K2241" t="s">
        <v>26</v>
      </c>
      <c r="L2241" s="1">
        <v>-50000</v>
      </c>
      <c r="M2241" t="s">
        <v>26</v>
      </c>
      <c r="Q2241" t="s">
        <v>27</v>
      </c>
      <c r="R2241" t="s">
        <v>1824</v>
      </c>
      <c r="S2241" t="s">
        <v>334</v>
      </c>
      <c r="T2241" t="s">
        <v>1827</v>
      </c>
      <c r="X2241" t="s">
        <v>43</v>
      </c>
      <c r="Y2241">
        <v>1880288</v>
      </c>
      <c r="Z2241">
        <v>20251216</v>
      </c>
    </row>
    <row r="2242" spans="3:26" x14ac:dyDescent="0.25">
      <c r="C2242">
        <v>10000001</v>
      </c>
      <c r="D2242" t="s">
        <v>1828</v>
      </c>
      <c r="F2242">
        <v>12010423</v>
      </c>
      <c r="H2242" t="s">
        <v>1828</v>
      </c>
      <c r="I2242">
        <v>50</v>
      </c>
      <c r="J2242" s="1">
        <v>-50000</v>
      </c>
      <c r="K2242" t="s">
        <v>26</v>
      </c>
      <c r="L2242" s="1">
        <v>-50000</v>
      </c>
      <c r="M2242" t="s">
        <v>26</v>
      </c>
      <c r="Q2242" t="s">
        <v>27</v>
      </c>
      <c r="R2242" t="s">
        <v>1829</v>
      </c>
      <c r="S2242" t="s">
        <v>334</v>
      </c>
      <c r="T2242" t="s">
        <v>1830</v>
      </c>
      <c r="X2242" t="s">
        <v>43</v>
      </c>
      <c r="Y2242">
        <v>1880288</v>
      </c>
      <c r="Z2242">
        <v>20251222</v>
      </c>
    </row>
    <row r="2243" spans="3:26" x14ac:dyDescent="0.25">
      <c r="C2243">
        <v>10000001</v>
      </c>
      <c r="D2243" t="s">
        <v>1828</v>
      </c>
      <c r="F2243">
        <v>12010424</v>
      </c>
      <c r="H2243" t="s">
        <v>1828</v>
      </c>
      <c r="I2243">
        <v>50</v>
      </c>
      <c r="J2243" s="1">
        <v>-50000</v>
      </c>
      <c r="K2243" t="s">
        <v>26</v>
      </c>
      <c r="L2243" s="1">
        <v>-50000</v>
      </c>
      <c r="M2243" t="s">
        <v>26</v>
      </c>
      <c r="Q2243" t="s">
        <v>27</v>
      </c>
      <c r="R2243" t="s">
        <v>1829</v>
      </c>
      <c r="S2243" t="s">
        <v>334</v>
      </c>
      <c r="T2243" t="s">
        <v>1831</v>
      </c>
      <c r="X2243" t="s">
        <v>43</v>
      </c>
      <c r="Y2243">
        <v>1880288</v>
      </c>
      <c r="Z2243">
        <v>20251222</v>
      </c>
    </row>
    <row r="2244" spans="3:26" x14ac:dyDescent="0.25">
      <c r="C2244">
        <v>10000001</v>
      </c>
      <c r="D2244" t="s">
        <v>1828</v>
      </c>
      <c r="F2244">
        <v>12010425</v>
      </c>
      <c r="H2244" t="s">
        <v>1828</v>
      </c>
      <c r="I2244">
        <v>50</v>
      </c>
      <c r="J2244" s="1">
        <v>-50000</v>
      </c>
      <c r="K2244" t="s">
        <v>26</v>
      </c>
      <c r="L2244" s="1">
        <v>-50000</v>
      </c>
      <c r="M2244" t="s">
        <v>26</v>
      </c>
      <c r="Q2244" t="s">
        <v>27</v>
      </c>
      <c r="R2244" t="s">
        <v>1829</v>
      </c>
      <c r="S2244" t="s">
        <v>334</v>
      </c>
      <c r="T2244" t="s">
        <v>1832</v>
      </c>
      <c r="X2244" t="s">
        <v>43</v>
      </c>
      <c r="Y2244">
        <v>1880288</v>
      </c>
      <c r="Z2244">
        <v>20251222</v>
      </c>
    </row>
    <row r="2245" spans="3:26" x14ac:dyDescent="0.25">
      <c r="C2245">
        <v>10000001</v>
      </c>
      <c r="D2245" t="s">
        <v>1828</v>
      </c>
      <c r="F2245">
        <v>12010426</v>
      </c>
      <c r="H2245" t="s">
        <v>1828</v>
      </c>
      <c r="I2245">
        <v>50</v>
      </c>
      <c r="J2245" s="1">
        <v>-50000</v>
      </c>
      <c r="K2245" t="s">
        <v>26</v>
      </c>
      <c r="L2245" s="1">
        <v>-50000</v>
      </c>
      <c r="M2245" t="s">
        <v>26</v>
      </c>
      <c r="Q2245" t="s">
        <v>27</v>
      </c>
      <c r="R2245" t="s">
        <v>1829</v>
      </c>
      <c r="S2245" t="s">
        <v>334</v>
      </c>
      <c r="T2245" t="s">
        <v>1833</v>
      </c>
      <c r="X2245" t="s">
        <v>43</v>
      </c>
      <c r="Y2245">
        <v>1880288</v>
      </c>
      <c r="Z2245">
        <v>20251222</v>
      </c>
    </row>
    <row r="2246" spans="3:26" x14ac:dyDescent="0.25">
      <c r="C2246">
        <v>10000001</v>
      </c>
      <c r="D2246" t="s">
        <v>1828</v>
      </c>
      <c r="F2246">
        <v>12010427</v>
      </c>
      <c r="H2246" t="s">
        <v>1828</v>
      </c>
      <c r="I2246">
        <v>50</v>
      </c>
      <c r="J2246" s="1">
        <v>-50000</v>
      </c>
      <c r="K2246" t="s">
        <v>26</v>
      </c>
      <c r="L2246" s="1">
        <v>-50000</v>
      </c>
      <c r="M2246" t="s">
        <v>26</v>
      </c>
      <c r="Q2246" t="s">
        <v>27</v>
      </c>
      <c r="R2246" t="s">
        <v>1829</v>
      </c>
      <c r="S2246" t="s">
        <v>334</v>
      </c>
      <c r="T2246" t="s">
        <v>1834</v>
      </c>
      <c r="X2246" t="s">
        <v>43</v>
      </c>
      <c r="Y2246">
        <v>1880288</v>
      </c>
      <c r="Z2246">
        <v>20251222</v>
      </c>
    </row>
    <row r="2247" spans="3:26" x14ac:dyDescent="0.25">
      <c r="C2247">
        <v>10000001</v>
      </c>
      <c r="D2247" t="s">
        <v>1828</v>
      </c>
      <c r="F2247">
        <v>12010428</v>
      </c>
      <c r="H2247" t="s">
        <v>1828</v>
      </c>
      <c r="I2247">
        <v>50</v>
      </c>
      <c r="J2247" s="1">
        <v>-269820</v>
      </c>
      <c r="K2247" t="s">
        <v>26</v>
      </c>
      <c r="L2247" s="1">
        <v>-269820</v>
      </c>
      <c r="M2247" t="s">
        <v>26</v>
      </c>
      <c r="Q2247" t="s">
        <v>27</v>
      </c>
      <c r="R2247" t="s">
        <v>1835</v>
      </c>
      <c r="S2247" t="s">
        <v>59</v>
      </c>
      <c r="T2247" t="s">
        <v>1836</v>
      </c>
      <c r="X2247" t="s">
        <v>43</v>
      </c>
      <c r="Y2247">
        <v>1880288</v>
      </c>
      <c r="Z2247">
        <v>20251222</v>
      </c>
    </row>
    <row r="2248" spans="3:26" x14ac:dyDescent="0.25">
      <c r="C2248">
        <v>10000001</v>
      </c>
      <c r="D2248" t="s">
        <v>1828</v>
      </c>
      <c r="F2248">
        <v>12010429</v>
      </c>
      <c r="H2248" t="s">
        <v>1828</v>
      </c>
      <c r="I2248">
        <v>50</v>
      </c>
      <c r="J2248" s="1">
        <v>-775080</v>
      </c>
      <c r="K2248" t="s">
        <v>26</v>
      </c>
      <c r="L2248" s="1">
        <v>-775080</v>
      </c>
      <c r="M2248" t="s">
        <v>26</v>
      </c>
      <c r="Q2248" t="s">
        <v>27</v>
      </c>
      <c r="R2248" t="s">
        <v>1837</v>
      </c>
      <c r="S2248" t="s">
        <v>59</v>
      </c>
      <c r="T2248" t="s">
        <v>1838</v>
      </c>
      <c r="X2248" t="s">
        <v>43</v>
      </c>
      <c r="Y2248">
        <v>1880288</v>
      </c>
      <c r="Z2248">
        <v>20251222</v>
      </c>
    </row>
    <row r="2249" spans="3:26" x14ac:dyDescent="0.25">
      <c r="C2249">
        <v>10000001</v>
      </c>
      <c r="D2249" t="s">
        <v>1828</v>
      </c>
      <c r="F2249">
        <v>12010430</v>
      </c>
      <c r="H2249" t="s">
        <v>1828</v>
      </c>
      <c r="I2249">
        <v>50</v>
      </c>
      <c r="J2249" s="1">
        <v>-171000</v>
      </c>
      <c r="K2249" t="s">
        <v>26</v>
      </c>
      <c r="L2249" s="1">
        <v>-171000</v>
      </c>
      <c r="M2249" t="s">
        <v>26</v>
      </c>
      <c r="Q2249" t="s">
        <v>27</v>
      </c>
      <c r="R2249" t="s">
        <v>1839</v>
      </c>
      <c r="S2249" t="s">
        <v>57</v>
      </c>
      <c r="T2249" t="s">
        <v>1840</v>
      </c>
      <c r="X2249" t="s">
        <v>43</v>
      </c>
      <c r="Y2249">
        <v>1880288</v>
      </c>
      <c r="Z2249">
        <v>20251222</v>
      </c>
    </row>
    <row r="2250" spans="3:26" x14ac:dyDescent="0.25">
      <c r="C2250">
        <v>10000001</v>
      </c>
      <c r="D2250" t="s">
        <v>1828</v>
      </c>
      <c r="F2250">
        <v>12010431</v>
      </c>
      <c r="H2250" t="s">
        <v>1828</v>
      </c>
      <c r="I2250">
        <v>50</v>
      </c>
      <c r="J2250" s="1">
        <v>-951025</v>
      </c>
      <c r="K2250" t="s">
        <v>26</v>
      </c>
      <c r="L2250" s="1">
        <v>-951025</v>
      </c>
      <c r="M2250" t="s">
        <v>26</v>
      </c>
      <c r="Q2250" t="s">
        <v>27</v>
      </c>
      <c r="R2250" t="s">
        <v>1841</v>
      </c>
      <c r="S2250" t="s">
        <v>59</v>
      </c>
      <c r="T2250" t="s">
        <v>1842</v>
      </c>
      <c r="X2250" t="s">
        <v>43</v>
      </c>
      <c r="Y2250">
        <v>1880288</v>
      </c>
      <c r="Z2250">
        <v>20251222</v>
      </c>
    </row>
    <row r="2251" spans="3:26" x14ac:dyDescent="0.25">
      <c r="C2251">
        <v>10000001</v>
      </c>
      <c r="D2251" t="s">
        <v>1828</v>
      </c>
      <c r="F2251">
        <v>12010432</v>
      </c>
      <c r="H2251" t="s">
        <v>1828</v>
      </c>
      <c r="I2251">
        <v>50</v>
      </c>
      <c r="J2251" s="1">
        <v>-50000</v>
      </c>
      <c r="K2251" t="s">
        <v>26</v>
      </c>
      <c r="L2251" s="1">
        <v>-50000</v>
      </c>
      <c r="M2251" t="s">
        <v>26</v>
      </c>
      <c r="Q2251" t="s">
        <v>27</v>
      </c>
      <c r="R2251" t="s">
        <v>1843</v>
      </c>
      <c r="S2251" t="s">
        <v>334</v>
      </c>
      <c r="T2251" t="s">
        <v>1844</v>
      </c>
      <c r="X2251" t="s">
        <v>43</v>
      </c>
      <c r="Y2251">
        <v>1880288</v>
      </c>
      <c r="Z2251">
        <v>20251222</v>
      </c>
    </row>
    <row r="2252" spans="3:26" x14ac:dyDescent="0.25">
      <c r="C2252">
        <v>10000001</v>
      </c>
      <c r="D2252" t="s">
        <v>1828</v>
      </c>
      <c r="F2252">
        <v>12010433</v>
      </c>
      <c r="H2252" t="s">
        <v>1828</v>
      </c>
      <c r="I2252">
        <v>50</v>
      </c>
      <c r="J2252" s="1">
        <v>-50000</v>
      </c>
      <c r="K2252" t="s">
        <v>26</v>
      </c>
      <c r="L2252" s="1">
        <v>-50000</v>
      </c>
      <c r="M2252" t="s">
        <v>26</v>
      </c>
      <c r="Q2252" t="s">
        <v>27</v>
      </c>
      <c r="R2252" t="s">
        <v>1843</v>
      </c>
      <c r="S2252" t="s">
        <v>334</v>
      </c>
      <c r="T2252" t="s">
        <v>1845</v>
      </c>
      <c r="X2252" t="s">
        <v>43</v>
      </c>
      <c r="Y2252">
        <v>1880288</v>
      </c>
      <c r="Z2252">
        <v>20251222</v>
      </c>
    </row>
    <row r="2253" spans="3:26" x14ac:dyDescent="0.25">
      <c r="C2253">
        <v>10000001</v>
      </c>
      <c r="D2253" t="s">
        <v>1828</v>
      </c>
      <c r="F2253">
        <v>12010434</v>
      </c>
      <c r="H2253" t="s">
        <v>1828</v>
      </c>
      <c r="I2253">
        <v>50</v>
      </c>
      <c r="J2253" s="1">
        <v>-50000</v>
      </c>
      <c r="K2253" t="s">
        <v>26</v>
      </c>
      <c r="L2253" s="1">
        <v>-50000</v>
      </c>
      <c r="M2253" t="s">
        <v>26</v>
      </c>
      <c r="Q2253" t="s">
        <v>27</v>
      </c>
      <c r="R2253" t="s">
        <v>1843</v>
      </c>
      <c r="S2253" t="s">
        <v>334</v>
      </c>
      <c r="T2253" t="s">
        <v>1846</v>
      </c>
      <c r="X2253" t="s">
        <v>43</v>
      </c>
      <c r="Y2253">
        <v>1880288</v>
      </c>
      <c r="Z2253">
        <v>20251222</v>
      </c>
    </row>
    <row r="2254" spans="3:26" x14ac:dyDescent="0.25">
      <c r="C2254">
        <v>10000001</v>
      </c>
      <c r="D2254" t="s">
        <v>1828</v>
      </c>
      <c r="F2254">
        <v>12010435</v>
      </c>
      <c r="H2254" t="s">
        <v>1828</v>
      </c>
      <c r="I2254">
        <v>50</v>
      </c>
      <c r="J2254" s="1">
        <v>-50000</v>
      </c>
      <c r="K2254" t="s">
        <v>26</v>
      </c>
      <c r="L2254" s="1">
        <v>-50000</v>
      </c>
      <c r="M2254" t="s">
        <v>26</v>
      </c>
      <c r="Q2254" t="s">
        <v>27</v>
      </c>
      <c r="R2254" t="s">
        <v>1843</v>
      </c>
      <c r="S2254" t="s">
        <v>334</v>
      </c>
      <c r="T2254" t="s">
        <v>1847</v>
      </c>
      <c r="X2254" t="s">
        <v>43</v>
      </c>
      <c r="Y2254">
        <v>1880288</v>
      </c>
      <c r="Z2254">
        <v>20251222</v>
      </c>
    </row>
    <row r="2255" spans="3:26" x14ac:dyDescent="0.25">
      <c r="C2255">
        <v>10000001</v>
      </c>
      <c r="D2255" t="s">
        <v>1828</v>
      </c>
      <c r="F2255">
        <v>12010436</v>
      </c>
      <c r="H2255" t="s">
        <v>1828</v>
      </c>
      <c r="I2255">
        <v>50</v>
      </c>
      <c r="J2255" s="1">
        <v>-50000</v>
      </c>
      <c r="K2255" t="s">
        <v>26</v>
      </c>
      <c r="L2255" s="1">
        <v>-50000</v>
      </c>
      <c r="M2255" t="s">
        <v>26</v>
      </c>
      <c r="Q2255" t="s">
        <v>27</v>
      </c>
      <c r="R2255" t="s">
        <v>1843</v>
      </c>
      <c r="S2255" t="s">
        <v>334</v>
      </c>
      <c r="T2255" t="s">
        <v>1848</v>
      </c>
      <c r="X2255" t="s">
        <v>43</v>
      </c>
      <c r="Y2255">
        <v>1880288</v>
      </c>
      <c r="Z2255">
        <v>20251222</v>
      </c>
    </row>
    <row r="2256" spans="3:26" x14ac:dyDescent="0.25">
      <c r="C2256">
        <v>10000001</v>
      </c>
      <c r="D2256" t="s">
        <v>1828</v>
      </c>
      <c r="F2256">
        <v>12010437</v>
      </c>
      <c r="H2256" t="s">
        <v>1828</v>
      </c>
      <c r="I2256">
        <v>50</v>
      </c>
      <c r="J2256" s="1">
        <v>-200000</v>
      </c>
      <c r="K2256" t="s">
        <v>26</v>
      </c>
      <c r="L2256" s="1">
        <v>-200000</v>
      </c>
      <c r="M2256" t="s">
        <v>26</v>
      </c>
      <c r="Q2256" t="s">
        <v>27</v>
      </c>
      <c r="R2256" t="s">
        <v>1843</v>
      </c>
      <c r="S2256" t="s">
        <v>334</v>
      </c>
      <c r="T2256" t="s">
        <v>1849</v>
      </c>
      <c r="X2256" t="s">
        <v>43</v>
      </c>
      <c r="Y2256">
        <v>1880288</v>
      </c>
      <c r="Z2256">
        <v>20251222</v>
      </c>
    </row>
    <row r="2257" spans="3:26" x14ac:dyDescent="0.25">
      <c r="C2257">
        <v>10000001</v>
      </c>
      <c r="D2257" t="s">
        <v>1828</v>
      </c>
      <c r="F2257">
        <v>12010438</v>
      </c>
      <c r="H2257" t="s">
        <v>1828</v>
      </c>
      <c r="I2257">
        <v>50</v>
      </c>
      <c r="J2257" s="1">
        <v>-200000</v>
      </c>
      <c r="K2257" t="s">
        <v>26</v>
      </c>
      <c r="L2257" s="1">
        <v>-200000</v>
      </c>
      <c r="M2257" t="s">
        <v>26</v>
      </c>
      <c r="Q2257" t="s">
        <v>27</v>
      </c>
      <c r="R2257" t="s">
        <v>1843</v>
      </c>
      <c r="S2257" t="s">
        <v>334</v>
      </c>
      <c r="T2257" t="s">
        <v>1850</v>
      </c>
      <c r="X2257" t="s">
        <v>43</v>
      </c>
      <c r="Y2257">
        <v>1880288</v>
      </c>
      <c r="Z2257">
        <v>20251222</v>
      </c>
    </row>
    <row r="2258" spans="3:26" x14ac:dyDescent="0.25">
      <c r="C2258">
        <v>10000001</v>
      </c>
      <c r="D2258" t="s">
        <v>1828</v>
      </c>
      <c r="F2258">
        <v>12010439</v>
      </c>
      <c r="H2258" t="s">
        <v>1828</v>
      </c>
      <c r="I2258">
        <v>50</v>
      </c>
      <c r="J2258" s="1">
        <v>-610000</v>
      </c>
      <c r="K2258" t="s">
        <v>26</v>
      </c>
      <c r="L2258" s="1">
        <v>-610000</v>
      </c>
      <c r="M2258" t="s">
        <v>26</v>
      </c>
      <c r="Q2258" t="s">
        <v>27</v>
      </c>
      <c r="R2258" t="s">
        <v>1851</v>
      </c>
      <c r="S2258" t="s">
        <v>126</v>
      </c>
      <c r="T2258" t="s">
        <v>1852</v>
      </c>
      <c r="X2258" t="s">
        <v>43</v>
      </c>
      <c r="Y2258">
        <v>1880288</v>
      </c>
      <c r="Z2258">
        <v>20251222</v>
      </c>
    </row>
    <row r="2259" spans="3:26" x14ac:dyDescent="0.25">
      <c r="C2259">
        <v>10000001</v>
      </c>
      <c r="D2259" t="s">
        <v>1828</v>
      </c>
      <c r="F2259">
        <v>12010440</v>
      </c>
      <c r="H2259" t="s">
        <v>1828</v>
      </c>
      <c r="I2259">
        <v>50</v>
      </c>
      <c r="J2259" s="1">
        <v>-50000</v>
      </c>
      <c r="K2259" t="s">
        <v>26</v>
      </c>
      <c r="L2259" s="1">
        <v>-50000</v>
      </c>
      <c r="M2259" t="s">
        <v>26</v>
      </c>
      <c r="Q2259" t="s">
        <v>27</v>
      </c>
      <c r="R2259" t="s">
        <v>1853</v>
      </c>
      <c r="S2259" t="s">
        <v>334</v>
      </c>
      <c r="T2259" t="s">
        <v>1854</v>
      </c>
      <c r="X2259" t="s">
        <v>43</v>
      </c>
      <c r="Y2259">
        <v>1880288</v>
      </c>
      <c r="Z2259">
        <v>20251222</v>
      </c>
    </row>
    <row r="2260" spans="3:26" x14ac:dyDescent="0.25">
      <c r="C2260">
        <v>10000001</v>
      </c>
      <c r="D2260" t="s">
        <v>1828</v>
      </c>
      <c r="F2260">
        <v>12010441</v>
      </c>
      <c r="H2260" t="s">
        <v>1828</v>
      </c>
      <c r="I2260">
        <v>50</v>
      </c>
      <c r="J2260" s="1">
        <v>-50000</v>
      </c>
      <c r="K2260" t="s">
        <v>26</v>
      </c>
      <c r="L2260" s="1">
        <v>-50000</v>
      </c>
      <c r="M2260" t="s">
        <v>26</v>
      </c>
      <c r="Q2260" t="s">
        <v>27</v>
      </c>
      <c r="R2260" t="s">
        <v>1853</v>
      </c>
      <c r="S2260" t="s">
        <v>334</v>
      </c>
      <c r="T2260" t="s">
        <v>1855</v>
      </c>
      <c r="X2260" t="s">
        <v>43</v>
      </c>
      <c r="Y2260">
        <v>1880288</v>
      </c>
      <c r="Z2260">
        <v>20251222</v>
      </c>
    </row>
    <row r="2261" spans="3:26" x14ac:dyDescent="0.25">
      <c r="C2261">
        <v>10000001</v>
      </c>
      <c r="D2261" t="s">
        <v>1828</v>
      </c>
      <c r="F2261">
        <v>12010442</v>
      </c>
      <c r="H2261" t="s">
        <v>1828</v>
      </c>
      <c r="I2261">
        <v>50</v>
      </c>
      <c r="J2261" s="1">
        <v>-50000</v>
      </c>
      <c r="K2261" t="s">
        <v>26</v>
      </c>
      <c r="L2261" s="1">
        <v>-50000</v>
      </c>
      <c r="M2261" t="s">
        <v>26</v>
      </c>
      <c r="Q2261" t="s">
        <v>27</v>
      </c>
      <c r="R2261" t="s">
        <v>1853</v>
      </c>
      <c r="S2261" t="s">
        <v>334</v>
      </c>
      <c r="T2261" t="s">
        <v>1856</v>
      </c>
      <c r="X2261" t="s">
        <v>43</v>
      </c>
      <c r="Y2261">
        <v>1880288</v>
      </c>
      <c r="Z2261">
        <v>20251222</v>
      </c>
    </row>
    <row r="2262" spans="3:26" x14ac:dyDescent="0.25">
      <c r="C2262">
        <v>10000001</v>
      </c>
      <c r="D2262" t="s">
        <v>1828</v>
      </c>
      <c r="F2262">
        <v>12010443</v>
      </c>
      <c r="H2262" t="s">
        <v>1828</v>
      </c>
      <c r="I2262">
        <v>50</v>
      </c>
      <c r="J2262" s="1">
        <v>-50000</v>
      </c>
      <c r="K2262" t="s">
        <v>26</v>
      </c>
      <c r="L2262" s="1">
        <v>-50000</v>
      </c>
      <c r="M2262" t="s">
        <v>26</v>
      </c>
      <c r="Q2262" t="s">
        <v>27</v>
      </c>
      <c r="R2262" t="s">
        <v>1853</v>
      </c>
      <c r="S2262" t="s">
        <v>334</v>
      </c>
      <c r="T2262" t="s">
        <v>1857</v>
      </c>
      <c r="X2262" t="s">
        <v>43</v>
      </c>
      <c r="Y2262">
        <v>1880288</v>
      </c>
      <c r="Z2262">
        <v>20251222</v>
      </c>
    </row>
    <row r="2263" spans="3:26" x14ac:dyDescent="0.25">
      <c r="C2263">
        <v>10000001</v>
      </c>
      <c r="D2263" t="s">
        <v>1828</v>
      </c>
      <c r="F2263">
        <v>12010444</v>
      </c>
      <c r="H2263" t="s">
        <v>1828</v>
      </c>
      <c r="I2263">
        <v>50</v>
      </c>
      <c r="J2263" s="1">
        <v>-50000</v>
      </c>
      <c r="K2263" t="s">
        <v>26</v>
      </c>
      <c r="L2263" s="1">
        <v>-50000</v>
      </c>
      <c r="M2263" t="s">
        <v>26</v>
      </c>
      <c r="Q2263" t="s">
        <v>27</v>
      </c>
      <c r="R2263" t="s">
        <v>1853</v>
      </c>
      <c r="S2263" t="s">
        <v>334</v>
      </c>
      <c r="T2263" t="s">
        <v>1858</v>
      </c>
      <c r="X2263" t="s">
        <v>43</v>
      </c>
      <c r="Y2263">
        <v>1880288</v>
      </c>
      <c r="Z2263">
        <v>20251222</v>
      </c>
    </row>
    <row r="2264" spans="3:26" x14ac:dyDescent="0.25">
      <c r="C2264">
        <v>10000001</v>
      </c>
      <c r="D2264" t="s">
        <v>1828</v>
      </c>
      <c r="F2264">
        <v>12010445</v>
      </c>
      <c r="H2264" t="s">
        <v>1828</v>
      </c>
      <c r="I2264">
        <v>50</v>
      </c>
      <c r="J2264" s="1">
        <v>-50000</v>
      </c>
      <c r="K2264" t="s">
        <v>26</v>
      </c>
      <c r="L2264" s="1">
        <v>-50000</v>
      </c>
      <c r="M2264" t="s">
        <v>26</v>
      </c>
      <c r="Q2264" t="s">
        <v>27</v>
      </c>
      <c r="R2264" t="s">
        <v>1853</v>
      </c>
      <c r="S2264" t="s">
        <v>334</v>
      </c>
      <c r="T2264" t="s">
        <v>1859</v>
      </c>
      <c r="X2264" t="s">
        <v>43</v>
      </c>
      <c r="Y2264">
        <v>1880288</v>
      </c>
      <c r="Z2264">
        <v>20251222</v>
      </c>
    </row>
    <row r="2265" spans="3:26" x14ac:dyDescent="0.25">
      <c r="C2265">
        <v>10000001</v>
      </c>
      <c r="D2265" t="s">
        <v>1828</v>
      </c>
      <c r="F2265">
        <v>12010446</v>
      </c>
      <c r="H2265" t="s">
        <v>1828</v>
      </c>
      <c r="I2265">
        <v>50</v>
      </c>
      <c r="J2265" s="1">
        <v>-50000</v>
      </c>
      <c r="K2265" t="s">
        <v>26</v>
      </c>
      <c r="L2265" s="1">
        <v>-50000</v>
      </c>
      <c r="M2265" t="s">
        <v>26</v>
      </c>
      <c r="Q2265" t="s">
        <v>27</v>
      </c>
      <c r="R2265" t="s">
        <v>1853</v>
      </c>
      <c r="S2265" t="s">
        <v>334</v>
      </c>
      <c r="T2265" t="s">
        <v>1860</v>
      </c>
      <c r="X2265" t="s">
        <v>43</v>
      </c>
      <c r="Y2265">
        <v>1880288</v>
      </c>
      <c r="Z2265">
        <v>20251222</v>
      </c>
    </row>
    <row r="2266" spans="3:26" x14ac:dyDescent="0.25">
      <c r="C2266">
        <v>10000001</v>
      </c>
      <c r="D2266" t="s">
        <v>1828</v>
      </c>
      <c r="F2266">
        <v>12010447</v>
      </c>
      <c r="H2266" t="s">
        <v>1828</v>
      </c>
      <c r="I2266">
        <v>50</v>
      </c>
      <c r="J2266" s="1">
        <v>-50000</v>
      </c>
      <c r="K2266" t="s">
        <v>26</v>
      </c>
      <c r="L2266" s="1">
        <v>-50000</v>
      </c>
      <c r="M2266" t="s">
        <v>26</v>
      </c>
      <c r="Q2266" t="s">
        <v>27</v>
      </c>
      <c r="R2266" t="s">
        <v>1853</v>
      </c>
      <c r="S2266" t="s">
        <v>334</v>
      </c>
      <c r="T2266" t="s">
        <v>1861</v>
      </c>
      <c r="X2266" t="s">
        <v>43</v>
      </c>
      <c r="Y2266">
        <v>1880288</v>
      </c>
      <c r="Z2266">
        <v>20251222</v>
      </c>
    </row>
    <row r="2267" spans="3:26" x14ac:dyDescent="0.25">
      <c r="C2267">
        <v>10000001</v>
      </c>
      <c r="D2267" t="s">
        <v>1828</v>
      </c>
      <c r="F2267">
        <v>12010448</v>
      </c>
      <c r="H2267" t="s">
        <v>1828</v>
      </c>
      <c r="I2267">
        <v>50</v>
      </c>
      <c r="J2267" s="1">
        <v>-50000</v>
      </c>
      <c r="K2267" t="s">
        <v>26</v>
      </c>
      <c r="L2267" s="1">
        <v>-50000</v>
      </c>
      <c r="M2267" t="s">
        <v>26</v>
      </c>
      <c r="Q2267" t="s">
        <v>27</v>
      </c>
      <c r="R2267" t="s">
        <v>1853</v>
      </c>
      <c r="S2267" t="s">
        <v>334</v>
      </c>
      <c r="T2267" t="s">
        <v>1862</v>
      </c>
      <c r="X2267" t="s">
        <v>43</v>
      </c>
      <c r="Y2267">
        <v>1880288</v>
      </c>
      <c r="Z2267">
        <v>20251222</v>
      </c>
    </row>
    <row r="2268" spans="3:26" x14ac:dyDescent="0.25">
      <c r="C2268">
        <v>10000001</v>
      </c>
      <c r="D2268" t="s">
        <v>1828</v>
      </c>
      <c r="F2268">
        <v>12010449</v>
      </c>
      <c r="H2268" t="s">
        <v>1828</v>
      </c>
      <c r="I2268">
        <v>50</v>
      </c>
      <c r="J2268" s="1">
        <v>-50000</v>
      </c>
      <c r="K2268" t="s">
        <v>26</v>
      </c>
      <c r="L2268" s="1">
        <v>-50000</v>
      </c>
      <c r="M2268" t="s">
        <v>26</v>
      </c>
      <c r="Q2268" t="s">
        <v>27</v>
      </c>
      <c r="R2268" t="s">
        <v>1853</v>
      </c>
      <c r="S2268" t="s">
        <v>334</v>
      </c>
      <c r="T2268" t="s">
        <v>1863</v>
      </c>
      <c r="X2268" t="s">
        <v>43</v>
      </c>
      <c r="Y2268">
        <v>1880288</v>
      </c>
      <c r="Z2268">
        <v>20251222</v>
      </c>
    </row>
    <row r="2269" spans="3:26" x14ac:dyDescent="0.25">
      <c r="C2269">
        <v>10000001</v>
      </c>
      <c r="D2269" t="s">
        <v>1828</v>
      </c>
      <c r="F2269">
        <v>12010450</v>
      </c>
      <c r="H2269" t="s">
        <v>1828</v>
      </c>
      <c r="I2269">
        <v>50</v>
      </c>
      <c r="J2269" s="1">
        <v>-50000</v>
      </c>
      <c r="K2269" t="s">
        <v>26</v>
      </c>
      <c r="L2269" s="1">
        <v>-50000</v>
      </c>
      <c r="M2269" t="s">
        <v>26</v>
      </c>
      <c r="Q2269" t="s">
        <v>27</v>
      </c>
      <c r="R2269" t="s">
        <v>1853</v>
      </c>
      <c r="S2269" t="s">
        <v>334</v>
      </c>
      <c r="T2269" t="s">
        <v>1864</v>
      </c>
      <c r="X2269" t="s">
        <v>43</v>
      </c>
      <c r="Y2269">
        <v>1880288</v>
      </c>
      <c r="Z2269">
        <v>20251222</v>
      </c>
    </row>
    <row r="2270" spans="3:26" x14ac:dyDescent="0.25">
      <c r="C2270">
        <v>10000001</v>
      </c>
      <c r="D2270" t="s">
        <v>1828</v>
      </c>
      <c r="F2270">
        <v>12010451</v>
      </c>
      <c r="H2270" t="s">
        <v>1828</v>
      </c>
      <c r="I2270">
        <v>50</v>
      </c>
      <c r="J2270" s="1">
        <v>-50000</v>
      </c>
      <c r="K2270" t="s">
        <v>26</v>
      </c>
      <c r="L2270" s="1">
        <v>-50000</v>
      </c>
      <c r="M2270" t="s">
        <v>26</v>
      </c>
      <c r="Q2270" t="s">
        <v>27</v>
      </c>
      <c r="R2270" t="s">
        <v>1853</v>
      </c>
      <c r="S2270" t="s">
        <v>334</v>
      </c>
      <c r="T2270" t="s">
        <v>1865</v>
      </c>
      <c r="X2270" t="s">
        <v>43</v>
      </c>
      <c r="Y2270">
        <v>1880288</v>
      </c>
      <c r="Z2270">
        <v>20251222</v>
      </c>
    </row>
    <row r="2271" spans="3:26" x14ac:dyDescent="0.25">
      <c r="C2271">
        <v>10000001</v>
      </c>
      <c r="D2271" t="s">
        <v>1828</v>
      </c>
      <c r="F2271">
        <v>12010452</v>
      </c>
      <c r="H2271" t="s">
        <v>1828</v>
      </c>
      <c r="I2271">
        <v>50</v>
      </c>
      <c r="J2271" s="1">
        <v>-50000</v>
      </c>
      <c r="K2271" t="s">
        <v>26</v>
      </c>
      <c r="L2271" s="1">
        <v>-50000</v>
      </c>
      <c r="M2271" t="s">
        <v>26</v>
      </c>
      <c r="Q2271" t="s">
        <v>27</v>
      </c>
      <c r="R2271" t="s">
        <v>1853</v>
      </c>
      <c r="S2271" t="s">
        <v>334</v>
      </c>
      <c r="T2271" t="s">
        <v>1866</v>
      </c>
      <c r="X2271" t="s">
        <v>43</v>
      </c>
      <c r="Y2271">
        <v>1880288</v>
      </c>
      <c r="Z2271">
        <v>20251222</v>
      </c>
    </row>
    <row r="2272" spans="3:26" x14ac:dyDescent="0.25">
      <c r="C2272">
        <v>10000001</v>
      </c>
      <c r="D2272" t="s">
        <v>1828</v>
      </c>
      <c r="F2272">
        <v>12010453</v>
      </c>
      <c r="H2272" t="s">
        <v>1828</v>
      </c>
      <c r="I2272">
        <v>50</v>
      </c>
      <c r="J2272" s="1">
        <v>-400000</v>
      </c>
      <c r="K2272" t="s">
        <v>26</v>
      </c>
      <c r="L2272" s="1">
        <v>-400000</v>
      </c>
      <c r="M2272" t="s">
        <v>26</v>
      </c>
      <c r="Q2272" t="s">
        <v>27</v>
      </c>
      <c r="R2272" t="s">
        <v>1867</v>
      </c>
      <c r="S2272" t="s">
        <v>126</v>
      </c>
      <c r="T2272" t="s">
        <v>1868</v>
      </c>
      <c r="X2272" t="s">
        <v>43</v>
      </c>
      <c r="Y2272">
        <v>1880288</v>
      </c>
      <c r="Z2272">
        <v>20251222</v>
      </c>
    </row>
    <row r="2273" spans="3:26" x14ac:dyDescent="0.25">
      <c r="C2273">
        <v>10000001</v>
      </c>
      <c r="D2273" t="s">
        <v>1828</v>
      </c>
      <c r="F2273">
        <v>12010454</v>
      </c>
      <c r="H2273" t="s">
        <v>1828</v>
      </c>
      <c r="I2273">
        <v>50</v>
      </c>
      <c r="J2273" s="1">
        <v>-420000</v>
      </c>
      <c r="K2273" t="s">
        <v>26</v>
      </c>
      <c r="L2273" s="1">
        <v>-420000</v>
      </c>
      <c r="M2273" t="s">
        <v>26</v>
      </c>
      <c r="Q2273" t="s">
        <v>27</v>
      </c>
      <c r="R2273" t="s">
        <v>1869</v>
      </c>
      <c r="S2273" t="s">
        <v>96</v>
      </c>
      <c r="T2273" t="s">
        <v>1870</v>
      </c>
      <c r="X2273" t="s">
        <v>43</v>
      </c>
      <c r="Y2273">
        <v>1880288</v>
      </c>
      <c r="Z2273">
        <v>20251222</v>
      </c>
    </row>
    <row r="2274" spans="3:26" x14ac:dyDescent="0.25">
      <c r="C2274">
        <v>10000001</v>
      </c>
      <c r="D2274" t="s">
        <v>1828</v>
      </c>
      <c r="F2274">
        <v>12010455</v>
      </c>
      <c r="H2274" t="s">
        <v>1828</v>
      </c>
      <c r="I2274">
        <v>50</v>
      </c>
      <c r="J2274" s="1">
        <v>-580000</v>
      </c>
      <c r="K2274" t="s">
        <v>26</v>
      </c>
      <c r="L2274" s="1">
        <v>-580000</v>
      </c>
      <c r="M2274" t="s">
        <v>26</v>
      </c>
      <c r="Q2274" t="s">
        <v>27</v>
      </c>
      <c r="R2274" t="s">
        <v>1869</v>
      </c>
      <c r="S2274" t="s">
        <v>67</v>
      </c>
      <c r="T2274" t="s">
        <v>98</v>
      </c>
      <c r="X2274" t="s">
        <v>43</v>
      </c>
      <c r="Y2274">
        <v>1880288</v>
      </c>
      <c r="Z2274">
        <v>20251222</v>
      </c>
    </row>
    <row r="2275" spans="3:26" x14ac:dyDescent="0.25">
      <c r="C2275">
        <v>10000001</v>
      </c>
      <c r="D2275" t="s">
        <v>1871</v>
      </c>
      <c r="F2275">
        <v>12010456</v>
      </c>
      <c r="H2275" t="s">
        <v>1871</v>
      </c>
      <c r="I2275">
        <v>50</v>
      </c>
      <c r="J2275" s="1">
        <v>-794848</v>
      </c>
      <c r="K2275" t="s">
        <v>26</v>
      </c>
      <c r="L2275" s="1">
        <v>-794848</v>
      </c>
      <c r="M2275" t="s">
        <v>26</v>
      </c>
      <c r="Q2275" t="s">
        <v>27</v>
      </c>
      <c r="R2275" t="s">
        <v>1872</v>
      </c>
      <c r="S2275" t="s">
        <v>59</v>
      </c>
      <c r="T2275" t="s">
        <v>1873</v>
      </c>
      <c r="X2275" t="s">
        <v>43</v>
      </c>
      <c r="Y2275">
        <v>1880288</v>
      </c>
      <c r="Z2275">
        <v>20251223</v>
      </c>
    </row>
    <row r="2276" spans="3:26" x14ac:dyDescent="0.25">
      <c r="C2276">
        <v>10000001</v>
      </c>
      <c r="D2276" t="s">
        <v>1871</v>
      </c>
      <c r="F2276">
        <v>12010457</v>
      </c>
      <c r="H2276" t="s">
        <v>1871</v>
      </c>
      <c r="I2276">
        <v>50</v>
      </c>
      <c r="J2276" s="1">
        <v>-420000</v>
      </c>
      <c r="K2276" t="s">
        <v>26</v>
      </c>
      <c r="L2276" s="1">
        <v>-420000</v>
      </c>
      <c r="M2276" t="s">
        <v>26</v>
      </c>
      <c r="Q2276" t="s">
        <v>27</v>
      </c>
      <c r="R2276" t="s">
        <v>1874</v>
      </c>
      <c r="S2276" t="s">
        <v>129</v>
      </c>
      <c r="T2276" t="s">
        <v>1875</v>
      </c>
      <c r="X2276" t="s">
        <v>43</v>
      </c>
      <c r="Y2276">
        <v>1880288</v>
      </c>
      <c r="Z2276">
        <v>20251223</v>
      </c>
    </row>
    <row r="2277" spans="3:26" x14ac:dyDescent="0.25">
      <c r="C2277">
        <v>10000001</v>
      </c>
      <c r="D2277" t="s">
        <v>1871</v>
      </c>
      <c r="F2277">
        <v>12010458</v>
      </c>
      <c r="H2277" t="s">
        <v>1871</v>
      </c>
      <c r="I2277">
        <v>50</v>
      </c>
      <c r="J2277" s="1">
        <v>-372700</v>
      </c>
      <c r="K2277" t="s">
        <v>26</v>
      </c>
      <c r="L2277" s="1">
        <v>-372700</v>
      </c>
      <c r="M2277" t="s">
        <v>26</v>
      </c>
      <c r="Q2277" t="s">
        <v>27</v>
      </c>
      <c r="R2277" t="s">
        <v>1876</v>
      </c>
      <c r="S2277" t="s">
        <v>59</v>
      </c>
      <c r="T2277" t="s">
        <v>1877</v>
      </c>
      <c r="X2277" t="s">
        <v>43</v>
      </c>
      <c r="Y2277">
        <v>1880288</v>
      </c>
      <c r="Z2277">
        <v>20251223</v>
      </c>
    </row>
    <row r="2278" spans="3:26" x14ac:dyDescent="0.25">
      <c r="C2278">
        <v>10000001</v>
      </c>
      <c r="D2278" t="s">
        <v>1871</v>
      </c>
      <c r="F2278">
        <v>12010459</v>
      </c>
      <c r="H2278" t="s">
        <v>1871</v>
      </c>
      <c r="I2278">
        <v>50</v>
      </c>
      <c r="J2278" s="1">
        <v>-662900</v>
      </c>
      <c r="K2278" t="s">
        <v>26</v>
      </c>
      <c r="L2278" s="1">
        <v>-662900</v>
      </c>
      <c r="M2278" t="s">
        <v>26</v>
      </c>
      <c r="Q2278" t="s">
        <v>27</v>
      </c>
      <c r="R2278" t="s">
        <v>1878</v>
      </c>
      <c r="S2278" t="s">
        <v>59</v>
      </c>
      <c r="T2278" t="s">
        <v>1879</v>
      </c>
      <c r="X2278" t="s">
        <v>43</v>
      </c>
      <c r="Y2278">
        <v>1880288</v>
      </c>
      <c r="Z2278">
        <v>20251223</v>
      </c>
    </row>
    <row r="2279" spans="3:26" x14ac:dyDescent="0.25">
      <c r="C2279">
        <v>10000001</v>
      </c>
      <c r="D2279" t="s">
        <v>1871</v>
      </c>
      <c r="F2279">
        <v>12010460</v>
      </c>
      <c r="H2279" t="s">
        <v>1871</v>
      </c>
      <c r="I2279">
        <v>50</v>
      </c>
      <c r="J2279" s="1">
        <v>-895660</v>
      </c>
      <c r="K2279" t="s">
        <v>26</v>
      </c>
      <c r="L2279" s="1">
        <v>-895660</v>
      </c>
      <c r="M2279" t="s">
        <v>26</v>
      </c>
      <c r="Q2279" t="s">
        <v>27</v>
      </c>
      <c r="R2279" t="s">
        <v>1880</v>
      </c>
      <c r="S2279" t="s">
        <v>59</v>
      </c>
      <c r="T2279" t="s">
        <v>1881</v>
      </c>
      <c r="X2279" t="s">
        <v>43</v>
      </c>
      <c r="Y2279">
        <v>1880288</v>
      </c>
      <c r="Z2279">
        <v>20251223</v>
      </c>
    </row>
    <row r="2280" spans="3:26" x14ac:dyDescent="0.25">
      <c r="C2280">
        <v>10000001</v>
      </c>
      <c r="D2280" t="s">
        <v>1871</v>
      </c>
      <c r="F2280">
        <v>12010461</v>
      </c>
      <c r="H2280" t="s">
        <v>1871</v>
      </c>
      <c r="I2280">
        <v>50</v>
      </c>
      <c r="J2280" s="1">
        <v>-880200</v>
      </c>
      <c r="K2280" t="s">
        <v>26</v>
      </c>
      <c r="L2280" s="1">
        <v>-880200</v>
      </c>
      <c r="M2280" t="s">
        <v>26</v>
      </c>
      <c r="Q2280" t="s">
        <v>27</v>
      </c>
      <c r="R2280" t="s">
        <v>1882</v>
      </c>
      <c r="S2280" t="s">
        <v>59</v>
      </c>
      <c r="T2280" t="s">
        <v>1873</v>
      </c>
      <c r="X2280" t="s">
        <v>43</v>
      </c>
      <c r="Y2280">
        <v>1880288</v>
      </c>
      <c r="Z2280">
        <v>20251223</v>
      </c>
    </row>
    <row r="2281" spans="3:26" x14ac:dyDescent="0.25">
      <c r="C2281">
        <v>10000001</v>
      </c>
      <c r="D2281" t="s">
        <v>1871</v>
      </c>
      <c r="F2281">
        <v>12010462</v>
      </c>
      <c r="H2281" t="s">
        <v>1871</v>
      </c>
      <c r="I2281">
        <v>50</v>
      </c>
      <c r="J2281" s="1">
        <v>-610000</v>
      </c>
      <c r="K2281" t="s">
        <v>26</v>
      </c>
      <c r="L2281" s="1">
        <v>-610000</v>
      </c>
      <c r="M2281" t="s">
        <v>26</v>
      </c>
      <c r="Q2281" t="s">
        <v>27</v>
      </c>
      <c r="R2281" t="s">
        <v>1883</v>
      </c>
      <c r="S2281" t="s">
        <v>59</v>
      </c>
      <c r="T2281" t="s">
        <v>1884</v>
      </c>
      <c r="X2281" t="s">
        <v>43</v>
      </c>
      <c r="Y2281">
        <v>1880288</v>
      </c>
      <c r="Z2281">
        <v>20251223</v>
      </c>
    </row>
    <row r="2282" spans="3:26" x14ac:dyDescent="0.25">
      <c r="C2282">
        <v>10000001</v>
      </c>
      <c r="D2282" t="s">
        <v>1871</v>
      </c>
      <c r="F2282">
        <v>12010463</v>
      </c>
      <c r="H2282" t="s">
        <v>1871</v>
      </c>
      <c r="I2282">
        <v>50</v>
      </c>
      <c r="J2282" s="1">
        <v>-137000</v>
      </c>
      <c r="K2282" t="s">
        <v>26</v>
      </c>
      <c r="L2282" s="1">
        <v>-137000</v>
      </c>
      <c r="M2282" t="s">
        <v>26</v>
      </c>
      <c r="Q2282" t="s">
        <v>27</v>
      </c>
      <c r="R2282" t="s">
        <v>1883</v>
      </c>
      <c r="S2282" t="s">
        <v>67</v>
      </c>
      <c r="T2282" t="s">
        <v>1885</v>
      </c>
      <c r="X2282" t="s">
        <v>43</v>
      </c>
      <c r="Y2282">
        <v>1880288</v>
      </c>
      <c r="Z2282">
        <v>20251223</v>
      </c>
    </row>
    <row r="2283" spans="3:26" x14ac:dyDescent="0.25">
      <c r="C2283">
        <v>10000001</v>
      </c>
      <c r="D2283" t="s">
        <v>1871</v>
      </c>
      <c r="F2283">
        <v>12010464</v>
      </c>
      <c r="H2283" t="s">
        <v>1871</v>
      </c>
      <c r="I2283">
        <v>50</v>
      </c>
      <c r="J2283" s="1">
        <v>-113000</v>
      </c>
      <c r="K2283" t="s">
        <v>26</v>
      </c>
      <c r="L2283" s="1">
        <v>-113000</v>
      </c>
      <c r="M2283" t="s">
        <v>26</v>
      </c>
      <c r="Q2283" t="s">
        <v>27</v>
      </c>
      <c r="R2283" t="s">
        <v>1883</v>
      </c>
      <c r="S2283" t="s">
        <v>59</v>
      </c>
      <c r="T2283" t="s">
        <v>1886</v>
      </c>
      <c r="X2283" t="s">
        <v>43</v>
      </c>
      <c r="Y2283">
        <v>1880288</v>
      </c>
      <c r="Z2283">
        <v>20251223</v>
      </c>
    </row>
    <row r="2284" spans="3:26" x14ac:dyDescent="0.25">
      <c r="C2284">
        <v>10000001</v>
      </c>
      <c r="D2284" t="s">
        <v>1871</v>
      </c>
      <c r="F2284">
        <v>12010465</v>
      </c>
      <c r="H2284" t="s">
        <v>1871</v>
      </c>
      <c r="I2284">
        <v>50</v>
      </c>
      <c r="J2284" s="1">
        <v>-79460</v>
      </c>
      <c r="K2284" t="s">
        <v>26</v>
      </c>
      <c r="L2284" s="1">
        <v>-79460</v>
      </c>
      <c r="M2284" t="s">
        <v>26</v>
      </c>
      <c r="Q2284" t="s">
        <v>27</v>
      </c>
      <c r="R2284" t="s">
        <v>1883</v>
      </c>
      <c r="S2284" t="s">
        <v>518</v>
      </c>
      <c r="T2284" t="s">
        <v>1887</v>
      </c>
      <c r="X2284" t="s">
        <v>43</v>
      </c>
      <c r="Y2284">
        <v>1880288</v>
      </c>
      <c r="Z2284">
        <v>20251223</v>
      </c>
    </row>
    <row r="2285" spans="3:26" x14ac:dyDescent="0.25">
      <c r="C2285">
        <v>10000001</v>
      </c>
      <c r="D2285" t="s">
        <v>1871</v>
      </c>
      <c r="F2285">
        <v>12010466</v>
      </c>
      <c r="H2285" t="s">
        <v>1871</v>
      </c>
      <c r="I2285">
        <v>50</v>
      </c>
      <c r="J2285" s="1">
        <v>-600000</v>
      </c>
      <c r="K2285" t="s">
        <v>26</v>
      </c>
      <c r="L2285" s="1">
        <v>-600000</v>
      </c>
      <c r="M2285" t="s">
        <v>26</v>
      </c>
      <c r="Q2285" t="s">
        <v>27</v>
      </c>
      <c r="R2285" t="s">
        <v>1888</v>
      </c>
      <c r="S2285" t="s">
        <v>96</v>
      </c>
      <c r="T2285" t="s">
        <v>1889</v>
      </c>
      <c r="X2285" t="s">
        <v>43</v>
      </c>
      <c r="Y2285">
        <v>1880288</v>
      </c>
      <c r="Z2285">
        <v>20251223</v>
      </c>
    </row>
    <row r="2286" spans="3:26" x14ac:dyDescent="0.25">
      <c r="C2286">
        <v>10000001</v>
      </c>
      <c r="D2286" t="s">
        <v>1871</v>
      </c>
      <c r="F2286">
        <v>12010467</v>
      </c>
      <c r="H2286" t="s">
        <v>1871</v>
      </c>
      <c r="I2286">
        <v>50</v>
      </c>
      <c r="J2286" s="1">
        <v>-399000</v>
      </c>
      <c r="K2286" t="s">
        <v>26</v>
      </c>
      <c r="L2286" s="1">
        <v>-399000</v>
      </c>
      <c r="M2286" t="s">
        <v>26</v>
      </c>
      <c r="Q2286" t="s">
        <v>27</v>
      </c>
      <c r="R2286" t="s">
        <v>1888</v>
      </c>
      <c r="S2286" t="s">
        <v>67</v>
      </c>
      <c r="T2286" t="s">
        <v>98</v>
      </c>
      <c r="X2286" t="s">
        <v>43</v>
      </c>
      <c r="Y2286">
        <v>1880288</v>
      </c>
      <c r="Z2286">
        <v>20251223</v>
      </c>
    </row>
    <row r="2287" spans="3:26" x14ac:dyDescent="0.25">
      <c r="C2287">
        <v>10000001</v>
      </c>
      <c r="D2287" t="s">
        <v>1871</v>
      </c>
      <c r="F2287">
        <v>12010468</v>
      </c>
      <c r="H2287" t="s">
        <v>1871</v>
      </c>
      <c r="I2287">
        <v>50</v>
      </c>
      <c r="J2287" s="1">
        <v>-960000</v>
      </c>
      <c r="K2287" t="s">
        <v>26</v>
      </c>
      <c r="L2287" s="1">
        <v>-960000</v>
      </c>
      <c r="M2287" t="s">
        <v>26</v>
      </c>
      <c r="Q2287" t="s">
        <v>27</v>
      </c>
      <c r="R2287" t="s">
        <v>1890</v>
      </c>
      <c r="S2287" t="s">
        <v>126</v>
      </c>
      <c r="T2287" t="s">
        <v>1891</v>
      </c>
      <c r="X2287" t="s">
        <v>43</v>
      </c>
      <c r="Y2287">
        <v>1880288</v>
      </c>
      <c r="Z2287">
        <v>20251223</v>
      </c>
    </row>
    <row r="2288" spans="3:26" x14ac:dyDescent="0.25">
      <c r="C2288">
        <v>10000001</v>
      </c>
      <c r="D2288" t="s">
        <v>1871</v>
      </c>
      <c r="F2288">
        <v>12010469</v>
      </c>
      <c r="H2288" t="s">
        <v>1871</v>
      </c>
      <c r="I2288">
        <v>50</v>
      </c>
      <c r="J2288" s="1">
        <v>-256380</v>
      </c>
      <c r="K2288" t="s">
        <v>26</v>
      </c>
      <c r="L2288" s="1">
        <v>-256380</v>
      </c>
      <c r="M2288" t="s">
        <v>26</v>
      </c>
      <c r="Q2288" t="s">
        <v>27</v>
      </c>
      <c r="R2288" t="s">
        <v>1892</v>
      </c>
      <c r="S2288" t="s">
        <v>57</v>
      </c>
      <c r="T2288" t="s">
        <v>1893</v>
      </c>
      <c r="X2288" t="s">
        <v>43</v>
      </c>
      <c r="Y2288">
        <v>1880288</v>
      </c>
      <c r="Z2288">
        <v>20251223</v>
      </c>
    </row>
    <row r="2289" spans="3:26" x14ac:dyDescent="0.25">
      <c r="C2289">
        <v>10000001</v>
      </c>
      <c r="D2289" t="s">
        <v>1871</v>
      </c>
      <c r="F2289">
        <v>12010470</v>
      </c>
      <c r="H2289" t="s">
        <v>1871</v>
      </c>
      <c r="I2289">
        <v>50</v>
      </c>
      <c r="J2289" s="1">
        <v>-600000</v>
      </c>
      <c r="K2289" t="s">
        <v>26</v>
      </c>
      <c r="L2289" s="1">
        <v>-600000</v>
      </c>
      <c r="M2289" t="s">
        <v>26</v>
      </c>
      <c r="Q2289" t="s">
        <v>27</v>
      </c>
      <c r="R2289" t="s">
        <v>1894</v>
      </c>
      <c r="S2289" t="s">
        <v>41</v>
      </c>
      <c r="T2289" t="s">
        <v>1895</v>
      </c>
      <c r="X2289" t="s">
        <v>43</v>
      </c>
      <c r="Y2289">
        <v>1880288</v>
      </c>
      <c r="Z2289">
        <v>20251223</v>
      </c>
    </row>
    <row r="2290" spans="3:26" x14ac:dyDescent="0.25">
      <c r="C2290">
        <v>10000001</v>
      </c>
      <c r="D2290" t="s">
        <v>1871</v>
      </c>
      <c r="F2290">
        <v>12010471</v>
      </c>
      <c r="H2290" t="s">
        <v>1871</v>
      </c>
      <c r="I2290">
        <v>50</v>
      </c>
      <c r="J2290" s="1">
        <v>-971000</v>
      </c>
      <c r="K2290" t="s">
        <v>26</v>
      </c>
      <c r="L2290" s="1">
        <v>-971000</v>
      </c>
      <c r="M2290" t="s">
        <v>26</v>
      </c>
      <c r="Q2290" t="s">
        <v>27</v>
      </c>
      <c r="R2290" t="s">
        <v>1896</v>
      </c>
      <c r="S2290" t="s">
        <v>126</v>
      </c>
      <c r="T2290" t="s">
        <v>1897</v>
      </c>
      <c r="X2290" t="s">
        <v>43</v>
      </c>
      <c r="Y2290">
        <v>1880288</v>
      </c>
      <c r="Z2290">
        <v>20251223</v>
      </c>
    </row>
    <row r="2291" spans="3:26" x14ac:dyDescent="0.25">
      <c r="C2291">
        <v>10000001</v>
      </c>
      <c r="D2291" t="s">
        <v>1871</v>
      </c>
      <c r="F2291">
        <v>12010472</v>
      </c>
      <c r="H2291" t="s">
        <v>1871</v>
      </c>
      <c r="I2291">
        <v>50</v>
      </c>
      <c r="J2291" s="1">
        <v>-610800</v>
      </c>
      <c r="K2291" t="s">
        <v>26</v>
      </c>
      <c r="L2291" s="1">
        <v>-610800</v>
      </c>
      <c r="M2291" t="s">
        <v>26</v>
      </c>
      <c r="Q2291" t="s">
        <v>27</v>
      </c>
      <c r="R2291" t="s">
        <v>1898</v>
      </c>
      <c r="S2291" t="s">
        <v>57</v>
      </c>
      <c r="T2291" t="s">
        <v>1899</v>
      </c>
      <c r="X2291" t="s">
        <v>43</v>
      </c>
      <c r="Y2291">
        <v>1880288</v>
      </c>
      <c r="Z2291">
        <v>20251223</v>
      </c>
    </row>
    <row r="2292" spans="3:26" x14ac:dyDescent="0.25">
      <c r="C2292">
        <v>10000001</v>
      </c>
      <c r="D2292" t="s">
        <v>1871</v>
      </c>
      <c r="F2292">
        <v>12010473</v>
      </c>
      <c r="H2292" t="s">
        <v>1871</v>
      </c>
      <c r="I2292">
        <v>50</v>
      </c>
      <c r="J2292" s="1">
        <v>-333000</v>
      </c>
      <c r="K2292" t="s">
        <v>26</v>
      </c>
      <c r="L2292" s="1">
        <v>-333000</v>
      </c>
      <c r="M2292" t="s">
        <v>26</v>
      </c>
      <c r="Q2292" t="s">
        <v>27</v>
      </c>
      <c r="R2292" t="s">
        <v>1898</v>
      </c>
      <c r="S2292" t="s">
        <v>375</v>
      </c>
      <c r="T2292" t="s">
        <v>1900</v>
      </c>
      <c r="X2292" t="s">
        <v>43</v>
      </c>
      <c r="Y2292">
        <v>1880288</v>
      </c>
      <c r="Z2292">
        <v>20251223</v>
      </c>
    </row>
    <row r="2293" spans="3:26" x14ac:dyDescent="0.25">
      <c r="C2293">
        <v>10000001</v>
      </c>
      <c r="D2293" t="s">
        <v>1871</v>
      </c>
      <c r="F2293">
        <v>12010474</v>
      </c>
      <c r="H2293" t="s">
        <v>1871</v>
      </c>
      <c r="I2293">
        <v>50</v>
      </c>
      <c r="J2293" s="1">
        <v>-974025</v>
      </c>
      <c r="K2293" t="s">
        <v>26</v>
      </c>
      <c r="L2293" s="1">
        <v>-974025</v>
      </c>
      <c r="M2293" t="s">
        <v>26</v>
      </c>
      <c r="Q2293" t="s">
        <v>27</v>
      </c>
      <c r="R2293" t="s">
        <v>1901</v>
      </c>
      <c r="S2293" t="s">
        <v>375</v>
      </c>
      <c r="T2293" t="s">
        <v>1902</v>
      </c>
      <c r="X2293" t="s">
        <v>43</v>
      </c>
      <c r="Y2293">
        <v>1880288</v>
      </c>
      <c r="Z2293">
        <v>20251223</v>
      </c>
    </row>
    <row r="2294" spans="3:26" x14ac:dyDescent="0.25">
      <c r="C2294">
        <v>10000001</v>
      </c>
      <c r="D2294" t="s">
        <v>1871</v>
      </c>
      <c r="F2294">
        <v>12010707</v>
      </c>
      <c r="H2294" t="s">
        <v>1871</v>
      </c>
      <c r="I2294">
        <v>40</v>
      </c>
      <c r="J2294" s="1">
        <v>33403043</v>
      </c>
      <c r="K2294" t="s">
        <v>26</v>
      </c>
      <c r="L2294" s="1">
        <v>33403043</v>
      </c>
      <c r="M2294" t="s">
        <v>26</v>
      </c>
      <c r="Q2294" t="s">
        <v>27</v>
      </c>
      <c r="S2294" t="s">
        <v>249</v>
      </c>
      <c r="T2294" t="s">
        <v>1903</v>
      </c>
      <c r="X2294" t="s">
        <v>43</v>
      </c>
      <c r="Y2294">
        <v>1880288</v>
      </c>
      <c r="Z2294">
        <v>20251223</v>
      </c>
    </row>
    <row r="2295" spans="3:26" x14ac:dyDescent="0.25">
      <c r="C2295">
        <v>10000001</v>
      </c>
      <c r="D2295" t="s">
        <v>25</v>
      </c>
      <c r="F2295">
        <v>1880288</v>
      </c>
      <c r="H2295" t="s">
        <v>25</v>
      </c>
      <c r="I2295">
        <v>40</v>
      </c>
      <c r="J2295" s="1">
        <v>155500</v>
      </c>
      <c r="K2295" t="s">
        <v>26</v>
      </c>
      <c r="L2295" s="1">
        <v>155500</v>
      </c>
      <c r="M2295" t="s">
        <v>26</v>
      </c>
      <c r="Q2295" t="s">
        <v>27</v>
      </c>
      <c r="T2295" t="s">
        <v>1789</v>
      </c>
      <c r="X2295" t="s">
        <v>30</v>
      </c>
      <c r="Y2295">
        <v>1880288</v>
      </c>
      <c r="Z2295">
        <v>20251231</v>
      </c>
    </row>
    <row r="2296" spans="3:26" x14ac:dyDescent="0.25">
      <c r="C2296">
        <v>10000001</v>
      </c>
      <c r="D2296" t="s">
        <v>25</v>
      </c>
      <c r="F2296">
        <v>1880288</v>
      </c>
      <c r="H2296" t="s">
        <v>25</v>
      </c>
      <c r="I2296">
        <v>40</v>
      </c>
      <c r="J2296" s="1">
        <v>183500</v>
      </c>
      <c r="K2296" t="s">
        <v>26</v>
      </c>
      <c r="L2296" s="1">
        <v>183500</v>
      </c>
      <c r="M2296" t="s">
        <v>26</v>
      </c>
      <c r="Q2296" t="s">
        <v>27</v>
      </c>
      <c r="T2296" t="s">
        <v>1585</v>
      </c>
      <c r="X2296" t="s">
        <v>30</v>
      </c>
      <c r="Y2296">
        <v>1880288</v>
      </c>
      <c r="Z2296">
        <v>20251231</v>
      </c>
    </row>
    <row r="2297" spans="3:26" x14ac:dyDescent="0.25">
      <c r="C2297">
        <v>10000001</v>
      </c>
      <c r="D2297" t="s">
        <v>25</v>
      </c>
      <c r="F2297">
        <v>1880288</v>
      </c>
      <c r="H2297" t="s">
        <v>25</v>
      </c>
      <c r="I2297">
        <v>40</v>
      </c>
      <c r="J2297" s="1">
        <v>227500</v>
      </c>
      <c r="K2297" t="s">
        <v>26</v>
      </c>
      <c r="L2297" s="1">
        <v>227500</v>
      </c>
      <c r="M2297" t="s">
        <v>26</v>
      </c>
      <c r="Q2297" t="s">
        <v>27</v>
      </c>
      <c r="T2297" t="s">
        <v>303</v>
      </c>
      <c r="X2297" t="s">
        <v>30</v>
      </c>
      <c r="Y2297">
        <v>1880288</v>
      </c>
      <c r="Z2297">
        <v>20251231</v>
      </c>
    </row>
    <row r="2298" spans="3:26" x14ac:dyDescent="0.25">
      <c r="C2298">
        <v>10000001</v>
      </c>
      <c r="D2298" t="s">
        <v>25</v>
      </c>
      <c r="F2298">
        <v>1880288</v>
      </c>
      <c r="H2298" t="s">
        <v>25</v>
      </c>
      <c r="I2298">
        <v>40</v>
      </c>
      <c r="J2298" s="1">
        <v>200000</v>
      </c>
      <c r="K2298" t="s">
        <v>26</v>
      </c>
      <c r="L2298" s="1">
        <v>200000</v>
      </c>
      <c r="M2298" t="s">
        <v>26</v>
      </c>
      <c r="Q2298" t="s">
        <v>27</v>
      </c>
      <c r="T2298" t="s">
        <v>1710</v>
      </c>
      <c r="X2298" t="s">
        <v>30</v>
      </c>
      <c r="Y2298">
        <v>1880288</v>
      </c>
      <c r="Z2298">
        <v>20251231</v>
      </c>
    </row>
    <row r="2299" spans="3:26" x14ac:dyDescent="0.25">
      <c r="C2299">
        <v>10000001</v>
      </c>
      <c r="D2299" t="s">
        <v>25</v>
      </c>
      <c r="F2299">
        <v>1880288</v>
      </c>
      <c r="H2299" t="s">
        <v>25</v>
      </c>
      <c r="I2299">
        <v>40</v>
      </c>
      <c r="J2299" s="1">
        <v>150000</v>
      </c>
      <c r="K2299" t="s">
        <v>26</v>
      </c>
      <c r="L2299" s="1">
        <v>150000</v>
      </c>
      <c r="M2299" t="s">
        <v>26</v>
      </c>
      <c r="Q2299" t="s">
        <v>27</v>
      </c>
      <c r="T2299" t="s">
        <v>1711</v>
      </c>
      <c r="X2299" t="s">
        <v>30</v>
      </c>
      <c r="Y2299">
        <v>1880288</v>
      </c>
      <c r="Z2299">
        <v>20251231</v>
      </c>
    </row>
    <row r="2300" spans="3:26" x14ac:dyDescent="0.25">
      <c r="C2300">
        <v>10000001</v>
      </c>
      <c r="D2300" t="s">
        <v>25</v>
      </c>
      <c r="F2300">
        <v>1880288</v>
      </c>
      <c r="H2300" t="s">
        <v>25</v>
      </c>
      <c r="I2300">
        <v>40</v>
      </c>
      <c r="J2300" s="1">
        <v>150000</v>
      </c>
      <c r="K2300" t="s">
        <v>26</v>
      </c>
      <c r="L2300" s="1">
        <v>150000</v>
      </c>
      <c r="M2300" t="s">
        <v>26</v>
      </c>
      <c r="Q2300" t="s">
        <v>27</v>
      </c>
      <c r="T2300" t="s">
        <v>1712</v>
      </c>
      <c r="X2300" t="s">
        <v>30</v>
      </c>
      <c r="Y2300">
        <v>1880288</v>
      </c>
      <c r="Z2300">
        <v>20251231</v>
      </c>
    </row>
    <row r="2301" spans="3:26" x14ac:dyDescent="0.25">
      <c r="C2301">
        <v>10000001</v>
      </c>
      <c r="D2301" t="s">
        <v>25</v>
      </c>
      <c r="F2301">
        <v>1880288</v>
      </c>
      <c r="H2301" t="s">
        <v>25</v>
      </c>
      <c r="I2301">
        <v>40</v>
      </c>
      <c r="J2301" s="1">
        <v>200000</v>
      </c>
      <c r="K2301" t="s">
        <v>26</v>
      </c>
      <c r="L2301" s="1">
        <v>200000</v>
      </c>
      <c r="M2301" t="s">
        <v>26</v>
      </c>
      <c r="Q2301" t="s">
        <v>27</v>
      </c>
      <c r="T2301" t="s">
        <v>1770</v>
      </c>
      <c r="X2301" t="s">
        <v>30</v>
      </c>
      <c r="Y2301">
        <v>1880288</v>
      </c>
      <c r="Z2301">
        <v>20251231</v>
      </c>
    </row>
    <row r="2302" spans="3:26" x14ac:dyDescent="0.25">
      <c r="C2302">
        <v>10000001</v>
      </c>
      <c r="D2302" t="s">
        <v>25</v>
      </c>
      <c r="F2302">
        <v>1880288</v>
      </c>
      <c r="H2302" t="s">
        <v>25</v>
      </c>
      <c r="I2302">
        <v>40</v>
      </c>
      <c r="J2302" s="1">
        <v>200000</v>
      </c>
      <c r="K2302" t="s">
        <v>26</v>
      </c>
      <c r="L2302" s="1">
        <v>200000</v>
      </c>
      <c r="M2302" t="s">
        <v>26</v>
      </c>
      <c r="Q2302" t="s">
        <v>27</v>
      </c>
      <c r="T2302" t="s">
        <v>1850</v>
      </c>
      <c r="X2302" t="s">
        <v>30</v>
      </c>
      <c r="Y2302">
        <v>1880288</v>
      </c>
      <c r="Z2302">
        <v>20251231</v>
      </c>
    </row>
    <row r="2303" spans="3:26" x14ac:dyDescent="0.25">
      <c r="C2303">
        <v>10000001</v>
      </c>
      <c r="D2303" t="s">
        <v>25</v>
      </c>
      <c r="F2303">
        <v>1880288</v>
      </c>
      <c r="H2303" t="s">
        <v>25</v>
      </c>
      <c r="I2303">
        <v>40</v>
      </c>
      <c r="J2303" s="1">
        <v>200000</v>
      </c>
      <c r="K2303" t="s">
        <v>26</v>
      </c>
      <c r="L2303" s="1">
        <v>200000</v>
      </c>
      <c r="M2303" t="s">
        <v>26</v>
      </c>
      <c r="Q2303" t="s">
        <v>27</v>
      </c>
      <c r="T2303" t="s">
        <v>1849</v>
      </c>
      <c r="X2303" t="s">
        <v>30</v>
      </c>
      <c r="Y2303">
        <v>1880288</v>
      </c>
      <c r="Z2303">
        <v>20251231</v>
      </c>
    </row>
    <row r="2304" spans="3:26" x14ac:dyDescent="0.25">
      <c r="C2304">
        <v>10000001</v>
      </c>
      <c r="D2304" t="s">
        <v>25</v>
      </c>
      <c r="F2304">
        <v>1880288</v>
      </c>
      <c r="H2304" t="s">
        <v>25</v>
      </c>
      <c r="I2304">
        <v>40</v>
      </c>
      <c r="J2304" s="1">
        <v>851896</v>
      </c>
      <c r="K2304" t="s">
        <v>26</v>
      </c>
      <c r="L2304" s="1">
        <v>851896</v>
      </c>
      <c r="M2304" t="s">
        <v>26</v>
      </c>
      <c r="Q2304" t="s">
        <v>27</v>
      </c>
      <c r="T2304" t="s">
        <v>1784</v>
      </c>
      <c r="X2304" t="s">
        <v>30</v>
      </c>
      <c r="Y2304">
        <v>1880288</v>
      </c>
      <c r="Z2304">
        <v>20251231</v>
      </c>
    </row>
    <row r="2305" spans="3:26" x14ac:dyDescent="0.25">
      <c r="C2305">
        <v>10000001</v>
      </c>
      <c r="D2305" t="s">
        <v>25</v>
      </c>
      <c r="F2305">
        <v>1880288</v>
      </c>
      <c r="H2305" t="s">
        <v>25</v>
      </c>
      <c r="I2305">
        <v>40</v>
      </c>
      <c r="J2305" s="1">
        <v>974025</v>
      </c>
      <c r="K2305" t="s">
        <v>26</v>
      </c>
      <c r="L2305" s="1">
        <v>974025</v>
      </c>
      <c r="M2305" t="s">
        <v>26</v>
      </c>
      <c r="Q2305" t="s">
        <v>27</v>
      </c>
      <c r="T2305" t="s">
        <v>1902</v>
      </c>
      <c r="X2305" t="s">
        <v>30</v>
      </c>
      <c r="Y2305">
        <v>1880288</v>
      </c>
      <c r="Z2305">
        <v>20251231</v>
      </c>
    </row>
    <row r="2306" spans="3:26" x14ac:dyDescent="0.25">
      <c r="C2306">
        <v>10000001</v>
      </c>
      <c r="D2306" t="s">
        <v>25</v>
      </c>
      <c r="F2306">
        <v>1880288</v>
      </c>
      <c r="H2306" t="s">
        <v>25</v>
      </c>
      <c r="I2306">
        <v>40</v>
      </c>
      <c r="J2306" s="1">
        <v>28000</v>
      </c>
      <c r="K2306" t="s">
        <v>26</v>
      </c>
      <c r="L2306" s="1">
        <v>28000</v>
      </c>
      <c r="M2306" t="s">
        <v>26</v>
      </c>
      <c r="Q2306" t="s">
        <v>27</v>
      </c>
      <c r="T2306" t="s">
        <v>1715</v>
      </c>
      <c r="X2306" t="s">
        <v>30</v>
      </c>
      <c r="Y2306">
        <v>1880288</v>
      </c>
      <c r="Z2306">
        <v>20251231</v>
      </c>
    </row>
    <row r="2307" spans="3:26" x14ac:dyDescent="0.25">
      <c r="C2307">
        <v>10000001</v>
      </c>
      <c r="D2307" t="s">
        <v>25</v>
      </c>
      <c r="F2307">
        <v>1880288</v>
      </c>
      <c r="H2307" t="s">
        <v>25</v>
      </c>
      <c r="I2307">
        <v>40</v>
      </c>
      <c r="J2307" s="1">
        <v>50000</v>
      </c>
      <c r="K2307" t="s">
        <v>26</v>
      </c>
      <c r="L2307" s="1">
        <v>50000</v>
      </c>
      <c r="M2307" t="s">
        <v>26</v>
      </c>
      <c r="Q2307" t="s">
        <v>27</v>
      </c>
      <c r="T2307" t="s">
        <v>1683</v>
      </c>
      <c r="X2307" t="s">
        <v>30</v>
      </c>
      <c r="Y2307">
        <v>1880288</v>
      </c>
      <c r="Z2307">
        <v>20251231</v>
      </c>
    </row>
    <row r="2308" spans="3:26" x14ac:dyDescent="0.25">
      <c r="C2308">
        <v>10000001</v>
      </c>
      <c r="D2308" t="s">
        <v>25</v>
      </c>
      <c r="F2308">
        <v>1880288</v>
      </c>
      <c r="H2308" t="s">
        <v>25</v>
      </c>
      <c r="I2308">
        <v>40</v>
      </c>
      <c r="J2308" s="1">
        <v>50000</v>
      </c>
      <c r="K2308" t="s">
        <v>26</v>
      </c>
      <c r="L2308" s="1">
        <v>50000</v>
      </c>
      <c r="M2308" t="s">
        <v>26</v>
      </c>
      <c r="Q2308" t="s">
        <v>27</v>
      </c>
      <c r="T2308" t="s">
        <v>1690</v>
      </c>
      <c r="X2308" t="s">
        <v>30</v>
      </c>
      <c r="Y2308">
        <v>1880288</v>
      </c>
      <c r="Z2308">
        <v>20251231</v>
      </c>
    </row>
    <row r="2309" spans="3:26" x14ac:dyDescent="0.25">
      <c r="C2309">
        <v>10000001</v>
      </c>
      <c r="D2309" t="s">
        <v>25</v>
      </c>
      <c r="F2309">
        <v>1880288</v>
      </c>
      <c r="H2309" t="s">
        <v>25</v>
      </c>
      <c r="I2309">
        <v>40</v>
      </c>
      <c r="J2309" s="1">
        <v>50000</v>
      </c>
      <c r="K2309" t="s">
        <v>26</v>
      </c>
      <c r="L2309" s="1">
        <v>50000</v>
      </c>
      <c r="M2309" t="s">
        <v>26</v>
      </c>
      <c r="Q2309" t="s">
        <v>27</v>
      </c>
      <c r="T2309" t="s">
        <v>1769</v>
      </c>
      <c r="X2309" t="s">
        <v>30</v>
      </c>
      <c r="Y2309">
        <v>1880288</v>
      </c>
      <c r="Z2309">
        <v>20251231</v>
      </c>
    </row>
    <row r="2310" spans="3:26" x14ac:dyDescent="0.25">
      <c r="C2310">
        <v>10000001</v>
      </c>
      <c r="D2310" t="s">
        <v>25</v>
      </c>
      <c r="F2310">
        <v>1880288</v>
      </c>
      <c r="H2310" t="s">
        <v>25</v>
      </c>
      <c r="I2310">
        <v>40</v>
      </c>
      <c r="J2310" s="1">
        <v>50000</v>
      </c>
      <c r="K2310" t="s">
        <v>26</v>
      </c>
      <c r="L2310" s="1">
        <v>50000</v>
      </c>
      <c r="M2310" t="s">
        <v>26</v>
      </c>
      <c r="Q2310" t="s">
        <v>27</v>
      </c>
      <c r="T2310" t="s">
        <v>1846</v>
      </c>
      <c r="X2310" t="s">
        <v>30</v>
      </c>
      <c r="Y2310">
        <v>1880288</v>
      </c>
      <c r="Z2310">
        <v>20251231</v>
      </c>
    </row>
    <row r="2311" spans="3:26" x14ac:dyDescent="0.25">
      <c r="C2311">
        <v>10000001</v>
      </c>
      <c r="D2311" t="s">
        <v>25</v>
      </c>
      <c r="F2311">
        <v>1880288</v>
      </c>
      <c r="H2311" t="s">
        <v>25</v>
      </c>
      <c r="I2311">
        <v>40</v>
      </c>
      <c r="J2311" s="1">
        <v>50000</v>
      </c>
      <c r="K2311" t="s">
        <v>26</v>
      </c>
      <c r="L2311" s="1">
        <v>50000</v>
      </c>
      <c r="M2311" t="s">
        <v>26</v>
      </c>
      <c r="Q2311" t="s">
        <v>27</v>
      </c>
      <c r="T2311" t="s">
        <v>1844</v>
      </c>
      <c r="X2311" t="s">
        <v>30</v>
      </c>
      <c r="Y2311">
        <v>1880288</v>
      </c>
      <c r="Z2311">
        <v>20251231</v>
      </c>
    </row>
    <row r="2312" spans="3:26" x14ac:dyDescent="0.25">
      <c r="C2312">
        <v>10000001</v>
      </c>
      <c r="D2312" t="s">
        <v>25</v>
      </c>
      <c r="F2312">
        <v>1880288</v>
      </c>
      <c r="H2312" t="s">
        <v>25</v>
      </c>
      <c r="I2312">
        <v>40</v>
      </c>
      <c r="J2312" s="1">
        <v>50000</v>
      </c>
      <c r="K2312" t="s">
        <v>26</v>
      </c>
      <c r="L2312" s="1">
        <v>50000</v>
      </c>
      <c r="M2312" t="s">
        <v>26</v>
      </c>
      <c r="Q2312" t="s">
        <v>27</v>
      </c>
      <c r="T2312" t="s">
        <v>1827</v>
      </c>
      <c r="X2312" t="s">
        <v>30</v>
      </c>
      <c r="Y2312">
        <v>1880288</v>
      </c>
      <c r="Z2312">
        <v>20251231</v>
      </c>
    </row>
    <row r="2313" spans="3:26" x14ac:dyDescent="0.25">
      <c r="C2313">
        <v>10000001</v>
      </c>
      <c r="D2313" t="s">
        <v>25</v>
      </c>
      <c r="F2313">
        <v>1880288</v>
      </c>
      <c r="H2313" t="s">
        <v>25</v>
      </c>
      <c r="I2313">
        <v>40</v>
      </c>
      <c r="J2313" s="1">
        <v>50000</v>
      </c>
      <c r="K2313" t="s">
        <v>26</v>
      </c>
      <c r="L2313" s="1">
        <v>50000</v>
      </c>
      <c r="M2313" t="s">
        <v>26</v>
      </c>
      <c r="Q2313" t="s">
        <v>27</v>
      </c>
      <c r="T2313" t="s">
        <v>1833</v>
      </c>
      <c r="X2313" t="s">
        <v>30</v>
      </c>
      <c r="Y2313">
        <v>1880288</v>
      </c>
      <c r="Z2313">
        <v>20251231</v>
      </c>
    </row>
    <row r="2314" spans="3:26" x14ac:dyDescent="0.25">
      <c r="C2314">
        <v>10000001</v>
      </c>
      <c r="D2314" t="s">
        <v>25</v>
      </c>
      <c r="F2314">
        <v>1880288</v>
      </c>
      <c r="H2314" t="s">
        <v>25</v>
      </c>
      <c r="I2314">
        <v>40</v>
      </c>
      <c r="J2314" s="1">
        <v>50000</v>
      </c>
      <c r="K2314" t="s">
        <v>26</v>
      </c>
      <c r="L2314" s="1">
        <v>50000</v>
      </c>
      <c r="M2314" t="s">
        <v>26</v>
      </c>
      <c r="Q2314" t="s">
        <v>27</v>
      </c>
      <c r="T2314" t="s">
        <v>1703</v>
      </c>
      <c r="X2314" t="s">
        <v>30</v>
      </c>
      <c r="Y2314">
        <v>1880288</v>
      </c>
      <c r="Z2314">
        <v>20251231</v>
      </c>
    </row>
    <row r="2315" spans="3:26" x14ac:dyDescent="0.25">
      <c r="C2315">
        <v>10000001</v>
      </c>
      <c r="D2315" t="s">
        <v>25</v>
      </c>
      <c r="F2315">
        <v>1880288</v>
      </c>
      <c r="H2315" t="s">
        <v>25</v>
      </c>
      <c r="I2315">
        <v>40</v>
      </c>
      <c r="J2315" s="1">
        <v>50000</v>
      </c>
      <c r="K2315" t="s">
        <v>26</v>
      </c>
      <c r="L2315" s="1">
        <v>50000</v>
      </c>
      <c r="M2315" t="s">
        <v>26</v>
      </c>
      <c r="Q2315" t="s">
        <v>27</v>
      </c>
      <c r="T2315" t="s">
        <v>1735</v>
      </c>
      <c r="X2315" t="s">
        <v>30</v>
      </c>
      <c r="Y2315">
        <v>1880288</v>
      </c>
      <c r="Z2315">
        <v>20251231</v>
      </c>
    </row>
    <row r="2316" spans="3:26" x14ac:dyDescent="0.25">
      <c r="C2316">
        <v>10000001</v>
      </c>
      <c r="D2316" t="s">
        <v>25</v>
      </c>
      <c r="F2316">
        <v>1880288</v>
      </c>
      <c r="H2316" t="s">
        <v>25</v>
      </c>
      <c r="I2316">
        <v>40</v>
      </c>
      <c r="J2316" s="1">
        <v>150000</v>
      </c>
      <c r="K2316" t="s">
        <v>26</v>
      </c>
      <c r="L2316" s="1">
        <v>150000</v>
      </c>
      <c r="M2316" t="s">
        <v>26</v>
      </c>
      <c r="Q2316" t="s">
        <v>27</v>
      </c>
      <c r="T2316" t="s">
        <v>1736</v>
      </c>
      <c r="X2316" t="s">
        <v>30</v>
      </c>
      <c r="Y2316">
        <v>1880288</v>
      </c>
      <c r="Z2316">
        <v>20251231</v>
      </c>
    </row>
    <row r="2317" spans="3:26" x14ac:dyDescent="0.25">
      <c r="C2317">
        <v>10000001</v>
      </c>
      <c r="D2317" t="s">
        <v>25</v>
      </c>
      <c r="F2317">
        <v>1880288</v>
      </c>
      <c r="H2317" t="s">
        <v>25</v>
      </c>
      <c r="I2317">
        <v>40</v>
      </c>
      <c r="J2317" s="1">
        <v>100000</v>
      </c>
      <c r="K2317" t="s">
        <v>26</v>
      </c>
      <c r="L2317" s="1">
        <v>100000</v>
      </c>
      <c r="M2317" t="s">
        <v>26</v>
      </c>
      <c r="Q2317" t="s">
        <v>27</v>
      </c>
      <c r="T2317" t="s">
        <v>1737</v>
      </c>
      <c r="X2317" t="s">
        <v>30</v>
      </c>
      <c r="Y2317">
        <v>1880288</v>
      </c>
      <c r="Z2317">
        <v>20251231</v>
      </c>
    </row>
    <row r="2318" spans="3:26" x14ac:dyDescent="0.25">
      <c r="C2318">
        <v>10000001</v>
      </c>
      <c r="D2318" t="s">
        <v>25</v>
      </c>
      <c r="F2318">
        <v>1880288</v>
      </c>
      <c r="H2318" t="s">
        <v>25</v>
      </c>
      <c r="I2318">
        <v>40</v>
      </c>
      <c r="J2318" s="1">
        <v>50000</v>
      </c>
      <c r="K2318" t="s">
        <v>26</v>
      </c>
      <c r="L2318" s="1">
        <v>50000</v>
      </c>
      <c r="M2318" t="s">
        <v>26</v>
      </c>
      <c r="Q2318" t="s">
        <v>27</v>
      </c>
      <c r="T2318" t="s">
        <v>1729</v>
      </c>
      <c r="X2318" t="s">
        <v>30</v>
      </c>
      <c r="Y2318">
        <v>1880288</v>
      </c>
      <c r="Z2318">
        <v>20251231</v>
      </c>
    </row>
    <row r="2319" spans="3:26" x14ac:dyDescent="0.25">
      <c r="C2319">
        <v>10000001</v>
      </c>
      <c r="D2319" t="s">
        <v>25</v>
      </c>
      <c r="F2319">
        <v>1880288</v>
      </c>
      <c r="H2319" t="s">
        <v>25</v>
      </c>
      <c r="I2319">
        <v>40</v>
      </c>
      <c r="J2319" s="1">
        <v>50000</v>
      </c>
      <c r="K2319" t="s">
        <v>26</v>
      </c>
      <c r="L2319" s="1">
        <v>50000</v>
      </c>
      <c r="M2319" t="s">
        <v>26</v>
      </c>
      <c r="Q2319" t="s">
        <v>27</v>
      </c>
      <c r="T2319" t="s">
        <v>1730</v>
      </c>
      <c r="X2319" t="s">
        <v>30</v>
      </c>
      <c r="Y2319">
        <v>1880288</v>
      </c>
      <c r="Z2319">
        <v>20251231</v>
      </c>
    </row>
    <row r="2320" spans="3:26" x14ac:dyDescent="0.25">
      <c r="C2320">
        <v>10000001</v>
      </c>
      <c r="D2320" t="s">
        <v>25</v>
      </c>
      <c r="F2320">
        <v>1880288</v>
      </c>
      <c r="H2320" t="s">
        <v>25</v>
      </c>
      <c r="I2320">
        <v>40</v>
      </c>
      <c r="J2320" s="1">
        <v>50000</v>
      </c>
      <c r="K2320" t="s">
        <v>26</v>
      </c>
      <c r="L2320" s="1">
        <v>50000</v>
      </c>
      <c r="M2320" t="s">
        <v>26</v>
      </c>
      <c r="Q2320" t="s">
        <v>27</v>
      </c>
      <c r="T2320" t="s">
        <v>1731</v>
      </c>
      <c r="X2320" t="s">
        <v>30</v>
      </c>
      <c r="Y2320">
        <v>1880288</v>
      </c>
      <c r="Z2320">
        <v>20251231</v>
      </c>
    </row>
    <row r="2321" spans="3:26" x14ac:dyDescent="0.25">
      <c r="C2321">
        <v>10000001</v>
      </c>
      <c r="D2321" t="s">
        <v>25</v>
      </c>
      <c r="F2321">
        <v>1880288</v>
      </c>
      <c r="H2321" t="s">
        <v>25</v>
      </c>
      <c r="I2321">
        <v>40</v>
      </c>
      <c r="J2321" s="1">
        <v>50000</v>
      </c>
      <c r="K2321" t="s">
        <v>26</v>
      </c>
      <c r="L2321" s="1">
        <v>50000</v>
      </c>
      <c r="M2321" t="s">
        <v>26</v>
      </c>
      <c r="Q2321" t="s">
        <v>27</v>
      </c>
      <c r="T2321" t="s">
        <v>1732</v>
      </c>
      <c r="X2321" t="s">
        <v>30</v>
      </c>
      <c r="Y2321">
        <v>1880288</v>
      </c>
      <c r="Z2321">
        <v>20251231</v>
      </c>
    </row>
    <row r="2322" spans="3:26" x14ac:dyDescent="0.25">
      <c r="C2322">
        <v>10000001</v>
      </c>
      <c r="D2322" t="s">
        <v>25</v>
      </c>
      <c r="F2322">
        <v>1880288</v>
      </c>
      <c r="H2322" t="s">
        <v>25</v>
      </c>
      <c r="I2322">
        <v>40</v>
      </c>
      <c r="J2322" s="1">
        <v>50000</v>
      </c>
      <c r="K2322" t="s">
        <v>26</v>
      </c>
      <c r="L2322" s="1">
        <v>50000</v>
      </c>
      <c r="M2322" t="s">
        <v>26</v>
      </c>
      <c r="Q2322" t="s">
        <v>27</v>
      </c>
      <c r="T2322" t="s">
        <v>1733</v>
      </c>
      <c r="X2322" t="s">
        <v>30</v>
      </c>
      <c r="Y2322">
        <v>1880288</v>
      </c>
      <c r="Z2322">
        <v>20251231</v>
      </c>
    </row>
    <row r="2323" spans="3:26" x14ac:dyDescent="0.25">
      <c r="C2323">
        <v>10000001</v>
      </c>
      <c r="D2323" t="s">
        <v>25</v>
      </c>
      <c r="F2323">
        <v>1880288</v>
      </c>
      <c r="H2323" t="s">
        <v>25</v>
      </c>
      <c r="I2323">
        <v>40</v>
      </c>
      <c r="J2323" s="1">
        <v>50000</v>
      </c>
      <c r="K2323" t="s">
        <v>26</v>
      </c>
      <c r="L2323" s="1">
        <v>50000</v>
      </c>
      <c r="M2323" t="s">
        <v>26</v>
      </c>
      <c r="Q2323" t="s">
        <v>27</v>
      </c>
      <c r="T2323" t="s">
        <v>1734</v>
      </c>
      <c r="X2323" t="s">
        <v>30</v>
      </c>
      <c r="Y2323">
        <v>1880288</v>
      </c>
      <c r="Z2323">
        <v>20251231</v>
      </c>
    </row>
    <row r="2324" spans="3:26" x14ac:dyDescent="0.25">
      <c r="C2324">
        <v>10000001</v>
      </c>
      <c r="D2324" t="s">
        <v>25</v>
      </c>
      <c r="F2324">
        <v>1880288</v>
      </c>
      <c r="H2324" t="s">
        <v>25</v>
      </c>
      <c r="I2324">
        <v>40</v>
      </c>
      <c r="J2324" s="1">
        <v>50000</v>
      </c>
      <c r="K2324" t="s">
        <v>26</v>
      </c>
      <c r="L2324" s="1">
        <v>50000</v>
      </c>
      <c r="M2324" t="s">
        <v>26</v>
      </c>
      <c r="Q2324" t="s">
        <v>27</v>
      </c>
      <c r="T2324" t="s">
        <v>1834</v>
      </c>
      <c r="X2324" t="s">
        <v>30</v>
      </c>
      <c r="Y2324">
        <v>1880288</v>
      </c>
      <c r="Z2324">
        <v>20251231</v>
      </c>
    </row>
    <row r="2325" spans="3:26" x14ac:dyDescent="0.25">
      <c r="C2325">
        <v>10000001</v>
      </c>
      <c r="D2325" t="s">
        <v>25</v>
      </c>
      <c r="F2325">
        <v>1880288</v>
      </c>
      <c r="H2325" t="s">
        <v>25</v>
      </c>
      <c r="I2325">
        <v>40</v>
      </c>
      <c r="J2325" s="1">
        <v>100000</v>
      </c>
      <c r="K2325" t="s">
        <v>26</v>
      </c>
      <c r="L2325" s="1">
        <v>100000</v>
      </c>
      <c r="M2325" t="s">
        <v>26</v>
      </c>
      <c r="Q2325" t="s">
        <v>27</v>
      </c>
      <c r="T2325" t="s">
        <v>1628</v>
      </c>
      <c r="X2325" t="s">
        <v>30</v>
      </c>
      <c r="Y2325">
        <v>1880288</v>
      </c>
      <c r="Z2325">
        <v>20251231</v>
      </c>
    </row>
    <row r="2326" spans="3:26" x14ac:dyDescent="0.25">
      <c r="C2326">
        <v>10000001</v>
      </c>
      <c r="D2326" t="s">
        <v>25</v>
      </c>
      <c r="F2326">
        <v>1880288</v>
      </c>
      <c r="H2326" t="s">
        <v>25</v>
      </c>
      <c r="I2326">
        <v>40</v>
      </c>
      <c r="J2326" s="1">
        <v>100000</v>
      </c>
      <c r="K2326" t="s">
        <v>26</v>
      </c>
      <c r="L2326" s="1">
        <v>100000</v>
      </c>
      <c r="M2326" t="s">
        <v>26</v>
      </c>
      <c r="Q2326" t="s">
        <v>27</v>
      </c>
      <c r="T2326" t="s">
        <v>1629</v>
      </c>
      <c r="X2326" t="s">
        <v>30</v>
      </c>
      <c r="Y2326">
        <v>1880288</v>
      </c>
      <c r="Z2326">
        <v>20251231</v>
      </c>
    </row>
    <row r="2327" spans="3:26" x14ac:dyDescent="0.25">
      <c r="C2327">
        <v>10000001</v>
      </c>
      <c r="D2327" t="s">
        <v>25</v>
      </c>
      <c r="F2327">
        <v>1880288</v>
      </c>
      <c r="H2327" t="s">
        <v>25</v>
      </c>
      <c r="I2327">
        <v>40</v>
      </c>
      <c r="J2327" s="1">
        <v>50000</v>
      </c>
      <c r="K2327" t="s">
        <v>26</v>
      </c>
      <c r="L2327" s="1">
        <v>50000</v>
      </c>
      <c r="M2327" t="s">
        <v>26</v>
      </c>
      <c r="Q2327" t="s">
        <v>27</v>
      </c>
      <c r="T2327" t="s">
        <v>1689</v>
      </c>
      <c r="X2327" t="s">
        <v>30</v>
      </c>
      <c r="Y2327">
        <v>1880288</v>
      </c>
      <c r="Z2327">
        <v>20251231</v>
      </c>
    </row>
    <row r="2328" spans="3:26" x14ac:dyDescent="0.25">
      <c r="C2328">
        <v>10000001</v>
      </c>
      <c r="D2328" t="s">
        <v>25</v>
      </c>
      <c r="F2328">
        <v>1880288</v>
      </c>
      <c r="H2328" t="s">
        <v>25</v>
      </c>
      <c r="I2328">
        <v>40</v>
      </c>
      <c r="J2328" s="1">
        <v>50000</v>
      </c>
      <c r="K2328" t="s">
        <v>26</v>
      </c>
      <c r="L2328" s="1">
        <v>50000</v>
      </c>
      <c r="M2328" t="s">
        <v>26</v>
      </c>
      <c r="Q2328" t="s">
        <v>27</v>
      </c>
      <c r="T2328" t="s">
        <v>1848</v>
      </c>
      <c r="X2328" t="s">
        <v>30</v>
      </c>
      <c r="Y2328">
        <v>1880288</v>
      </c>
      <c r="Z2328">
        <v>20251231</v>
      </c>
    </row>
    <row r="2329" spans="3:26" x14ac:dyDescent="0.25">
      <c r="C2329">
        <v>10000001</v>
      </c>
      <c r="D2329" t="s">
        <v>25</v>
      </c>
      <c r="F2329">
        <v>1880288</v>
      </c>
      <c r="H2329" t="s">
        <v>25</v>
      </c>
      <c r="I2329">
        <v>40</v>
      </c>
      <c r="J2329" s="1">
        <v>50000</v>
      </c>
      <c r="K2329" t="s">
        <v>26</v>
      </c>
      <c r="L2329" s="1">
        <v>50000</v>
      </c>
      <c r="M2329" t="s">
        <v>26</v>
      </c>
      <c r="Q2329" t="s">
        <v>27</v>
      </c>
      <c r="T2329" t="s">
        <v>1625</v>
      </c>
      <c r="X2329" t="s">
        <v>30</v>
      </c>
      <c r="Y2329">
        <v>1880288</v>
      </c>
      <c r="Z2329">
        <v>20251231</v>
      </c>
    </row>
    <row r="2330" spans="3:26" x14ac:dyDescent="0.25">
      <c r="C2330">
        <v>10000001</v>
      </c>
      <c r="D2330" t="s">
        <v>25</v>
      </c>
      <c r="F2330">
        <v>1880288</v>
      </c>
      <c r="H2330" t="s">
        <v>25</v>
      </c>
      <c r="I2330">
        <v>40</v>
      </c>
      <c r="J2330" s="1">
        <v>50000</v>
      </c>
      <c r="K2330" t="s">
        <v>26</v>
      </c>
      <c r="L2330" s="1">
        <v>50000</v>
      </c>
      <c r="M2330" t="s">
        <v>26</v>
      </c>
      <c r="Q2330" t="s">
        <v>27</v>
      </c>
      <c r="T2330" t="s">
        <v>1679</v>
      </c>
      <c r="X2330" t="s">
        <v>30</v>
      </c>
      <c r="Y2330">
        <v>1880288</v>
      </c>
      <c r="Z2330">
        <v>20251231</v>
      </c>
    </row>
    <row r="2331" spans="3:26" x14ac:dyDescent="0.25">
      <c r="C2331">
        <v>10000001</v>
      </c>
      <c r="D2331" t="s">
        <v>25</v>
      </c>
      <c r="F2331">
        <v>1880288</v>
      </c>
      <c r="H2331" t="s">
        <v>25</v>
      </c>
      <c r="I2331">
        <v>40</v>
      </c>
      <c r="J2331" s="1">
        <v>50000</v>
      </c>
      <c r="K2331" t="s">
        <v>26</v>
      </c>
      <c r="L2331" s="1">
        <v>50000</v>
      </c>
      <c r="M2331" t="s">
        <v>26</v>
      </c>
      <c r="Q2331" t="s">
        <v>27</v>
      </c>
      <c r="T2331" t="s">
        <v>1677</v>
      </c>
      <c r="X2331" t="s">
        <v>30</v>
      </c>
      <c r="Y2331">
        <v>1880288</v>
      </c>
      <c r="Z2331">
        <v>20251231</v>
      </c>
    </row>
    <row r="2332" spans="3:26" x14ac:dyDescent="0.25">
      <c r="C2332">
        <v>10000001</v>
      </c>
      <c r="D2332" t="s">
        <v>25</v>
      </c>
      <c r="F2332">
        <v>1880288</v>
      </c>
      <c r="H2332" t="s">
        <v>25</v>
      </c>
      <c r="I2332">
        <v>40</v>
      </c>
      <c r="J2332" s="1">
        <v>50000</v>
      </c>
      <c r="K2332" t="s">
        <v>26</v>
      </c>
      <c r="L2332" s="1">
        <v>50000</v>
      </c>
      <c r="M2332" t="s">
        <v>26</v>
      </c>
      <c r="Q2332" t="s">
        <v>27</v>
      </c>
      <c r="T2332" t="s">
        <v>1678</v>
      </c>
      <c r="X2332" t="s">
        <v>30</v>
      </c>
      <c r="Y2332">
        <v>1880288</v>
      </c>
      <c r="Z2332">
        <v>20251231</v>
      </c>
    </row>
    <row r="2333" spans="3:26" x14ac:dyDescent="0.25">
      <c r="C2333">
        <v>10000001</v>
      </c>
      <c r="D2333" t="s">
        <v>25</v>
      </c>
      <c r="F2333">
        <v>1880288</v>
      </c>
      <c r="H2333" t="s">
        <v>25</v>
      </c>
      <c r="I2333">
        <v>40</v>
      </c>
      <c r="J2333" s="1">
        <v>50000</v>
      </c>
      <c r="K2333" t="s">
        <v>26</v>
      </c>
      <c r="L2333" s="1">
        <v>50000</v>
      </c>
      <c r="M2333" t="s">
        <v>26</v>
      </c>
      <c r="Q2333" t="s">
        <v>27</v>
      </c>
      <c r="T2333" t="s">
        <v>1726</v>
      </c>
      <c r="X2333" t="s">
        <v>30</v>
      </c>
      <c r="Y2333">
        <v>1880288</v>
      </c>
      <c r="Z2333">
        <v>20251231</v>
      </c>
    </row>
    <row r="2334" spans="3:26" x14ac:dyDescent="0.25">
      <c r="C2334">
        <v>10000001</v>
      </c>
      <c r="D2334" t="s">
        <v>25</v>
      </c>
      <c r="F2334">
        <v>1880288</v>
      </c>
      <c r="H2334" t="s">
        <v>25</v>
      </c>
      <c r="I2334">
        <v>40</v>
      </c>
      <c r="J2334" s="1">
        <v>50000</v>
      </c>
      <c r="K2334" t="s">
        <v>26</v>
      </c>
      <c r="L2334" s="1">
        <v>50000</v>
      </c>
      <c r="M2334" t="s">
        <v>26</v>
      </c>
      <c r="Q2334" t="s">
        <v>27</v>
      </c>
      <c r="T2334" t="s">
        <v>1645</v>
      </c>
      <c r="X2334" t="s">
        <v>30</v>
      </c>
      <c r="Y2334">
        <v>1880288</v>
      </c>
      <c r="Z2334">
        <v>20251231</v>
      </c>
    </row>
    <row r="2335" spans="3:26" x14ac:dyDescent="0.25">
      <c r="C2335">
        <v>10000001</v>
      </c>
      <c r="D2335" t="s">
        <v>25</v>
      </c>
      <c r="F2335">
        <v>1880288</v>
      </c>
      <c r="H2335" t="s">
        <v>25</v>
      </c>
      <c r="I2335">
        <v>40</v>
      </c>
      <c r="J2335" s="1">
        <v>50000</v>
      </c>
      <c r="K2335" t="s">
        <v>26</v>
      </c>
      <c r="L2335" s="1">
        <v>50000</v>
      </c>
      <c r="M2335" t="s">
        <v>26</v>
      </c>
      <c r="Q2335" t="s">
        <v>27</v>
      </c>
      <c r="T2335" t="s">
        <v>1646</v>
      </c>
      <c r="X2335" t="s">
        <v>30</v>
      </c>
      <c r="Y2335">
        <v>1880288</v>
      </c>
      <c r="Z2335">
        <v>20251231</v>
      </c>
    </row>
    <row r="2336" spans="3:26" x14ac:dyDescent="0.25">
      <c r="C2336">
        <v>10000001</v>
      </c>
      <c r="D2336" t="s">
        <v>25</v>
      </c>
      <c r="F2336">
        <v>1880288</v>
      </c>
      <c r="H2336" t="s">
        <v>25</v>
      </c>
      <c r="I2336">
        <v>40</v>
      </c>
      <c r="J2336" s="1">
        <v>50000</v>
      </c>
      <c r="K2336" t="s">
        <v>26</v>
      </c>
      <c r="L2336" s="1">
        <v>50000</v>
      </c>
      <c r="M2336" t="s">
        <v>26</v>
      </c>
      <c r="Q2336" t="s">
        <v>27</v>
      </c>
      <c r="T2336" t="s">
        <v>1623</v>
      </c>
      <c r="X2336" t="s">
        <v>30</v>
      </c>
      <c r="Y2336">
        <v>1880288</v>
      </c>
      <c r="Z2336">
        <v>20251231</v>
      </c>
    </row>
    <row r="2337" spans="3:26" x14ac:dyDescent="0.25">
      <c r="C2337">
        <v>10000001</v>
      </c>
      <c r="D2337" t="s">
        <v>25</v>
      </c>
      <c r="F2337">
        <v>1880288</v>
      </c>
      <c r="H2337" t="s">
        <v>25</v>
      </c>
      <c r="I2337">
        <v>40</v>
      </c>
      <c r="J2337" s="1">
        <v>50000</v>
      </c>
      <c r="K2337" t="s">
        <v>26</v>
      </c>
      <c r="L2337" s="1">
        <v>50000</v>
      </c>
      <c r="M2337" t="s">
        <v>26</v>
      </c>
      <c r="Q2337" t="s">
        <v>27</v>
      </c>
      <c r="T2337" t="s">
        <v>1624</v>
      </c>
      <c r="X2337" t="s">
        <v>30</v>
      </c>
      <c r="Y2337">
        <v>1880288</v>
      </c>
      <c r="Z2337">
        <v>20251231</v>
      </c>
    </row>
    <row r="2338" spans="3:26" x14ac:dyDescent="0.25">
      <c r="C2338">
        <v>10000001</v>
      </c>
      <c r="D2338" t="s">
        <v>25</v>
      </c>
      <c r="F2338">
        <v>1880288</v>
      </c>
      <c r="H2338" t="s">
        <v>25</v>
      </c>
      <c r="I2338">
        <v>40</v>
      </c>
      <c r="J2338" s="1">
        <v>50000</v>
      </c>
      <c r="K2338" t="s">
        <v>26</v>
      </c>
      <c r="L2338" s="1">
        <v>50000</v>
      </c>
      <c r="M2338" t="s">
        <v>26</v>
      </c>
      <c r="Q2338" t="s">
        <v>27</v>
      </c>
      <c r="T2338" t="s">
        <v>1644</v>
      </c>
      <c r="X2338" t="s">
        <v>30</v>
      </c>
      <c r="Y2338">
        <v>1880288</v>
      </c>
      <c r="Z2338">
        <v>20251231</v>
      </c>
    </row>
    <row r="2339" spans="3:26" x14ac:dyDescent="0.25">
      <c r="C2339">
        <v>10000001</v>
      </c>
      <c r="D2339" t="s">
        <v>25</v>
      </c>
      <c r="F2339">
        <v>1880288</v>
      </c>
      <c r="H2339" t="s">
        <v>25</v>
      </c>
      <c r="I2339">
        <v>40</v>
      </c>
      <c r="J2339" s="1">
        <v>50000</v>
      </c>
      <c r="K2339" t="s">
        <v>26</v>
      </c>
      <c r="L2339" s="1">
        <v>50000</v>
      </c>
      <c r="M2339" t="s">
        <v>26</v>
      </c>
      <c r="Q2339" t="s">
        <v>27</v>
      </c>
      <c r="T2339" t="s">
        <v>1676</v>
      </c>
      <c r="X2339" t="s">
        <v>30</v>
      </c>
      <c r="Y2339">
        <v>1880288</v>
      </c>
      <c r="Z2339">
        <v>20251231</v>
      </c>
    </row>
    <row r="2340" spans="3:26" x14ac:dyDescent="0.25">
      <c r="C2340">
        <v>10000001</v>
      </c>
      <c r="D2340" t="s">
        <v>25</v>
      </c>
      <c r="F2340">
        <v>1880288</v>
      </c>
      <c r="H2340" t="s">
        <v>25</v>
      </c>
      <c r="I2340">
        <v>40</v>
      </c>
      <c r="J2340" s="1">
        <v>50000</v>
      </c>
      <c r="K2340" t="s">
        <v>26</v>
      </c>
      <c r="L2340" s="1">
        <v>50000</v>
      </c>
      <c r="M2340" t="s">
        <v>26</v>
      </c>
      <c r="Q2340" t="s">
        <v>27</v>
      </c>
      <c r="T2340" t="s">
        <v>1723</v>
      </c>
      <c r="X2340" t="s">
        <v>30</v>
      </c>
      <c r="Y2340">
        <v>1880288</v>
      </c>
      <c r="Z2340">
        <v>20251231</v>
      </c>
    </row>
    <row r="2341" spans="3:26" x14ac:dyDescent="0.25">
      <c r="C2341">
        <v>10000001</v>
      </c>
      <c r="D2341" t="s">
        <v>25</v>
      </c>
      <c r="F2341">
        <v>1880288</v>
      </c>
      <c r="H2341" t="s">
        <v>25</v>
      </c>
      <c r="I2341">
        <v>40</v>
      </c>
      <c r="J2341" s="1">
        <v>50000</v>
      </c>
      <c r="K2341" t="s">
        <v>26</v>
      </c>
      <c r="L2341" s="1">
        <v>50000</v>
      </c>
      <c r="M2341" t="s">
        <v>26</v>
      </c>
      <c r="Q2341" t="s">
        <v>27</v>
      </c>
      <c r="T2341" t="s">
        <v>1649</v>
      </c>
      <c r="X2341" t="s">
        <v>30</v>
      </c>
      <c r="Y2341">
        <v>1880288</v>
      </c>
      <c r="Z2341">
        <v>20251231</v>
      </c>
    </row>
    <row r="2342" spans="3:26" x14ac:dyDescent="0.25">
      <c r="C2342">
        <v>10000001</v>
      </c>
      <c r="D2342" t="s">
        <v>25</v>
      </c>
      <c r="F2342">
        <v>1880288</v>
      </c>
      <c r="H2342" t="s">
        <v>25</v>
      </c>
      <c r="I2342">
        <v>40</v>
      </c>
      <c r="J2342" s="1">
        <v>50000</v>
      </c>
      <c r="K2342" t="s">
        <v>26</v>
      </c>
      <c r="L2342" s="1">
        <v>50000</v>
      </c>
      <c r="M2342" t="s">
        <v>26</v>
      </c>
      <c r="Q2342" t="s">
        <v>27</v>
      </c>
      <c r="T2342" t="s">
        <v>1717</v>
      </c>
      <c r="X2342" t="s">
        <v>30</v>
      </c>
      <c r="Y2342">
        <v>1880288</v>
      </c>
      <c r="Z2342">
        <v>20251231</v>
      </c>
    </row>
    <row r="2343" spans="3:26" x14ac:dyDescent="0.25">
      <c r="C2343">
        <v>10000001</v>
      </c>
      <c r="D2343" t="s">
        <v>25</v>
      </c>
      <c r="F2343">
        <v>1880288</v>
      </c>
      <c r="H2343" t="s">
        <v>25</v>
      </c>
      <c r="I2343">
        <v>40</v>
      </c>
      <c r="J2343" s="1">
        <v>50000</v>
      </c>
      <c r="K2343" t="s">
        <v>26</v>
      </c>
      <c r="L2343" s="1">
        <v>50000</v>
      </c>
      <c r="M2343" t="s">
        <v>26</v>
      </c>
      <c r="Q2343" t="s">
        <v>27</v>
      </c>
      <c r="T2343" t="s">
        <v>1830</v>
      </c>
      <c r="X2343" t="s">
        <v>30</v>
      </c>
      <c r="Y2343">
        <v>1880288</v>
      </c>
      <c r="Z2343">
        <v>20251231</v>
      </c>
    </row>
    <row r="2344" spans="3:26" x14ac:dyDescent="0.25">
      <c r="C2344">
        <v>10000001</v>
      </c>
      <c r="D2344" t="s">
        <v>25</v>
      </c>
      <c r="F2344">
        <v>1880288</v>
      </c>
      <c r="H2344" t="s">
        <v>25</v>
      </c>
      <c r="I2344">
        <v>40</v>
      </c>
      <c r="J2344" s="1">
        <v>50000</v>
      </c>
      <c r="K2344" t="s">
        <v>26</v>
      </c>
      <c r="L2344" s="1">
        <v>50000</v>
      </c>
      <c r="M2344" t="s">
        <v>26</v>
      </c>
      <c r="Q2344" t="s">
        <v>27</v>
      </c>
      <c r="T2344" t="s">
        <v>1702</v>
      </c>
      <c r="X2344" t="s">
        <v>30</v>
      </c>
      <c r="Y2344">
        <v>1880288</v>
      </c>
      <c r="Z2344">
        <v>20251231</v>
      </c>
    </row>
    <row r="2345" spans="3:26" x14ac:dyDescent="0.25">
      <c r="C2345">
        <v>10000001</v>
      </c>
      <c r="D2345" t="s">
        <v>25</v>
      </c>
      <c r="F2345">
        <v>1880288</v>
      </c>
      <c r="H2345" t="s">
        <v>25</v>
      </c>
      <c r="I2345">
        <v>40</v>
      </c>
      <c r="J2345" s="1">
        <v>50000</v>
      </c>
      <c r="K2345" t="s">
        <v>26</v>
      </c>
      <c r="L2345" s="1">
        <v>50000</v>
      </c>
      <c r="M2345" t="s">
        <v>26</v>
      </c>
      <c r="Q2345" t="s">
        <v>27</v>
      </c>
      <c r="T2345" t="s">
        <v>1861</v>
      </c>
      <c r="X2345" t="s">
        <v>30</v>
      </c>
      <c r="Y2345">
        <v>1880288</v>
      </c>
      <c r="Z2345">
        <v>20251231</v>
      </c>
    </row>
    <row r="2346" spans="3:26" x14ac:dyDescent="0.25">
      <c r="C2346">
        <v>10000001</v>
      </c>
      <c r="D2346" t="s">
        <v>25</v>
      </c>
      <c r="F2346">
        <v>1880288</v>
      </c>
      <c r="H2346" t="s">
        <v>25</v>
      </c>
      <c r="I2346">
        <v>40</v>
      </c>
      <c r="J2346" s="1">
        <v>50000</v>
      </c>
      <c r="K2346" t="s">
        <v>26</v>
      </c>
      <c r="L2346" s="1">
        <v>50000</v>
      </c>
      <c r="M2346" t="s">
        <v>26</v>
      </c>
      <c r="Q2346" t="s">
        <v>27</v>
      </c>
      <c r="T2346" t="s">
        <v>1857</v>
      </c>
      <c r="X2346" t="s">
        <v>30</v>
      </c>
      <c r="Y2346">
        <v>1880288</v>
      </c>
      <c r="Z2346">
        <v>20251231</v>
      </c>
    </row>
    <row r="2347" spans="3:26" x14ac:dyDescent="0.25">
      <c r="C2347">
        <v>10000001</v>
      </c>
      <c r="D2347" t="s">
        <v>25</v>
      </c>
      <c r="F2347">
        <v>1880288</v>
      </c>
      <c r="H2347" t="s">
        <v>25</v>
      </c>
      <c r="I2347">
        <v>40</v>
      </c>
      <c r="J2347" s="1">
        <v>50000</v>
      </c>
      <c r="K2347" t="s">
        <v>26</v>
      </c>
      <c r="L2347" s="1">
        <v>50000</v>
      </c>
      <c r="M2347" t="s">
        <v>26</v>
      </c>
      <c r="Q2347" t="s">
        <v>27</v>
      </c>
      <c r="T2347" t="s">
        <v>1685</v>
      </c>
      <c r="X2347" t="s">
        <v>30</v>
      </c>
      <c r="Y2347">
        <v>1880288</v>
      </c>
      <c r="Z2347">
        <v>20251231</v>
      </c>
    </row>
    <row r="2348" spans="3:26" x14ac:dyDescent="0.25">
      <c r="C2348">
        <v>10000001</v>
      </c>
      <c r="D2348" t="s">
        <v>25</v>
      </c>
      <c r="F2348">
        <v>1880288</v>
      </c>
      <c r="H2348" t="s">
        <v>25</v>
      </c>
      <c r="I2348">
        <v>40</v>
      </c>
      <c r="J2348" s="1">
        <v>50000</v>
      </c>
      <c r="K2348" t="s">
        <v>26</v>
      </c>
      <c r="L2348" s="1">
        <v>50000</v>
      </c>
      <c r="M2348" t="s">
        <v>26</v>
      </c>
      <c r="Q2348" t="s">
        <v>27</v>
      </c>
      <c r="T2348" t="s">
        <v>1681</v>
      </c>
      <c r="X2348" t="s">
        <v>30</v>
      </c>
      <c r="Y2348">
        <v>1880288</v>
      </c>
      <c r="Z2348">
        <v>20251231</v>
      </c>
    </row>
    <row r="2349" spans="3:26" x14ac:dyDescent="0.25">
      <c r="C2349">
        <v>10000001</v>
      </c>
      <c r="D2349" t="s">
        <v>25</v>
      </c>
      <c r="F2349">
        <v>1880288</v>
      </c>
      <c r="H2349" t="s">
        <v>25</v>
      </c>
      <c r="I2349">
        <v>40</v>
      </c>
      <c r="J2349" s="1">
        <v>50000</v>
      </c>
      <c r="K2349" t="s">
        <v>26</v>
      </c>
      <c r="L2349" s="1">
        <v>50000</v>
      </c>
      <c r="M2349" t="s">
        <v>26</v>
      </c>
      <c r="Q2349" t="s">
        <v>27</v>
      </c>
      <c r="T2349" t="s">
        <v>1691</v>
      </c>
      <c r="X2349" t="s">
        <v>30</v>
      </c>
      <c r="Y2349">
        <v>1880288</v>
      </c>
      <c r="Z2349">
        <v>20251231</v>
      </c>
    </row>
    <row r="2350" spans="3:26" x14ac:dyDescent="0.25">
      <c r="C2350">
        <v>10000001</v>
      </c>
      <c r="D2350" t="s">
        <v>25</v>
      </c>
      <c r="F2350">
        <v>1880288</v>
      </c>
      <c r="H2350" t="s">
        <v>25</v>
      </c>
      <c r="I2350">
        <v>40</v>
      </c>
      <c r="J2350" s="1">
        <v>50000</v>
      </c>
      <c r="K2350" t="s">
        <v>26</v>
      </c>
      <c r="L2350" s="1">
        <v>50000</v>
      </c>
      <c r="M2350" t="s">
        <v>26</v>
      </c>
      <c r="Q2350" t="s">
        <v>27</v>
      </c>
      <c r="T2350" t="s">
        <v>1865</v>
      </c>
      <c r="X2350" t="s">
        <v>30</v>
      </c>
      <c r="Y2350">
        <v>1880288</v>
      </c>
      <c r="Z2350">
        <v>20251231</v>
      </c>
    </row>
    <row r="2351" spans="3:26" x14ac:dyDescent="0.25">
      <c r="C2351">
        <v>10000001</v>
      </c>
      <c r="D2351" t="s">
        <v>25</v>
      </c>
      <c r="F2351">
        <v>1880288</v>
      </c>
      <c r="H2351" t="s">
        <v>25</v>
      </c>
      <c r="I2351">
        <v>40</v>
      </c>
      <c r="J2351" s="1">
        <v>50000</v>
      </c>
      <c r="K2351" t="s">
        <v>26</v>
      </c>
      <c r="L2351" s="1">
        <v>50000</v>
      </c>
      <c r="M2351" t="s">
        <v>26</v>
      </c>
      <c r="Q2351" t="s">
        <v>27</v>
      </c>
      <c r="T2351" t="s">
        <v>1863</v>
      </c>
      <c r="X2351" t="s">
        <v>30</v>
      </c>
      <c r="Y2351">
        <v>1880288</v>
      </c>
      <c r="Z2351">
        <v>20251231</v>
      </c>
    </row>
    <row r="2352" spans="3:26" x14ac:dyDescent="0.25">
      <c r="C2352">
        <v>10000001</v>
      </c>
      <c r="D2352" t="s">
        <v>25</v>
      </c>
      <c r="F2352">
        <v>1880288</v>
      </c>
      <c r="H2352" t="s">
        <v>25</v>
      </c>
      <c r="I2352">
        <v>40</v>
      </c>
      <c r="J2352" s="1">
        <v>50000</v>
      </c>
      <c r="K2352" t="s">
        <v>26</v>
      </c>
      <c r="L2352" s="1">
        <v>50000</v>
      </c>
      <c r="M2352" t="s">
        <v>26</v>
      </c>
      <c r="Q2352" t="s">
        <v>27</v>
      </c>
      <c r="T2352" t="s">
        <v>1859</v>
      </c>
      <c r="X2352" t="s">
        <v>30</v>
      </c>
      <c r="Y2352">
        <v>1880288</v>
      </c>
      <c r="Z2352">
        <v>20251231</v>
      </c>
    </row>
    <row r="2353" spans="3:26" x14ac:dyDescent="0.25">
      <c r="C2353">
        <v>10000001</v>
      </c>
      <c r="D2353" t="s">
        <v>25</v>
      </c>
      <c r="F2353">
        <v>1880288</v>
      </c>
      <c r="H2353" t="s">
        <v>25</v>
      </c>
      <c r="I2353">
        <v>40</v>
      </c>
      <c r="J2353" s="1">
        <v>50000</v>
      </c>
      <c r="K2353" t="s">
        <v>26</v>
      </c>
      <c r="L2353" s="1">
        <v>50000</v>
      </c>
      <c r="M2353" t="s">
        <v>26</v>
      </c>
      <c r="Q2353" t="s">
        <v>27</v>
      </c>
      <c r="T2353" t="s">
        <v>1860</v>
      </c>
      <c r="X2353" t="s">
        <v>30</v>
      </c>
      <c r="Y2353">
        <v>1880288</v>
      </c>
      <c r="Z2353">
        <v>20251231</v>
      </c>
    </row>
    <row r="2354" spans="3:26" x14ac:dyDescent="0.25">
      <c r="C2354">
        <v>10000001</v>
      </c>
      <c r="D2354" t="s">
        <v>25</v>
      </c>
      <c r="F2354">
        <v>1880288</v>
      </c>
      <c r="H2354" t="s">
        <v>25</v>
      </c>
      <c r="I2354">
        <v>40</v>
      </c>
      <c r="J2354" s="1">
        <v>50000</v>
      </c>
      <c r="K2354" t="s">
        <v>26</v>
      </c>
      <c r="L2354" s="1">
        <v>50000</v>
      </c>
      <c r="M2354" t="s">
        <v>26</v>
      </c>
      <c r="Q2354" t="s">
        <v>27</v>
      </c>
      <c r="T2354" t="s">
        <v>1854</v>
      </c>
      <c r="X2354" t="s">
        <v>30</v>
      </c>
      <c r="Y2354">
        <v>1880288</v>
      </c>
      <c r="Z2354">
        <v>20251231</v>
      </c>
    </row>
    <row r="2355" spans="3:26" x14ac:dyDescent="0.25">
      <c r="C2355">
        <v>10000001</v>
      </c>
      <c r="D2355" t="s">
        <v>25</v>
      </c>
      <c r="F2355">
        <v>1880288</v>
      </c>
      <c r="H2355" t="s">
        <v>25</v>
      </c>
      <c r="I2355">
        <v>40</v>
      </c>
      <c r="J2355" s="1">
        <v>50000</v>
      </c>
      <c r="K2355" t="s">
        <v>26</v>
      </c>
      <c r="L2355" s="1">
        <v>50000</v>
      </c>
      <c r="M2355" t="s">
        <v>26</v>
      </c>
      <c r="Q2355" t="s">
        <v>27</v>
      </c>
      <c r="T2355" t="s">
        <v>1847</v>
      </c>
      <c r="X2355" t="s">
        <v>30</v>
      </c>
      <c r="Y2355">
        <v>1880288</v>
      </c>
      <c r="Z2355">
        <v>20251231</v>
      </c>
    </row>
    <row r="2356" spans="3:26" x14ac:dyDescent="0.25">
      <c r="C2356">
        <v>10000001</v>
      </c>
      <c r="D2356" t="s">
        <v>25</v>
      </c>
      <c r="F2356">
        <v>1880288</v>
      </c>
      <c r="H2356" t="s">
        <v>25</v>
      </c>
      <c r="I2356">
        <v>40</v>
      </c>
      <c r="J2356" s="1">
        <v>50000</v>
      </c>
      <c r="K2356" t="s">
        <v>26</v>
      </c>
      <c r="L2356" s="1">
        <v>50000</v>
      </c>
      <c r="M2356" t="s">
        <v>26</v>
      </c>
      <c r="Q2356" t="s">
        <v>27</v>
      </c>
      <c r="T2356" t="s">
        <v>1856</v>
      </c>
      <c r="X2356" t="s">
        <v>30</v>
      </c>
      <c r="Y2356">
        <v>1880288</v>
      </c>
      <c r="Z2356">
        <v>20251231</v>
      </c>
    </row>
    <row r="2357" spans="3:26" x14ac:dyDescent="0.25">
      <c r="C2357">
        <v>10000001</v>
      </c>
      <c r="D2357" t="s">
        <v>25</v>
      </c>
      <c r="F2357">
        <v>1880288</v>
      </c>
      <c r="H2357" t="s">
        <v>25</v>
      </c>
      <c r="I2357">
        <v>40</v>
      </c>
      <c r="J2357" s="1">
        <v>50000</v>
      </c>
      <c r="K2357" t="s">
        <v>26</v>
      </c>
      <c r="L2357" s="1">
        <v>50000</v>
      </c>
      <c r="M2357" t="s">
        <v>26</v>
      </c>
      <c r="Q2357" t="s">
        <v>27</v>
      </c>
      <c r="T2357" t="s">
        <v>1652</v>
      </c>
      <c r="X2357" t="s">
        <v>30</v>
      </c>
      <c r="Y2357">
        <v>1880288</v>
      </c>
      <c r="Z2357">
        <v>20251231</v>
      </c>
    </row>
    <row r="2358" spans="3:26" x14ac:dyDescent="0.25">
      <c r="C2358">
        <v>10000001</v>
      </c>
      <c r="D2358" t="s">
        <v>25</v>
      </c>
      <c r="F2358">
        <v>1880288</v>
      </c>
      <c r="H2358" t="s">
        <v>25</v>
      </c>
      <c r="I2358">
        <v>40</v>
      </c>
      <c r="J2358" s="1">
        <v>50000</v>
      </c>
      <c r="K2358" t="s">
        <v>26</v>
      </c>
      <c r="L2358" s="1">
        <v>50000</v>
      </c>
      <c r="M2358" t="s">
        <v>26</v>
      </c>
      <c r="Q2358" t="s">
        <v>27</v>
      </c>
      <c r="T2358" t="s">
        <v>1602</v>
      </c>
      <c r="X2358" t="s">
        <v>30</v>
      </c>
      <c r="Y2358">
        <v>1880288</v>
      </c>
      <c r="Z2358">
        <v>20251231</v>
      </c>
    </row>
    <row r="2359" spans="3:26" x14ac:dyDescent="0.25">
      <c r="C2359">
        <v>10000001</v>
      </c>
      <c r="D2359" t="s">
        <v>25</v>
      </c>
      <c r="F2359">
        <v>1880288</v>
      </c>
      <c r="H2359" t="s">
        <v>25</v>
      </c>
      <c r="I2359">
        <v>40</v>
      </c>
      <c r="J2359" s="1">
        <v>50000</v>
      </c>
      <c r="K2359" t="s">
        <v>26</v>
      </c>
      <c r="L2359" s="1">
        <v>50000</v>
      </c>
      <c r="M2359" t="s">
        <v>26</v>
      </c>
      <c r="Q2359" t="s">
        <v>27</v>
      </c>
      <c r="T2359" t="s">
        <v>1658</v>
      </c>
      <c r="X2359" t="s">
        <v>30</v>
      </c>
      <c r="Y2359">
        <v>1880288</v>
      </c>
      <c r="Z2359">
        <v>20251231</v>
      </c>
    </row>
    <row r="2360" spans="3:26" x14ac:dyDescent="0.25">
      <c r="C2360">
        <v>10000001</v>
      </c>
      <c r="D2360" t="s">
        <v>25</v>
      </c>
      <c r="F2360">
        <v>1880288</v>
      </c>
      <c r="H2360" t="s">
        <v>25</v>
      </c>
      <c r="I2360">
        <v>40</v>
      </c>
      <c r="J2360" s="1">
        <v>50000</v>
      </c>
      <c r="K2360" t="s">
        <v>26</v>
      </c>
      <c r="L2360" s="1">
        <v>50000</v>
      </c>
      <c r="M2360" t="s">
        <v>26</v>
      </c>
      <c r="Q2360" t="s">
        <v>27</v>
      </c>
      <c r="T2360" t="s">
        <v>1657</v>
      </c>
      <c r="X2360" t="s">
        <v>30</v>
      </c>
      <c r="Y2360">
        <v>1880288</v>
      </c>
      <c r="Z2360">
        <v>20251231</v>
      </c>
    </row>
    <row r="2361" spans="3:26" x14ac:dyDescent="0.25">
      <c r="C2361">
        <v>10000001</v>
      </c>
      <c r="D2361" t="s">
        <v>25</v>
      </c>
      <c r="F2361">
        <v>1880288</v>
      </c>
      <c r="H2361" t="s">
        <v>25</v>
      </c>
      <c r="I2361">
        <v>40</v>
      </c>
      <c r="J2361" s="1">
        <v>50000</v>
      </c>
      <c r="K2361" t="s">
        <v>26</v>
      </c>
      <c r="L2361" s="1">
        <v>50000</v>
      </c>
      <c r="M2361" t="s">
        <v>26</v>
      </c>
      <c r="Q2361" t="s">
        <v>27</v>
      </c>
      <c r="T2361" t="s">
        <v>1651</v>
      </c>
      <c r="X2361" t="s">
        <v>30</v>
      </c>
      <c r="Y2361">
        <v>1880288</v>
      </c>
      <c r="Z2361">
        <v>20251231</v>
      </c>
    </row>
    <row r="2362" spans="3:26" x14ac:dyDescent="0.25">
      <c r="C2362">
        <v>10000001</v>
      </c>
      <c r="D2362" t="s">
        <v>25</v>
      </c>
      <c r="F2362">
        <v>1880288</v>
      </c>
      <c r="H2362" t="s">
        <v>25</v>
      </c>
      <c r="I2362">
        <v>40</v>
      </c>
      <c r="J2362" s="1">
        <v>50000</v>
      </c>
      <c r="K2362" t="s">
        <v>26</v>
      </c>
      <c r="L2362" s="1">
        <v>50000</v>
      </c>
      <c r="M2362" t="s">
        <v>26</v>
      </c>
      <c r="Q2362" t="s">
        <v>27</v>
      </c>
      <c r="T2362" t="s">
        <v>1660</v>
      </c>
      <c r="X2362" t="s">
        <v>30</v>
      </c>
      <c r="Y2362">
        <v>1880288</v>
      </c>
      <c r="Z2362">
        <v>20251231</v>
      </c>
    </row>
    <row r="2363" spans="3:26" x14ac:dyDescent="0.25">
      <c r="C2363">
        <v>10000001</v>
      </c>
      <c r="D2363" t="s">
        <v>25</v>
      </c>
      <c r="F2363">
        <v>1880288</v>
      </c>
      <c r="H2363" t="s">
        <v>25</v>
      </c>
      <c r="I2363">
        <v>40</v>
      </c>
      <c r="J2363" s="1">
        <v>50000</v>
      </c>
      <c r="K2363" t="s">
        <v>26</v>
      </c>
      <c r="L2363" s="1">
        <v>50000</v>
      </c>
      <c r="M2363" t="s">
        <v>26</v>
      </c>
      <c r="Q2363" t="s">
        <v>27</v>
      </c>
      <c r="T2363" t="s">
        <v>1650</v>
      </c>
      <c r="X2363" t="s">
        <v>30</v>
      </c>
      <c r="Y2363">
        <v>1880288</v>
      </c>
      <c r="Z2363">
        <v>20251231</v>
      </c>
    </row>
    <row r="2364" spans="3:26" x14ac:dyDescent="0.25">
      <c r="C2364">
        <v>10000001</v>
      </c>
      <c r="D2364" t="s">
        <v>25</v>
      </c>
      <c r="F2364">
        <v>1880288</v>
      </c>
      <c r="H2364" t="s">
        <v>25</v>
      </c>
      <c r="I2364">
        <v>40</v>
      </c>
      <c r="J2364" s="1">
        <v>50000</v>
      </c>
      <c r="K2364" t="s">
        <v>26</v>
      </c>
      <c r="L2364" s="1">
        <v>50000</v>
      </c>
      <c r="M2364" t="s">
        <v>26</v>
      </c>
      <c r="Q2364" t="s">
        <v>27</v>
      </c>
      <c r="T2364" t="s">
        <v>1635</v>
      </c>
      <c r="X2364" t="s">
        <v>30</v>
      </c>
      <c r="Y2364">
        <v>1880288</v>
      </c>
      <c r="Z2364">
        <v>20251231</v>
      </c>
    </row>
    <row r="2365" spans="3:26" x14ac:dyDescent="0.25">
      <c r="C2365">
        <v>10000001</v>
      </c>
      <c r="D2365" t="s">
        <v>25</v>
      </c>
      <c r="F2365">
        <v>1880288</v>
      </c>
      <c r="H2365" t="s">
        <v>25</v>
      </c>
      <c r="I2365">
        <v>40</v>
      </c>
      <c r="J2365" s="1">
        <v>50000</v>
      </c>
      <c r="K2365" t="s">
        <v>26</v>
      </c>
      <c r="L2365" s="1">
        <v>50000</v>
      </c>
      <c r="M2365" t="s">
        <v>26</v>
      </c>
      <c r="Q2365" t="s">
        <v>27</v>
      </c>
      <c r="T2365" t="s">
        <v>1656</v>
      </c>
      <c r="X2365" t="s">
        <v>30</v>
      </c>
      <c r="Y2365">
        <v>1880288</v>
      </c>
      <c r="Z2365">
        <v>20251231</v>
      </c>
    </row>
    <row r="2366" spans="3:26" x14ac:dyDescent="0.25">
      <c r="C2366">
        <v>10000001</v>
      </c>
      <c r="D2366" t="s">
        <v>25</v>
      </c>
      <c r="F2366">
        <v>1880288</v>
      </c>
      <c r="H2366" t="s">
        <v>25</v>
      </c>
      <c r="I2366">
        <v>40</v>
      </c>
      <c r="J2366" s="1">
        <v>50000</v>
      </c>
      <c r="K2366" t="s">
        <v>26</v>
      </c>
      <c r="L2366" s="1">
        <v>50000</v>
      </c>
      <c r="M2366" t="s">
        <v>26</v>
      </c>
      <c r="Q2366" t="s">
        <v>27</v>
      </c>
      <c r="T2366" t="s">
        <v>1653</v>
      </c>
      <c r="X2366" t="s">
        <v>30</v>
      </c>
      <c r="Y2366">
        <v>1880288</v>
      </c>
      <c r="Z2366">
        <v>20251231</v>
      </c>
    </row>
    <row r="2367" spans="3:26" x14ac:dyDescent="0.25">
      <c r="C2367">
        <v>10000001</v>
      </c>
      <c r="D2367" t="s">
        <v>25</v>
      </c>
      <c r="F2367">
        <v>1880288</v>
      </c>
      <c r="H2367" t="s">
        <v>25</v>
      </c>
      <c r="I2367">
        <v>40</v>
      </c>
      <c r="J2367" s="1">
        <v>50000</v>
      </c>
      <c r="K2367" t="s">
        <v>26</v>
      </c>
      <c r="L2367" s="1">
        <v>50000</v>
      </c>
      <c r="M2367" t="s">
        <v>26</v>
      </c>
      <c r="Q2367" t="s">
        <v>27</v>
      </c>
      <c r="T2367" t="s">
        <v>1654</v>
      </c>
      <c r="X2367" t="s">
        <v>30</v>
      </c>
      <c r="Y2367">
        <v>1880288</v>
      </c>
      <c r="Z2367">
        <v>20251231</v>
      </c>
    </row>
    <row r="2368" spans="3:26" x14ac:dyDescent="0.25">
      <c r="C2368">
        <v>10000001</v>
      </c>
      <c r="D2368" t="s">
        <v>25</v>
      </c>
      <c r="F2368">
        <v>1880288</v>
      </c>
      <c r="H2368" t="s">
        <v>25</v>
      </c>
      <c r="I2368">
        <v>40</v>
      </c>
      <c r="J2368" s="1">
        <v>50000</v>
      </c>
      <c r="K2368" t="s">
        <v>26</v>
      </c>
      <c r="L2368" s="1">
        <v>50000</v>
      </c>
      <c r="M2368" t="s">
        <v>26</v>
      </c>
      <c r="Q2368" t="s">
        <v>27</v>
      </c>
      <c r="T2368" t="s">
        <v>1718</v>
      </c>
      <c r="X2368" t="s">
        <v>30</v>
      </c>
      <c r="Y2368">
        <v>1880288</v>
      </c>
      <c r="Z2368">
        <v>20251231</v>
      </c>
    </row>
    <row r="2369" spans="3:26" x14ac:dyDescent="0.25">
      <c r="C2369">
        <v>10000001</v>
      </c>
      <c r="D2369" t="s">
        <v>25</v>
      </c>
      <c r="F2369">
        <v>1880288</v>
      </c>
      <c r="H2369" t="s">
        <v>25</v>
      </c>
      <c r="I2369">
        <v>40</v>
      </c>
      <c r="J2369" s="1">
        <v>50000</v>
      </c>
      <c r="K2369" t="s">
        <v>26</v>
      </c>
      <c r="L2369" s="1">
        <v>50000</v>
      </c>
      <c r="M2369" t="s">
        <v>26</v>
      </c>
      <c r="Q2369" t="s">
        <v>27</v>
      </c>
      <c r="T2369" t="s">
        <v>1655</v>
      </c>
      <c r="X2369" t="s">
        <v>30</v>
      </c>
      <c r="Y2369">
        <v>1880288</v>
      </c>
      <c r="Z2369">
        <v>20251231</v>
      </c>
    </row>
    <row r="2370" spans="3:26" x14ac:dyDescent="0.25">
      <c r="C2370">
        <v>10000001</v>
      </c>
      <c r="D2370" t="s">
        <v>25</v>
      </c>
      <c r="F2370">
        <v>1880288</v>
      </c>
      <c r="H2370" t="s">
        <v>25</v>
      </c>
      <c r="I2370">
        <v>40</v>
      </c>
      <c r="J2370" s="1">
        <v>50000</v>
      </c>
      <c r="K2370" t="s">
        <v>26</v>
      </c>
      <c r="L2370" s="1">
        <v>50000</v>
      </c>
      <c r="M2370" t="s">
        <v>26</v>
      </c>
      <c r="Q2370" t="s">
        <v>27</v>
      </c>
      <c r="T2370" t="s">
        <v>1659</v>
      </c>
      <c r="X2370" t="s">
        <v>30</v>
      </c>
      <c r="Y2370">
        <v>1880288</v>
      </c>
      <c r="Z2370">
        <v>20251231</v>
      </c>
    </row>
    <row r="2371" spans="3:26" x14ac:dyDescent="0.25">
      <c r="C2371">
        <v>10000001</v>
      </c>
      <c r="D2371" t="s">
        <v>25</v>
      </c>
      <c r="F2371">
        <v>1880288</v>
      </c>
      <c r="H2371" t="s">
        <v>25</v>
      </c>
      <c r="I2371">
        <v>40</v>
      </c>
      <c r="J2371" s="1">
        <v>50000</v>
      </c>
      <c r="K2371" t="s">
        <v>26</v>
      </c>
      <c r="L2371" s="1">
        <v>50000</v>
      </c>
      <c r="M2371" t="s">
        <v>26</v>
      </c>
      <c r="Q2371" t="s">
        <v>27</v>
      </c>
      <c r="T2371" t="s">
        <v>1704</v>
      </c>
      <c r="X2371" t="s">
        <v>30</v>
      </c>
      <c r="Y2371">
        <v>1880288</v>
      </c>
      <c r="Z2371">
        <v>20251231</v>
      </c>
    </row>
    <row r="2372" spans="3:26" x14ac:dyDescent="0.25">
      <c r="C2372">
        <v>10000001</v>
      </c>
      <c r="D2372" t="s">
        <v>25</v>
      </c>
      <c r="F2372">
        <v>1880288</v>
      </c>
      <c r="H2372" t="s">
        <v>25</v>
      </c>
      <c r="I2372">
        <v>40</v>
      </c>
      <c r="J2372" s="1">
        <v>50000</v>
      </c>
      <c r="K2372" t="s">
        <v>26</v>
      </c>
      <c r="L2372" s="1">
        <v>50000</v>
      </c>
      <c r="M2372" t="s">
        <v>26</v>
      </c>
      <c r="Q2372" t="s">
        <v>27</v>
      </c>
      <c r="T2372" t="s">
        <v>1721</v>
      </c>
      <c r="X2372" t="s">
        <v>30</v>
      </c>
      <c r="Y2372">
        <v>1880288</v>
      </c>
      <c r="Z2372">
        <v>20251231</v>
      </c>
    </row>
    <row r="2373" spans="3:26" x14ac:dyDescent="0.25">
      <c r="C2373">
        <v>10000001</v>
      </c>
      <c r="D2373" t="s">
        <v>25</v>
      </c>
      <c r="F2373">
        <v>1880288</v>
      </c>
      <c r="H2373" t="s">
        <v>25</v>
      </c>
      <c r="I2373">
        <v>40</v>
      </c>
      <c r="J2373" s="1">
        <v>50000</v>
      </c>
      <c r="K2373" t="s">
        <v>26</v>
      </c>
      <c r="L2373" s="1">
        <v>50000</v>
      </c>
      <c r="M2373" t="s">
        <v>26</v>
      </c>
      <c r="Q2373" t="s">
        <v>27</v>
      </c>
      <c r="T2373" t="s">
        <v>1767</v>
      </c>
      <c r="X2373" t="s">
        <v>30</v>
      </c>
      <c r="Y2373">
        <v>1880288</v>
      </c>
      <c r="Z2373">
        <v>20251231</v>
      </c>
    </row>
    <row r="2374" spans="3:26" x14ac:dyDescent="0.25">
      <c r="C2374">
        <v>10000001</v>
      </c>
      <c r="D2374" t="s">
        <v>25</v>
      </c>
      <c r="F2374">
        <v>1880288</v>
      </c>
      <c r="H2374" t="s">
        <v>25</v>
      </c>
      <c r="I2374">
        <v>40</v>
      </c>
      <c r="J2374" s="1">
        <v>50000</v>
      </c>
      <c r="K2374" t="s">
        <v>26</v>
      </c>
      <c r="L2374" s="1">
        <v>50000</v>
      </c>
      <c r="M2374" t="s">
        <v>26</v>
      </c>
      <c r="Q2374" t="s">
        <v>27</v>
      </c>
      <c r="T2374" t="s">
        <v>1768</v>
      </c>
      <c r="X2374" t="s">
        <v>30</v>
      </c>
      <c r="Y2374">
        <v>1880288</v>
      </c>
      <c r="Z2374">
        <v>20251231</v>
      </c>
    </row>
    <row r="2375" spans="3:26" x14ac:dyDescent="0.25">
      <c r="C2375">
        <v>10000001</v>
      </c>
      <c r="D2375" t="s">
        <v>25</v>
      </c>
      <c r="F2375">
        <v>1880288</v>
      </c>
      <c r="H2375" t="s">
        <v>25</v>
      </c>
      <c r="I2375">
        <v>40</v>
      </c>
      <c r="J2375" s="1">
        <v>50000</v>
      </c>
      <c r="K2375" t="s">
        <v>26</v>
      </c>
      <c r="L2375" s="1">
        <v>50000</v>
      </c>
      <c r="M2375" t="s">
        <v>26</v>
      </c>
      <c r="Q2375" t="s">
        <v>27</v>
      </c>
      <c r="T2375" t="s">
        <v>1725</v>
      </c>
      <c r="X2375" t="s">
        <v>30</v>
      </c>
      <c r="Y2375">
        <v>1880288</v>
      </c>
      <c r="Z2375">
        <v>20251231</v>
      </c>
    </row>
    <row r="2376" spans="3:26" x14ac:dyDescent="0.25">
      <c r="C2376">
        <v>10000001</v>
      </c>
      <c r="D2376" t="s">
        <v>25</v>
      </c>
      <c r="F2376">
        <v>1880288</v>
      </c>
      <c r="H2376" t="s">
        <v>25</v>
      </c>
      <c r="I2376">
        <v>40</v>
      </c>
      <c r="J2376" s="1">
        <v>50000</v>
      </c>
      <c r="K2376" t="s">
        <v>26</v>
      </c>
      <c r="L2376" s="1">
        <v>50000</v>
      </c>
      <c r="M2376" t="s">
        <v>26</v>
      </c>
      <c r="Q2376" t="s">
        <v>27</v>
      </c>
      <c r="T2376" t="s">
        <v>1799</v>
      </c>
      <c r="X2376" t="s">
        <v>30</v>
      </c>
      <c r="Y2376">
        <v>1880288</v>
      </c>
      <c r="Z2376">
        <v>20251231</v>
      </c>
    </row>
    <row r="2377" spans="3:26" x14ac:dyDescent="0.25">
      <c r="C2377">
        <v>10000001</v>
      </c>
      <c r="D2377" t="s">
        <v>25</v>
      </c>
      <c r="F2377">
        <v>1880288</v>
      </c>
      <c r="H2377" t="s">
        <v>25</v>
      </c>
      <c r="I2377">
        <v>40</v>
      </c>
      <c r="J2377" s="1">
        <v>50000</v>
      </c>
      <c r="K2377" t="s">
        <v>26</v>
      </c>
      <c r="L2377" s="1">
        <v>50000</v>
      </c>
      <c r="M2377" t="s">
        <v>26</v>
      </c>
      <c r="Q2377" t="s">
        <v>27</v>
      </c>
      <c r="T2377" t="s">
        <v>1687</v>
      </c>
      <c r="X2377" t="s">
        <v>30</v>
      </c>
      <c r="Y2377">
        <v>1880288</v>
      </c>
      <c r="Z2377">
        <v>20251231</v>
      </c>
    </row>
    <row r="2378" spans="3:26" x14ac:dyDescent="0.25">
      <c r="C2378">
        <v>10000001</v>
      </c>
      <c r="D2378" t="s">
        <v>25</v>
      </c>
      <c r="F2378">
        <v>1880288</v>
      </c>
      <c r="H2378" t="s">
        <v>25</v>
      </c>
      <c r="I2378">
        <v>40</v>
      </c>
      <c r="J2378" s="1">
        <v>50000</v>
      </c>
      <c r="K2378" t="s">
        <v>26</v>
      </c>
      <c r="L2378" s="1">
        <v>50000</v>
      </c>
      <c r="M2378" t="s">
        <v>26</v>
      </c>
      <c r="Q2378" t="s">
        <v>27</v>
      </c>
      <c r="T2378" t="s">
        <v>1642</v>
      </c>
      <c r="X2378" t="s">
        <v>30</v>
      </c>
      <c r="Y2378">
        <v>1880288</v>
      </c>
      <c r="Z2378">
        <v>20251231</v>
      </c>
    </row>
    <row r="2379" spans="3:26" x14ac:dyDescent="0.25">
      <c r="C2379">
        <v>10000001</v>
      </c>
      <c r="D2379" t="s">
        <v>25</v>
      </c>
      <c r="F2379">
        <v>1880288</v>
      </c>
      <c r="H2379" t="s">
        <v>25</v>
      </c>
      <c r="I2379">
        <v>40</v>
      </c>
      <c r="J2379" s="1">
        <v>50000</v>
      </c>
      <c r="K2379" t="s">
        <v>26</v>
      </c>
      <c r="L2379" s="1">
        <v>50000</v>
      </c>
      <c r="M2379" t="s">
        <v>26</v>
      </c>
      <c r="Q2379" t="s">
        <v>27</v>
      </c>
      <c r="T2379" t="s">
        <v>1643</v>
      </c>
      <c r="X2379" t="s">
        <v>30</v>
      </c>
      <c r="Y2379">
        <v>1880288</v>
      </c>
      <c r="Z2379">
        <v>20251231</v>
      </c>
    </row>
    <row r="2380" spans="3:26" x14ac:dyDescent="0.25">
      <c r="C2380">
        <v>10000001</v>
      </c>
      <c r="D2380" t="s">
        <v>25</v>
      </c>
      <c r="F2380">
        <v>1880288</v>
      </c>
      <c r="H2380" t="s">
        <v>25</v>
      </c>
      <c r="I2380">
        <v>40</v>
      </c>
      <c r="J2380" s="1">
        <v>50000</v>
      </c>
      <c r="K2380" t="s">
        <v>26</v>
      </c>
      <c r="L2380" s="1">
        <v>50000</v>
      </c>
      <c r="M2380" t="s">
        <v>26</v>
      </c>
      <c r="Q2380" t="s">
        <v>27</v>
      </c>
      <c r="T2380" t="s">
        <v>1814</v>
      </c>
      <c r="X2380" t="s">
        <v>30</v>
      </c>
      <c r="Y2380">
        <v>1880288</v>
      </c>
      <c r="Z2380">
        <v>20251231</v>
      </c>
    </row>
    <row r="2381" spans="3:26" x14ac:dyDescent="0.25">
      <c r="C2381">
        <v>10000001</v>
      </c>
      <c r="D2381" t="s">
        <v>25</v>
      </c>
      <c r="F2381">
        <v>1880288</v>
      </c>
      <c r="H2381" t="s">
        <v>25</v>
      </c>
      <c r="I2381">
        <v>40</v>
      </c>
      <c r="J2381" s="1">
        <v>50000</v>
      </c>
      <c r="K2381" t="s">
        <v>26</v>
      </c>
      <c r="L2381" s="1">
        <v>50000</v>
      </c>
      <c r="M2381" t="s">
        <v>26</v>
      </c>
      <c r="Q2381" t="s">
        <v>27</v>
      </c>
      <c r="T2381" t="s">
        <v>1815</v>
      </c>
      <c r="X2381" t="s">
        <v>30</v>
      </c>
      <c r="Y2381">
        <v>1880288</v>
      </c>
      <c r="Z2381">
        <v>20251231</v>
      </c>
    </row>
    <row r="2382" spans="3:26" x14ac:dyDescent="0.25">
      <c r="C2382">
        <v>10000001</v>
      </c>
      <c r="D2382" t="s">
        <v>25</v>
      </c>
      <c r="F2382">
        <v>1880288</v>
      </c>
      <c r="H2382" t="s">
        <v>25</v>
      </c>
      <c r="I2382">
        <v>40</v>
      </c>
      <c r="J2382" s="1">
        <v>50000</v>
      </c>
      <c r="K2382" t="s">
        <v>26</v>
      </c>
      <c r="L2382" s="1">
        <v>50000</v>
      </c>
      <c r="M2382" t="s">
        <v>26</v>
      </c>
      <c r="Q2382" t="s">
        <v>27</v>
      </c>
      <c r="T2382" t="s">
        <v>1638</v>
      </c>
      <c r="X2382" t="s">
        <v>30</v>
      </c>
      <c r="Y2382">
        <v>1880288</v>
      </c>
      <c r="Z2382">
        <v>20251231</v>
      </c>
    </row>
    <row r="2383" spans="3:26" x14ac:dyDescent="0.25">
      <c r="C2383">
        <v>10000001</v>
      </c>
      <c r="D2383" t="s">
        <v>25</v>
      </c>
      <c r="F2383">
        <v>1880288</v>
      </c>
      <c r="H2383" t="s">
        <v>25</v>
      </c>
      <c r="I2383">
        <v>40</v>
      </c>
      <c r="J2383" s="1">
        <v>50000</v>
      </c>
      <c r="K2383" t="s">
        <v>26</v>
      </c>
      <c r="L2383" s="1">
        <v>50000</v>
      </c>
      <c r="M2383" t="s">
        <v>26</v>
      </c>
      <c r="Q2383" t="s">
        <v>27</v>
      </c>
      <c r="T2383" t="s">
        <v>1811</v>
      </c>
      <c r="X2383" t="s">
        <v>30</v>
      </c>
      <c r="Y2383">
        <v>1880288</v>
      </c>
      <c r="Z2383">
        <v>20251231</v>
      </c>
    </row>
    <row r="2384" spans="3:26" x14ac:dyDescent="0.25">
      <c r="C2384">
        <v>10000001</v>
      </c>
      <c r="D2384" t="s">
        <v>25</v>
      </c>
      <c r="F2384">
        <v>1880288</v>
      </c>
      <c r="H2384" t="s">
        <v>25</v>
      </c>
      <c r="I2384">
        <v>40</v>
      </c>
      <c r="J2384" s="1">
        <v>50000</v>
      </c>
      <c r="K2384" t="s">
        <v>26</v>
      </c>
      <c r="L2384" s="1">
        <v>50000</v>
      </c>
      <c r="M2384" t="s">
        <v>26</v>
      </c>
      <c r="Q2384" t="s">
        <v>27</v>
      </c>
      <c r="T2384" t="s">
        <v>1825</v>
      </c>
      <c r="X2384" t="s">
        <v>30</v>
      </c>
      <c r="Y2384">
        <v>1880288</v>
      </c>
      <c r="Z2384">
        <v>20251231</v>
      </c>
    </row>
    <row r="2385" spans="3:26" x14ac:dyDescent="0.25">
      <c r="C2385">
        <v>10000001</v>
      </c>
      <c r="D2385" t="s">
        <v>25</v>
      </c>
      <c r="F2385">
        <v>1880288</v>
      </c>
      <c r="H2385" t="s">
        <v>25</v>
      </c>
      <c r="I2385">
        <v>40</v>
      </c>
      <c r="J2385" s="1">
        <v>50000</v>
      </c>
      <c r="K2385" t="s">
        <v>26</v>
      </c>
      <c r="L2385" s="1">
        <v>50000</v>
      </c>
      <c r="M2385" t="s">
        <v>26</v>
      </c>
      <c r="Q2385" t="s">
        <v>27</v>
      </c>
      <c r="T2385" t="s">
        <v>1626</v>
      </c>
      <c r="X2385" t="s">
        <v>30</v>
      </c>
      <c r="Y2385">
        <v>1880288</v>
      </c>
      <c r="Z2385">
        <v>20251231</v>
      </c>
    </row>
    <row r="2386" spans="3:26" x14ac:dyDescent="0.25">
      <c r="C2386">
        <v>10000001</v>
      </c>
      <c r="D2386" t="s">
        <v>25</v>
      </c>
      <c r="F2386">
        <v>1880288</v>
      </c>
      <c r="H2386" t="s">
        <v>25</v>
      </c>
      <c r="I2386">
        <v>40</v>
      </c>
      <c r="J2386" s="1">
        <v>50000</v>
      </c>
      <c r="K2386" t="s">
        <v>26</v>
      </c>
      <c r="L2386" s="1">
        <v>50000</v>
      </c>
      <c r="M2386" t="s">
        <v>26</v>
      </c>
      <c r="Q2386" t="s">
        <v>27</v>
      </c>
      <c r="T2386" t="s">
        <v>1627</v>
      </c>
      <c r="X2386" t="s">
        <v>30</v>
      </c>
      <c r="Y2386">
        <v>1880288</v>
      </c>
      <c r="Z2386">
        <v>20251231</v>
      </c>
    </row>
    <row r="2387" spans="3:26" x14ac:dyDescent="0.25">
      <c r="C2387">
        <v>10000001</v>
      </c>
      <c r="D2387" t="s">
        <v>25</v>
      </c>
      <c r="F2387">
        <v>1880288</v>
      </c>
      <c r="H2387" t="s">
        <v>25</v>
      </c>
      <c r="I2387">
        <v>40</v>
      </c>
      <c r="J2387" s="1">
        <v>50000</v>
      </c>
      <c r="K2387" t="s">
        <v>26</v>
      </c>
      <c r="L2387" s="1">
        <v>50000</v>
      </c>
      <c r="M2387" t="s">
        <v>26</v>
      </c>
      <c r="Q2387" t="s">
        <v>27</v>
      </c>
      <c r="T2387" t="s">
        <v>1700</v>
      </c>
      <c r="X2387" t="s">
        <v>30</v>
      </c>
      <c r="Y2387">
        <v>1880288</v>
      </c>
      <c r="Z2387">
        <v>20251231</v>
      </c>
    </row>
    <row r="2388" spans="3:26" x14ac:dyDescent="0.25">
      <c r="C2388">
        <v>10000001</v>
      </c>
      <c r="D2388" t="s">
        <v>25</v>
      </c>
      <c r="F2388">
        <v>1880288</v>
      </c>
      <c r="H2388" t="s">
        <v>25</v>
      </c>
      <c r="I2388">
        <v>40</v>
      </c>
      <c r="J2388" s="1">
        <v>50000</v>
      </c>
      <c r="K2388" t="s">
        <v>26</v>
      </c>
      <c r="L2388" s="1">
        <v>50000</v>
      </c>
      <c r="M2388" t="s">
        <v>26</v>
      </c>
      <c r="Q2388" t="s">
        <v>27</v>
      </c>
      <c r="T2388" t="s">
        <v>1641</v>
      </c>
      <c r="X2388" t="s">
        <v>30</v>
      </c>
      <c r="Y2388">
        <v>1880288</v>
      </c>
      <c r="Z2388">
        <v>20251231</v>
      </c>
    </row>
    <row r="2389" spans="3:26" x14ac:dyDescent="0.25">
      <c r="C2389">
        <v>10000001</v>
      </c>
      <c r="D2389" t="s">
        <v>25</v>
      </c>
      <c r="F2389">
        <v>1880288</v>
      </c>
      <c r="H2389" t="s">
        <v>25</v>
      </c>
      <c r="I2389">
        <v>40</v>
      </c>
      <c r="J2389" s="1">
        <v>50000</v>
      </c>
      <c r="K2389" t="s">
        <v>26</v>
      </c>
      <c r="L2389" s="1">
        <v>50000</v>
      </c>
      <c r="M2389" t="s">
        <v>26</v>
      </c>
      <c r="Q2389" t="s">
        <v>27</v>
      </c>
      <c r="T2389" t="s">
        <v>1639</v>
      </c>
      <c r="X2389" t="s">
        <v>30</v>
      </c>
      <c r="Y2389">
        <v>1880288</v>
      </c>
      <c r="Z2389">
        <v>20251231</v>
      </c>
    </row>
    <row r="2390" spans="3:26" x14ac:dyDescent="0.25">
      <c r="C2390">
        <v>10000001</v>
      </c>
      <c r="D2390" t="s">
        <v>25</v>
      </c>
      <c r="F2390">
        <v>1880288</v>
      </c>
      <c r="H2390" t="s">
        <v>25</v>
      </c>
      <c r="I2390">
        <v>40</v>
      </c>
      <c r="J2390" s="1">
        <v>50000</v>
      </c>
      <c r="K2390" t="s">
        <v>26</v>
      </c>
      <c r="L2390" s="1">
        <v>50000</v>
      </c>
      <c r="M2390" t="s">
        <v>26</v>
      </c>
      <c r="Q2390" t="s">
        <v>27</v>
      </c>
      <c r="T2390" t="s">
        <v>1640</v>
      </c>
      <c r="X2390" t="s">
        <v>30</v>
      </c>
      <c r="Y2390">
        <v>1880288</v>
      </c>
      <c r="Z2390">
        <v>20251231</v>
      </c>
    </row>
    <row r="2391" spans="3:26" x14ac:dyDescent="0.25">
      <c r="C2391">
        <v>10000001</v>
      </c>
      <c r="D2391" t="s">
        <v>25</v>
      </c>
      <c r="F2391">
        <v>1880288</v>
      </c>
      <c r="H2391" t="s">
        <v>25</v>
      </c>
      <c r="I2391">
        <v>40</v>
      </c>
      <c r="J2391" s="1">
        <v>50000</v>
      </c>
      <c r="K2391" t="s">
        <v>26</v>
      </c>
      <c r="L2391" s="1">
        <v>50000</v>
      </c>
      <c r="M2391" t="s">
        <v>26</v>
      </c>
      <c r="Q2391" t="s">
        <v>27</v>
      </c>
      <c r="T2391" t="s">
        <v>1813</v>
      </c>
      <c r="X2391" t="s">
        <v>30</v>
      </c>
      <c r="Y2391">
        <v>1880288</v>
      </c>
      <c r="Z2391">
        <v>20251231</v>
      </c>
    </row>
    <row r="2392" spans="3:26" x14ac:dyDescent="0.25">
      <c r="C2392">
        <v>10000001</v>
      </c>
      <c r="D2392" t="s">
        <v>25</v>
      </c>
      <c r="F2392">
        <v>1880288</v>
      </c>
      <c r="H2392" t="s">
        <v>25</v>
      </c>
      <c r="I2392">
        <v>40</v>
      </c>
      <c r="J2392" s="1">
        <v>50000</v>
      </c>
      <c r="K2392" t="s">
        <v>26</v>
      </c>
      <c r="L2392" s="1">
        <v>50000</v>
      </c>
      <c r="M2392" t="s">
        <v>26</v>
      </c>
      <c r="Q2392" t="s">
        <v>27</v>
      </c>
      <c r="T2392" t="s">
        <v>1812</v>
      </c>
      <c r="X2392" t="s">
        <v>30</v>
      </c>
      <c r="Y2392">
        <v>1880288</v>
      </c>
      <c r="Z2392">
        <v>20251231</v>
      </c>
    </row>
    <row r="2393" spans="3:26" x14ac:dyDescent="0.25">
      <c r="C2393">
        <v>10000001</v>
      </c>
      <c r="D2393" t="s">
        <v>25</v>
      </c>
      <c r="F2393">
        <v>1880288</v>
      </c>
      <c r="H2393" t="s">
        <v>25</v>
      </c>
      <c r="I2393">
        <v>40</v>
      </c>
      <c r="J2393" s="1">
        <v>50000</v>
      </c>
      <c r="K2393" t="s">
        <v>26</v>
      </c>
      <c r="L2393" s="1">
        <v>50000</v>
      </c>
      <c r="M2393" t="s">
        <v>26</v>
      </c>
      <c r="Q2393" t="s">
        <v>27</v>
      </c>
      <c r="T2393" t="s">
        <v>1798</v>
      </c>
      <c r="X2393" t="s">
        <v>30</v>
      </c>
      <c r="Y2393">
        <v>1880288</v>
      </c>
      <c r="Z2393">
        <v>20251231</v>
      </c>
    </row>
    <row r="2394" spans="3:26" x14ac:dyDescent="0.25">
      <c r="C2394">
        <v>10000001</v>
      </c>
      <c r="D2394" t="s">
        <v>25</v>
      </c>
      <c r="F2394">
        <v>1880288</v>
      </c>
      <c r="H2394" t="s">
        <v>25</v>
      </c>
      <c r="I2394">
        <v>40</v>
      </c>
      <c r="J2394" s="1">
        <v>50000</v>
      </c>
      <c r="K2394" t="s">
        <v>26</v>
      </c>
      <c r="L2394" s="1">
        <v>50000</v>
      </c>
      <c r="M2394" t="s">
        <v>26</v>
      </c>
      <c r="Q2394" t="s">
        <v>27</v>
      </c>
      <c r="T2394" t="s">
        <v>1831</v>
      </c>
      <c r="X2394" t="s">
        <v>30</v>
      </c>
      <c r="Y2394">
        <v>1880288</v>
      </c>
      <c r="Z2394">
        <v>20251231</v>
      </c>
    </row>
    <row r="2395" spans="3:26" x14ac:dyDescent="0.25">
      <c r="C2395">
        <v>10000001</v>
      </c>
      <c r="D2395" t="s">
        <v>25</v>
      </c>
      <c r="F2395">
        <v>1880288</v>
      </c>
      <c r="H2395" t="s">
        <v>25</v>
      </c>
      <c r="I2395">
        <v>40</v>
      </c>
      <c r="J2395" s="1">
        <v>50000</v>
      </c>
      <c r="K2395" t="s">
        <v>26</v>
      </c>
      <c r="L2395" s="1">
        <v>50000</v>
      </c>
      <c r="M2395" t="s">
        <v>26</v>
      </c>
      <c r="Q2395" t="s">
        <v>27</v>
      </c>
      <c r="T2395" t="s">
        <v>1692</v>
      </c>
      <c r="X2395" t="s">
        <v>30</v>
      </c>
      <c r="Y2395">
        <v>1880288</v>
      </c>
      <c r="Z2395">
        <v>20251231</v>
      </c>
    </row>
    <row r="2396" spans="3:26" x14ac:dyDescent="0.25">
      <c r="C2396">
        <v>10000001</v>
      </c>
      <c r="D2396" t="s">
        <v>25</v>
      </c>
      <c r="F2396">
        <v>1880288</v>
      </c>
      <c r="H2396" t="s">
        <v>25</v>
      </c>
      <c r="I2396">
        <v>40</v>
      </c>
      <c r="J2396" s="1">
        <v>50000</v>
      </c>
      <c r="K2396" t="s">
        <v>26</v>
      </c>
      <c r="L2396" s="1">
        <v>50000</v>
      </c>
      <c r="M2396" t="s">
        <v>26</v>
      </c>
      <c r="Q2396" t="s">
        <v>27</v>
      </c>
      <c r="T2396" t="s">
        <v>1682</v>
      </c>
      <c r="X2396" t="s">
        <v>30</v>
      </c>
      <c r="Y2396">
        <v>1880288</v>
      </c>
      <c r="Z2396">
        <v>20251231</v>
      </c>
    </row>
    <row r="2397" spans="3:26" x14ac:dyDescent="0.25">
      <c r="C2397">
        <v>10000001</v>
      </c>
      <c r="D2397" t="s">
        <v>25</v>
      </c>
      <c r="F2397">
        <v>1880288</v>
      </c>
      <c r="H2397" t="s">
        <v>25</v>
      </c>
      <c r="I2397">
        <v>40</v>
      </c>
      <c r="J2397" s="1">
        <v>50000</v>
      </c>
      <c r="K2397" t="s">
        <v>26</v>
      </c>
      <c r="L2397" s="1">
        <v>50000</v>
      </c>
      <c r="M2397" t="s">
        <v>26</v>
      </c>
      <c r="Q2397" t="s">
        <v>27</v>
      </c>
      <c r="T2397" t="s">
        <v>1603</v>
      </c>
      <c r="X2397" t="s">
        <v>30</v>
      </c>
      <c r="Y2397">
        <v>1880288</v>
      </c>
      <c r="Z2397">
        <v>20251231</v>
      </c>
    </row>
    <row r="2398" spans="3:26" x14ac:dyDescent="0.25">
      <c r="C2398">
        <v>10000001</v>
      </c>
      <c r="D2398" t="s">
        <v>25</v>
      </c>
      <c r="F2398">
        <v>1880288</v>
      </c>
      <c r="H2398" t="s">
        <v>25</v>
      </c>
      <c r="I2398">
        <v>40</v>
      </c>
      <c r="J2398" s="1">
        <v>50000</v>
      </c>
      <c r="K2398" t="s">
        <v>26</v>
      </c>
      <c r="L2398" s="1">
        <v>50000</v>
      </c>
      <c r="M2398" t="s">
        <v>26</v>
      </c>
      <c r="Q2398" t="s">
        <v>27</v>
      </c>
      <c r="T2398" t="s">
        <v>1637</v>
      </c>
      <c r="X2398" t="s">
        <v>30</v>
      </c>
      <c r="Y2398">
        <v>1880288</v>
      </c>
      <c r="Z2398">
        <v>20251231</v>
      </c>
    </row>
    <row r="2399" spans="3:26" x14ac:dyDescent="0.25">
      <c r="C2399">
        <v>10000001</v>
      </c>
      <c r="D2399" t="s">
        <v>25</v>
      </c>
      <c r="F2399">
        <v>1880288</v>
      </c>
      <c r="H2399" t="s">
        <v>25</v>
      </c>
      <c r="I2399">
        <v>40</v>
      </c>
      <c r="J2399" s="1">
        <v>50000</v>
      </c>
      <c r="K2399" t="s">
        <v>26</v>
      </c>
      <c r="L2399" s="1">
        <v>50000</v>
      </c>
      <c r="M2399" t="s">
        <v>26</v>
      </c>
      <c r="Q2399" t="s">
        <v>27</v>
      </c>
      <c r="T2399" t="s">
        <v>1866</v>
      </c>
      <c r="X2399" t="s">
        <v>30</v>
      </c>
      <c r="Y2399">
        <v>1880288</v>
      </c>
      <c r="Z2399">
        <v>20251231</v>
      </c>
    </row>
    <row r="2400" spans="3:26" x14ac:dyDescent="0.25">
      <c r="C2400">
        <v>10000001</v>
      </c>
      <c r="D2400" t="s">
        <v>25</v>
      </c>
      <c r="F2400">
        <v>1880288</v>
      </c>
      <c r="H2400" t="s">
        <v>25</v>
      </c>
      <c r="I2400">
        <v>40</v>
      </c>
      <c r="J2400" s="1">
        <v>50000</v>
      </c>
      <c r="K2400" t="s">
        <v>26</v>
      </c>
      <c r="L2400" s="1">
        <v>50000</v>
      </c>
      <c r="M2400" t="s">
        <v>26</v>
      </c>
      <c r="Q2400" t="s">
        <v>27</v>
      </c>
      <c r="T2400" t="s">
        <v>1864</v>
      </c>
      <c r="X2400" t="s">
        <v>30</v>
      </c>
      <c r="Y2400">
        <v>1880288</v>
      </c>
      <c r="Z2400">
        <v>20251231</v>
      </c>
    </row>
    <row r="2401" spans="3:26" x14ac:dyDescent="0.25">
      <c r="C2401">
        <v>10000001</v>
      </c>
      <c r="D2401" t="s">
        <v>25</v>
      </c>
      <c r="F2401">
        <v>1880288</v>
      </c>
      <c r="H2401" t="s">
        <v>25</v>
      </c>
      <c r="I2401">
        <v>40</v>
      </c>
      <c r="J2401" s="1">
        <v>50000</v>
      </c>
      <c r="K2401" t="s">
        <v>26</v>
      </c>
      <c r="L2401" s="1">
        <v>50000</v>
      </c>
      <c r="M2401" t="s">
        <v>26</v>
      </c>
      <c r="Q2401" t="s">
        <v>27</v>
      </c>
      <c r="T2401" t="s">
        <v>1862</v>
      </c>
      <c r="X2401" t="s">
        <v>30</v>
      </c>
      <c r="Y2401">
        <v>1880288</v>
      </c>
      <c r="Z2401">
        <v>20251231</v>
      </c>
    </row>
    <row r="2402" spans="3:26" x14ac:dyDescent="0.25">
      <c r="C2402">
        <v>10000001</v>
      </c>
      <c r="D2402" t="s">
        <v>25</v>
      </c>
      <c r="F2402">
        <v>1880288</v>
      </c>
      <c r="H2402" t="s">
        <v>25</v>
      </c>
      <c r="I2402">
        <v>40</v>
      </c>
      <c r="J2402" s="1">
        <v>50000</v>
      </c>
      <c r="K2402" t="s">
        <v>26</v>
      </c>
      <c r="L2402" s="1">
        <v>50000</v>
      </c>
      <c r="M2402" t="s">
        <v>26</v>
      </c>
      <c r="Q2402" t="s">
        <v>27</v>
      </c>
      <c r="T2402" t="s">
        <v>1826</v>
      </c>
      <c r="X2402" t="s">
        <v>30</v>
      </c>
      <c r="Y2402">
        <v>1880288</v>
      </c>
      <c r="Z2402">
        <v>20251231</v>
      </c>
    </row>
    <row r="2403" spans="3:26" x14ac:dyDescent="0.25">
      <c r="C2403">
        <v>10000001</v>
      </c>
      <c r="D2403" t="s">
        <v>25</v>
      </c>
      <c r="F2403">
        <v>1880288</v>
      </c>
      <c r="H2403" t="s">
        <v>25</v>
      </c>
      <c r="I2403">
        <v>40</v>
      </c>
      <c r="J2403" s="1">
        <v>50000</v>
      </c>
      <c r="K2403" t="s">
        <v>26</v>
      </c>
      <c r="L2403" s="1">
        <v>50000</v>
      </c>
      <c r="M2403" t="s">
        <v>26</v>
      </c>
      <c r="Q2403" t="s">
        <v>27</v>
      </c>
      <c r="T2403" t="s">
        <v>1855</v>
      </c>
      <c r="X2403" t="s">
        <v>30</v>
      </c>
      <c r="Y2403">
        <v>1880288</v>
      </c>
      <c r="Z2403">
        <v>20251231</v>
      </c>
    </row>
    <row r="2404" spans="3:26" x14ac:dyDescent="0.25">
      <c r="C2404">
        <v>10000001</v>
      </c>
      <c r="D2404" t="s">
        <v>25</v>
      </c>
      <c r="F2404">
        <v>1880288</v>
      </c>
      <c r="H2404" t="s">
        <v>25</v>
      </c>
      <c r="I2404">
        <v>40</v>
      </c>
      <c r="J2404" s="1">
        <v>50000</v>
      </c>
      <c r="K2404" t="s">
        <v>26</v>
      </c>
      <c r="L2404" s="1">
        <v>50000</v>
      </c>
      <c r="M2404" t="s">
        <v>26</v>
      </c>
      <c r="Q2404" t="s">
        <v>27</v>
      </c>
      <c r="T2404" t="s">
        <v>1688</v>
      </c>
      <c r="X2404" t="s">
        <v>30</v>
      </c>
      <c r="Y2404">
        <v>1880288</v>
      </c>
      <c r="Z2404">
        <v>20251231</v>
      </c>
    </row>
    <row r="2405" spans="3:26" x14ac:dyDescent="0.25">
      <c r="C2405">
        <v>10000001</v>
      </c>
      <c r="D2405" t="s">
        <v>25</v>
      </c>
      <c r="F2405">
        <v>1880288</v>
      </c>
      <c r="H2405" t="s">
        <v>25</v>
      </c>
      <c r="I2405">
        <v>40</v>
      </c>
      <c r="J2405" s="1">
        <v>50000</v>
      </c>
      <c r="K2405" t="s">
        <v>26</v>
      </c>
      <c r="L2405" s="1">
        <v>50000</v>
      </c>
      <c r="M2405" t="s">
        <v>26</v>
      </c>
      <c r="Q2405" t="s">
        <v>27</v>
      </c>
      <c r="T2405" t="s">
        <v>1684</v>
      </c>
      <c r="X2405" t="s">
        <v>30</v>
      </c>
      <c r="Y2405">
        <v>1880288</v>
      </c>
      <c r="Z2405">
        <v>20251231</v>
      </c>
    </row>
    <row r="2406" spans="3:26" x14ac:dyDescent="0.25">
      <c r="C2406">
        <v>10000001</v>
      </c>
      <c r="D2406" t="s">
        <v>25</v>
      </c>
      <c r="F2406">
        <v>1880288</v>
      </c>
      <c r="H2406" t="s">
        <v>25</v>
      </c>
      <c r="I2406">
        <v>40</v>
      </c>
      <c r="J2406" s="1">
        <v>50000</v>
      </c>
      <c r="K2406" t="s">
        <v>26</v>
      </c>
      <c r="L2406" s="1">
        <v>50000</v>
      </c>
      <c r="M2406" t="s">
        <v>26</v>
      </c>
      <c r="Q2406" t="s">
        <v>27</v>
      </c>
      <c r="T2406" t="s">
        <v>1722</v>
      </c>
      <c r="X2406" t="s">
        <v>30</v>
      </c>
      <c r="Y2406">
        <v>1880288</v>
      </c>
      <c r="Z2406">
        <v>20251231</v>
      </c>
    </row>
    <row r="2407" spans="3:26" x14ac:dyDescent="0.25">
      <c r="C2407">
        <v>10000001</v>
      </c>
      <c r="D2407" t="s">
        <v>25</v>
      </c>
      <c r="F2407">
        <v>1880288</v>
      </c>
      <c r="H2407" t="s">
        <v>25</v>
      </c>
      <c r="I2407">
        <v>40</v>
      </c>
      <c r="J2407" s="1">
        <v>50000</v>
      </c>
      <c r="K2407" t="s">
        <v>26</v>
      </c>
      <c r="L2407" s="1">
        <v>50000</v>
      </c>
      <c r="M2407" t="s">
        <v>26</v>
      </c>
      <c r="Q2407" t="s">
        <v>27</v>
      </c>
      <c r="T2407" t="s">
        <v>1810</v>
      </c>
      <c r="X2407" t="s">
        <v>30</v>
      </c>
      <c r="Y2407">
        <v>1880288</v>
      </c>
      <c r="Z2407">
        <v>20251231</v>
      </c>
    </row>
    <row r="2408" spans="3:26" x14ac:dyDescent="0.25">
      <c r="C2408">
        <v>10000001</v>
      </c>
      <c r="D2408" t="s">
        <v>25</v>
      </c>
      <c r="F2408">
        <v>1880288</v>
      </c>
      <c r="H2408" t="s">
        <v>25</v>
      </c>
      <c r="I2408">
        <v>40</v>
      </c>
      <c r="J2408" s="1">
        <v>50000</v>
      </c>
      <c r="K2408" t="s">
        <v>26</v>
      </c>
      <c r="L2408" s="1">
        <v>50000</v>
      </c>
      <c r="M2408" t="s">
        <v>26</v>
      </c>
      <c r="Q2408" t="s">
        <v>27</v>
      </c>
      <c r="T2408" t="s">
        <v>1622</v>
      </c>
      <c r="X2408" t="s">
        <v>30</v>
      </c>
      <c r="Y2408">
        <v>1880288</v>
      </c>
      <c r="Z2408">
        <v>20251231</v>
      </c>
    </row>
    <row r="2409" spans="3:26" x14ac:dyDescent="0.25">
      <c r="C2409">
        <v>10000001</v>
      </c>
      <c r="D2409" t="s">
        <v>25</v>
      </c>
      <c r="F2409">
        <v>1880288</v>
      </c>
      <c r="H2409" t="s">
        <v>25</v>
      </c>
      <c r="I2409">
        <v>40</v>
      </c>
      <c r="J2409" s="1">
        <v>50000</v>
      </c>
      <c r="K2409" t="s">
        <v>26</v>
      </c>
      <c r="L2409" s="1">
        <v>50000</v>
      </c>
      <c r="M2409" t="s">
        <v>26</v>
      </c>
      <c r="Q2409" t="s">
        <v>27</v>
      </c>
      <c r="T2409" t="s">
        <v>1701</v>
      </c>
      <c r="X2409" t="s">
        <v>30</v>
      </c>
      <c r="Y2409">
        <v>1880288</v>
      </c>
      <c r="Z2409">
        <v>20251231</v>
      </c>
    </row>
    <row r="2410" spans="3:26" x14ac:dyDescent="0.25">
      <c r="C2410">
        <v>10000001</v>
      </c>
      <c r="D2410" t="s">
        <v>25</v>
      </c>
      <c r="F2410">
        <v>1880288</v>
      </c>
      <c r="H2410" t="s">
        <v>25</v>
      </c>
      <c r="I2410">
        <v>40</v>
      </c>
      <c r="J2410" s="1">
        <v>50000</v>
      </c>
      <c r="K2410" t="s">
        <v>26</v>
      </c>
      <c r="L2410" s="1">
        <v>50000</v>
      </c>
      <c r="M2410" t="s">
        <v>26</v>
      </c>
      <c r="Q2410" t="s">
        <v>27</v>
      </c>
      <c r="T2410" t="s">
        <v>1800</v>
      </c>
      <c r="X2410" t="s">
        <v>30</v>
      </c>
      <c r="Y2410">
        <v>1880288</v>
      </c>
      <c r="Z2410">
        <v>20251231</v>
      </c>
    </row>
    <row r="2411" spans="3:26" x14ac:dyDescent="0.25">
      <c r="C2411">
        <v>10000001</v>
      </c>
      <c r="D2411" t="s">
        <v>25</v>
      </c>
      <c r="F2411">
        <v>1880288</v>
      </c>
      <c r="H2411" t="s">
        <v>25</v>
      </c>
      <c r="I2411">
        <v>40</v>
      </c>
      <c r="J2411" s="1">
        <v>50000</v>
      </c>
      <c r="K2411" t="s">
        <v>26</v>
      </c>
      <c r="L2411" s="1">
        <v>50000</v>
      </c>
      <c r="M2411" t="s">
        <v>26</v>
      </c>
      <c r="Q2411" t="s">
        <v>27</v>
      </c>
      <c r="T2411" t="s">
        <v>1845</v>
      </c>
      <c r="X2411" t="s">
        <v>30</v>
      </c>
      <c r="Y2411">
        <v>1880288</v>
      </c>
      <c r="Z2411">
        <v>20251231</v>
      </c>
    </row>
    <row r="2412" spans="3:26" x14ac:dyDescent="0.25">
      <c r="C2412">
        <v>10000001</v>
      </c>
      <c r="D2412" t="s">
        <v>25</v>
      </c>
      <c r="F2412">
        <v>1880288</v>
      </c>
      <c r="H2412" t="s">
        <v>25</v>
      </c>
      <c r="I2412">
        <v>40</v>
      </c>
      <c r="J2412" s="1">
        <v>50000</v>
      </c>
      <c r="K2412" t="s">
        <v>26</v>
      </c>
      <c r="L2412" s="1">
        <v>50000</v>
      </c>
      <c r="M2412" t="s">
        <v>26</v>
      </c>
      <c r="Q2412" t="s">
        <v>27</v>
      </c>
      <c r="T2412" t="s">
        <v>1832</v>
      </c>
      <c r="X2412" t="s">
        <v>30</v>
      </c>
      <c r="Y2412">
        <v>1880288</v>
      </c>
      <c r="Z2412">
        <v>20251231</v>
      </c>
    </row>
    <row r="2413" spans="3:26" x14ac:dyDescent="0.25">
      <c r="C2413">
        <v>10000001</v>
      </c>
      <c r="D2413" t="s">
        <v>25</v>
      </c>
      <c r="F2413">
        <v>1880288</v>
      </c>
      <c r="H2413" t="s">
        <v>25</v>
      </c>
      <c r="I2413">
        <v>40</v>
      </c>
      <c r="J2413" s="1">
        <v>50000</v>
      </c>
      <c r="K2413" t="s">
        <v>26</v>
      </c>
      <c r="L2413" s="1">
        <v>50000</v>
      </c>
      <c r="M2413" t="s">
        <v>26</v>
      </c>
      <c r="Q2413" t="s">
        <v>27</v>
      </c>
      <c r="T2413" t="s">
        <v>1858</v>
      </c>
      <c r="X2413" t="s">
        <v>30</v>
      </c>
      <c r="Y2413">
        <v>1880288</v>
      </c>
      <c r="Z2413">
        <v>20251231</v>
      </c>
    </row>
    <row r="2414" spans="3:26" x14ac:dyDescent="0.25">
      <c r="C2414">
        <v>10000001</v>
      </c>
      <c r="D2414" t="s">
        <v>25</v>
      </c>
      <c r="F2414">
        <v>1880288</v>
      </c>
      <c r="H2414" t="s">
        <v>25</v>
      </c>
      <c r="I2414">
        <v>40</v>
      </c>
      <c r="J2414" s="1">
        <v>50000</v>
      </c>
      <c r="K2414" t="s">
        <v>26</v>
      </c>
      <c r="L2414" s="1">
        <v>50000</v>
      </c>
      <c r="M2414" t="s">
        <v>26</v>
      </c>
      <c r="Q2414" t="s">
        <v>27</v>
      </c>
      <c r="T2414" t="s">
        <v>1680</v>
      </c>
      <c r="X2414" t="s">
        <v>30</v>
      </c>
      <c r="Y2414">
        <v>1880288</v>
      </c>
      <c r="Z2414">
        <v>20251231</v>
      </c>
    </row>
    <row r="2415" spans="3:26" x14ac:dyDescent="0.25">
      <c r="C2415">
        <v>10000001</v>
      </c>
      <c r="D2415" t="s">
        <v>25</v>
      </c>
      <c r="F2415">
        <v>1880288</v>
      </c>
      <c r="H2415" t="s">
        <v>25</v>
      </c>
      <c r="I2415">
        <v>40</v>
      </c>
      <c r="J2415" s="1">
        <v>50000</v>
      </c>
      <c r="K2415" t="s">
        <v>26</v>
      </c>
      <c r="L2415" s="1">
        <v>50000</v>
      </c>
      <c r="M2415" t="s">
        <v>26</v>
      </c>
      <c r="Q2415" t="s">
        <v>27</v>
      </c>
      <c r="T2415" t="s">
        <v>1686</v>
      </c>
      <c r="X2415" t="s">
        <v>30</v>
      </c>
      <c r="Y2415">
        <v>1880288</v>
      </c>
      <c r="Z2415">
        <v>20251231</v>
      </c>
    </row>
    <row r="2416" spans="3:26" x14ac:dyDescent="0.25">
      <c r="C2416">
        <v>10000001</v>
      </c>
      <c r="D2416" t="s">
        <v>25</v>
      </c>
      <c r="F2416">
        <v>1880288</v>
      </c>
      <c r="H2416" t="s">
        <v>25</v>
      </c>
      <c r="I2416">
        <v>40</v>
      </c>
      <c r="J2416" s="1">
        <v>50000</v>
      </c>
      <c r="K2416" t="s">
        <v>26</v>
      </c>
      <c r="L2416" s="1">
        <v>50000</v>
      </c>
      <c r="M2416" t="s">
        <v>26</v>
      </c>
      <c r="Q2416" t="s">
        <v>27</v>
      </c>
      <c r="T2416" t="s">
        <v>1693</v>
      </c>
      <c r="X2416" t="s">
        <v>30</v>
      </c>
      <c r="Y2416">
        <v>1880288</v>
      </c>
      <c r="Z2416">
        <v>20251231</v>
      </c>
    </row>
    <row r="2417" spans="3:26" x14ac:dyDescent="0.25">
      <c r="C2417">
        <v>10000001</v>
      </c>
      <c r="D2417" t="s">
        <v>25</v>
      </c>
      <c r="F2417">
        <v>1880288</v>
      </c>
      <c r="H2417" t="s">
        <v>25</v>
      </c>
      <c r="I2417">
        <v>40</v>
      </c>
      <c r="J2417" s="1">
        <v>50000</v>
      </c>
      <c r="K2417" t="s">
        <v>26</v>
      </c>
      <c r="L2417" s="1">
        <v>50000</v>
      </c>
      <c r="M2417" t="s">
        <v>26</v>
      </c>
      <c r="Q2417" t="s">
        <v>27</v>
      </c>
      <c r="T2417" t="s">
        <v>1719</v>
      </c>
      <c r="X2417" t="s">
        <v>30</v>
      </c>
      <c r="Y2417">
        <v>1880288</v>
      </c>
      <c r="Z2417">
        <v>20251231</v>
      </c>
    </row>
    <row r="2418" spans="3:26" x14ac:dyDescent="0.25">
      <c r="C2418">
        <v>10000001</v>
      </c>
      <c r="D2418" t="s">
        <v>25</v>
      </c>
      <c r="F2418">
        <v>1880288</v>
      </c>
      <c r="H2418" t="s">
        <v>25</v>
      </c>
      <c r="I2418">
        <v>40</v>
      </c>
      <c r="J2418" s="1">
        <v>800000</v>
      </c>
      <c r="K2418" t="s">
        <v>26</v>
      </c>
      <c r="L2418" s="1">
        <v>800000</v>
      </c>
      <c r="M2418" t="s">
        <v>26</v>
      </c>
      <c r="Q2418" t="s">
        <v>27</v>
      </c>
      <c r="T2418" t="s">
        <v>1782</v>
      </c>
      <c r="X2418" t="s">
        <v>30</v>
      </c>
      <c r="Y2418">
        <v>1880288</v>
      </c>
      <c r="Z2418">
        <v>20251231</v>
      </c>
    </row>
    <row r="2419" spans="3:26" x14ac:dyDescent="0.25">
      <c r="C2419">
        <v>10000001</v>
      </c>
      <c r="D2419" t="s">
        <v>25</v>
      </c>
      <c r="F2419">
        <v>1880288</v>
      </c>
      <c r="H2419" t="s">
        <v>25</v>
      </c>
      <c r="I2419">
        <v>40</v>
      </c>
      <c r="J2419" s="1">
        <v>61000</v>
      </c>
      <c r="K2419" t="s">
        <v>26</v>
      </c>
      <c r="L2419" s="1">
        <v>61000</v>
      </c>
      <c r="M2419" t="s">
        <v>26</v>
      </c>
      <c r="Q2419" t="s">
        <v>27</v>
      </c>
      <c r="T2419" t="s">
        <v>1589</v>
      </c>
      <c r="X2419" t="s">
        <v>30</v>
      </c>
      <c r="Y2419">
        <v>1880288</v>
      </c>
      <c r="Z2419">
        <v>20251231</v>
      </c>
    </row>
    <row r="2420" spans="3:26" x14ac:dyDescent="0.25">
      <c r="C2420">
        <v>10000001</v>
      </c>
      <c r="D2420" t="s">
        <v>25</v>
      </c>
      <c r="F2420">
        <v>1880288</v>
      </c>
      <c r="H2420" t="s">
        <v>25</v>
      </c>
      <c r="I2420">
        <v>40</v>
      </c>
      <c r="J2420" s="1">
        <v>79460</v>
      </c>
      <c r="K2420" t="s">
        <v>26</v>
      </c>
      <c r="L2420" s="1">
        <v>79460</v>
      </c>
      <c r="M2420" t="s">
        <v>26</v>
      </c>
      <c r="Q2420" t="s">
        <v>27</v>
      </c>
      <c r="T2420" t="s">
        <v>1887</v>
      </c>
      <c r="X2420" t="s">
        <v>30</v>
      </c>
      <c r="Y2420">
        <v>1880288</v>
      </c>
      <c r="Z2420">
        <v>20251231</v>
      </c>
    </row>
    <row r="2421" spans="3:26" x14ac:dyDescent="0.25">
      <c r="C2421">
        <v>10000001</v>
      </c>
      <c r="D2421" t="s">
        <v>25</v>
      </c>
      <c r="F2421">
        <v>1880288</v>
      </c>
      <c r="H2421" t="s">
        <v>25</v>
      </c>
      <c r="I2421">
        <v>40</v>
      </c>
      <c r="J2421" s="1">
        <v>43000</v>
      </c>
      <c r="K2421" t="s">
        <v>26</v>
      </c>
      <c r="L2421" s="1">
        <v>43000</v>
      </c>
      <c r="M2421" t="s">
        <v>26</v>
      </c>
      <c r="Q2421" t="s">
        <v>27</v>
      </c>
      <c r="T2421" t="s">
        <v>1788</v>
      </c>
      <c r="X2421" t="s">
        <v>30</v>
      </c>
      <c r="Y2421">
        <v>1880288</v>
      </c>
      <c r="Z2421">
        <v>20251231</v>
      </c>
    </row>
    <row r="2422" spans="3:26" x14ac:dyDescent="0.25">
      <c r="C2422">
        <v>10000001</v>
      </c>
      <c r="D2422" t="s">
        <v>25</v>
      </c>
      <c r="F2422">
        <v>1880288</v>
      </c>
      <c r="H2422" t="s">
        <v>25</v>
      </c>
      <c r="I2422">
        <v>40</v>
      </c>
      <c r="J2422" s="1">
        <v>971000</v>
      </c>
      <c r="K2422" t="s">
        <v>26</v>
      </c>
      <c r="L2422" s="1">
        <v>971000</v>
      </c>
      <c r="M2422" t="s">
        <v>26</v>
      </c>
      <c r="Q2422" t="s">
        <v>27</v>
      </c>
      <c r="T2422" t="s">
        <v>1897</v>
      </c>
      <c r="X2422" t="s">
        <v>30</v>
      </c>
      <c r="Y2422">
        <v>1880288</v>
      </c>
      <c r="Z2422">
        <v>20251231</v>
      </c>
    </row>
    <row r="2423" spans="3:26" x14ac:dyDescent="0.25">
      <c r="C2423">
        <v>10000001</v>
      </c>
      <c r="D2423" t="s">
        <v>25</v>
      </c>
      <c r="F2423">
        <v>1880288</v>
      </c>
      <c r="H2423" t="s">
        <v>25</v>
      </c>
      <c r="I2423">
        <v>40</v>
      </c>
      <c r="J2423" s="1">
        <v>961950</v>
      </c>
      <c r="K2423" t="s">
        <v>26</v>
      </c>
      <c r="L2423" s="1">
        <v>961950</v>
      </c>
      <c r="M2423" t="s">
        <v>26</v>
      </c>
      <c r="Q2423" t="s">
        <v>27</v>
      </c>
      <c r="T2423" t="s">
        <v>1674</v>
      </c>
      <c r="X2423" t="s">
        <v>30</v>
      </c>
      <c r="Y2423">
        <v>1880288</v>
      </c>
      <c r="Z2423">
        <v>20251231</v>
      </c>
    </row>
    <row r="2424" spans="3:26" x14ac:dyDescent="0.25">
      <c r="C2424">
        <v>10000001</v>
      </c>
      <c r="D2424" t="s">
        <v>25</v>
      </c>
      <c r="F2424">
        <v>1880288</v>
      </c>
      <c r="H2424" t="s">
        <v>25</v>
      </c>
      <c r="I2424">
        <v>40</v>
      </c>
      <c r="J2424" s="1">
        <v>610000</v>
      </c>
      <c r="K2424" t="s">
        <v>26</v>
      </c>
      <c r="L2424" s="1">
        <v>610000</v>
      </c>
      <c r="M2424" t="s">
        <v>26</v>
      </c>
      <c r="Q2424" t="s">
        <v>27</v>
      </c>
      <c r="T2424" t="s">
        <v>1852</v>
      </c>
      <c r="X2424" t="s">
        <v>30</v>
      </c>
      <c r="Y2424">
        <v>1880288</v>
      </c>
      <c r="Z2424">
        <v>20251231</v>
      </c>
    </row>
    <row r="2425" spans="3:26" x14ac:dyDescent="0.25">
      <c r="C2425">
        <v>10000001</v>
      </c>
      <c r="D2425" t="s">
        <v>25</v>
      </c>
      <c r="F2425">
        <v>1880288</v>
      </c>
      <c r="H2425" t="s">
        <v>25</v>
      </c>
      <c r="I2425">
        <v>40</v>
      </c>
      <c r="J2425" s="1">
        <v>960000</v>
      </c>
      <c r="K2425" t="s">
        <v>26</v>
      </c>
      <c r="L2425" s="1">
        <v>960000</v>
      </c>
      <c r="M2425" t="s">
        <v>26</v>
      </c>
      <c r="Q2425" t="s">
        <v>27</v>
      </c>
      <c r="T2425" t="s">
        <v>1891</v>
      </c>
      <c r="X2425" t="s">
        <v>30</v>
      </c>
      <c r="Y2425">
        <v>1880288</v>
      </c>
      <c r="Z2425">
        <v>20251231</v>
      </c>
    </row>
    <row r="2426" spans="3:26" x14ac:dyDescent="0.25">
      <c r="C2426">
        <v>10000001</v>
      </c>
      <c r="D2426" t="s">
        <v>25</v>
      </c>
      <c r="F2426">
        <v>1880288</v>
      </c>
      <c r="H2426" t="s">
        <v>25</v>
      </c>
      <c r="I2426">
        <v>40</v>
      </c>
      <c r="J2426" s="1">
        <v>386262</v>
      </c>
      <c r="K2426" t="s">
        <v>26</v>
      </c>
      <c r="L2426" s="1">
        <v>386262</v>
      </c>
      <c r="M2426" t="s">
        <v>26</v>
      </c>
      <c r="Q2426" t="s">
        <v>27</v>
      </c>
      <c r="T2426" t="s">
        <v>1806</v>
      </c>
      <c r="X2426" t="s">
        <v>30</v>
      </c>
      <c r="Y2426">
        <v>1880288</v>
      </c>
      <c r="Z2426">
        <v>20251231</v>
      </c>
    </row>
    <row r="2427" spans="3:26" x14ac:dyDescent="0.25">
      <c r="C2427">
        <v>10000001</v>
      </c>
      <c r="D2427" t="s">
        <v>25</v>
      </c>
      <c r="F2427">
        <v>1880288</v>
      </c>
      <c r="H2427" t="s">
        <v>25</v>
      </c>
      <c r="I2427">
        <v>40</v>
      </c>
      <c r="J2427" s="1">
        <v>76000</v>
      </c>
      <c r="K2427" t="s">
        <v>26</v>
      </c>
      <c r="L2427" s="1">
        <v>76000</v>
      </c>
      <c r="M2427" t="s">
        <v>26</v>
      </c>
      <c r="Q2427" t="s">
        <v>27</v>
      </c>
      <c r="T2427" t="s">
        <v>1763</v>
      </c>
      <c r="X2427" t="s">
        <v>30</v>
      </c>
      <c r="Y2427">
        <v>1880288</v>
      </c>
      <c r="Z2427">
        <v>20251231</v>
      </c>
    </row>
    <row r="2428" spans="3:26" x14ac:dyDescent="0.25">
      <c r="C2428">
        <v>10000001</v>
      </c>
      <c r="D2428" t="s">
        <v>25</v>
      </c>
      <c r="F2428">
        <v>1880288</v>
      </c>
      <c r="H2428" t="s">
        <v>25</v>
      </c>
      <c r="I2428">
        <v>40</v>
      </c>
      <c r="J2428" s="1">
        <v>400000</v>
      </c>
      <c r="K2428" t="s">
        <v>26</v>
      </c>
      <c r="L2428" s="1">
        <v>400000</v>
      </c>
      <c r="M2428" t="s">
        <v>26</v>
      </c>
      <c r="Q2428" t="s">
        <v>27</v>
      </c>
      <c r="T2428" t="s">
        <v>1868</v>
      </c>
      <c r="X2428" t="s">
        <v>30</v>
      </c>
      <c r="Y2428">
        <v>1880288</v>
      </c>
      <c r="Z2428">
        <v>20251231</v>
      </c>
    </row>
    <row r="2429" spans="3:26" x14ac:dyDescent="0.25">
      <c r="C2429">
        <v>10000001</v>
      </c>
      <c r="D2429" t="s">
        <v>25</v>
      </c>
      <c r="F2429">
        <v>1880288</v>
      </c>
      <c r="H2429" t="s">
        <v>25</v>
      </c>
      <c r="I2429">
        <v>40</v>
      </c>
      <c r="J2429" s="1">
        <v>175000</v>
      </c>
      <c r="K2429" t="s">
        <v>26</v>
      </c>
      <c r="L2429" s="1">
        <v>175000</v>
      </c>
      <c r="M2429" t="s">
        <v>26</v>
      </c>
      <c r="Q2429" t="s">
        <v>27</v>
      </c>
      <c r="T2429" t="s">
        <v>1607</v>
      </c>
      <c r="X2429" t="s">
        <v>30</v>
      </c>
      <c r="Y2429">
        <v>1880288</v>
      </c>
      <c r="Z2429">
        <v>20251231</v>
      </c>
    </row>
    <row r="2430" spans="3:26" x14ac:dyDescent="0.25">
      <c r="C2430">
        <v>10000001</v>
      </c>
      <c r="D2430" t="s">
        <v>25</v>
      </c>
      <c r="F2430">
        <v>1880288</v>
      </c>
      <c r="H2430" t="s">
        <v>25</v>
      </c>
      <c r="I2430">
        <v>40</v>
      </c>
      <c r="J2430" s="1">
        <v>670000</v>
      </c>
      <c r="K2430" t="s">
        <v>26</v>
      </c>
      <c r="L2430" s="1">
        <v>670000</v>
      </c>
      <c r="M2430" t="s">
        <v>26</v>
      </c>
      <c r="Q2430" t="s">
        <v>27</v>
      </c>
      <c r="T2430" t="s">
        <v>1572</v>
      </c>
      <c r="X2430" t="s">
        <v>30</v>
      </c>
      <c r="Y2430">
        <v>1880288</v>
      </c>
      <c r="Z2430">
        <v>20251231</v>
      </c>
    </row>
    <row r="2431" spans="3:26" x14ac:dyDescent="0.25">
      <c r="C2431">
        <v>10000001</v>
      </c>
      <c r="D2431" t="s">
        <v>25</v>
      </c>
      <c r="F2431">
        <v>1880288</v>
      </c>
      <c r="H2431" t="s">
        <v>25</v>
      </c>
      <c r="I2431">
        <v>40</v>
      </c>
      <c r="J2431" s="1">
        <v>665000</v>
      </c>
      <c r="K2431" t="s">
        <v>26</v>
      </c>
      <c r="L2431" s="1">
        <v>665000</v>
      </c>
      <c r="M2431" t="s">
        <v>26</v>
      </c>
      <c r="Q2431" t="s">
        <v>27</v>
      </c>
      <c r="T2431" t="s">
        <v>1765</v>
      </c>
      <c r="X2431" t="s">
        <v>30</v>
      </c>
      <c r="Y2431">
        <v>1880288</v>
      </c>
      <c r="Z2431">
        <v>20251231</v>
      </c>
    </row>
    <row r="2432" spans="3:26" x14ac:dyDescent="0.25">
      <c r="C2432">
        <v>10000001</v>
      </c>
      <c r="D2432" t="s">
        <v>25</v>
      </c>
      <c r="F2432">
        <v>1880288</v>
      </c>
      <c r="H2432" t="s">
        <v>25</v>
      </c>
      <c r="I2432">
        <v>40</v>
      </c>
      <c r="J2432" s="1">
        <v>682500</v>
      </c>
      <c r="K2432" t="s">
        <v>26</v>
      </c>
      <c r="L2432" s="1">
        <v>682500</v>
      </c>
      <c r="M2432" t="s">
        <v>26</v>
      </c>
      <c r="Q2432" t="s">
        <v>27</v>
      </c>
      <c r="T2432" t="s">
        <v>1666</v>
      </c>
      <c r="X2432" t="s">
        <v>30</v>
      </c>
      <c r="Y2432">
        <v>1880288</v>
      </c>
      <c r="Z2432">
        <v>20251231</v>
      </c>
    </row>
    <row r="2433" spans="3:26" x14ac:dyDescent="0.25">
      <c r="C2433">
        <v>10000001</v>
      </c>
      <c r="D2433" t="s">
        <v>25</v>
      </c>
      <c r="F2433">
        <v>1880288</v>
      </c>
      <c r="H2433" t="s">
        <v>25</v>
      </c>
      <c r="I2433">
        <v>40</v>
      </c>
      <c r="J2433" s="1">
        <v>612500</v>
      </c>
      <c r="K2433" t="s">
        <v>26</v>
      </c>
      <c r="L2433" s="1">
        <v>612500</v>
      </c>
      <c r="M2433" t="s">
        <v>26</v>
      </c>
      <c r="Q2433" t="s">
        <v>27</v>
      </c>
      <c r="T2433" t="s">
        <v>1670</v>
      </c>
      <c r="X2433" t="s">
        <v>30</v>
      </c>
      <c r="Y2433">
        <v>1880288</v>
      </c>
      <c r="Z2433">
        <v>20251231</v>
      </c>
    </row>
    <row r="2434" spans="3:26" x14ac:dyDescent="0.25">
      <c r="C2434">
        <v>10000001</v>
      </c>
      <c r="D2434" t="s">
        <v>25</v>
      </c>
      <c r="F2434">
        <v>1880288</v>
      </c>
      <c r="H2434" t="s">
        <v>25</v>
      </c>
      <c r="I2434">
        <v>40</v>
      </c>
      <c r="J2434" s="1">
        <v>647500</v>
      </c>
      <c r="K2434" t="s">
        <v>26</v>
      </c>
      <c r="L2434" s="1">
        <v>647500</v>
      </c>
      <c r="M2434" t="s">
        <v>26</v>
      </c>
      <c r="Q2434" t="s">
        <v>27</v>
      </c>
      <c r="T2434" t="s">
        <v>1668</v>
      </c>
      <c r="X2434" t="s">
        <v>30</v>
      </c>
      <c r="Y2434">
        <v>1880288</v>
      </c>
      <c r="Z2434">
        <v>20251231</v>
      </c>
    </row>
    <row r="2435" spans="3:26" x14ac:dyDescent="0.25">
      <c r="C2435">
        <v>10000001</v>
      </c>
      <c r="D2435" t="s">
        <v>25</v>
      </c>
      <c r="F2435">
        <v>1880288</v>
      </c>
      <c r="H2435" t="s">
        <v>25</v>
      </c>
      <c r="I2435">
        <v>40</v>
      </c>
      <c r="J2435" s="1">
        <v>340500</v>
      </c>
      <c r="K2435" t="s">
        <v>26</v>
      </c>
      <c r="L2435" s="1">
        <v>340500</v>
      </c>
      <c r="M2435" t="s">
        <v>26</v>
      </c>
      <c r="Q2435" t="s">
        <v>27</v>
      </c>
      <c r="T2435" t="s">
        <v>1574</v>
      </c>
      <c r="X2435" t="s">
        <v>30</v>
      </c>
      <c r="Y2435">
        <v>1880288</v>
      </c>
      <c r="Z2435">
        <v>20251231</v>
      </c>
    </row>
    <row r="2436" spans="3:26" x14ac:dyDescent="0.25">
      <c r="C2436">
        <v>10000001</v>
      </c>
      <c r="D2436" t="s">
        <v>25</v>
      </c>
      <c r="F2436">
        <v>1880288</v>
      </c>
      <c r="H2436" t="s">
        <v>25</v>
      </c>
      <c r="I2436">
        <v>40</v>
      </c>
      <c r="J2436" s="1">
        <v>18000</v>
      </c>
      <c r="K2436" t="s">
        <v>26</v>
      </c>
      <c r="L2436" s="1">
        <v>18000</v>
      </c>
      <c r="M2436" t="s">
        <v>26</v>
      </c>
      <c r="Q2436" t="s">
        <v>27</v>
      </c>
      <c r="T2436" t="s">
        <v>1647</v>
      </c>
      <c r="X2436" t="s">
        <v>30</v>
      </c>
      <c r="Y2436">
        <v>1880288</v>
      </c>
      <c r="Z2436">
        <v>20251231</v>
      </c>
    </row>
    <row r="2437" spans="3:26" x14ac:dyDescent="0.25">
      <c r="C2437">
        <v>10000001</v>
      </c>
      <c r="D2437" t="s">
        <v>25</v>
      </c>
      <c r="F2437">
        <v>1880288</v>
      </c>
      <c r="H2437" t="s">
        <v>25</v>
      </c>
      <c r="I2437">
        <v>40</v>
      </c>
      <c r="J2437" s="1">
        <v>949248</v>
      </c>
      <c r="K2437" t="s">
        <v>26</v>
      </c>
      <c r="L2437" s="1">
        <v>949248</v>
      </c>
      <c r="M2437" t="s">
        <v>26</v>
      </c>
      <c r="Q2437" t="s">
        <v>27</v>
      </c>
      <c r="T2437" t="s">
        <v>1664</v>
      </c>
      <c r="X2437" t="s">
        <v>30</v>
      </c>
      <c r="Y2437">
        <v>1880288</v>
      </c>
      <c r="Z2437">
        <v>20251231</v>
      </c>
    </row>
    <row r="2438" spans="3:26" x14ac:dyDescent="0.25">
      <c r="C2438">
        <v>10000001</v>
      </c>
      <c r="D2438" t="s">
        <v>25</v>
      </c>
      <c r="F2438">
        <v>1880288</v>
      </c>
      <c r="H2438" t="s">
        <v>25</v>
      </c>
      <c r="I2438">
        <v>40</v>
      </c>
      <c r="J2438" s="1">
        <v>775080</v>
      </c>
      <c r="K2438" t="s">
        <v>26</v>
      </c>
      <c r="L2438" s="1">
        <v>775080</v>
      </c>
      <c r="M2438" t="s">
        <v>26</v>
      </c>
      <c r="Q2438" t="s">
        <v>27</v>
      </c>
      <c r="T2438" t="s">
        <v>1618</v>
      </c>
      <c r="X2438" t="s">
        <v>30</v>
      </c>
      <c r="Y2438">
        <v>1880288</v>
      </c>
      <c r="Z2438">
        <v>20251231</v>
      </c>
    </row>
    <row r="2439" spans="3:26" x14ac:dyDescent="0.25">
      <c r="C2439">
        <v>10000001</v>
      </c>
      <c r="D2439" t="s">
        <v>25</v>
      </c>
      <c r="F2439">
        <v>1880288</v>
      </c>
      <c r="H2439" t="s">
        <v>25</v>
      </c>
      <c r="I2439">
        <v>40</v>
      </c>
      <c r="J2439" s="1">
        <v>809460</v>
      </c>
      <c r="K2439" t="s">
        <v>26</v>
      </c>
      <c r="L2439" s="1">
        <v>809460</v>
      </c>
      <c r="M2439" t="s">
        <v>26</v>
      </c>
      <c r="Q2439" t="s">
        <v>27</v>
      </c>
      <c r="T2439" t="s">
        <v>1620</v>
      </c>
      <c r="X2439" t="s">
        <v>30</v>
      </c>
      <c r="Y2439">
        <v>1880288</v>
      </c>
      <c r="Z2439">
        <v>20251231</v>
      </c>
    </row>
    <row r="2440" spans="3:26" x14ac:dyDescent="0.25">
      <c r="C2440">
        <v>10000001</v>
      </c>
      <c r="D2440" t="s">
        <v>25</v>
      </c>
      <c r="F2440">
        <v>1880288</v>
      </c>
      <c r="H2440" t="s">
        <v>25</v>
      </c>
      <c r="I2440">
        <v>40</v>
      </c>
      <c r="J2440" s="1">
        <v>50000</v>
      </c>
      <c r="K2440" t="s">
        <v>26</v>
      </c>
      <c r="L2440" s="1">
        <v>50000</v>
      </c>
      <c r="M2440" t="s">
        <v>26</v>
      </c>
      <c r="Q2440" t="s">
        <v>27</v>
      </c>
      <c r="T2440" t="s">
        <v>1598</v>
      </c>
      <c r="X2440" t="s">
        <v>30</v>
      </c>
      <c r="Y2440">
        <v>1880288</v>
      </c>
      <c r="Z2440">
        <v>20251231</v>
      </c>
    </row>
    <row r="2441" spans="3:26" x14ac:dyDescent="0.25">
      <c r="C2441">
        <v>10000001</v>
      </c>
      <c r="D2441" t="s">
        <v>25</v>
      </c>
      <c r="F2441">
        <v>1880288</v>
      </c>
      <c r="H2441" t="s">
        <v>25</v>
      </c>
      <c r="I2441">
        <v>40</v>
      </c>
      <c r="J2441" s="1">
        <v>277000</v>
      </c>
      <c r="K2441" t="s">
        <v>26</v>
      </c>
      <c r="L2441" s="1">
        <v>277000</v>
      </c>
      <c r="M2441" t="s">
        <v>26</v>
      </c>
      <c r="Q2441" t="s">
        <v>27</v>
      </c>
      <c r="T2441" t="s">
        <v>1576</v>
      </c>
      <c r="X2441" t="s">
        <v>30</v>
      </c>
      <c r="Y2441">
        <v>1880288</v>
      </c>
      <c r="Z2441">
        <v>20251231</v>
      </c>
    </row>
    <row r="2442" spans="3:26" x14ac:dyDescent="0.25">
      <c r="C2442">
        <v>10000001</v>
      </c>
      <c r="D2442" t="s">
        <v>25</v>
      </c>
      <c r="F2442">
        <v>1880288</v>
      </c>
      <c r="H2442" t="s">
        <v>25</v>
      </c>
      <c r="I2442">
        <v>40</v>
      </c>
      <c r="J2442" s="1">
        <v>600000</v>
      </c>
      <c r="K2442" t="s">
        <v>26</v>
      </c>
      <c r="L2442" s="1">
        <v>600000</v>
      </c>
      <c r="M2442" t="s">
        <v>26</v>
      </c>
      <c r="Q2442" t="s">
        <v>27</v>
      </c>
      <c r="T2442" t="s">
        <v>1755</v>
      </c>
      <c r="X2442" t="s">
        <v>30</v>
      </c>
      <c r="Y2442">
        <v>1880288</v>
      </c>
      <c r="Z2442">
        <v>20251231</v>
      </c>
    </row>
    <row r="2443" spans="3:26" x14ac:dyDescent="0.25">
      <c r="C2443">
        <v>10000001</v>
      </c>
      <c r="D2443" t="s">
        <v>25</v>
      </c>
      <c r="F2443">
        <v>1880288</v>
      </c>
      <c r="H2443" t="s">
        <v>25</v>
      </c>
      <c r="I2443">
        <v>40</v>
      </c>
      <c r="J2443" s="1">
        <v>400000</v>
      </c>
      <c r="K2443" t="s">
        <v>26</v>
      </c>
      <c r="L2443" s="1">
        <v>400000</v>
      </c>
      <c r="M2443" t="s">
        <v>26</v>
      </c>
      <c r="Q2443" t="s">
        <v>27</v>
      </c>
      <c r="T2443" t="s">
        <v>1817</v>
      </c>
      <c r="X2443" t="s">
        <v>30</v>
      </c>
      <c r="Y2443">
        <v>1880288</v>
      </c>
      <c r="Z2443">
        <v>20251231</v>
      </c>
    </row>
    <row r="2444" spans="3:26" x14ac:dyDescent="0.25">
      <c r="C2444">
        <v>10000001</v>
      </c>
      <c r="D2444" t="s">
        <v>25</v>
      </c>
      <c r="F2444">
        <v>1880288</v>
      </c>
      <c r="H2444" t="s">
        <v>25</v>
      </c>
      <c r="I2444">
        <v>40</v>
      </c>
      <c r="J2444" s="1">
        <v>600000</v>
      </c>
      <c r="K2444" t="s">
        <v>26</v>
      </c>
      <c r="L2444" s="1">
        <v>600000</v>
      </c>
      <c r="M2444" t="s">
        <v>26</v>
      </c>
      <c r="Q2444" t="s">
        <v>27</v>
      </c>
      <c r="T2444" t="s">
        <v>1895</v>
      </c>
      <c r="X2444" t="s">
        <v>30</v>
      </c>
      <c r="Y2444">
        <v>1880288</v>
      </c>
      <c r="Z2444">
        <v>20251231</v>
      </c>
    </row>
    <row r="2445" spans="3:26" x14ac:dyDescent="0.25">
      <c r="C2445">
        <v>10000001</v>
      </c>
      <c r="D2445" t="s">
        <v>25</v>
      </c>
      <c r="F2445">
        <v>1880288</v>
      </c>
      <c r="H2445" t="s">
        <v>25</v>
      </c>
      <c r="I2445">
        <v>40</v>
      </c>
      <c r="J2445" s="1">
        <v>400000</v>
      </c>
      <c r="K2445" t="s">
        <v>26</v>
      </c>
      <c r="L2445" s="1">
        <v>400000</v>
      </c>
      <c r="M2445" t="s">
        <v>26</v>
      </c>
      <c r="Q2445" t="s">
        <v>27</v>
      </c>
      <c r="T2445" t="s">
        <v>1579</v>
      </c>
      <c r="X2445" t="s">
        <v>30</v>
      </c>
      <c r="Y2445">
        <v>1880288</v>
      </c>
      <c r="Z2445">
        <v>20251231</v>
      </c>
    </row>
    <row r="2446" spans="3:26" x14ac:dyDescent="0.25">
      <c r="C2446">
        <v>10000001</v>
      </c>
      <c r="D2446" t="s">
        <v>25</v>
      </c>
      <c r="F2446">
        <v>1880288</v>
      </c>
      <c r="H2446" t="s">
        <v>25</v>
      </c>
      <c r="I2446">
        <v>40</v>
      </c>
      <c r="J2446" s="1">
        <v>154000</v>
      </c>
      <c r="K2446" t="s">
        <v>26</v>
      </c>
      <c r="L2446" s="1">
        <v>154000</v>
      </c>
      <c r="M2446" t="s">
        <v>26</v>
      </c>
      <c r="Q2446" t="s">
        <v>27</v>
      </c>
      <c r="T2446" t="s">
        <v>1633</v>
      </c>
      <c r="X2446" t="s">
        <v>30</v>
      </c>
      <c r="Y2446">
        <v>1880288</v>
      </c>
      <c r="Z2446">
        <v>20251231</v>
      </c>
    </row>
    <row r="2447" spans="3:26" x14ac:dyDescent="0.25">
      <c r="C2447">
        <v>10000001</v>
      </c>
      <c r="D2447" t="s">
        <v>25</v>
      </c>
      <c r="F2447">
        <v>1880288</v>
      </c>
      <c r="H2447" t="s">
        <v>25</v>
      </c>
      <c r="I2447">
        <v>40</v>
      </c>
      <c r="J2447" s="1">
        <v>283000</v>
      </c>
      <c r="K2447" t="s">
        <v>26</v>
      </c>
      <c r="L2447" s="1">
        <v>283000</v>
      </c>
      <c r="M2447" t="s">
        <v>26</v>
      </c>
      <c r="Q2447" t="s">
        <v>27</v>
      </c>
      <c r="T2447" t="s">
        <v>1714</v>
      </c>
      <c r="X2447" t="s">
        <v>30</v>
      </c>
      <c r="Y2447">
        <v>1880288</v>
      </c>
      <c r="Z2447">
        <v>20251231</v>
      </c>
    </row>
    <row r="2448" spans="3:26" x14ac:dyDescent="0.25">
      <c r="C2448">
        <v>10000001</v>
      </c>
      <c r="D2448" t="s">
        <v>25</v>
      </c>
      <c r="F2448">
        <v>1880288</v>
      </c>
      <c r="H2448" t="s">
        <v>25</v>
      </c>
      <c r="I2448">
        <v>40</v>
      </c>
      <c r="J2448" s="1">
        <v>290500</v>
      </c>
      <c r="K2448" t="s">
        <v>26</v>
      </c>
      <c r="L2448" s="1">
        <v>290500</v>
      </c>
      <c r="M2448" t="s">
        <v>26</v>
      </c>
      <c r="Q2448" t="s">
        <v>27</v>
      </c>
      <c r="T2448" t="s">
        <v>1804</v>
      </c>
      <c r="X2448" t="s">
        <v>30</v>
      </c>
      <c r="Y2448">
        <v>1880288</v>
      </c>
      <c r="Z2448">
        <v>20251231</v>
      </c>
    </row>
    <row r="2449" spans="3:26" x14ac:dyDescent="0.25">
      <c r="C2449">
        <v>10000001</v>
      </c>
      <c r="D2449" t="s">
        <v>25</v>
      </c>
      <c r="F2449">
        <v>1880288</v>
      </c>
      <c r="H2449" t="s">
        <v>25</v>
      </c>
      <c r="I2449">
        <v>40</v>
      </c>
      <c r="J2449" s="1">
        <v>215000</v>
      </c>
      <c r="K2449" t="s">
        <v>26</v>
      </c>
      <c r="L2449" s="1">
        <v>215000</v>
      </c>
      <c r="M2449" t="s">
        <v>26</v>
      </c>
      <c r="Q2449" t="s">
        <v>27</v>
      </c>
      <c r="T2449" t="s">
        <v>1610</v>
      </c>
      <c r="X2449" t="s">
        <v>30</v>
      </c>
      <c r="Y2449">
        <v>1880288</v>
      </c>
      <c r="Z2449">
        <v>20251231</v>
      </c>
    </row>
    <row r="2450" spans="3:26" x14ac:dyDescent="0.25">
      <c r="C2450">
        <v>10000001</v>
      </c>
      <c r="D2450" t="s">
        <v>25</v>
      </c>
      <c r="F2450">
        <v>1880288</v>
      </c>
      <c r="H2450" t="s">
        <v>25</v>
      </c>
      <c r="I2450">
        <v>40</v>
      </c>
      <c r="J2450" s="1">
        <v>512300</v>
      </c>
      <c r="K2450" t="s">
        <v>26</v>
      </c>
      <c r="L2450" s="1">
        <v>512300</v>
      </c>
      <c r="M2450" t="s">
        <v>26</v>
      </c>
      <c r="Q2450" t="s">
        <v>27</v>
      </c>
      <c r="T2450" t="s">
        <v>1821</v>
      </c>
      <c r="X2450" t="s">
        <v>30</v>
      </c>
      <c r="Y2450">
        <v>1880288</v>
      </c>
      <c r="Z2450">
        <v>20251231</v>
      </c>
    </row>
    <row r="2451" spans="3:26" x14ac:dyDescent="0.25">
      <c r="C2451">
        <v>10000001</v>
      </c>
      <c r="D2451" t="s">
        <v>25</v>
      </c>
      <c r="F2451">
        <v>1880288</v>
      </c>
      <c r="H2451" t="s">
        <v>25</v>
      </c>
      <c r="I2451">
        <v>40</v>
      </c>
      <c r="J2451" s="1">
        <v>323000</v>
      </c>
      <c r="K2451" t="s">
        <v>26</v>
      </c>
      <c r="L2451" s="1">
        <v>323000</v>
      </c>
      <c r="M2451" t="s">
        <v>26</v>
      </c>
      <c r="Q2451" t="s">
        <v>27</v>
      </c>
      <c r="T2451" t="s">
        <v>1743</v>
      </c>
      <c r="X2451" t="s">
        <v>30</v>
      </c>
      <c r="Y2451">
        <v>1880288</v>
      </c>
      <c r="Z2451">
        <v>20251231</v>
      </c>
    </row>
    <row r="2452" spans="3:26" x14ac:dyDescent="0.25">
      <c r="C2452">
        <v>10000001</v>
      </c>
      <c r="D2452" t="s">
        <v>25</v>
      </c>
      <c r="F2452">
        <v>1880288</v>
      </c>
      <c r="H2452" t="s">
        <v>25</v>
      </c>
      <c r="I2452">
        <v>40</v>
      </c>
      <c r="J2452" s="1">
        <v>669765</v>
      </c>
      <c r="K2452" t="s">
        <v>26</v>
      </c>
      <c r="L2452" s="1">
        <v>669765</v>
      </c>
      <c r="M2452" t="s">
        <v>26</v>
      </c>
      <c r="Q2452" t="s">
        <v>27</v>
      </c>
      <c r="T2452" t="s">
        <v>1584</v>
      </c>
      <c r="X2452" t="s">
        <v>30</v>
      </c>
      <c r="Y2452">
        <v>1880288</v>
      </c>
      <c r="Z2452">
        <v>20251231</v>
      </c>
    </row>
    <row r="2453" spans="3:26" x14ac:dyDescent="0.25">
      <c r="C2453">
        <v>10000001</v>
      </c>
      <c r="D2453" t="s">
        <v>25</v>
      </c>
      <c r="F2453">
        <v>1880288</v>
      </c>
      <c r="H2453" t="s">
        <v>25</v>
      </c>
      <c r="I2453">
        <v>40</v>
      </c>
      <c r="J2453" s="1">
        <v>619800</v>
      </c>
      <c r="K2453" t="s">
        <v>26</v>
      </c>
      <c r="L2453" s="1">
        <v>619800</v>
      </c>
      <c r="M2453" t="s">
        <v>26</v>
      </c>
      <c r="Q2453" t="s">
        <v>27</v>
      </c>
      <c r="T2453" t="s">
        <v>1744</v>
      </c>
      <c r="X2453" t="s">
        <v>30</v>
      </c>
      <c r="Y2453">
        <v>1880288</v>
      </c>
      <c r="Z2453">
        <v>20251231</v>
      </c>
    </row>
    <row r="2454" spans="3:26" x14ac:dyDescent="0.25">
      <c r="C2454">
        <v>10000001</v>
      </c>
      <c r="D2454" t="s">
        <v>25</v>
      </c>
      <c r="F2454">
        <v>1880288</v>
      </c>
      <c r="H2454" t="s">
        <v>25</v>
      </c>
      <c r="I2454">
        <v>40</v>
      </c>
      <c r="J2454" s="1">
        <v>800000</v>
      </c>
      <c r="K2454" t="s">
        <v>26</v>
      </c>
      <c r="L2454" s="1">
        <v>800000</v>
      </c>
      <c r="M2454" t="s">
        <v>26</v>
      </c>
      <c r="Q2454" t="s">
        <v>27</v>
      </c>
      <c r="T2454" t="s">
        <v>1570</v>
      </c>
      <c r="X2454" t="s">
        <v>30</v>
      </c>
      <c r="Y2454">
        <v>1880288</v>
      </c>
      <c r="Z2454">
        <v>20251231</v>
      </c>
    </row>
    <row r="2455" spans="3:26" x14ac:dyDescent="0.25">
      <c r="C2455">
        <v>10000001</v>
      </c>
      <c r="D2455" t="s">
        <v>25</v>
      </c>
      <c r="F2455">
        <v>1880288</v>
      </c>
      <c r="H2455" t="s">
        <v>25</v>
      </c>
      <c r="I2455">
        <v>40</v>
      </c>
      <c r="J2455" s="1">
        <v>113000</v>
      </c>
      <c r="K2455" t="s">
        <v>26</v>
      </c>
      <c r="L2455" s="1">
        <v>113000</v>
      </c>
      <c r="M2455" t="s">
        <v>26</v>
      </c>
      <c r="Q2455" t="s">
        <v>27</v>
      </c>
      <c r="T2455" t="s">
        <v>1886</v>
      </c>
      <c r="X2455" t="s">
        <v>30</v>
      </c>
      <c r="Y2455">
        <v>1880288</v>
      </c>
      <c r="Z2455">
        <v>20251231</v>
      </c>
    </row>
    <row r="2456" spans="3:26" x14ac:dyDescent="0.25">
      <c r="C2456">
        <v>10000001</v>
      </c>
      <c r="D2456" t="s">
        <v>25</v>
      </c>
      <c r="F2456">
        <v>1880288</v>
      </c>
      <c r="H2456" t="s">
        <v>25</v>
      </c>
      <c r="I2456">
        <v>40</v>
      </c>
      <c r="J2456" s="1">
        <v>190000</v>
      </c>
      <c r="K2456" t="s">
        <v>26</v>
      </c>
      <c r="L2456" s="1">
        <v>190000</v>
      </c>
      <c r="M2456" t="s">
        <v>26</v>
      </c>
      <c r="Q2456" t="s">
        <v>27</v>
      </c>
      <c r="T2456" t="s">
        <v>1587</v>
      </c>
      <c r="X2456" t="s">
        <v>30</v>
      </c>
      <c r="Y2456">
        <v>1880288</v>
      </c>
      <c r="Z2456">
        <v>20251231</v>
      </c>
    </row>
    <row r="2457" spans="3:26" x14ac:dyDescent="0.25">
      <c r="C2457">
        <v>10000001</v>
      </c>
      <c r="D2457" t="s">
        <v>25</v>
      </c>
      <c r="F2457">
        <v>1880288</v>
      </c>
      <c r="H2457" t="s">
        <v>25</v>
      </c>
      <c r="I2457">
        <v>40</v>
      </c>
      <c r="J2457" s="1">
        <v>151500</v>
      </c>
      <c r="K2457" t="s">
        <v>26</v>
      </c>
      <c r="L2457" s="1">
        <v>151500</v>
      </c>
      <c r="M2457" t="s">
        <v>26</v>
      </c>
      <c r="Q2457" t="s">
        <v>27</v>
      </c>
      <c r="T2457" t="s">
        <v>1823</v>
      </c>
      <c r="X2457" t="s">
        <v>30</v>
      </c>
      <c r="Y2457">
        <v>1880288</v>
      </c>
      <c r="Z2457">
        <v>20251231</v>
      </c>
    </row>
    <row r="2458" spans="3:26" x14ac:dyDescent="0.25">
      <c r="C2458">
        <v>10000001</v>
      </c>
      <c r="D2458" t="s">
        <v>25</v>
      </c>
      <c r="F2458">
        <v>1880288</v>
      </c>
      <c r="H2458" t="s">
        <v>25</v>
      </c>
      <c r="I2458">
        <v>40</v>
      </c>
      <c r="J2458" s="1">
        <v>471630</v>
      </c>
      <c r="K2458" t="s">
        <v>26</v>
      </c>
      <c r="L2458" s="1">
        <v>471630</v>
      </c>
      <c r="M2458" t="s">
        <v>26</v>
      </c>
      <c r="Q2458" t="s">
        <v>27</v>
      </c>
      <c r="T2458" t="s">
        <v>1590</v>
      </c>
      <c r="X2458" t="s">
        <v>30</v>
      </c>
      <c r="Y2458">
        <v>1880288</v>
      </c>
      <c r="Z2458">
        <v>20251231</v>
      </c>
    </row>
    <row r="2459" spans="3:26" x14ac:dyDescent="0.25">
      <c r="C2459">
        <v>10000001</v>
      </c>
      <c r="D2459" t="s">
        <v>25</v>
      </c>
      <c r="F2459">
        <v>1880288</v>
      </c>
      <c r="H2459" t="s">
        <v>25</v>
      </c>
      <c r="I2459">
        <v>40</v>
      </c>
      <c r="J2459" s="1">
        <v>1500000</v>
      </c>
      <c r="K2459" t="s">
        <v>26</v>
      </c>
      <c r="L2459" s="1">
        <v>1500000</v>
      </c>
      <c r="M2459" t="s">
        <v>26</v>
      </c>
      <c r="Q2459" t="s">
        <v>27</v>
      </c>
      <c r="T2459" t="s">
        <v>1581</v>
      </c>
      <c r="X2459" t="s">
        <v>30</v>
      </c>
      <c r="Y2459">
        <v>1880288</v>
      </c>
      <c r="Z2459">
        <v>20251231</v>
      </c>
    </row>
    <row r="2460" spans="3:26" x14ac:dyDescent="0.25">
      <c r="C2460">
        <v>10000001</v>
      </c>
      <c r="D2460" t="s">
        <v>25</v>
      </c>
      <c r="F2460">
        <v>1880288</v>
      </c>
      <c r="H2460" t="s">
        <v>25</v>
      </c>
      <c r="I2460">
        <v>40</v>
      </c>
      <c r="J2460" s="1">
        <v>775080</v>
      </c>
      <c r="K2460" t="s">
        <v>26</v>
      </c>
      <c r="L2460" s="1">
        <v>775080</v>
      </c>
      <c r="M2460" t="s">
        <v>26</v>
      </c>
      <c r="Q2460" t="s">
        <v>27</v>
      </c>
      <c r="T2460" t="s">
        <v>1838</v>
      </c>
      <c r="X2460" t="s">
        <v>30</v>
      </c>
      <c r="Y2460">
        <v>1880288</v>
      </c>
      <c r="Z2460">
        <v>20251231</v>
      </c>
    </row>
    <row r="2461" spans="3:26" x14ac:dyDescent="0.25">
      <c r="C2461">
        <v>10000001</v>
      </c>
      <c r="D2461" t="s">
        <v>25</v>
      </c>
      <c r="F2461">
        <v>1880288</v>
      </c>
      <c r="H2461" t="s">
        <v>25</v>
      </c>
      <c r="I2461">
        <v>40</v>
      </c>
      <c r="J2461" s="1">
        <v>269820</v>
      </c>
      <c r="K2461" t="s">
        <v>26</v>
      </c>
      <c r="L2461" s="1">
        <v>269820</v>
      </c>
      <c r="M2461" t="s">
        <v>26</v>
      </c>
      <c r="Q2461" t="s">
        <v>27</v>
      </c>
      <c r="T2461" t="s">
        <v>1836</v>
      </c>
      <c r="X2461" t="s">
        <v>30</v>
      </c>
      <c r="Y2461">
        <v>1880288</v>
      </c>
      <c r="Z2461">
        <v>20251231</v>
      </c>
    </row>
    <row r="2462" spans="3:26" x14ac:dyDescent="0.25">
      <c r="C2462">
        <v>10000001</v>
      </c>
      <c r="D2462" t="s">
        <v>25</v>
      </c>
      <c r="F2462">
        <v>1880288</v>
      </c>
      <c r="H2462" t="s">
        <v>25</v>
      </c>
      <c r="I2462">
        <v>40</v>
      </c>
      <c r="J2462" s="1">
        <v>851670</v>
      </c>
      <c r="K2462" t="s">
        <v>26</v>
      </c>
      <c r="L2462" s="1">
        <v>851670</v>
      </c>
      <c r="M2462" t="s">
        <v>26</v>
      </c>
      <c r="Q2462" t="s">
        <v>27</v>
      </c>
      <c r="T2462" t="s">
        <v>1592</v>
      </c>
      <c r="X2462" t="s">
        <v>30</v>
      </c>
      <c r="Y2462">
        <v>1880288</v>
      </c>
      <c r="Z2462">
        <v>20251231</v>
      </c>
    </row>
    <row r="2463" spans="3:26" x14ac:dyDescent="0.25">
      <c r="C2463">
        <v>10000001</v>
      </c>
      <c r="D2463" t="s">
        <v>25</v>
      </c>
      <c r="F2463">
        <v>1880288</v>
      </c>
      <c r="H2463" t="s">
        <v>25</v>
      </c>
      <c r="I2463">
        <v>40</v>
      </c>
      <c r="J2463" s="1">
        <v>600000</v>
      </c>
      <c r="K2463" t="s">
        <v>26</v>
      </c>
      <c r="L2463" s="1">
        <v>600000</v>
      </c>
      <c r="M2463" t="s">
        <v>26</v>
      </c>
      <c r="Q2463" t="s">
        <v>27</v>
      </c>
      <c r="T2463" t="s">
        <v>1748</v>
      </c>
      <c r="X2463" t="s">
        <v>30</v>
      </c>
      <c r="Y2463">
        <v>1880288</v>
      </c>
      <c r="Z2463">
        <v>20251231</v>
      </c>
    </row>
    <row r="2464" spans="3:26" x14ac:dyDescent="0.25">
      <c r="C2464">
        <v>10000001</v>
      </c>
      <c r="D2464" t="s">
        <v>25</v>
      </c>
      <c r="F2464">
        <v>1880288</v>
      </c>
      <c r="H2464" t="s">
        <v>25</v>
      </c>
      <c r="I2464">
        <v>40</v>
      </c>
      <c r="J2464" s="1">
        <v>1000000</v>
      </c>
      <c r="K2464" t="s">
        <v>26</v>
      </c>
      <c r="L2464" s="1">
        <v>1000000</v>
      </c>
      <c r="M2464" t="s">
        <v>26</v>
      </c>
      <c r="Q2464" t="s">
        <v>27</v>
      </c>
      <c r="T2464" t="s">
        <v>1772</v>
      </c>
      <c r="X2464" t="s">
        <v>30</v>
      </c>
      <c r="Y2464">
        <v>1880288</v>
      </c>
      <c r="Z2464">
        <v>20251231</v>
      </c>
    </row>
    <row r="2465" spans="3:26" x14ac:dyDescent="0.25">
      <c r="C2465">
        <v>10000001</v>
      </c>
      <c r="D2465" t="s">
        <v>25</v>
      </c>
      <c r="F2465">
        <v>1880288</v>
      </c>
      <c r="H2465" t="s">
        <v>25</v>
      </c>
      <c r="I2465">
        <v>40</v>
      </c>
      <c r="J2465" s="1">
        <v>1000000</v>
      </c>
      <c r="K2465" t="s">
        <v>26</v>
      </c>
      <c r="L2465" s="1">
        <v>1000000</v>
      </c>
      <c r="M2465" t="s">
        <v>26</v>
      </c>
      <c r="Q2465" t="s">
        <v>27</v>
      </c>
      <c r="T2465" t="s">
        <v>1662</v>
      </c>
      <c r="X2465" t="s">
        <v>30</v>
      </c>
      <c r="Y2465">
        <v>1880288</v>
      </c>
      <c r="Z2465">
        <v>20251231</v>
      </c>
    </row>
    <row r="2466" spans="3:26" x14ac:dyDescent="0.25">
      <c r="C2466">
        <v>10000001</v>
      </c>
      <c r="D2466" t="s">
        <v>25</v>
      </c>
      <c r="F2466">
        <v>1880288</v>
      </c>
      <c r="H2466" t="s">
        <v>25</v>
      </c>
      <c r="I2466">
        <v>40</v>
      </c>
      <c r="J2466" s="1">
        <v>875000</v>
      </c>
      <c r="K2466" t="s">
        <v>26</v>
      </c>
      <c r="L2466" s="1">
        <v>875000</v>
      </c>
      <c r="M2466" t="s">
        <v>26</v>
      </c>
      <c r="Q2466" t="s">
        <v>27</v>
      </c>
      <c r="T2466" t="s">
        <v>1708</v>
      </c>
      <c r="X2466" t="s">
        <v>30</v>
      </c>
      <c r="Y2466">
        <v>1880288</v>
      </c>
      <c r="Z2466">
        <v>20251231</v>
      </c>
    </row>
    <row r="2467" spans="3:26" x14ac:dyDescent="0.25">
      <c r="C2467">
        <v>10000001</v>
      </c>
      <c r="D2467" t="s">
        <v>25</v>
      </c>
      <c r="F2467">
        <v>1880288</v>
      </c>
      <c r="H2467" t="s">
        <v>25</v>
      </c>
      <c r="I2467">
        <v>40</v>
      </c>
      <c r="J2467" s="1">
        <v>201100</v>
      </c>
      <c r="K2467" t="s">
        <v>26</v>
      </c>
      <c r="L2467" s="1">
        <v>201100</v>
      </c>
      <c r="M2467" t="s">
        <v>26</v>
      </c>
      <c r="Q2467" t="s">
        <v>27</v>
      </c>
      <c r="T2467" t="s">
        <v>1609</v>
      </c>
      <c r="X2467" t="s">
        <v>30</v>
      </c>
      <c r="Y2467">
        <v>1880288</v>
      </c>
      <c r="Z2467">
        <v>20251231</v>
      </c>
    </row>
    <row r="2468" spans="3:26" x14ac:dyDescent="0.25">
      <c r="C2468">
        <v>10000001</v>
      </c>
      <c r="D2468" t="s">
        <v>25</v>
      </c>
      <c r="F2468">
        <v>1880288</v>
      </c>
      <c r="H2468" t="s">
        <v>25</v>
      </c>
      <c r="I2468">
        <v>40</v>
      </c>
      <c r="J2468" s="1">
        <v>256380</v>
      </c>
      <c r="K2468" t="s">
        <v>26</v>
      </c>
      <c r="L2468" s="1">
        <v>256380</v>
      </c>
      <c r="M2468" t="s">
        <v>26</v>
      </c>
      <c r="Q2468" t="s">
        <v>27</v>
      </c>
      <c r="T2468" t="s">
        <v>1893</v>
      </c>
      <c r="X2468" t="s">
        <v>30</v>
      </c>
      <c r="Y2468">
        <v>1880288</v>
      </c>
      <c r="Z2468">
        <v>20251231</v>
      </c>
    </row>
    <row r="2469" spans="3:26" x14ac:dyDescent="0.25">
      <c r="C2469">
        <v>10000001</v>
      </c>
      <c r="D2469" t="s">
        <v>25</v>
      </c>
      <c r="F2469">
        <v>1880288</v>
      </c>
      <c r="H2469" t="s">
        <v>25</v>
      </c>
      <c r="I2469">
        <v>40</v>
      </c>
      <c r="J2469" s="1">
        <v>1000000</v>
      </c>
      <c r="K2469" t="s">
        <v>26</v>
      </c>
      <c r="L2469" s="1">
        <v>1000000</v>
      </c>
      <c r="M2469" t="s">
        <v>26</v>
      </c>
      <c r="Q2469" t="s">
        <v>27</v>
      </c>
      <c r="T2469" t="s">
        <v>1568</v>
      </c>
      <c r="X2469" t="s">
        <v>30</v>
      </c>
      <c r="Y2469">
        <v>1880288</v>
      </c>
      <c r="Z2469">
        <v>20251231</v>
      </c>
    </row>
    <row r="2470" spans="3:26" x14ac:dyDescent="0.25">
      <c r="C2470">
        <v>10000001</v>
      </c>
      <c r="D2470" t="s">
        <v>25</v>
      </c>
      <c r="F2470">
        <v>1880288</v>
      </c>
      <c r="H2470" t="s">
        <v>25</v>
      </c>
      <c r="I2470">
        <v>40</v>
      </c>
      <c r="J2470" s="1">
        <v>235000</v>
      </c>
      <c r="K2470" t="s">
        <v>26</v>
      </c>
      <c r="L2470" s="1">
        <v>235000</v>
      </c>
      <c r="M2470" t="s">
        <v>26</v>
      </c>
      <c r="Q2470" t="s">
        <v>27</v>
      </c>
      <c r="T2470" t="s">
        <v>1588</v>
      </c>
      <c r="X2470" t="s">
        <v>30</v>
      </c>
      <c r="Y2470">
        <v>1880288</v>
      </c>
      <c r="Z2470">
        <v>20251231</v>
      </c>
    </row>
    <row r="2471" spans="3:26" x14ac:dyDescent="0.25">
      <c r="C2471">
        <v>10000001</v>
      </c>
      <c r="D2471" t="s">
        <v>25</v>
      </c>
      <c r="F2471">
        <v>1880288</v>
      </c>
      <c r="H2471" t="s">
        <v>25</v>
      </c>
      <c r="I2471">
        <v>40</v>
      </c>
      <c r="J2471" s="1">
        <v>610000</v>
      </c>
      <c r="K2471" t="s">
        <v>26</v>
      </c>
      <c r="L2471" s="1">
        <v>610000</v>
      </c>
      <c r="M2471" t="s">
        <v>26</v>
      </c>
      <c r="Q2471" t="s">
        <v>27</v>
      </c>
      <c r="T2471" t="s">
        <v>1884</v>
      </c>
      <c r="X2471" t="s">
        <v>30</v>
      </c>
      <c r="Y2471">
        <v>1880288</v>
      </c>
      <c r="Z2471">
        <v>20251231</v>
      </c>
    </row>
    <row r="2472" spans="3:26" x14ac:dyDescent="0.25">
      <c r="C2472">
        <v>10000001</v>
      </c>
      <c r="D2472" t="s">
        <v>25</v>
      </c>
      <c r="F2472">
        <v>1880288</v>
      </c>
      <c r="H2472" t="s">
        <v>25</v>
      </c>
      <c r="I2472">
        <v>40</v>
      </c>
      <c r="J2472" s="1">
        <v>951106</v>
      </c>
      <c r="K2472" t="s">
        <v>26</v>
      </c>
      <c r="L2472" s="1">
        <v>951106</v>
      </c>
      <c r="M2472" t="s">
        <v>26</v>
      </c>
      <c r="Q2472" t="s">
        <v>27</v>
      </c>
      <c r="T2472" t="s">
        <v>1774</v>
      </c>
      <c r="X2472" t="s">
        <v>30</v>
      </c>
      <c r="Y2472">
        <v>1880288</v>
      </c>
      <c r="Z2472">
        <v>20251231</v>
      </c>
    </row>
    <row r="2473" spans="3:26" x14ac:dyDescent="0.25">
      <c r="C2473">
        <v>10000001</v>
      </c>
      <c r="D2473" t="s">
        <v>25</v>
      </c>
      <c r="F2473">
        <v>1880288</v>
      </c>
      <c r="H2473" t="s">
        <v>25</v>
      </c>
      <c r="I2473">
        <v>40</v>
      </c>
      <c r="J2473" s="1">
        <v>109450</v>
      </c>
      <c r="K2473" t="s">
        <v>26</v>
      </c>
      <c r="L2473" s="1">
        <v>109450</v>
      </c>
      <c r="M2473" t="s">
        <v>26</v>
      </c>
      <c r="Q2473" t="s">
        <v>27</v>
      </c>
      <c r="T2473" t="s">
        <v>1785</v>
      </c>
      <c r="X2473" t="s">
        <v>30</v>
      </c>
      <c r="Y2473">
        <v>1880288</v>
      </c>
      <c r="Z2473">
        <v>20251231</v>
      </c>
    </row>
    <row r="2474" spans="3:26" x14ac:dyDescent="0.25">
      <c r="C2474">
        <v>10000001</v>
      </c>
      <c r="D2474" t="s">
        <v>25</v>
      </c>
      <c r="F2474">
        <v>1880288</v>
      </c>
      <c r="H2474" t="s">
        <v>25</v>
      </c>
      <c r="I2474">
        <v>40</v>
      </c>
      <c r="J2474" s="1">
        <v>961250</v>
      </c>
      <c r="K2474" t="s">
        <v>26</v>
      </c>
      <c r="L2474" s="1">
        <v>961250</v>
      </c>
      <c r="M2474" t="s">
        <v>26</v>
      </c>
      <c r="Q2474" t="s">
        <v>27</v>
      </c>
      <c r="T2474" t="s">
        <v>1631</v>
      </c>
      <c r="X2474" t="s">
        <v>30</v>
      </c>
      <c r="Y2474">
        <v>1880288</v>
      </c>
      <c r="Z2474">
        <v>20251231</v>
      </c>
    </row>
    <row r="2475" spans="3:26" x14ac:dyDescent="0.25">
      <c r="C2475">
        <v>10000001</v>
      </c>
      <c r="D2475" t="s">
        <v>25</v>
      </c>
      <c r="F2475">
        <v>1880288</v>
      </c>
      <c r="H2475" t="s">
        <v>25</v>
      </c>
      <c r="I2475">
        <v>40</v>
      </c>
      <c r="J2475" s="1">
        <v>171000</v>
      </c>
      <c r="K2475" t="s">
        <v>26</v>
      </c>
      <c r="L2475" s="1">
        <v>171000</v>
      </c>
      <c r="M2475" t="s">
        <v>26</v>
      </c>
      <c r="Q2475" t="s">
        <v>27</v>
      </c>
      <c r="T2475" t="s">
        <v>1840</v>
      </c>
      <c r="X2475" t="s">
        <v>30</v>
      </c>
      <c r="Y2475">
        <v>1880288</v>
      </c>
      <c r="Z2475">
        <v>20251231</v>
      </c>
    </row>
    <row r="2476" spans="3:26" x14ac:dyDescent="0.25">
      <c r="C2476">
        <v>10000001</v>
      </c>
      <c r="D2476" t="s">
        <v>25</v>
      </c>
      <c r="F2476">
        <v>1880288</v>
      </c>
      <c r="H2476" t="s">
        <v>25</v>
      </c>
      <c r="I2476">
        <v>40</v>
      </c>
      <c r="J2476" s="1">
        <v>239480</v>
      </c>
      <c r="K2476" t="s">
        <v>26</v>
      </c>
      <c r="L2476" s="1">
        <v>239480</v>
      </c>
      <c r="M2476" t="s">
        <v>26</v>
      </c>
      <c r="Q2476" t="s">
        <v>27</v>
      </c>
      <c r="T2476" t="s">
        <v>1612</v>
      </c>
      <c r="X2476" t="s">
        <v>30</v>
      </c>
      <c r="Y2476">
        <v>1880288</v>
      </c>
      <c r="Z2476">
        <v>20251231</v>
      </c>
    </row>
    <row r="2477" spans="3:26" x14ac:dyDescent="0.25">
      <c r="C2477">
        <v>10000001</v>
      </c>
      <c r="D2477" t="s">
        <v>25</v>
      </c>
      <c r="F2477">
        <v>1880288</v>
      </c>
      <c r="H2477" t="s">
        <v>25</v>
      </c>
      <c r="I2477">
        <v>40</v>
      </c>
      <c r="J2477" s="1">
        <v>420000</v>
      </c>
      <c r="K2477" t="s">
        <v>26</v>
      </c>
      <c r="L2477" s="1">
        <v>420000</v>
      </c>
      <c r="M2477" t="s">
        <v>26</v>
      </c>
      <c r="Q2477" t="s">
        <v>27</v>
      </c>
      <c r="T2477" t="s">
        <v>1875</v>
      </c>
      <c r="X2477" t="s">
        <v>30</v>
      </c>
      <c r="Y2477">
        <v>1880288</v>
      </c>
      <c r="Z2477">
        <v>20251231</v>
      </c>
    </row>
    <row r="2478" spans="3:26" x14ac:dyDescent="0.25">
      <c r="C2478">
        <v>10000001</v>
      </c>
      <c r="D2478" t="s">
        <v>25</v>
      </c>
      <c r="F2478">
        <v>1880288</v>
      </c>
      <c r="H2478" t="s">
        <v>25</v>
      </c>
      <c r="I2478">
        <v>40</v>
      </c>
      <c r="J2478" s="1">
        <v>21000</v>
      </c>
      <c r="K2478" t="s">
        <v>26</v>
      </c>
      <c r="L2478" s="1">
        <v>21000</v>
      </c>
      <c r="M2478" t="s">
        <v>26</v>
      </c>
      <c r="Q2478" t="s">
        <v>27</v>
      </c>
      <c r="T2478" t="s">
        <v>1577</v>
      </c>
      <c r="X2478" t="s">
        <v>30</v>
      </c>
      <c r="Y2478">
        <v>1880288</v>
      </c>
      <c r="Z2478">
        <v>20251231</v>
      </c>
    </row>
    <row r="2479" spans="3:26" x14ac:dyDescent="0.25">
      <c r="C2479">
        <v>10000001</v>
      </c>
      <c r="D2479" t="s">
        <v>25</v>
      </c>
      <c r="F2479">
        <v>1880288</v>
      </c>
      <c r="H2479" t="s">
        <v>25</v>
      </c>
      <c r="I2479">
        <v>40</v>
      </c>
      <c r="J2479" s="1">
        <v>64000</v>
      </c>
      <c r="K2479" t="s">
        <v>26</v>
      </c>
      <c r="L2479" s="1">
        <v>64000</v>
      </c>
      <c r="M2479" t="s">
        <v>26</v>
      </c>
      <c r="Q2479" t="s">
        <v>27</v>
      </c>
      <c r="T2479" t="s">
        <v>1790</v>
      </c>
      <c r="X2479" t="s">
        <v>30</v>
      </c>
      <c r="Y2479">
        <v>1880288</v>
      </c>
      <c r="Z2479">
        <v>20251231</v>
      </c>
    </row>
    <row r="2480" spans="3:26" x14ac:dyDescent="0.25">
      <c r="C2480">
        <v>10000001</v>
      </c>
      <c r="D2480" t="s">
        <v>25</v>
      </c>
      <c r="F2480">
        <v>1880288</v>
      </c>
      <c r="H2480" t="s">
        <v>25</v>
      </c>
      <c r="I2480">
        <v>40</v>
      </c>
      <c r="J2480" s="1">
        <v>162360</v>
      </c>
      <c r="K2480" t="s">
        <v>26</v>
      </c>
      <c r="L2480" s="1">
        <v>162360</v>
      </c>
      <c r="M2480" t="s">
        <v>26</v>
      </c>
      <c r="Q2480" t="s">
        <v>27</v>
      </c>
      <c r="T2480" t="s">
        <v>1757</v>
      </c>
      <c r="X2480" t="s">
        <v>30</v>
      </c>
      <c r="Y2480">
        <v>1880288</v>
      </c>
      <c r="Z2480">
        <v>20251231</v>
      </c>
    </row>
    <row r="2481" spans="3:26" x14ac:dyDescent="0.25">
      <c r="C2481">
        <v>10000001</v>
      </c>
      <c r="D2481" t="s">
        <v>25</v>
      </c>
      <c r="F2481">
        <v>1880288</v>
      </c>
      <c r="H2481" t="s">
        <v>25</v>
      </c>
      <c r="I2481">
        <v>40</v>
      </c>
      <c r="J2481" s="1">
        <v>98016</v>
      </c>
      <c r="K2481" t="s">
        <v>26</v>
      </c>
      <c r="L2481" s="1">
        <v>98016</v>
      </c>
      <c r="M2481" t="s">
        <v>26</v>
      </c>
      <c r="Q2481" t="s">
        <v>27</v>
      </c>
      <c r="T2481" t="s">
        <v>1583</v>
      </c>
      <c r="X2481" t="s">
        <v>30</v>
      </c>
      <c r="Y2481">
        <v>1880288</v>
      </c>
      <c r="Z2481">
        <v>20251231</v>
      </c>
    </row>
    <row r="2482" spans="3:26" x14ac:dyDescent="0.25">
      <c r="C2482">
        <v>10000001</v>
      </c>
      <c r="D2482" t="s">
        <v>25</v>
      </c>
      <c r="F2482">
        <v>1880288</v>
      </c>
      <c r="H2482" t="s">
        <v>25</v>
      </c>
      <c r="I2482">
        <v>40</v>
      </c>
      <c r="J2482" s="1">
        <v>610800</v>
      </c>
      <c r="K2482" t="s">
        <v>26</v>
      </c>
      <c r="L2482" s="1">
        <v>610800</v>
      </c>
      <c r="M2482" t="s">
        <v>26</v>
      </c>
      <c r="Q2482" t="s">
        <v>27</v>
      </c>
      <c r="T2482" t="s">
        <v>1899</v>
      </c>
      <c r="X2482" t="s">
        <v>30</v>
      </c>
      <c r="Y2482">
        <v>1880288</v>
      </c>
      <c r="Z2482">
        <v>20251231</v>
      </c>
    </row>
    <row r="2483" spans="3:26" x14ac:dyDescent="0.25">
      <c r="C2483">
        <v>10000001</v>
      </c>
      <c r="D2483" t="s">
        <v>25</v>
      </c>
      <c r="F2483">
        <v>1880288</v>
      </c>
      <c r="H2483" t="s">
        <v>25</v>
      </c>
      <c r="I2483">
        <v>40</v>
      </c>
      <c r="J2483" s="1">
        <v>730769</v>
      </c>
      <c r="K2483" t="s">
        <v>26</v>
      </c>
      <c r="L2483" s="1">
        <v>730769</v>
      </c>
      <c r="M2483" t="s">
        <v>26</v>
      </c>
      <c r="Q2483" t="s">
        <v>27</v>
      </c>
      <c r="T2483" t="s">
        <v>1787</v>
      </c>
      <c r="X2483" t="s">
        <v>30</v>
      </c>
      <c r="Y2483">
        <v>1880288</v>
      </c>
      <c r="Z2483">
        <v>20251231</v>
      </c>
    </row>
    <row r="2484" spans="3:26" x14ac:dyDescent="0.25">
      <c r="C2484">
        <v>10000001</v>
      </c>
      <c r="D2484" t="s">
        <v>25</v>
      </c>
      <c r="F2484">
        <v>1880288</v>
      </c>
      <c r="H2484" t="s">
        <v>25</v>
      </c>
      <c r="I2484">
        <v>40</v>
      </c>
      <c r="J2484" s="1">
        <v>895660</v>
      </c>
      <c r="K2484" t="s">
        <v>26</v>
      </c>
      <c r="L2484" s="1">
        <v>895660</v>
      </c>
      <c r="M2484" t="s">
        <v>26</v>
      </c>
      <c r="Q2484" t="s">
        <v>27</v>
      </c>
      <c r="T2484" t="s">
        <v>1881</v>
      </c>
      <c r="X2484" t="s">
        <v>30</v>
      </c>
      <c r="Y2484">
        <v>1880288</v>
      </c>
      <c r="Z2484">
        <v>20251231</v>
      </c>
    </row>
    <row r="2485" spans="3:26" x14ac:dyDescent="0.25">
      <c r="C2485">
        <v>10000001</v>
      </c>
      <c r="D2485" t="s">
        <v>25</v>
      </c>
      <c r="F2485">
        <v>1880288</v>
      </c>
      <c r="H2485" t="s">
        <v>25</v>
      </c>
      <c r="I2485">
        <v>40</v>
      </c>
      <c r="J2485" s="1">
        <v>26000</v>
      </c>
      <c r="K2485" t="s">
        <v>26</v>
      </c>
      <c r="L2485" s="1">
        <v>26000</v>
      </c>
      <c r="M2485" t="s">
        <v>26</v>
      </c>
      <c r="Q2485" t="s">
        <v>27</v>
      </c>
      <c r="T2485" t="s">
        <v>1694</v>
      </c>
      <c r="X2485" t="s">
        <v>30</v>
      </c>
      <c r="Y2485">
        <v>1880288</v>
      </c>
      <c r="Z2485">
        <v>20251231</v>
      </c>
    </row>
    <row r="2486" spans="3:26" x14ac:dyDescent="0.25">
      <c r="C2486">
        <v>10000001</v>
      </c>
      <c r="D2486" t="s">
        <v>25</v>
      </c>
      <c r="F2486">
        <v>1880288</v>
      </c>
      <c r="H2486" t="s">
        <v>25</v>
      </c>
      <c r="I2486">
        <v>40</v>
      </c>
      <c r="J2486" s="1">
        <v>65502</v>
      </c>
      <c r="K2486" t="s">
        <v>26</v>
      </c>
      <c r="L2486" s="1">
        <v>65502</v>
      </c>
      <c r="M2486" t="s">
        <v>26</v>
      </c>
      <c r="Q2486" t="s">
        <v>27</v>
      </c>
      <c r="T2486" t="s">
        <v>1780</v>
      </c>
      <c r="X2486" t="s">
        <v>30</v>
      </c>
      <c r="Y2486">
        <v>1880288</v>
      </c>
      <c r="Z2486">
        <v>20251231</v>
      </c>
    </row>
    <row r="2487" spans="3:26" x14ac:dyDescent="0.25">
      <c r="C2487">
        <v>10000001</v>
      </c>
      <c r="D2487" t="s">
        <v>25</v>
      </c>
      <c r="F2487">
        <v>1880288</v>
      </c>
      <c r="H2487" t="s">
        <v>25</v>
      </c>
      <c r="I2487">
        <v>40</v>
      </c>
      <c r="J2487" s="1">
        <v>507000</v>
      </c>
      <c r="K2487" t="s">
        <v>26</v>
      </c>
      <c r="L2487" s="1">
        <v>507000</v>
      </c>
      <c r="M2487" t="s">
        <v>26</v>
      </c>
      <c r="Q2487" t="s">
        <v>27</v>
      </c>
      <c r="T2487" t="s">
        <v>1778</v>
      </c>
      <c r="X2487" t="s">
        <v>30</v>
      </c>
      <c r="Y2487">
        <v>1880288</v>
      </c>
      <c r="Z2487">
        <v>20251231</v>
      </c>
    </row>
    <row r="2488" spans="3:26" x14ac:dyDescent="0.25">
      <c r="C2488">
        <v>10000001</v>
      </c>
      <c r="D2488" t="s">
        <v>25</v>
      </c>
      <c r="F2488">
        <v>1880288</v>
      </c>
      <c r="H2488" t="s">
        <v>25</v>
      </c>
      <c r="I2488">
        <v>40</v>
      </c>
      <c r="J2488" s="1">
        <v>951025</v>
      </c>
      <c r="K2488" t="s">
        <v>26</v>
      </c>
      <c r="L2488" s="1">
        <v>951025</v>
      </c>
      <c r="M2488" t="s">
        <v>26</v>
      </c>
      <c r="Q2488" t="s">
        <v>27</v>
      </c>
      <c r="T2488" t="s">
        <v>1842</v>
      </c>
      <c r="X2488" t="s">
        <v>30</v>
      </c>
      <c r="Y2488">
        <v>1880288</v>
      </c>
      <c r="Z2488">
        <v>20251231</v>
      </c>
    </row>
    <row r="2489" spans="3:26" x14ac:dyDescent="0.25">
      <c r="C2489">
        <v>10000001</v>
      </c>
      <c r="D2489" t="s">
        <v>25</v>
      </c>
      <c r="F2489">
        <v>1880288</v>
      </c>
      <c r="H2489" t="s">
        <v>25</v>
      </c>
      <c r="I2489">
        <v>40</v>
      </c>
      <c r="J2489" s="1">
        <v>509000</v>
      </c>
      <c r="K2489" t="s">
        <v>26</v>
      </c>
      <c r="L2489" s="1">
        <v>509000</v>
      </c>
      <c r="M2489" t="s">
        <v>26</v>
      </c>
      <c r="Q2489" t="s">
        <v>27</v>
      </c>
      <c r="T2489" t="s">
        <v>1802</v>
      </c>
      <c r="X2489" t="s">
        <v>30</v>
      </c>
      <c r="Y2489">
        <v>1880288</v>
      </c>
      <c r="Z2489">
        <v>20251231</v>
      </c>
    </row>
    <row r="2490" spans="3:26" x14ac:dyDescent="0.25">
      <c r="C2490">
        <v>10000001</v>
      </c>
      <c r="D2490" t="s">
        <v>25</v>
      </c>
      <c r="F2490">
        <v>1880288</v>
      </c>
      <c r="H2490" t="s">
        <v>25</v>
      </c>
      <c r="I2490">
        <v>40</v>
      </c>
      <c r="J2490" s="1">
        <v>57800</v>
      </c>
      <c r="K2490" t="s">
        <v>26</v>
      </c>
      <c r="L2490" s="1">
        <v>57800</v>
      </c>
      <c r="M2490" t="s">
        <v>26</v>
      </c>
      <c r="Q2490" t="s">
        <v>27</v>
      </c>
      <c r="T2490" t="s">
        <v>1706</v>
      </c>
      <c r="X2490" t="s">
        <v>30</v>
      </c>
      <c r="Y2490">
        <v>1880288</v>
      </c>
      <c r="Z2490">
        <v>20251231</v>
      </c>
    </row>
    <row r="2491" spans="3:26" x14ac:dyDescent="0.25">
      <c r="C2491">
        <v>10000001</v>
      </c>
      <c r="D2491" t="s">
        <v>25</v>
      </c>
      <c r="F2491">
        <v>1880288</v>
      </c>
      <c r="H2491" t="s">
        <v>25</v>
      </c>
      <c r="I2491">
        <v>40</v>
      </c>
      <c r="J2491" s="1">
        <v>372700</v>
      </c>
      <c r="K2491" t="s">
        <v>26</v>
      </c>
      <c r="L2491" s="1">
        <v>372700</v>
      </c>
      <c r="M2491" t="s">
        <v>26</v>
      </c>
      <c r="Q2491" t="s">
        <v>27</v>
      </c>
      <c r="T2491" t="s">
        <v>1877</v>
      </c>
      <c r="X2491" t="s">
        <v>30</v>
      </c>
      <c r="Y2491">
        <v>1880288</v>
      </c>
      <c r="Z2491">
        <v>20251231</v>
      </c>
    </row>
    <row r="2492" spans="3:26" x14ac:dyDescent="0.25">
      <c r="C2492">
        <v>10000001</v>
      </c>
      <c r="D2492" t="s">
        <v>25</v>
      </c>
      <c r="F2492">
        <v>1880288</v>
      </c>
      <c r="H2492" t="s">
        <v>25</v>
      </c>
      <c r="I2492">
        <v>40</v>
      </c>
      <c r="J2492" s="1">
        <v>1675048</v>
      </c>
      <c r="K2492" t="s">
        <v>26</v>
      </c>
      <c r="L2492" s="1">
        <v>1675048</v>
      </c>
      <c r="M2492" t="s">
        <v>26</v>
      </c>
      <c r="Q2492" t="s">
        <v>27</v>
      </c>
      <c r="T2492" t="s">
        <v>1873</v>
      </c>
      <c r="X2492" t="s">
        <v>30</v>
      </c>
      <c r="Y2492">
        <v>1880288</v>
      </c>
      <c r="Z2492">
        <v>20251231</v>
      </c>
    </row>
    <row r="2493" spans="3:26" x14ac:dyDescent="0.25">
      <c r="C2493">
        <v>10000001</v>
      </c>
      <c r="D2493" t="s">
        <v>25</v>
      </c>
      <c r="F2493">
        <v>1880288</v>
      </c>
      <c r="H2493" t="s">
        <v>25</v>
      </c>
      <c r="I2493">
        <v>40</v>
      </c>
      <c r="J2493" s="1">
        <v>310000</v>
      </c>
      <c r="K2493" t="s">
        <v>26</v>
      </c>
      <c r="L2493" s="1">
        <v>310000</v>
      </c>
      <c r="M2493" t="s">
        <v>26</v>
      </c>
      <c r="Q2493" t="s">
        <v>27</v>
      </c>
      <c r="T2493" t="s">
        <v>181</v>
      </c>
      <c r="X2493" t="s">
        <v>30</v>
      </c>
      <c r="Y2493">
        <v>1880288</v>
      </c>
      <c r="Z2493">
        <v>20251231</v>
      </c>
    </row>
    <row r="2494" spans="3:26" x14ac:dyDescent="0.25">
      <c r="C2494">
        <v>10000001</v>
      </c>
      <c r="D2494" t="s">
        <v>25</v>
      </c>
      <c r="F2494">
        <v>1880288</v>
      </c>
      <c r="H2494" t="s">
        <v>25</v>
      </c>
      <c r="I2494">
        <v>40</v>
      </c>
      <c r="J2494" s="1">
        <v>330000</v>
      </c>
      <c r="K2494" t="s">
        <v>26</v>
      </c>
      <c r="L2494" s="1">
        <v>330000</v>
      </c>
      <c r="M2494" t="s">
        <v>26</v>
      </c>
      <c r="Q2494" t="s">
        <v>27</v>
      </c>
      <c r="T2494" t="s">
        <v>179</v>
      </c>
      <c r="X2494" t="s">
        <v>30</v>
      </c>
      <c r="Y2494">
        <v>1880288</v>
      </c>
      <c r="Z2494">
        <v>20251231</v>
      </c>
    </row>
    <row r="2495" spans="3:26" x14ac:dyDescent="0.25">
      <c r="C2495">
        <v>10000001</v>
      </c>
      <c r="D2495" t="s">
        <v>25</v>
      </c>
      <c r="F2495">
        <v>1880288</v>
      </c>
      <c r="H2495" t="s">
        <v>25</v>
      </c>
      <c r="I2495">
        <v>40</v>
      </c>
      <c r="J2495" s="1">
        <v>637500</v>
      </c>
      <c r="K2495" t="s">
        <v>26</v>
      </c>
      <c r="L2495" s="1">
        <v>637500</v>
      </c>
      <c r="M2495" t="s">
        <v>26</v>
      </c>
      <c r="Q2495" t="s">
        <v>27</v>
      </c>
      <c r="T2495" t="s">
        <v>1739</v>
      </c>
      <c r="X2495" t="s">
        <v>30</v>
      </c>
      <c r="Y2495">
        <v>1880288</v>
      </c>
      <c r="Z2495">
        <v>20251231</v>
      </c>
    </row>
    <row r="2496" spans="3:26" x14ac:dyDescent="0.25">
      <c r="C2496">
        <v>10000001</v>
      </c>
      <c r="D2496" t="s">
        <v>25</v>
      </c>
      <c r="F2496">
        <v>1880288</v>
      </c>
      <c r="H2496" t="s">
        <v>25</v>
      </c>
      <c r="I2496">
        <v>40</v>
      </c>
      <c r="J2496" s="1">
        <v>515500</v>
      </c>
      <c r="K2496" t="s">
        <v>26</v>
      </c>
      <c r="L2496" s="1">
        <v>515500</v>
      </c>
      <c r="M2496" t="s">
        <v>26</v>
      </c>
      <c r="Q2496" t="s">
        <v>27</v>
      </c>
      <c r="T2496" t="s">
        <v>1741</v>
      </c>
      <c r="X2496" t="s">
        <v>30</v>
      </c>
      <c r="Y2496">
        <v>1880288</v>
      </c>
      <c r="Z2496">
        <v>20251231</v>
      </c>
    </row>
    <row r="2497" spans="3:26" x14ac:dyDescent="0.25">
      <c r="C2497">
        <v>10000001</v>
      </c>
      <c r="D2497" t="s">
        <v>25</v>
      </c>
      <c r="F2497">
        <v>1880288</v>
      </c>
      <c r="H2497" t="s">
        <v>25</v>
      </c>
      <c r="I2497">
        <v>40</v>
      </c>
      <c r="J2497" s="1">
        <v>662900</v>
      </c>
      <c r="K2497" t="s">
        <v>26</v>
      </c>
      <c r="L2497" s="1">
        <v>662900</v>
      </c>
      <c r="M2497" t="s">
        <v>26</v>
      </c>
      <c r="Q2497" t="s">
        <v>27</v>
      </c>
      <c r="T2497" t="s">
        <v>1879</v>
      </c>
      <c r="X2497" t="s">
        <v>30</v>
      </c>
      <c r="Y2497">
        <v>1880288</v>
      </c>
      <c r="Z2497">
        <v>20251231</v>
      </c>
    </row>
    <row r="2498" spans="3:26" x14ac:dyDescent="0.25">
      <c r="C2498">
        <v>10000001</v>
      </c>
      <c r="D2498" t="s">
        <v>25</v>
      </c>
      <c r="F2498">
        <v>1880288</v>
      </c>
      <c r="H2498" t="s">
        <v>25</v>
      </c>
      <c r="I2498">
        <v>40</v>
      </c>
      <c r="J2498" s="1">
        <v>300544</v>
      </c>
      <c r="K2498" t="s">
        <v>26</v>
      </c>
      <c r="L2498" s="1">
        <v>300544</v>
      </c>
      <c r="M2498" t="s">
        <v>26</v>
      </c>
      <c r="Q2498" t="s">
        <v>27</v>
      </c>
      <c r="T2498" t="s">
        <v>1746</v>
      </c>
      <c r="X2498" t="s">
        <v>30</v>
      </c>
      <c r="Y2498">
        <v>1880288</v>
      </c>
      <c r="Z2498">
        <v>20251231</v>
      </c>
    </row>
    <row r="2499" spans="3:26" x14ac:dyDescent="0.25">
      <c r="C2499">
        <v>10000001</v>
      </c>
      <c r="D2499" t="s">
        <v>25</v>
      </c>
      <c r="F2499">
        <v>1880288</v>
      </c>
      <c r="H2499" t="s">
        <v>25</v>
      </c>
      <c r="I2499">
        <v>40</v>
      </c>
      <c r="J2499" s="1">
        <v>333000</v>
      </c>
      <c r="K2499" t="s">
        <v>26</v>
      </c>
      <c r="L2499" s="1">
        <v>333000</v>
      </c>
      <c r="M2499" t="s">
        <v>26</v>
      </c>
      <c r="Q2499" t="s">
        <v>27</v>
      </c>
      <c r="T2499" t="s">
        <v>1749</v>
      </c>
      <c r="X2499" t="s">
        <v>30</v>
      </c>
      <c r="Y2499">
        <v>1880288</v>
      </c>
      <c r="Z2499">
        <v>20251231</v>
      </c>
    </row>
    <row r="2500" spans="3:26" x14ac:dyDescent="0.25">
      <c r="C2500">
        <v>10000001</v>
      </c>
      <c r="D2500" t="s">
        <v>25</v>
      </c>
      <c r="F2500">
        <v>1880288</v>
      </c>
      <c r="H2500" t="s">
        <v>25</v>
      </c>
      <c r="I2500">
        <v>40</v>
      </c>
      <c r="J2500" s="1">
        <v>333000</v>
      </c>
      <c r="K2500" t="s">
        <v>26</v>
      </c>
      <c r="L2500" s="1">
        <v>333000</v>
      </c>
      <c r="M2500" t="s">
        <v>26</v>
      </c>
      <c r="Q2500" t="s">
        <v>27</v>
      </c>
      <c r="T2500" t="s">
        <v>1900</v>
      </c>
      <c r="X2500" t="s">
        <v>30</v>
      </c>
      <c r="Y2500">
        <v>1880288</v>
      </c>
      <c r="Z2500">
        <v>20251231</v>
      </c>
    </row>
    <row r="2501" spans="3:26" x14ac:dyDescent="0.25">
      <c r="C2501">
        <v>10000001</v>
      </c>
      <c r="D2501" t="s">
        <v>25</v>
      </c>
      <c r="F2501">
        <v>1880288</v>
      </c>
      <c r="H2501" t="s">
        <v>25</v>
      </c>
      <c r="I2501">
        <v>40</v>
      </c>
      <c r="J2501" s="1">
        <v>600000</v>
      </c>
      <c r="K2501" t="s">
        <v>26</v>
      </c>
      <c r="L2501" s="1">
        <v>600000</v>
      </c>
      <c r="M2501" t="s">
        <v>26</v>
      </c>
      <c r="Q2501" t="s">
        <v>27</v>
      </c>
      <c r="T2501" t="s">
        <v>1794</v>
      </c>
      <c r="X2501" t="s">
        <v>30</v>
      </c>
      <c r="Y2501">
        <v>1880288</v>
      </c>
      <c r="Z2501">
        <v>20251231</v>
      </c>
    </row>
    <row r="2502" spans="3:26" x14ac:dyDescent="0.25">
      <c r="C2502">
        <v>10000001</v>
      </c>
      <c r="D2502" t="s">
        <v>25</v>
      </c>
      <c r="F2502">
        <v>1880288</v>
      </c>
      <c r="H2502" t="s">
        <v>25</v>
      </c>
      <c r="I2502">
        <v>40</v>
      </c>
      <c r="J2502" s="1">
        <v>600000</v>
      </c>
      <c r="K2502" t="s">
        <v>26</v>
      </c>
      <c r="L2502" s="1">
        <v>600000</v>
      </c>
      <c r="M2502" t="s">
        <v>26</v>
      </c>
      <c r="Q2502" t="s">
        <v>27</v>
      </c>
      <c r="T2502" t="s">
        <v>1796</v>
      </c>
      <c r="X2502" t="s">
        <v>30</v>
      </c>
      <c r="Y2502">
        <v>1880288</v>
      </c>
      <c r="Z2502">
        <v>20251231</v>
      </c>
    </row>
    <row r="2503" spans="3:26" x14ac:dyDescent="0.25">
      <c r="C2503">
        <v>10000001</v>
      </c>
      <c r="D2503" t="s">
        <v>25</v>
      </c>
      <c r="F2503">
        <v>1880288</v>
      </c>
      <c r="H2503" t="s">
        <v>25</v>
      </c>
      <c r="I2503">
        <v>40</v>
      </c>
      <c r="J2503" s="1">
        <v>600000</v>
      </c>
      <c r="K2503" t="s">
        <v>26</v>
      </c>
      <c r="L2503" s="1">
        <v>600000</v>
      </c>
      <c r="M2503" t="s">
        <v>26</v>
      </c>
      <c r="Q2503" t="s">
        <v>27</v>
      </c>
      <c r="T2503" t="s">
        <v>1792</v>
      </c>
      <c r="X2503" t="s">
        <v>30</v>
      </c>
      <c r="Y2503">
        <v>1880288</v>
      </c>
      <c r="Z2503">
        <v>20251231</v>
      </c>
    </row>
    <row r="2504" spans="3:26" x14ac:dyDescent="0.25">
      <c r="C2504">
        <v>10000001</v>
      </c>
      <c r="D2504" t="s">
        <v>25</v>
      </c>
      <c r="F2504">
        <v>1880288</v>
      </c>
      <c r="H2504" t="s">
        <v>25</v>
      </c>
      <c r="I2504">
        <v>40</v>
      </c>
      <c r="J2504" s="1">
        <v>654000</v>
      </c>
      <c r="K2504" t="s">
        <v>26</v>
      </c>
      <c r="L2504" s="1">
        <v>654000</v>
      </c>
      <c r="M2504" t="s">
        <v>26</v>
      </c>
      <c r="Q2504" t="s">
        <v>27</v>
      </c>
      <c r="T2504" t="s">
        <v>1751</v>
      </c>
      <c r="X2504" t="s">
        <v>30</v>
      </c>
      <c r="Y2504">
        <v>1880288</v>
      </c>
      <c r="Z2504">
        <v>20251231</v>
      </c>
    </row>
    <row r="2505" spans="3:26" x14ac:dyDescent="0.25">
      <c r="C2505">
        <v>10000001</v>
      </c>
      <c r="D2505" t="s">
        <v>25</v>
      </c>
      <c r="F2505">
        <v>1880288</v>
      </c>
      <c r="H2505" t="s">
        <v>25</v>
      </c>
      <c r="I2505">
        <v>40</v>
      </c>
      <c r="J2505" s="1">
        <v>840000</v>
      </c>
      <c r="K2505" t="s">
        <v>26</v>
      </c>
      <c r="L2505" s="1">
        <v>840000</v>
      </c>
      <c r="M2505" t="s">
        <v>26</v>
      </c>
      <c r="Q2505" t="s">
        <v>27</v>
      </c>
      <c r="T2505" t="s">
        <v>1761</v>
      </c>
      <c r="X2505" t="s">
        <v>30</v>
      </c>
      <c r="Y2505">
        <v>1880288</v>
      </c>
      <c r="Z2505">
        <v>20251231</v>
      </c>
    </row>
    <row r="2506" spans="3:26" x14ac:dyDescent="0.25">
      <c r="C2506">
        <v>10000001</v>
      </c>
      <c r="D2506" t="s">
        <v>25</v>
      </c>
      <c r="F2506">
        <v>1880288</v>
      </c>
      <c r="H2506" t="s">
        <v>25</v>
      </c>
      <c r="I2506">
        <v>40</v>
      </c>
      <c r="J2506" s="1">
        <v>200000</v>
      </c>
      <c r="K2506" t="s">
        <v>26</v>
      </c>
      <c r="L2506" s="1">
        <v>200000</v>
      </c>
      <c r="M2506" t="s">
        <v>26</v>
      </c>
      <c r="Q2506" t="s">
        <v>27</v>
      </c>
      <c r="T2506" t="s">
        <v>1759</v>
      </c>
      <c r="X2506" t="s">
        <v>30</v>
      </c>
      <c r="Y2506">
        <v>1880288</v>
      </c>
      <c r="Z2506">
        <v>20251231</v>
      </c>
    </row>
    <row r="2507" spans="3:26" x14ac:dyDescent="0.25">
      <c r="C2507">
        <v>10000001</v>
      </c>
      <c r="D2507" t="s">
        <v>25</v>
      </c>
      <c r="F2507">
        <v>1880288</v>
      </c>
      <c r="H2507" t="s">
        <v>25</v>
      </c>
      <c r="I2507">
        <v>40</v>
      </c>
      <c r="J2507" s="1">
        <v>560000</v>
      </c>
      <c r="K2507" t="s">
        <v>26</v>
      </c>
      <c r="L2507" s="1">
        <v>560000</v>
      </c>
      <c r="M2507" t="s">
        <v>26</v>
      </c>
      <c r="Q2507" t="s">
        <v>27</v>
      </c>
      <c r="T2507" t="s">
        <v>1776</v>
      </c>
      <c r="X2507" t="s">
        <v>30</v>
      </c>
      <c r="Y2507">
        <v>1880288</v>
      </c>
      <c r="Z2507">
        <v>20251231</v>
      </c>
    </row>
    <row r="2508" spans="3:26" x14ac:dyDescent="0.25">
      <c r="C2508">
        <v>10000001</v>
      </c>
      <c r="D2508" t="s">
        <v>25</v>
      </c>
      <c r="F2508">
        <v>1880288</v>
      </c>
      <c r="H2508" t="s">
        <v>25</v>
      </c>
      <c r="I2508">
        <v>40</v>
      </c>
      <c r="J2508" s="1">
        <v>1000000</v>
      </c>
      <c r="K2508" t="s">
        <v>26</v>
      </c>
      <c r="L2508" s="1">
        <v>1000000</v>
      </c>
      <c r="M2508" t="s">
        <v>26</v>
      </c>
      <c r="Q2508" t="s">
        <v>27</v>
      </c>
      <c r="T2508" t="s">
        <v>1808</v>
      </c>
      <c r="X2508" t="s">
        <v>30</v>
      </c>
      <c r="Y2508">
        <v>1880288</v>
      </c>
      <c r="Z2508">
        <v>20251231</v>
      </c>
    </row>
    <row r="2509" spans="3:26" x14ac:dyDescent="0.25">
      <c r="C2509">
        <v>10000001</v>
      </c>
      <c r="D2509" t="s">
        <v>25</v>
      </c>
      <c r="F2509">
        <v>1880288</v>
      </c>
      <c r="H2509" t="s">
        <v>25</v>
      </c>
      <c r="I2509">
        <v>40</v>
      </c>
      <c r="J2509" s="1">
        <v>620000</v>
      </c>
      <c r="K2509" t="s">
        <v>26</v>
      </c>
      <c r="L2509" s="1">
        <v>620000</v>
      </c>
      <c r="M2509" t="s">
        <v>26</v>
      </c>
      <c r="Q2509" t="s">
        <v>27</v>
      </c>
      <c r="T2509" t="s">
        <v>1819</v>
      </c>
      <c r="X2509" t="s">
        <v>30</v>
      </c>
      <c r="Y2509">
        <v>1880288</v>
      </c>
      <c r="Z2509">
        <v>20251231</v>
      </c>
    </row>
    <row r="2510" spans="3:26" x14ac:dyDescent="0.25">
      <c r="C2510">
        <v>10000001</v>
      </c>
      <c r="D2510" t="s">
        <v>25</v>
      </c>
      <c r="F2510">
        <v>1880288</v>
      </c>
      <c r="H2510" t="s">
        <v>25</v>
      </c>
      <c r="I2510">
        <v>40</v>
      </c>
      <c r="J2510" s="1">
        <v>420000</v>
      </c>
      <c r="K2510" t="s">
        <v>26</v>
      </c>
      <c r="L2510" s="1">
        <v>420000</v>
      </c>
      <c r="M2510" t="s">
        <v>26</v>
      </c>
      <c r="Q2510" t="s">
        <v>27</v>
      </c>
      <c r="T2510" t="s">
        <v>1870</v>
      </c>
      <c r="X2510" t="s">
        <v>30</v>
      </c>
      <c r="Y2510">
        <v>1880288</v>
      </c>
      <c r="Z2510">
        <v>20251231</v>
      </c>
    </row>
    <row r="2511" spans="3:26" x14ac:dyDescent="0.25">
      <c r="C2511">
        <v>10000001</v>
      </c>
      <c r="D2511" t="s">
        <v>25</v>
      </c>
      <c r="F2511">
        <v>1880288</v>
      </c>
      <c r="H2511" t="s">
        <v>25</v>
      </c>
      <c r="I2511">
        <v>40</v>
      </c>
      <c r="J2511" s="1">
        <v>600000</v>
      </c>
      <c r="K2511" t="s">
        <v>26</v>
      </c>
      <c r="L2511" s="1">
        <v>600000</v>
      </c>
      <c r="M2511" t="s">
        <v>26</v>
      </c>
      <c r="Q2511" t="s">
        <v>27</v>
      </c>
      <c r="T2511" t="s">
        <v>1889</v>
      </c>
      <c r="X2511" t="s">
        <v>30</v>
      </c>
      <c r="Y2511">
        <v>1880288</v>
      </c>
      <c r="Z2511">
        <v>20251231</v>
      </c>
    </row>
    <row r="2512" spans="3:26" x14ac:dyDescent="0.25">
      <c r="C2512">
        <v>10000001</v>
      </c>
      <c r="D2512" t="s">
        <v>25</v>
      </c>
      <c r="F2512">
        <v>1880288</v>
      </c>
      <c r="H2512" t="s">
        <v>25</v>
      </c>
      <c r="I2512">
        <v>40</v>
      </c>
      <c r="J2512" s="1">
        <v>900000</v>
      </c>
      <c r="K2512" t="s">
        <v>26</v>
      </c>
      <c r="L2512" s="1">
        <v>900000</v>
      </c>
      <c r="M2512" t="s">
        <v>26</v>
      </c>
      <c r="Q2512" t="s">
        <v>27</v>
      </c>
      <c r="T2512" t="s">
        <v>1594</v>
      </c>
      <c r="X2512" t="s">
        <v>30</v>
      </c>
      <c r="Y2512">
        <v>1880288</v>
      </c>
      <c r="Z2512">
        <v>20251231</v>
      </c>
    </row>
    <row r="2513" spans="2:26" x14ac:dyDescent="0.25">
      <c r="C2513">
        <v>10000001</v>
      </c>
      <c r="D2513" t="s">
        <v>25</v>
      </c>
      <c r="F2513">
        <v>1880288</v>
      </c>
      <c r="H2513" t="s">
        <v>25</v>
      </c>
      <c r="I2513">
        <v>40</v>
      </c>
      <c r="J2513" s="1">
        <v>900000</v>
      </c>
      <c r="K2513" t="s">
        <v>26</v>
      </c>
      <c r="L2513" s="1">
        <v>900000</v>
      </c>
      <c r="M2513" t="s">
        <v>26</v>
      </c>
      <c r="Q2513" t="s">
        <v>27</v>
      </c>
      <c r="T2513" t="s">
        <v>1596</v>
      </c>
      <c r="X2513" t="s">
        <v>30</v>
      </c>
      <c r="Y2513">
        <v>1880288</v>
      </c>
      <c r="Z2513">
        <v>20251231</v>
      </c>
    </row>
    <row r="2514" spans="2:26" x14ac:dyDescent="0.25">
      <c r="C2514">
        <v>10000001</v>
      </c>
      <c r="D2514" t="s">
        <v>25</v>
      </c>
      <c r="F2514">
        <v>1880288</v>
      </c>
      <c r="H2514" t="s">
        <v>25</v>
      </c>
      <c r="I2514">
        <v>40</v>
      </c>
      <c r="J2514" s="1">
        <v>580000</v>
      </c>
      <c r="K2514" t="s">
        <v>26</v>
      </c>
      <c r="L2514" s="1">
        <v>580000</v>
      </c>
      <c r="M2514" t="s">
        <v>26</v>
      </c>
      <c r="Q2514" t="s">
        <v>27</v>
      </c>
      <c r="T2514" t="s">
        <v>1605</v>
      </c>
      <c r="X2514" t="s">
        <v>30</v>
      </c>
      <c r="Y2514">
        <v>1880288</v>
      </c>
      <c r="Z2514">
        <v>20251231</v>
      </c>
    </row>
    <row r="2515" spans="2:26" x14ac:dyDescent="0.25">
      <c r="C2515">
        <v>10000001</v>
      </c>
      <c r="D2515" t="s">
        <v>25</v>
      </c>
      <c r="F2515">
        <v>1880288</v>
      </c>
      <c r="H2515" t="s">
        <v>25</v>
      </c>
      <c r="I2515">
        <v>40</v>
      </c>
      <c r="J2515" s="1">
        <v>700000</v>
      </c>
      <c r="K2515" t="s">
        <v>26</v>
      </c>
      <c r="L2515" s="1">
        <v>700000</v>
      </c>
      <c r="M2515" t="s">
        <v>26</v>
      </c>
      <c r="Q2515" t="s">
        <v>27</v>
      </c>
      <c r="T2515" t="s">
        <v>1614</v>
      </c>
      <c r="X2515" t="s">
        <v>30</v>
      </c>
      <c r="Y2515">
        <v>1880288</v>
      </c>
      <c r="Z2515">
        <v>20251231</v>
      </c>
    </row>
    <row r="2516" spans="2:26" x14ac:dyDescent="0.25">
      <c r="C2516">
        <v>10000001</v>
      </c>
      <c r="D2516" t="s">
        <v>25</v>
      </c>
      <c r="F2516">
        <v>1880288</v>
      </c>
      <c r="H2516" t="s">
        <v>25</v>
      </c>
      <c r="I2516">
        <v>40</v>
      </c>
      <c r="J2516" s="1">
        <v>760000</v>
      </c>
      <c r="K2516" t="s">
        <v>26</v>
      </c>
      <c r="L2516" s="1">
        <v>760000</v>
      </c>
      <c r="M2516" t="s">
        <v>26</v>
      </c>
      <c r="Q2516" t="s">
        <v>27</v>
      </c>
      <c r="T2516" t="s">
        <v>1672</v>
      </c>
      <c r="X2516" t="s">
        <v>30</v>
      </c>
      <c r="Y2516">
        <v>1880288</v>
      </c>
      <c r="Z2516">
        <v>20251231</v>
      </c>
    </row>
    <row r="2517" spans="2:26" x14ac:dyDescent="0.25">
      <c r="C2517">
        <v>10000001</v>
      </c>
      <c r="D2517" t="s">
        <v>25</v>
      </c>
      <c r="F2517">
        <v>1880288</v>
      </c>
      <c r="H2517" t="s">
        <v>25</v>
      </c>
      <c r="I2517">
        <v>40</v>
      </c>
      <c r="J2517" s="1">
        <v>150000</v>
      </c>
      <c r="K2517" t="s">
        <v>26</v>
      </c>
      <c r="L2517" s="1">
        <v>150000</v>
      </c>
      <c r="M2517" t="s">
        <v>26</v>
      </c>
      <c r="Q2517" t="s">
        <v>27</v>
      </c>
      <c r="T2517" t="s">
        <v>1616</v>
      </c>
      <c r="X2517" t="s">
        <v>30</v>
      </c>
      <c r="Y2517">
        <v>1880288</v>
      </c>
      <c r="Z2517">
        <v>20251231</v>
      </c>
    </row>
    <row r="2518" spans="2:26" x14ac:dyDescent="0.25">
      <c r="C2518">
        <v>10000001</v>
      </c>
      <c r="D2518" t="s">
        <v>25</v>
      </c>
      <c r="F2518">
        <v>1880288</v>
      </c>
      <c r="H2518" t="s">
        <v>25</v>
      </c>
      <c r="I2518">
        <v>40</v>
      </c>
      <c r="J2518" s="1">
        <v>620000</v>
      </c>
      <c r="K2518" t="s">
        <v>26</v>
      </c>
      <c r="L2518" s="1">
        <v>620000</v>
      </c>
      <c r="M2518" t="s">
        <v>26</v>
      </c>
      <c r="Q2518" t="s">
        <v>27</v>
      </c>
      <c r="T2518" t="s">
        <v>1696</v>
      </c>
      <c r="X2518" t="s">
        <v>30</v>
      </c>
      <c r="Y2518">
        <v>1880288</v>
      </c>
      <c r="Z2518">
        <v>20251231</v>
      </c>
    </row>
    <row r="2519" spans="2:26" x14ac:dyDescent="0.25">
      <c r="C2519">
        <v>10000001</v>
      </c>
      <c r="D2519" t="s">
        <v>25</v>
      </c>
      <c r="F2519">
        <v>1880288</v>
      </c>
      <c r="H2519" t="s">
        <v>25</v>
      </c>
      <c r="I2519">
        <v>40</v>
      </c>
      <c r="J2519" s="1">
        <v>5144500</v>
      </c>
      <c r="K2519" t="s">
        <v>26</v>
      </c>
      <c r="L2519" s="1">
        <v>5144500</v>
      </c>
      <c r="M2519" t="s">
        <v>26</v>
      </c>
      <c r="Q2519" t="s">
        <v>27</v>
      </c>
      <c r="T2519" t="s">
        <v>98</v>
      </c>
      <c r="X2519" t="s">
        <v>30</v>
      </c>
      <c r="Y2519">
        <v>1880288</v>
      </c>
      <c r="Z2519">
        <v>20251231</v>
      </c>
    </row>
    <row r="2520" spans="2:26" x14ac:dyDescent="0.25">
      <c r="C2520">
        <v>10000001</v>
      </c>
      <c r="D2520" t="s">
        <v>25</v>
      </c>
      <c r="F2520">
        <v>1880288</v>
      </c>
      <c r="H2520" t="s">
        <v>25</v>
      </c>
      <c r="I2520">
        <v>40</v>
      </c>
      <c r="J2520" s="1">
        <v>137000</v>
      </c>
      <c r="K2520" t="s">
        <v>26</v>
      </c>
      <c r="L2520" s="1">
        <v>137000</v>
      </c>
      <c r="M2520" t="s">
        <v>26</v>
      </c>
      <c r="Q2520" t="s">
        <v>27</v>
      </c>
      <c r="T2520" t="s">
        <v>1885</v>
      </c>
      <c r="X2520" t="s">
        <v>30</v>
      </c>
      <c r="Y2520">
        <v>1880288</v>
      </c>
      <c r="Z2520">
        <v>20251231</v>
      </c>
    </row>
    <row r="2521" spans="2:26" x14ac:dyDescent="0.25">
      <c r="C2521">
        <v>10000001</v>
      </c>
      <c r="D2521" t="s">
        <v>25</v>
      </c>
      <c r="F2521">
        <v>1880288</v>
      </c>
      <c r="H2521" t="s">
        <v>25</v>
      </c>
      <c r="I2521">
        <v>50</v>
      </c>
      <c r="J2521" s="1">
        <v>-33512293</v>
      </c>
      <c r="K2521" t="s">
        <v>26</v>
      </c>
      <c r="L2521" s="1">
        <v>-33512293</v>
      </c>
      <c r="M2521" t="s">
        <v>26</v>
      </c>
      <c r="Q2521" t="s">
        <v>27</v>
      </c>
      <c r="T2521" t="s">
        <v>1752</v>
      </c>
      <c r="X2521" t="s">
        <v>30</v>
      </c>
      <c r="Y2521">
        <v>1880288</v>
      </c>
      <c r="Z2521">
        <v>20251231</v>
      </c>
    </row>
    <row r="2522" spans="2:26" x14ac:dyDescent="0.25">
      <c r="C2522">
        <v>10000001</v>
      </c>
      <c r="D2522" t="s">
        <v>25</v>
      </c>
      <c r="F2522">
        <v>1880288</v>
      </c>
      <c r="H2522" t="s">
        <v>25</v>
      </c>
      <c r="I2522">
        <v>50</v>
      </c>
      <c r="J2522" s="1">
        <v>-33403043</v>
      </c>
      <c r="K2522" t="s">
        <v>26</v>
      </c>
      <c r="L2522" s="1">
        <v>-33403043</v>
      </c>
      <c r="M2522" t="s">
        <v>26</v>
      </c>
      <c r="Q2522" t="s">
        <v>27</v>
      </c>
      <c r="T2522" t="s">
        <v>1903</v>
      </c>
      <c r="X2522" t="s">
        <v>30</v>
      </c>
      <c r="Y2522">
        <v>1880288</v>
      </c>
      <c r="Z2522">
        <v>20251231</v>
      </c>
    </row>
    <row r="2523" spans="2:26" x14ac:dyDescent="0.25">
      <c r="C2523">
        <v>10000001</v>
      </c>
      <c r="D2523" t="s">
        <v>1871</v>
      </c>
      <c r="F2523">
        <v>12010475</v>
      </c>
      <c r="H2523" t="s">
        <v>1871</v>
      </c>
      <c r="I2523">
        <v>40</v>
      </c>
      <c r="J2523" s="1">
        <v>33403043</v>
      </c>
      <c r="K2523" t="s">
        <v>26</v>
      </c>
      <c r="L2523" s="1">
        <v>33403043</v>
      </c>
      <c r="M2523" t="s">
        <v>26</v>
      </c>
      <c r="Q2523" t="s">
        <v>27</v>
      </c>
      <c r="S2523" t="s">
        <v>249</v>
      </c>
      <c r="T2523" t="s">
        <v>1903</v>
      </c>
      <c r="X2523" t="s">
        <v>43</v>
      </c>
      <c r="Y2523">
        <v>12010649</v>
      </c>
      <c r="Z2523">
        <v>20251223</v>
      </c>
    </row>
    <row r="2524" spans="2:26" x14ac:dyDescent="0.25">
      <c r="C2524">
        <v>10000001</v>
      </c>
      <c r="D2524" t="s">
        <v>1871</v>
      </c>
      <c r="F2524">
        <v>12010649</v>
      </c>
      <c r="H2524" t="s">
        <v>1871</v>
      </c>
      <c r="I2524">
        <v>50</v>
      </c>
      <c r="J2524" s="1">
        <v>-33403043</v>
      </c>
      <c r="K2524" t="s">
        <v>26</v>
      </c>
      <c r="L2524" s="1">
        <v>-33403043</v>
      </c>
      <c r="M2524" t="s">
        <v>26</v>
      </c>
      <c r="Q2524" t="s">
        <v>27</v>
      </c>
      <c r="S2524" t="s">
        <v>249</v>
      </c>
      <c r="T2524" t="s">
        <v>1904</v>
      </c>
      <c r="X2524" t="s">
        <v>43</v>
      </c>
      <c r="Y2524">
        <v>12010649</v>
      </c>
      <c r="Z2524">
        <v>20251223</v>
      </c>
    </row>
    <row r="2526" spans="2:26" x14ac:dyDescent="0.25">
      <c r="B2526" t="s">
        <v>1905</v>
      </c>
      <c r="L2526">
        <v>0</v>
      </c>
      <c r="M2526" t="s">
        <v>26</v>
      </c>
    </row>
    <row r="2528" spans="2:26" x14ac:dyDescent="0.25">
      <c r="B2528" t="s">
        <v>1906</v>
      </c>
      <c r="C2528">
        <v>10000001</v>
      </c>
      <c r="L2528">
        <v>0</v>
      </c>
      <c r="M2528" t="s">
        <v>26</v>
      </c>
    </row>
    <row r="2530" spans="1:26" x14ac:dyDescent="0.25">
      <c r="A2530" t="s">
        <v>0</v>
      </c>
      <c r="E2530" t="s">
        <v>1905</v>
      </c>
      <c r="G2530" t="s">
        <v>1905</v>
      </c>
    </row>
    <row r="2531" spans="1:26" x14ac:dyDescent="0.25">
      <c r="A2531" t="s">
        <v>2</v>
      </c>
      <c r="E2531" t="s">
        <v>1905</v>
      </c>
    </row>
    <row r="2534" spans="1:26" x14ac:dyDescent="0.25">
      <c r="C2534" t="s">
        <v>3</v>
      </c>
      <c r="D2534" t="s">
        <v>4</v>
      </c>
      <c r="F2534" t="s">
        <v>5</v>
      </c>
      <c r="H2534" t="s">
        <v>6</v>
      </c>
      <c r="I2534" t="s">
        <v>7</v>
      </c>
      <c r="J2534" t="s">
        <v>8</v>
      </c>
      <c r="K2534" t="s">
        <v>9</v>
      </c>
      <c r="L2534" t="s">
        <v>10</v>
      </c>
      <c r="M2534" t="s">
        <v>11</v>
      </c>
      <c r="N2534" t="s">
        <v>12</v>
      </c>
      <c r="O2534" t="s">
        <v>13</v>
      </c>
      <c r="P2534" t="s">
        <v>14</v>
      </c>
      <c r="Q2534" t="s">
        <v>15</v>
      </c>
      <c r="R2534" t="s">
        <v>16</v>
      </c>
      <c r="S2534" t="s">
        <v>17</v>
      </c>
      <c r="T2534" t="s">
        <v>18</v>
      </c>
      <c r="U2534" t="s">
        <v>19</v>
      </c>
      <c r="V2534" t="s">
        <v>20</v>
      </c>
      <c r="W2534" t="s">
        <v>21</v>
      </c>
      <c r="X2534" t="s">
        <v>22</v>
      </c>
      <c r="Y2534" t="s">
        <v>23</v>
      </c>
      <c r="Z2534" t="s">
        <v>24</v>
      </c>
    </row>
    <row r="2536" spans="1:26" x14ac:dyDescent="0.25">
      <c r="B2536" t="s">
        <v>1907</v>
      </c>
      <c r="L2536">
        <v>0</v>
      </c>
      <c r="M2536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F288F2-7F6C-4B72-BE07-C20A03E5F115}">
  <dimension ref="A3:I298"/>
  <sheetViews>
    <sheetView workbookViewId="0">
      <selection activeCell="C21" sqref="C21"/>
    </sheetView>
  </sheetViews>
  <sheetFormatPr defaultRowHeight="15" x14ac:dyDescent="0.25"/>
  <cols>
    <col min="1" max="1" width="26" bestFit="1" customWidth="1"/>
    <col min="2" max="2" width="16.28515625" style="8" bestFit="1" customWidth="1"/>
    <col min="3" max="7" width="11.5703125" bestFit="1" customWidth="1"/>
    <col min="8" max="8" width="7.28515625" bestFit="1" customWidth="1"/>
    <col min="9" max="9" width="12.5703125" bestFit="1" customWidth="1"/>
    <col min="10" max="10" width="26" bestFit="1" customWidth="1"/>
    <col min="11" max="11" width="17.7109375" bestFit="1" customWidth="1"/>
    <col min="12" max="12" width="26" bestFit="1" customWidth="1"/>
    <col min="13" max="13" width="17.7109375" bestFit="1" customWidth="1"/>
    <col min="14" max="14" width="26" bestFit="1" customWidth="1"/>
    <col min="15" max="15" width="17.7109375" bestFit="1" customWidth="1"/>
    <col min="16" max="16" width="31" bestFit="1" customWidth="1"/>
    <col min="17" max="17" width="22.7109375" bestFit="1" customWidth="1"/>
    <col min="18" max="18" width="22.42578125" bestFit="1" customWidth="1"/>
    <col min="19" max="19" width="28" bestFit="1" customWidth="1"/>
    <col min="20" max="20" width="45.7109375" bestFit="1" customWidth="1"/>
    <col min="21" max="21" width="49.42578125" bestFit="1" customWidth="1"/>
    <col min="22" max="22" width="47.28515625" bestFit="1" customWidth="1"/>
    <col min="23" max="23" width="44.85546875" bestFit="1" customWidth="1"/>
    <col min="24" max="24" width="34.5703125" bestFit="1" customWidth="1"/>
    <col min="25" max="25" width="8.7109375" bestFit="1" customWidth="1"/>
    <col min="26" max="26" width="10" bestFit="1" customWidth="1"/>
    <col min="27" max="27" width="11.28515625" bestFit="1" customWidth="1"/>
  </cols>
  <sheetData>
    <row r="3" spans="1:9" x14ac:dyDescent="0.25">
      <c r="A3" s="5" t="s">
        <v>2063</v>
      </c>
      <c r="B3" s="5" t="s">
        <v>2064</v>
      </c>
    </row>
    <row r="4" spans="1:9" x14ac:dyDescent="0.25">
      <c r="A4" s="5" t="s">
        <v>2060</v>
      </c>
      <c r="B4" s="10" t="s">
        <v>2066</v>
      </c>
      <c r="C4" s="10" t="s">
        <v>2067</v>
      </c>
      <c r="D4" s="10" t="s">
        <v>2068</v>
      </c>
      <c r="E4" s="10" t="s">
        <v>2069</v>
      </c>
      <c r="F4" s="10" t="s">
        <v>2070</v>
      </c>
      <c r="G4" s="10" t="s">
        <v>2071</v>
      </c>
      <c r="H4" t="s">
        <v>2061</v>
      </c>
      <c r="I4" t="s">
        <v>2062</v>
      </c>
    </row>
    <row r="5" spans="1:9" x14ac:dyDescent="0.25">
      <c r="A5" s="6" t="s">
        <v>1913</v>
      </c>
      <c r="B5" s="9">
        <v>-131000</v>
      </c>
      <c r="C5" s="9">
        <v>-930000</v>
      </c>
      <c r="D5" s="9">
        <v>-1203853</v>
      </c>
      <c r="E5" s="9">
        <v>-1469656</v>
      </c>
      <c r="F5" s="9">
        <v>-4791052</v>
      </c>
      <c r="G5" s="9">
        <v>-3214369</v>
      </c>
      <c r="H5" s="9"/>
      <c r="I5" s="9">
        <v>-11739930</v>
      </c>
    </row>
    <row r="6" spans="1:9" x14ac:dyDescent="0.25">
      <c r="A6" s="7">
        <v>15000900</v>
      </c>
      <c r="B6" s="9">
        <v>-131000</v>
      </c>
      <c r="C6" s="9">
        <v>-930000</v>
      </c>
      <c r="D6" s="9">
        <v>-1203853</v>
      </c>
      <c r="E6" s="9">
        <v>-1469656</v>
      </c>
      <c r="F6" s="9">
        <v>-4791052</v>
      </c>
      <c r="G6" s="9">
        <v>-3214369</v>
      </c>
      <c r="H6" s="9"/>
      <c r="I6" s="9">
        <v>-11739930</v>
      </c>
    </row>
    <row r="7" spans="1:9" x14ac:dyDescent="0.25">
      <c r="A7" s="6" t="s">
        <v>1924</v>
      </c>
      <c r="B7" s="9">
        <v>-820000</v>
      </c>
      <c r="C7" s="9">
        <v>-1870000</v>
      </c>
      <c r="D7" s="9">
        <v>-1280000</v>
      </c>
      <c r="E7" s="9">
        <v>-2775000</v>
      </c>
      <c r="F7" s="9">
        <v>-1778000</v>
      </c>
      <c r="G7" s="9">
        <v>-1630000</v>
      </c>
      <c r="H7" s="9"/>
      <c r="I7" s="9">
        <v>-10153000</v>
      </c>
    </row>
    <row r="8" spans="1:9" x14ac:dyDescent="0.25">
      <c r="A8" s="7">
        <v>70001110</v>
      </c>
      <c r="B8" s="9"/>
      <c r="C8" s="9"/>
      <c r="D8" s="9"/>
      <c r="E8" s="9"/>
      <c r="F8" s="9">
        <v>-1420000</v>
      </c>
      <c r="G8" s="9">
        <v>-1300000</v>
      </c>
      <c r="H8" s="9"/>
      <c r="I8" s="9">
        <v>-2720000</v>
      </c>
    </row>
    <row r="9" spans="1:9" x14ac:dyDescent="0.25">
      <c r="A9" s="7">
        <v>70009110</v>
      </c>
      <c r="B9" s="9">
        <v>-400000</v>
      </c>
      <c r="C9" s="9">
        <v>-1350000</v>
      </c>
      <c r="D9" s="9">
        <v>-850000</v>
      </c>
      <c r="E9" s="9">
        <v>-2400000</v>
      </c>
      <c r="F9" s="9"/>
      <c r="G9" s="9"/>
      <c r="H9" s="9"/>
      <c r="I9" s="9">
        <v>-5000000</v>
      </c>
    </row>
    <row r="10" spans="1:9" x14ac:dyDescent="0.25">
      <c r="A10" s="7">
        <v>70101202</v>
      </c>
      <c r="B10" s="9">
        <v>-420000</v>
      </c>
      <c r="C10" s="9">
        <v>-520000</v>
      </c>
      <c r="D10" s="9">
        <v>-430000</v>
      </c>
      <c r="E10" s="9">
        <v>-375000</v>
      </c>
      <c r="F10" s="9">
        <v>-358000</v>
      </c>
      <c r="G10" s="9">
        <v>-330000</v>
      </c>
      <c r="H10" s="9"/>
      <c r="I10" s="9">
        <v>-2433000</v>
      </c>
    </row>
    <row r="11" spans="1:9" x14ac:dyDescent="0.25">
      <c r="A11" s="6" t="s">
        <v>2019</v>
      </c>
      <c r="B11" s="9"/>
      <c r="C11" s="9"/>
      <c r="D11" s="9"/>
      <c r="E11" s="9">
        <v>-135000</v>
      </c>
      <c r="F11" s="9">
        <v>-7478800</v>
      </c>
      <c r="G11" s="9">
        <v>-1335000</v>
      </c>
      <c r="H11" s="9"/>
      <c r="I11" s="9">
        <v>-8948800</v>
      </c>
    </row>
    <row r="12" spans="1:9" x14ac:dyDescent="0.25">
      <c r="A12" s="7">
        <v>70110210</v>
      </c>
      <c r="B12" s="9"/>
      <c r="C12" s="9"/>
      <c r="D12" s="9"/>
      <c r="E12" s="9">
        <v>-135000</v>
      </c>
      <c r="F12" s="9">
        <v>-7478800</v>
      </c>
      <c r="G12" s="9">
        <v>-1335000</v>
      </c>
      <c r="H12" s="9"/>
      <c r="I12" s="9">
        <v>-8948800</v>
      </c>
    </row>
    <row r="13" spans="1:9" x14ac:dyDescent="0.25">
      <c r="A13" s="6" t="s">
        <v>1938</v>
      </c>
      <c r="B13" s="9">
        <v>-3702000</v>
      </c>
      <c r="C13" s="9">
        <v>-4927000</v>
      </c>
      <c r="D13" s="9">
        <v>-763000</v>
      </c>
      <c r="E13" s="9">
        <v>-3540000</v>
      </c>
      <c r="F13" s="9">
        <v>-1120000</v>
      </c>
      <c r="G13" s="9">
        <v>-1730300</v>
      </c>
      <c r="H13" s="9"/>
      <c r="I13" s="9">
        <v>-15782300</v>
      </c>
    </row>
    <row r="14" spans="1:9" x14ac:dyDescent="0.25">
      <c r="A14" s="7">
        <v>70001110</v>
      </c>
      <c r="B14" s="9">
        <v>-29000</v>
      </c>
      <c r="C14" s="9">
        <v>-18000</v>
      </c>
      <c r="D14" s="9">
        <v>-13000</v>
      </c>
      <c r="E14" s="9">
        <v>-24000</v>
      </c>
      <c r="F14" s="9">
        <v>-1120000</v>
      </c>
      <c r="G14" s="9">
        <v>-1218000</v>
      </c>
      <c r="H14" s="9"/>
      <c r="I14" s="9">
        <v>-2422000</v>
      </c>
    </row>
    <row r="15" spans="1:9" x14ac:dyDescent="0.25">
      <c r="A15" s="7">
        <v>70009110</v>
      </c>
      <c r="B15" s="9">
        <v>-1150000</v>
      </c>
      <c r="C15" s="9">
        <v>-700000</v>
      </c>
      <c r="D15" s="9">
        <v>-750000</v>
      </c>
      <c r="E15" s="9">
        <v>-2600000</v>
      </c>
      <c r="F15" s="9"/>
      <c r="G15" s="9"/>
      <c r="H15" s="9"/>
      <c r="I15" s="9">
        <v>-5200000</v>
      </c>
    </row>
    <row r="16" spans="1:9" x14ac:dyDescent="0.25">
      <c r="A16" s="7">
        <v>70105321</v>
      </c>
      <c r="B16" s="9"/>
      <c r="C16" s="9"/>
      <c r="D16" s="9"/>
      <c r="E16" s="9">
        <v>-916000</v>
      </c>
      <c r="F16" s="9"/>
      <c r="G16" s="9"/>
      <c r="H16" s="9"/>
      <c r="I16" s="9">
        <v>-916000</v>
      </c>
    </row>
    <row r="17" spans="1:9" x14ac:dyDescent="0.25">
      <c r="A17" s="7">
        <v>70107600</v>
      </c>
      <c r="B17" s="9">
        <v>-945000</v>
      </c>
      <c r="C17" s="9"/>
      <c r="D17" s="9"/>
      <c r="E17" s="9"/>
      <c r="F17" s="9"/>
      <c r="G17" s="9"/>
      <c r="H17" s="9"/>
      <c r="I17" s="9">
        <v>-945000</v>
      </c>
    </row>
    <row r="18" spans="1:9" x14ac:dyDescent="0.25">
      <c r="A18" s="7">
        <v>70115100</v>
      </c>
      <c r="B18" s="9">
        <v>-1578000</v>
      </c>
      <c r="C18" s="9">
        <v>-4209000</v>
      </c>
      <c r="D18" s="9"/>
      <c r="E18" s="9"/>
      <c r="F18" s="9"/>
      <c r="G18" s="9">
        <v>-512300</v>
      </c>
      <c r="H18" s="9"/>
      <c r="I18" s="9">
        <v>-6299300</v>
      </c>
    </row>
    <row r="19" spans="1:9" x14ac:dyDescent="0.25">
      <c r="A19" s="6" t="s">
        <v>1967</v>
      </c>
      <c r="B19" s="9">
        <v>-350000</v>
      </c>
      <c r="C19" s="9">
        <v>-350000</v>
      </c>
      <c r="D19" s="9">
        <v>-700000</v>
      </c>
      <c r="E19" s="9">
        <v>-400000</v>
      </c>
      <c r="F19" s="9">
        <v>-400000</v>
      </c>
      <c r="G19" s="9">
        <v>-500000</v>
      </c>
      <c r="H19" s="9"/>
      <c r="I19" s="9">
        <v>-2700000</v>
      </c>
    </row>
    <row r="20" spans="1:9" x14ac:dyDescent="0.25">
      <c r="A20" s="7">
        <v>70001110</v>
      </c>
      <c r="B20" s="9"/>
      <c r="C20" s="9"/>
      <c r="D20" s="9"/>
      <c r="E20" s="9"/>
      <c r="F20" s="9">
        <v>-400000</v>
      </c>
      <c r="G20" s="9">
        <v>-500000</v>
      </c>
      <c r="H20" s="9"/>
      <c r="I20" s="9">
        <v>-900000</v>
      </c>
    </row>
    <row r="21" spans="1:9" x14ac:dyDescent="0.25">
      <c r="A21" s="7">
        <v>70009110</v>
      </c>
      <c r="B21" s="9">
        <v>-350000</v>
      </c>
      <c r="C21" s="9">
        <v>-350000</v>
      </c>
      <c r="D21" s="9">
        <v>-700000</v>
      </c>
      <c r="E21" s="9">
        <v>-400000</v>
      </c>
      <c r="F21" s="9"/>
      <c r="G21" s="9"/>
      <c r="H21" s="9"/>
      <c r="I21" s="9">
        <v>-1800000</v>
      </c>
    </row>
    <row r="22" spans="1:9" x14ac:dyDescent="0.25">
      <c r="A22" s="6" t="s">
        <v>1923</v>
      </c>
      <c r="B22" s="9">
        <v>-6844000</v>
      </c>
      <c r="C22" s="9">
        <v>-4844100</v>
      </c>
      <c r="D22" s="9">
        <v>-3643000</v>
      </c>
      <c r="E22" s="9">
        <v>-5837000</v>
      </c>
      <c r="F22" s="9">
        <v>-6200000</v>
      </c>
      <c r="G22" s="9">
        <v>-5701000</v>
      </c>
      <c r="H22" s="9"/>
      <c r="I22" s="9">
        <v>-33069100</v>
      </c>
    </row>
    <row r="23" spans="1:9" x14ac:dyDescent="0.25">
      <c r="A23" s="7">
        <v>70001110</v>
      </c>
      <c r="B23" s="9"/>
      <c r="C23" s="9">
        <v>-868100</v>
      </c>
      <c r="D23" s="9"/>
      <c r="E23" s="9"/>
      <c r="F23" s="9">
        <v>-4250000</v>
      </c>
      <c r="G23" s="9">
        <v>-3900000</v>
      </c>
      <c r="H23" s="9"/>
      <c r="I23" s="9">
        <v>-9018100</v>
      </c>
    </row>
    <row r="24" spans="1:9" x14ac:dyDescent="0.25">
      <c r="A24" s="7">
        <v>70009110</v>
      </c>
      <c r="B24" s="9">
        <v>-5100000</v>
      </c>
      <c r="C24" s="9">
        <v>-3200000</v>
      </c>
      <c r="D24" s="9">
        <v>-2900000</v>
      </c>
      <c r="E24" s="9">
        <v>-3950000</v>
      </c>
      <c r="F24" s="9"/>
      <c r="G24" s="9"/>
      <c r="H24" s="9"/>
      <c r="I24" s="9">
        <v>-15150000</v>
      </c>
    </row>
    <row r="25" spans="1:9" x14ac:dyDescent="0.25">
      <c r="A25" s="7">
        <v>70101202</v>
      </c>
      <c r="B25" s="9">
        <v>-328000</v>
      </c>
      <c r="C25" s="9">
        <v>-321000</v>
      </c>
      <c r="D25" s="9">
        <v>-298000</v>
      </c>
      <c r="E25" s="9">
        <v>-300000</v>
      </c>
      <c r="F25" s="9">
        <v>-452000</v>
      </c>
      <c r="G25" s="9">
        <v>-310000</v>
      </c>
      <c r="H25" s="9"/>
      <c r="I25" s="9">
        <v>-2009000</v>
      </c>
    </row>
    <row r="26" spans="1:9" x14ac:dyDescent="0.25">
      <c r="A26" s="7">
        <v>70106100</v>
      </c>
      <c r="B26" s="9">
        <v>-394000</v>
      </c>
      <c r="C26" s="9">
        <v>-382000</v>
      </c>
      <c r="D26" s="9">
        <v>-445000</v>
      </c>
      <c r="E26" s="9">
        <v>-422000</v>
      </c>
      <c r="F26" s="9">
        <v>-432000</v>
      </c>
      <c r="G26" s="9">
        <v>-437000</v>
      </c>
      <c r="H26" s="9"/>
      <c r="I26" s="9">
        <v>-2512000</v>
      </c>
    </row>
    <row r="27" spans="1:9" x14ac:dyDescent="0.25">
      <c r="A27" s="7">
        <v>70108110</v>
      </c>
      <c r="B27" s="9">
        <v>-22000</v>
      </c>
      <c r="C27" s="9">
        <v>-23000</v>
      </c>
      <c r="D27" s="9"/>
      <c r="E27" s="9">
        <v>-15000</v>
      </c>
      <c r="F27" s="9">
        <v>-16000</v>
      </c>
      <c r="G27" s="9">
        <v>-28000</v>
      </c>
      <c r="H27" s="9"/>
      <c r="I27" s="9">
        <v>-104000</v>
      </c>
    </row>
    <row r="28" spans="1:9" x14ac:dyDescent="0.25">
      <c r="A28" s="7">
        <v>70119300</v>
      </c>
      <c r="B28" s="9">
        <v>-1000000</v>
      </c>
      <c r="C28" s="9">
        <v>-50000</v>
      </c>
      <c r="D28" s="9"/>
      <c r="E28" s="9">
        <v>-1150000</v>
      </c>
      <c r="F28" s="9">
        <v>-1050000</v>
      </c>
      <c r="G28" s="9">
        <v>-1026000</v>
      </c>
      <c r="H28" s="9"/>
      <c r="I28" s="9">
        <v>-4276000</v>
      </c>
    </row>
    <row r="29" spans="1:9" x14ac:dyDescent="0.25">
      <c r="A29" s="6" t="s">
        <v>2014</v>
      </c>
      <c r="B29" s="9"/>
      <c r="C29" s="9"/>
      <c r="D29" s="9"/>
      <c r="E29" s="9">
        <v>-2325000</v>
      </c>
      <c r="F29" s="9">
        <v>-2821000</v>
      </c>
      <c r="G29" s="9"/>
      <c r="H29" s="9"/>
      <c r="I29" s="9">
        <v>-5146000</v>
      </c>
    </row>
    <row r="30" spans="1:9" x14ac:dyDescent="0.25">
      <c r="A30" s="7">
        <v>70101114</v>
      </c>
      <c r="B30" s="9"/>
      <c r="C30" s="9"/>
      <c r="D30" s="9"/>
      <c r="E30" s="9">
        <v>-331000</v>
      </c>
      <c r="F30" s="9"/>
      <c r="G30" s="9"/>
      <c r="H30" s="9"/>
      <c r="I30" s="9">
        <v>-331000</v>
      </c>
    </row>
    <row r="31" spans="1:9" x14ac:dyDescent="0.25">
      <c r="A31" s="7">
        <v>70101202</v>
      </c>
      <c r="B31" s="9"/>
      <c r="C31" s="9"/>
      <c r="D31" s="9"/>
      <c r="E31" s="9"/>
      <c r="F31" s="9">
        <v>-200000</v>
      </c>
      <c r="G31" s="9"/>
      <c r="H31" s="9"/>
      <c r="I31" s="9">
        <v>-200000</v>
      </c>
    </row>
    <row r="32" spans="1:9" x14ac:dyDescent="0.25">
      <c r="A32" s="7">
        <v>70106100</v>
      </c>
      <c r="B32" s="9"/>
      <c r="C32" s="9"/>
      <c r="D32" s="9"/>
      <c r="E32" s="9">
        <v>-931500</v>
      </c>
      <c r="F32" s="9">
        <v>-2121000</v>
      </c>
      <c r="G32" s="9"/>
      <c r="H32" s="9"/>
      <c r="I32" s="9">
        <v>-3052500</v>
      </c>
    </row>
    <row r="33" spans="1:9" x14ac:dyDescent="0.25">
      <c r="A33" s="7">
        <v>70107600</v>
      </c>
      <c r="B33" s="9"/>
      <c r="C33" s="9"/>
      <c r="D33" s="9"/>
      <c r="E33" s="9">
        <v>-1062500</v>
      </c>
      <c r="F33" s="9">
        <v>-500000</v>
      </c>
      <c r="G33" s="9"/>
      <c r="H33" s="9"/>
      <c r="I33" s="9">
        <v>-1562500</v>
      </c>
    </row>
    <row r="34" spans="1:9" x14ac:dyDescent="0.25">
      <c r="A34" s="6" t="s">
        <v>1961</v>
      </c>
      <c r="B34" s="9">
        <v>-1273180</v>
      </c>
      <c r="C34" s="9">
        <v>-1113500</v>
      </c>
      <c r="D34" s="9">
        <v>-100000</v>
      </c>
      <c r="E34" s="9">
        <v>-999700</v>
      </c>
      <c r="F34" s="9">
        <v>-876800</v>
      </c>
      <c r="G34" s="9">
        <v>-996262</v>
      </c>
      <c r="H34" s="9"/>
      <c r="I34" s="9">
        <v>-5359442</v>
      </c>
    </row>
    <row r="35" spans="1:9" x14ac:dyDescent="0.25">
      <c r="A35" s="7">
        <v>70101114</v>
      </c>
      <c r="B35" s="9"/>
      <c r="C35" s="9"/>
      <c r="D35" s="9"/>
      <c r="E35" s="9"/>
      <c r="F35" s="9">
        <v>-50000</v>
      </c>
      <c r="G35" s="9"/>
      <c r="H35" s="9"/>
      <c r="I35" s="9">
        <v>-50000</v>
      </c>
    </row>
    <row r="36" spans="1:9" x14ac:dyDescent="0.25">
      <c r="A36" s="7">
        <v>70102300</v>
      </c>
      <c r="B36" s="9">
        <v>-1116900</v>
      </c>
      <c r="C36" s="9"/>
      <c r="D36" s="9"/>
      <c r="E36" s="9"/>
      <c r="F36" s="9"/>
      <c r="G36" s="9"/>
      <c r="H36" s="9"/>
      <c r="I36" s="9">
        <v>-1116900</v>
      </c>
    </row>
    <row r="37" spans="1:9" x14ac:dyDescent="0.25">
      <c r="A37" s="7">
        <v>70107600</v>
      </c>
      <c r="B37" s="9">
        <v>-156280</v>
      </c>
      <c r="C37" s="9">
        <v>-766500</v>
      </c>
      <c r="D37" s="9">
        <v>-100000</v>
      </c>
      <c r="E37" s="9">
        <v>-999700</v>
      </c>
      <c r="F37" s="9">
        <v>-826800</v>
      </c>
      <c r="G37" s="9">
        <v>-996262</v>
      </c>
      <c r="H37" s="9"/>
      <c r="I37" s="9">
        <v>-3845542</v>
      </c>
    </row>
    <row r="38" spans="1:9" x14ac:dyDescent="0.25">
      <c r="A38" s="7">
        <v>70108110</v>
      </c>
      <c r="B38" s="9"/>
      <c r="C38" s="9">
        <v>-347000</v>
      </c>
      <c r="D38" s="9"/>
      <c r="E38" s="9"/>
      <c r="F38" s="9"/>
      <c r="G38" s="9"/>
      <c r="H38" s="9"/>
      <c r="I38" s="9">
        <v>-347000</v>
      </c>
    </row>
    <row r="39" spans="1:9" x14ac:dyDescent="0.25">
      <c r="A39" s="6" t="s">
        <v>1979</v>
      </c>
      <c r="B39" s="9">
        <v>-383350</v>
      </c>
      <c r="C39" s="9">
        <v>-344000</v>
      </c>
      <c r="D39" s="9"/>
      <c r="E39" s="9">
        <v>-511000</v>
      </c>
      <c r="F39" s="9">
        <v>-543200</v>
      </c>
      <c r="G39" s="9">
        <v>-865000</v>
      </c>
      <c r="H39" s="9"/>
      <c r="I39" s="9">
        <v>-2646550</v>
      </c>
    </row>
    <row r="40" spans="1:9" x14ac:dyDescent="0.25">
      <c r="A40" s="7">
        <v>70101202</v>
      </c>
      <c r="B40" s="9"/>
      <c r="C40" s="9">
        <v>-269000</v>
      </c>
      <c r="D40" s="9"/>
      <c r="E40" s="9">
        <v>-361000</v>
      </c>
      <c r="F40" s="9"/>
      <c r="G40" s="9">
        <v>-637500</v>
      </c>
      <c r="H40" s="9"/>
      <c r="I40" s="9">
        <v>-1267500</v>
      </c>
    </row>
    <row r="41" spans="1:9" x14ac:dyDescent="0.25">
      <c r="A41" s="7">
        <v>70107600</v>
      </c>
      <c r="B41" s="9"/>
      <c r="C41" s="9">
        <v>-75000</v>
      </c>
      <c r="D41" s="9"/>
      <c r="E41" s="9">
        <v>-150000</v>
      </c>
      <c r="F41" s="9"/>
      <c r="G41" s="9">
        <v>-76000</v>
      </c>
      <c r="H41" s="9"/>
      <c r="I41" s="9">
        <v>-301000</v>
      </c>
    </row>
    <row r="42" spans="1:9" x14ac:dyDescent="0.25">
      <c r="A42" s="7">
        <v>70108100</v>
      </c>
      <c r="B42" s="9">
        <v>-383350</v>
      </c>
      <c r="C42" s="9"/>
      <c r="D42" s="9"/>
      <c r="E42" s="9"/>
      <c r="F42" s="9">
        <v>-543200</v>
      </c>
      <c r="G42" s="9">
        <v>-151500</v>
      </c>
      <c r="H42" s="9"/>
      <c r="I42" s="9">
        <v>-1078050</v>
      </c>
    </row>
    <row r="43" spans="1:9" x14ac:dyDescent="0.25">
      <c r="A43" s="6" t="s">
        <v>1921</v>
      </c>
      <c r="B43" s="9">
        <v>-4618599</v>
      </c>
      <c r="C43" s="9">
        <v>-1095000</v>
      </c>
      <c r="D43" s="9">
        <v>-2100000</v>
      </c>
      <c r="E43" s="9">
        <v>-3472235</v>
      </c>
      <c r="F43" s="9">
        <v>-4637500</v>
      </c>
      <c r="G43" s="9">
        <v>-6455430</v>
      </c>
      <c r="H43" s="9"/>
      <c r="I43" s="9">
        <v>-22378764</v>
      </c>
    </row>
    <row r="44" spans="1:9" x14ac:dyDescent="0.25">
      <c r="A44" s="7">
        <v>70107300</v>
      </c>
      <c r="B44" s="9">
        <v>-2786599</v>
      </c>
      <c r="C44" s="9">
        <v>-1000000</v>
      </c>
      <c r="D44" s="9">
        <v>-1400000</v>
      </c>
      <c r="E44" s="9">
        <v>-2330000</v>
      </c>
      <c r="F44" s="9">
        <v>-2100000</v>
      </c>
      <c r="G44" s="9">
        <v>-2239480</v>
      </c>
      <c r="H44" s="9"/>
      <c r="I44" s="9">
        <v>-11856079</v>
      </c>
    </row>
    <row r="45" spans="1:9" x14ac:dyDescent="0.25">
      <c r="A45" s="7">
        <v>70107600</v>
      </c>
      <c r="B45" s="9">
        <v>-1132000</v>
      </c>
      <c r="C45" s="9">
        <v>-95000</v>
      </c>
      <c r="D45" s="9"/>
      <c r="E45" s="9">
        <v>-1142235</v>
      </c>
      <c r="F45" s="9">
        <v>-237500</v>
      </c>
      <c r="G45" s="9">
        <v>-4215950</v>
      </c>
      <c r="H45" s="9"/>
      <c r="I45" s="9">
        <v>-6822685</v>
      </c>
    </row>
    <row r="46" spans="1:9" x14ac:dyDescent="0.25">
      <c r="A46" s="7">
        <v>70110110</v>
      </c>
      <c r="B46" s="9">
        <v>-700000</v>
      </c>
      <c r="C46" s="9"/>
      <c r="D46" s="9">
        <v>-700000</v>
      </c>
      <c r="E46" s="9"/>
      <c r="F46" s="9">
        <v>-700000</v>
      </c>
      <c r="G46" s="9"/>
      <c r="H46" s="9"/>
      <c r="I46" s="9">
        <v>-2100000</v>
      </c>
    </row>
    <row r="47" spans="1:9" x14ac:dyDescent="0.25">
      <c r="A47" s="7">
        <v>70110200</v>
      </c>
      <c r="B47" s="9"/>
      <c r="C47" s="9"/>
      <c r="D47" s="9"/>
      <c r="E47" s="9"/>
      <c r="F47" s="9">
        <v>-600000</v>
      </c>
      <c r="G47" s="9"/>
      <c r="H47" s="9"/>
      <c r="I47" s="9">
        <v>-600000</v>
      </c>
    </row>
    <row r="48" spans="1:9" x14ac:dyDescent="0.25">
      <c r="A48" s="7">
        <v>70119300</v>
      </c>
      <c r="B48" s="9"/>
      <c r="C48" s="9"/>
      <c r="D48" s="9"/>
      <c r="E48" s="9"/>
      <c r="F48" s="9">
        <v>-1000000</v>
      </c>
      <c r="G48" s="9"/>
      <c r="H48" s="9"/>
      <c r="I48" s="9">
        <v>-1000000</v>
      </c>
    </row>
    <row r="49" spans="1:9" x14ac:dyDescent="0.25">
      <c r="A49" s="6" t="s">
        <v>1943</v>
      </c>
      <c r="B49" s="9">
        <v>-18188358</v>
      </c>
      <c r="C49" s="9">
        <v>-14559402</v>
      </c>
      <c r="D49" s="9">
        <v>-10663587</v>
      </c>
      <c r="E49" s="9">
        <v>-20320035</v>
      </c>
      <c r="F49" s="9">
        <v>-25204360</v>
      </c>
      <c r="G49" s="9">
        <v>-18684041</v>
      </c>
      <c r="H49" s="9"/>
      <c r="I49" s="9">
        <v>-107619783</v>
      </c>
    </row>
    <row r="50" spans="1:9" x14ac:dyDescent="0.25">
      <c r="A50" s="7">
        <v>70101102</v>
      </c>
      <c r="B50" s="9">
        <v>-1675420</v>
      </c>
      <c r="C50" s="9">
        <v>-972000</v>
      </c>
      <c r="D50" s="9"/>
      <c r="E50" s="9">
        <v>-1980000</v>
      </c>
      <c r="F50" s="9">
        <v>-1104800</v>
      </c>
      <c r="G50" s="9">
        <v>-961250</v>
      </c>
      <c r="H50" s="9"/>
      <c r="I50" s="9">
        <v>-6693470</v>
      </c>
    </row>
    <row r="51" spans="1:9" x14ac:dyDescent="0.25">
      <c r="A51" s="7">
        <v>70101114</v>
      </c>
      <c r="B51" s="9">
        <v>-2405138</v>
      </c>
      <c r="C51" s="9">
        <v>-2690102</v>
      </c>
      <c r="D51" s="9">
        <v>-2097757</v>
      </c>
      <c r="E51" s="9">
        <v>-2667735</v>
      </c>
      <c r="F51" s="9">
        <v>-959500</v>
      </c>
      <c r="G51" s="9">
        <v>-2064491</v>
      </c>
      <c r="H51" s="9"/>
      <c r="I51" s="9">
        <v>-12884723</v>
      </c>
    </row>
    <row r="52" spans="1:9" x14ac:dyDescent="0.25">
      <c r="A52" s="7">
        <v>70101202</v>
      </c>
      <c r="B52" s="9">
        <v>-275000</v>
      </c>
      <c r="C52" s="9"/>
      <c r="D52" s="9"/>
      <c r="E52" s="9"/>
      <c r="F52" s="9"/>
      <c r="G52" s="9"/>
      <c r="H52" s="9"/>
      <c r="I52" s="9">
        <v>-275000</v>
      </c>
    </row>
    <row r="53" spans="1:9" x14ac:dyDescent="0.25">
      <c r="A53" s="7">
        <v>70105210</v>
      </c>
      <c r="B53" s="9"/>
      <c r="C53" s="9"/>
      <c r="D53" s="9"/>
      <c r="E53" s="9"/>
      <c r="F53" s="9">
        <v>-420500</v>
      </c>
      <c r="G53" s="9">
        <v>-515500</v>
      </c>
      <c r="H53" s="9"/>
      <c r="I53" s="9">
        <v>-936000</v>
      </c>
    </row>
    <row r="54" spans="1:9" x14ac:dyDescent="0.25">
      <c r="A54" s="7">
        <v>70105300</v>
      </c>
      <c r="B54" s="9">
        <v>-57800</v>
      </c>
      <c r="C54" s="9">
        <v>-57800</v>
      </c>
      <c r="D54" s="9">
        <v>-29900</v>
      </c>
      <c r="E54" s="9">
        <v>-57800</v>
      </c>
      <c r="F54" s="9">
        <v>-210500</v>
      </c>
      <c r="G54" s="9">
        <v>-57800</v>
      </c>
      <c r="H54" s="9"/>
      <c r="I54" s="9">
        <v>-471600</v>
      </c>
    </row>
    <row r="55" spans="1:9" x14ac:dyDescent="0.25">
      <c r="A55" s="7">
        <v>70106100</v>
      </c>
      <c r="B55" s="9">
        <v>-4103300</v>
      </c>
      <c r="C55" s="9">
        <v>-2838000</v>
      </c>
      <c r="D55" s="9">
        <v>-2669000</v>
      </c>
      <c r="E55" s="9">
        <v>-4213000</v>
      </c>
      <c r="F55" s="9">
        <v>-7368500</v>
      </c>
      <c r="G55" s="9">
        <v>-5144500</v>
      </c>
      <c r="H55" s="9"/>
      <c r="I55" s="9">
        <v>-26336300</v>
      </c>
    </row>
    <row r="56" spans="1:9" x14ac:dyDescent="0.25">
      <c r="A56" s="7">
        <v>70106400</v>
      </c>
      <c r="B56" s="9">
        <v>-6890000</v>
      </c>
      <c r="C56" s="9">
        <v>-5150000</v>
      </c>
      <c r="D56" s="9">
        <v>-4330000</v>
      </c>
      <c r="E56" s="9">
        <v>-7780000</v>
      </c>
      <c r="F56" s="9">
        <v>-11610000</v>
      </c>
      <c r="G56" s="9">
        <v>-8850000</v>
      </c>
      <c r="H56" s="9"/>
      <c r="I56" s="9">
        <v>-44610000</v>
      </c>
    </row>
    <row r="57" spans="1:9" x14ac:dyDescent="0.25">
      <c r="A57" s="7">
        <v>70107100</v>
      </c>
      <c r="B57" s="9">
        <v>-290500</v>
      </c>
      <c r="C57" s="9">
        <v>-1890500</v>
      </c>
      <c r="D57" s="9">
        <v>-290500</v>
      </c>
      <c r="E57" s="9">
        <v>-1890500</v>
      </c>
      <c r="F57" s="9">
        <v>-1540500</v>
      </c>
      <c r="G57" s="9">
        <v>-1090500</v>
      </c>
      <c r="H57" s="9"/>
      <c r="I57" s="9">
        <v>-6993000</v>
      </c>
    </row>
    <row r="58" spans="1:9" x14ac:dyDescent="0.25">
      <c r="A58" s="7">
        <v>70107600</v>
      </c>
      <c r="B58" s="9">
        <v>-2205000</v>
      </c>
      <c r="C58" s="9"/>
      <c r="D58" s="9">
        <v>-973530</v>
      </c>
      <c r="E58" s="9"/>
      <c r="F58" s="9">
        <v>-993960</v>
      </c>
      <c r="G58" s="9"/>
      <c r="H58" s="9"/>
      <c r="I58" s="9">
        <v>-4172490</v>
      </c>
    </row>
    <row r="59" spans="1:9" x14ac:dyDescent="0.25">
      <c r="A59" s="7">
        <v>70108100</v>
      </c>
      <c r="B59" s="9">
        <v>-286200</v>
      </c>
      <c r="C59" s="9">
        <v>-961000</v>
      </c>
      <c r="D59" s="9">
        <v>-272900</v>
      </c>
      <c r="E59" s="9">
        <v>-1731000</v>
      </c>
      <c r="F59" s="9">
        <v>-996100</v>
      </c>
      <c r="G59" s="9"/>
      <c r="H59" s="9"/>
      <c r="I59" s="9">
        <v>-4247200</v>
      </c>
    </row>
    <row r="60" spans="1:9" x14ac:dyDescent="0.25">
      <c r="A60" s="6" t="s">
        <v>1975</v>
      </c>
      <c r="B60" s="9">
        <v>-1389800</v>
      </c>
      <c r="C60" s="9"/>
      <c r="D60" s="9">
        <v>-618300</v>
      </c>
      <c r="E60" s="9">
        <v>-870000</v>
      </c>
      <c r="F60" s="9">
        <v>-500000</v>
      </c>
      <c r="G60" s="9">
        <v>-400000</v>
      </c>
      <c r="H60" s="9"/>
      <c r="I60" s="9">
        <v>-3778100</v>
      </c>
    </row>
    <row r="61" spans="1:9" x14ac:dyDescent="0.25">
      <c r="A61" s="7">
        <v>70107600</v>
      </c>
      <c r="B61" s="9">
        <v>-1389800</v>
      </c>
      <c r="C61" s="9"/>
      <c r="D61" s="9">
        <v>-412800</v>
      </c>
      <c r="E61" s="9">
        <v>-870000</v>
      </c>
      <c r="F61" s="9">
        <v>-500000</v>
      </c>
      <c r="G61" s="9">
        <v>-400000</v>
      </c>
      <c r="H61" s="9"/>
      <c r="I61" s="9">
        <v>-3572600</v>
      </c>
    </row>
    <row r="62" spans="1:9" x14ac:dyDescent="0.25">
      <c r="A62" s="7">
        <v>70108100</v>
      </c>
      <c r="B62" s="9"/>
      <c r="C62" s="9"/>
      <c r="D62" s="9">
        <v>-105500</v>
      </c>
      <c r="E62" s="9"/>
      <c r="F62" s="9"/>
      <c r="G62" s="9"/>
      <c r="H62" s="9"/>
      <c r="I62" s="9">
        <v>-105500</v>
      </c>
    </row>
    <row r="63" spans="1:9" x14ac:dyDescent="0.25">
      <c r="A63" s="7">
        <v>70119300</v>
      </c>
      <c r="B63" s="9"/>
      <c r="C63" s="9"/>
      <c r="D63" s="9">
        <v>-100000</v>
      </c>
      <c r="E63" s="9"/>
      <c r="F63" s="9"/>
      <c r="G63" s="9"/>
      <c r="H63" s="9"/>
      <c r="I63" s="9">
        <v>-100000</v>
      </c>
    </row>
    <row r="64" spans="1:9" x14ac:dyDescent="0.25">
      <c r="A64" s="6" t="s">
        <v>1973</v>
      </c>
      <c r="B64" s="9">
        <v>-1000000</v>
      </c>
      <c r="C64" s="9">
        <v>-600000</v>
      </c>
      <c r="D64" s="9"/>
      <c r="E64" s="9"/>
      <c r="F64" s="9"/>
      <c r="G64" s="9">
        <v>-1000000</v>
      </c>
      <c r="H64" s="9"/>
      <c r="I64" s="9">
        <v>-2600000</v>
      </c>
    </row>
    <row r="65" spans="1:9" x14ac:dyDescent="0.25">
      <c r="A65" s="7">
        <v>70107500</v>
      </c>
      <c r="B65" s="9"/>
      <c r="C65" s="9">
        <v>-600000</v>
      </c>
      <c r="D65" s="9"/>
      <c r="E65" s="9"/>
      <c r="F65" s="9"/>
      <c r="G65" s="9"/>
      <c r="H65" s="9"/>
      <c r="I65" s="9">
        <v>-600000</v>
      </c>
    </row>
    <row r="66" spans="1:9" x14ac:dyDescent="0.25">
      <c r="A66" s="7">
        <v>70119300</v>
      </c>
      <c r="B66" s="9">
        <v>-1000000</v>
      </c>
      <c r="C66" s="9"/>
      <c r="D66" s="9"/>
      <c r="E66" s="9"/>
      <c r="F66" s="9"/>
      <c r="G66" s="9">
        <v>-1000000</v>
      </c>
      <c r="H66" s="9"/>
      <c r="I66" s="9">
        <v>-2000000</v>
      </c>
    </row>
    <row r="67" spans="1:9" x14ac:dyDescent="0.25">
      <c r="A67" s="6" t="s">
        <v>2023</v>
      </c>
      <c r="B67" s="9"/>
      <c r="C67" s="9"/>
      <c r="D67" s="9"/>
      <c r="E67" s="9"/>
      <c r="F67" s="9">
        <v>-385000</v>
      </c>
      <c r="G67" s="9"/>
      <c r="H67" s="9"/>
      <c r="I67" s="9">
        <v>-385000</v>
      </c>
    </row>
    <row r="68" spans="1:9" x14ac:dyDescent="0.25">
      <c r="A68" s="7">
        <v>70119300</v>
      </c>
      <c r="B68" s="9"/>
      <c r="C68" s="9"/>
      <c r="D68" s="9"/>
      <c r="E68" s="9"/>
      <c r="F68" s="9">
        <v>-385000</v>
      </c>
      <c r="G68" s="9"/>
      <c r="H68" s="9"/>
      <c r="I68" s="9">
        <v>-385000</v>
      </c>
    </row>
    <row r="69" spans="1:9" x14ac:dyDescent="0.25">
      <c r="A69" s="6" t="s">
        <v>2031</v>
      </c>
      <c r="B69" s="9"/>
      <c r="C69" s="9"/>
      <c r="D69" s="9"/>
      <c r="E69" s="9"/>
      <c r="F69" s="9"/>
      <c r="G69" s="9">
        <v>-2047748</v>
      </c>
      <c r="H69" s="9"/>
      <c r="I69" s="9">
        <v>-2047748</v>
      </c>
    </row>
    <row r="70" spans="1:9" x14ac:dyDescent="0.25">
      <c r="A70" s="7">
        <v>70101114</v>
      </c>
      <c r="B70" s="9"/>
      <c r="C70" s="9"/>
      <c r="D70" s="9"/>
      <c r="E70" s="9"/>
      <c r="F70" s="9"/>
      <c r="G70" s="9">
        <v>-2047748</v>
      </c>
      <c r="H70" s="9"/>
      <c r="I70" s="9">
        <v>-2047748</v>
      </c>
    </row>
    <row r="71" spans="1:9" x14ac:dyDescent="0.25">
      <c r="A71" s="6" t="s">
        <v>1992</v>
      </c>
      <c r="B71" s="9"/>
      <c r="C71" s="9">
        <v>-145000</v>
      </c>
      <c r="D71" s="9">
        <v>-2157121</v>
      </c>
      <c r="E71" s="9">
        <v>-463000</v>
      </c>
      <c r="F71" s="9">
        <v>-845510</v>
      </c>
      <c r="G71" s="9">
        <v>-416100</v>
      </c>
      <c r="H71" s="9"/>
      <c r="I71" s="9">
        <v>-4026731</v>
      </c>
    </row>
    <row r="72" spans="1:9" x14ac:dyDescent="0.25">
      <c r="A72" s="7">
        <v>70101102</v>
      </c>
      <c r="B72" s="9"/>
      <c r="C72" s="9"/>
      <c r="D72" s="9"/>
      <c r="E72" s="9">
        <v>-463000</v>
      </c>
      <c r="F72" s="9">
        <v>-543510</v>
      </c>
      <c r="G72" s="9"/>
      <c r="H72" s="9"/>
      <c r="I72" s="9">
        <v>-1006510</v>
      </c>
    </row>
    <row r="73" spans="1:9" x14ac:dyDescent="0.25">
      <c r="A73" s="7">
        <v>70101114</v>
      </c>
      <c r="B73" s="9"/>
      <c r="C73" s="9">
        <v>-145000</v>
      </c>
      <c r="D73" s="9">
        <v>-376000</v>
      </c>
      <c r="E73" s="9"/>
      <c r="F73" s="9">
        <v>-302000</v>
      </c>
      <c r="G73" s="9">
        <v>-201100</v>
      </c>
      <c r="H73" s="9"/>
      <c r="I73" s="9">
        <v>-1024100</v>
      </c>
    </row>
    <row r="74" spans="1:9" x14ac:dyDescent="0.25">
      <c r="A74" s="7">
        <v>70101202</v>
      </c>
      <c r="B74" s="9"/>
      <c r="C74" s="9"/>
      <c r="D74" s="9">
        <v>-916120</v>
      </c>
      <c r="E74" s="9"/>
      <c r="F74" s="9"/>
      <c r="G74" s="9">
        <v>-215000</v>
      </c>
      <c r="H74" s="9"/>
      <c r="I74" s="9">
        <v>-1131120</v>
      </c>
    </row>
    <row r="75" spans="1:9" x14ac:dyDescent="0.25">
      <c r="A75" s="7">
        <v>70107600</v>
      </c>
      <c r="B75" s="9"/>
      <c r="C75" s="9"/>
      <c r="D75" s="9">
        <v>-865001</v>
      </c>
      <c r="E75" s="9"/>
      <c r="F75" s="9"/>
      <c r="G75" s="9"/>
      <c r="H75" s="9"/>
      <c r="I75" s="9">
        <v>-865001</v>
      </c>
    </row>
    <row r="76" spans="1:9" x14ac:dyDescent="0.25">
      <c r="A76" s="6" t="s">
        <v>2007</v>
      </c>
      <c r="B76" s="9"/>
      <c r="C76" s="9"/>
      <c r="D76" s="9">
        <v>-61000</v>
      </c>
      <c r="E76" s="9">
        <v>-2325500</v>
      </c>
      <c r="F76" s="9"/>
      <c r="G76" s="9">
        <v>-256380</v>
      </c>
      <c r="H76" s="9"/>
      <c r="I76" s="9">
        <v>-2642880</v>
      </c>
    </row>
    <row r="77" spans="1:9" x14ac:dyDescent="0.25">
      <c r="A77" s="7">
        <v>70101114</v>
      </c>
      <c r="B77" s="9"/>
      <c r="C77" s="9"/>
      <c r="D77" s="9">
        <v>-61000</v>
      </c>
      <c r="E77" s="9">
        <v>-2325500</v>
      </c>
      <c r="F77" s="9"/>
      <c r="G77" s="9"/>
      <c r="H77" s="9"/>
      <c r="I77" s="9">
        <v>-2386500</v>
      </c>
    </row>
    <row r="78" spans="1:9" x14ac:dyDescent="0.25">
      <c r="A78" s="7">
        <v>70101202</v>
      </c>
      <c r="B78" s="9"/>
      <c r="C78" s="9"/>
      <c r="D78" s="9"/>
      <c r="E78" s="9"/>
      <c r="F78" s="9"/>
      <c r="G78" s="9">
        <v>-256380</v>
      </c>
      <c r="H78" s="9"/>
      <c r="I78" s="9">
        <v>-256380</v>
      </c>
    </row>
    <row r="79" spans="1:9" x14ac:dyDescent="0.25">
      <c r="A79" s="6" t="s">
        <v>2013</v>
      </c>
      <c r="B79" s="9"/>
      <c r="C79" s="9"/>
      <c r="D79" s="9"/>
      <c r="E79" s="9">
        <v>-2869500</v>
      </c>
      <c r="F79" s="9">
        <v>-625950</v>
      </c>
      <c r="G79" s="9">
        <v>-800000</v>
      </c>
      <c r="H79" s="9"/>
      <c r="I79" s="9">
        <v>-4295450</v>
      </c>
    </row>
    <row r="80" spans="1:9" x14ac:dyDescent="0.25">
      <c r="A80" s="7">
        <v>70101202</v>
      </c>
      <c r="B80" s="9"/>
      <c r="C80" s="9"/>
      <c r="D80" s="9"/>
      <c r="E80" s="9">
        <v>-2869500</v>
      </c>
      <c r="F80" s="9">
        <v>-362500</v>
      </c>
      <c r="G80" s="9">
        <v>-800000</v>
      </c>
      <c r="H80" s="9"/>
      <c r="I80" s="9">
        <v>-4032000</v>
      </c>
    </row>
    <row r="81" spans="1:9" x14ac:dyDescent="0.25">
      <c r="A81" s="7">
        <v>70107600</v>
      </c>
      <c r="B81" s="9"/>
      <c r="C81" s="9"/>
      <c r="D81" s="9"/>
      <c r="E81" s="9"/>
      <c r="F81" s="9">
        <v>-263450</v>
      </c>
      <c r="G81" s="9"/>
      <c r="H81" s="9"/>
      <c r="I81" s="9">
        <v>-263450</v>
      </c>
    </row>
    <row r="82" spans="1:9" x14ac:dyDescent="0.25">
      <c r="A82" s="6" t="s">
        <v>1962</v>
      </c>
      <c r="B82" s="9">
        <v>-919650</v>
      </c>
      <c r="C82" s="9">
        <v>-150000</v>
      </c>
      <c r="D82" s="9">
        <v>-652000</v>
      </c>
      <c r="E82" s="9">
        <v>-150000</v>
      </c>
      <c r="F82" s="9">
        <v>-299200</v>
      </c>
      <c r="G82" s="9">
        <v>-600000</v>
      </c>
      <c r="H82" s="9"/>
      <c r="I82" s="9">
        <v>-2770850</v>
      </c>
    </row>
    <row r="83" spans="1:9" x14ac:dyDescent="0.25">
      <c r="A83" s="7">
        <v>70101102</v>
      </c>
      <c r="B83" s="9">
        <v>-60000</v>
      </c>
      <c r="C83" s="9"/>
      <c r="D83" s="9"/>
      <c r="E83" s="9"/>
      <c r="F83" s="9"/>
      <c r="G83" s="9"/>
      <c r="H83" s="9"/>
      <c r="I83" s="9">
        <v>-60000</v>
      </c>
    </row>
    <row r="84" spans="1:9" x14ac:dyDescent="0.25">
      <c r="A84" s="7">
        <v>70101114</v>
      </c>
      <c r="B84" s="9">
        <v>-172150</v>
      </c>
      <c r="C84" s="9"/>
      <c r="D84" s="9">
        <v>-70000</v>
      </c>
      <c r="E84" s="9"/>
      <c r="F84" s="9"/>
      <c r="G84" s="9"/>
      <c r="H84" s="9"/>
      <c r="I84" s="9">
        <v>-242150</v>
      </c>
    </row>
    <row r="85" spans="1:9" x14ac:dyDescent="0.25">
      <c r="A85" s="7">
        <v>70107500</v>
      </c>
      <c r="B85" s="9"/>
      <c r="C85" s="9"/>
      <c r="D85" s="9"/>
      <c r="E85" s="9"/>
      <c r="F85" s="9"/>
      <c r="G85" s="9">
        <v>-600000</v>
      </c>
      <c r="H85" s="9"/>
      <c r="I85" s="9">
        <v>-600000</v>
      </c>
    </row>
    <row r="86" spans="1:9" x14ac:dyDescent="0.25">
      <c r="A86" s="7">
        <v>70107600</v>
      </c>
      <c r="B86" s="9">
        <v>-687500</v>
      </c>
      <c r="C86" s="9">
        <v>-150000</v>
      </c>
      <c r="D86" s="9">
        <v>-332000</v>
      </c>
      <c r="E86" s="9"/>
      <c r="F86" s="9">
        <v>-299200</v>
      </c>
      <c r="G86" s="9"/>
      <c r="H86" s="9"/>
      <c r="I86" s="9">
        <v>-1468700</v>
      </c>
    </row>
    <row r="87" spans="1:9" x14ac:dyDescent="0.25">
      <c r="A87" s="7">
        <v>70108100</v>
      </c>
      <c r="B87" s="9"/>
      <c r="C87" s="9"/>
      <c r="D87" s="9">
        <v>-250000</v>
      </c>
      <c r="E87" s="9">
        <v>-150000</v>
      </c>
      <c r="F87" s="9"/>
      <c r="G87" s="9"/>
      <c r="H87" s="9"/>
      <c r="I87" s="9">
        <v>-400000</v>
      </c>
    </row>
    <row r="88" spans="1:9" x14ac:dyDescent="0.25">
      <c r="A88" s="6" t="s">
        <v>2028</v>
      </c>
      <c r="B88" s="9"/>
      <c r="C88" s="9"/>
      <c r="D88" s="9"/>
      <c r="E88" s="9"/>
      <c r="F88" s="9"/>
      <c r="G88" s="9">
        <v>-1295000</v>
      </c>
      <c r="H88" s="9"/>
      <c r="I88" s="9">
        <v>-1295000</v>
      </c>
    </row>
    <row r="89" spans="1:9" x14ac:dyDescent="0.25">
      <c r="A89" s="7">
        <v>70101102</v>
      </c>
      <c r="B89" s="9"/>
      <c r="C89" s="9"/>
      <c r="D89" s="9"/>
      <c r="E89" s="9"/>
      <c r="F89" s="9"/>
      <c r="G89" s="9">
        <v>-420000</v>
      </c>
      <c r="H89" s="9"/>
      <c r="I89" s="9">
        <v>-420000</v>
      </c>
    </row>
    <row r="90" spans="1:9" x14ac:dyDescent="0.25">
      <c r="A90" s="7">
        <v>70101202</v>
      </c>
      <c r="B90" s="9"/>
      <c r="C90" s="9"/>
      <c r="D90" s="9"/>
      <c r="E90" s="9"/>
      <c r="F90" s="9"/>
      <c r="G90" s="9">
        <v>-875000</v>
      </c>
      <c r="H90" s="9"/>
      <c r="I90" s="9">
        <v>-875000</v>
      </c>
    </row>
    <row r="91" spans="1:9" x14ac:dyDescent="0.25">
      <c r="A91" s="6" t="s">
        <v>1945</v>
      </c>
      <c r="B91" s="9">
        <v>-1793700</v>
      </c>
      <c r="C91" s="9">
        <v>-816000</v>
      </c>
      <c r="D91" s="9">
        <v>-2511000</v>
      </c>
      <c r="E91" s="9">
        <v>-1529280</v>
      </c>
      <c r="F91" s="9"/>
      <c r="G91" s="9"/>
      <c r="H91" s="9"/>
      <c r="I91" s="9">
        <v>-6649980</v>
      </c>
    </row>
    <row r="92" spans="1:9" x14ac:dyDescent="0.25">
      <c r="A92" s="7">
        <v>70101114</v>
      </c>
      <c r="B92" s="9"/>
      <c r="C92" s="9">
        <v>-816000</v>
      </c>
      <c r="D92" s="9">
        <v>-949000</v>
      </c>
      <c r="E92" s="9"/>
      <c r="F92" s="9"/>
      <c r="G92" s="9"/>
      <c r="H92" s="9"/>
      <c r="I92" s="9">
        <v>-1765000</v>
      </c>
    </row>
    <row r="93" spans="1:9" x14ac:dyDescent="0.25">
      <c r="A93" s="7">
        <v>70101202</v>
      </c>
      <c r="B93" s="9">
        <v>-1793700</v>
      </c>
      <c r="C93" s="9"/>
      <c r="D93" s="9">
        <v>-1562000</v>
      </c>
      <c r="E93" s="9">
        <v>-1052280</v>
      </c>
      <c r="F93" s="9"/>
      <c r="G93" s="9"/>
      <c r="H93" s="9"/>
      <c r="I93" s="9">
        <v>-4407980</v>
      </c>
    </row>
    <row r="94" spans="1:9" x14ac:dyDescent="0.25">
      <c r="A94" s="7">
        <v>70107600</v>
      </c>
      <c r="B94" s="9"/>
      <c r="C94" s="9"/>
      <c r="D94" s="9"/>
      <c r="E94" s="9">
        <v>-477000</v>
      </c>
      <c r="F94" s="9"/>
      <c r="G94" s="9"/>
      <c r="H94" s="9"/>
      <c r="I94" s="9">
        <v>-477000</v>
      </c>
    </row>
    <row r="95" spans="1:9" x14ac:dyDescent="0.25">
      <c r="A95" s="6" t="s">
        <v>1928</v>
      </c>
      <c r="B95" s="9">
        <v>-322008</v>
      </c>
      <c r="C95" s="9">
        <v>-428500</v>
      </c>
      <c r="D95" s="9"/>
      <c r="E95" s="9">
        <v>-519520</v>
      </c>
      <c r="F95" s="9">
        <v>-591120</v>
      </c>
      <c r="G95" s="9"/>
      <c r="H95" s="9"/>
      <c r="I95" s="9">
        <v>-1861148</v>
      </c>
    </row>
    <row r="96" spans="1:9" x14ac:dyDescent="0.25">
      <c r="A96" s="7">
        <v>70101202</v>
      </c>
      <c r="B96" s="9">
        <v>-322008</v>
      </c>
      <c r="C96" s="9">
        <v>-428500</v>
      </c>
      <c r="D96" s="9"/>
      <c r="E96" s="9"/>
      <c r="F96" s="9">
        <v>-591120</v>
      </c>
      <c r="G96" s="9"/>
      <c r="H96" s="9"/>
      <c r="I96" s="9">
        <v>-1341628</v>
      </c>
    </row>
    <row r="97" spans="1:9" x14ac:dyDescent="0.25">
      <c r="A97" s="7">
        <v>70107600</v>
      </c>
      <c r="B97" s="9"/>
      <c r="C97" s="9"/>
      <c r="D97" s="9"/>
      <c r="E97" s="9">
        <v>-519520</v>
      </c>
      <c r="F97" s="9"/>
      <c r="G97" s="9"/>
      <c r="H97" s="9"/>
      <c r="I97" s="9">
        <v>-519520</v>
      </c>
    </row>
    <row r="98" spans="1:9" x14ac:dyDescent="0.25">
      <c r="A98" s="6" t="s">
        <v>1953</v>
      </c>
      <c r="B98" s="9">
        <v>-193900</v>
      </c>
      <c r="C98" s="9">
        <v>-70000</v>
      </c>
      <c r="D98" s="9">
        <v>-50000</v>
      </c>
      <c r="E98" s="9">
        <v>-402500</v>
      </c>
      <c r="F98" s="9">
        <v>-525000</v>
      </c>
      <c r="G98" s="9">
        <v>-50000</v>
      </c>
      <c r="H98" s="9"/>
      <c r="I98" s="9">
        <v>-1291400</v>
      </c>
    </row>
    <row r="99" spans="1:9" x14ac:dyDescent="0.25">
      <c r="A99" s="7">
        <v>70101114</v>
      </c>
      <c r="B99" s="9">
        <v>-143900</v>
      </c>
      <c r="C99" s="9">
        <v>-45000</v>
      </c>
      <c r="D99" s="9"/>
      <c r="E99" s="9"/>
      <c r="F99" s="9"/>
      <c r="G99" s="9"/>
      <c r="H99" s="9"/>
      <c r="I99" s="9">
        <v>-188900</v>
      </c>
    </row>
    <row r="100" spans="1:9" x14ac:dyDescent="0.25">
      <c r="A100" s="7">
        <v>70106100</v>
      </c>
      <c r="B100" s="9"/>
      <c r="C100" s="9"/>
      <c r="D100" s="9"/>
      <c r="E100" s="9">
        <v>-202500</v>
      </c>
      <c r="F100" s="9"/>
      <c r="G100" s="9"/>
      <c r="H100" s="9"/>
      <c r="I100" s="9">
        <v>-202500</v>
      </c>
    </row>
    <row r="101" spans="1:9" x14ac:dyDescent="0.25">
      <c r="A101" s="7">
        <v>70107600</v>
      </c>
      <c r="B101" s="9">
        <v>-50000</v>
      </c>
      <c r="C101" s="9">
        <v>-25000</v>
      </c>
      <c r="D101" s="9">
        <v>-50000</v>
      </c>
      <c r="E101" s="9">
        <v>-200000</v>
      </c>
      <c r="F101" s="9">
        <v>-525000</v>
      </c>
      <c r="G101" s="9">
        <v>-50000</v>
      </c>
      <c r="H101" s="9"/>
      <c r="I101" s="9">
        <v>-900000</v>
      </c>
    </row>
    <row r="102" spans="1:9" x14ac:dyDescent="0.25">
      <c r="A102" s="6" t="s">
        <v>1926</v>
      </c>
      <c r="B102" s="9">
        <v>-1894127</v>
      </c>
      <c r="C102" s="9"/>
      <c r="D102" s="9"/>
      <c r="E102" s="9">
        <v>-2804000</v>
      </c>
      <c r="F102" s="9">
        <v>-992050</v>
      </c>
      <c r="G102" s="9"/>
      <c r="H102" s="9"/>
      <c r="I102" s="9">
        <v>-5690177</v>
      </c>
    </row>
    <row r="103" spans="1:9" x14ac:dyDescent="0.25">
      <c r="A103" s="7">
        <v>70101114</v>
      </c>
      <c r="B103" s="9">
        <v>-954127</v>
      </c>
      <c r="C103" s="9"/>
      <c r="D103" s="9"/>
      <c r="E103" s="9"/>
      <c r="F103" s="9"/>
      <c r="G103" s="9"/>
      <c r="H103" s="9"/>
      <c r="I103" s="9">
        <v>-954127</v>
      </c>
    </row>
    <row r="104" spans="1:9" x14ac:dyDescent="0.25">
      <c r="A104" s="7">
        <v>70101202</v>
      </c>
      <c r="B104" s="9">
        <v>-940000</v>
      </c>
      <c r="C104" s="9"/>
      <c r="D104" s="9"/>
      <c r="E104" s="9">
        <v>-2804000</v>
      </c>
      <c r="F104" s="9"/>
      <c r="G104" s="9"/>
      <c r="H104" s="9"/>
      <c r="I104" s="9">
        <v>-3744000</v>
      </c>
    </row>
    <row r="105" spans="1:9" x14ac:dyDescent="0.25">
      <c r="A105" s="7">
        <v>70107600</v>
      </c>
      <c r="B105" s="9"/>
      <c r="C105" s="9"/>
      <c r="D105" s="9"/>
      <c r="E105" s="9"/>
      <c r="F105" s="9">
        <v>-992050</v>
      </c>
      <c r="G105" s="9"/>
      <c r="H105" s="9"/>
      <c r="I105" s="9">
        <v>-992050</v>
      </c>
    </row>
    <row r="106" spans="1:9" x14ac:dyDescent="0.25">
      <c r="A106" s="6" t="s">
        <v>1959</v>
      </c>
      <c r="B106" s="9">
        <v>-4121804</v>
      </c>
      <c r="C106" s="9">
        <v>-823876</v>
      </c>
      <c r="D106" s="9">
        <v>-1880800</v>
      </c>
      <c r="E106" s="9">
        <v>-1916925</v>
      </c>
      <c r="F106" s="9">
        <v>-1658720</v>
      </c>
      <c r="G106" s="9">
        <v>-9562466</v>
      </c>
      <c r="H106" s="9"/>
      <c r="I106" s="9">
        <v>-19964591</v>
      </c>
    </row>
    <row r="107" spans="1:9" x14ac:dyDescent="0.25">
      <c r="A107" s="7">
        <v>70101114</v>
      </c>
      <c r="B107" s="9">
        <v>-1429304</v>
      </c>
      <c r="C107" s="9">
        <v>-87976</v>
      </c>
      <c r="D107" s="9">
        <v>-1409300</v>
      </c>
      <c r="E107" s="9">
        <v>-794700</v>
      </c>
      <c r="F107" s="9">
        <v>-977820</v>
      </c>
      <c r="G107" s="9">
        <v>-5685199</v>
      </c>
      <c r="H107" s="9"/>
      <c r="I107" s="9">
        <v>-10384299</v>
      </c>
    </row>
    <row r="108" spans="1:9" x14ac:dyDescent="0.25">
      <c r="A108" s="7">
        <v>70106100</v>
      </c>
      <c r="B108" s="9">
        <v>-217000</v>
      </c>
      <c r="C108" s="9"/>
      <c r="D108" s="9">
        <v>-95000</v>
      </c>
      <c r="E108" s="9"/>
      <c r="F108" s="9"/>
      <c r="G108" s="9">
        <v>-137000</v>
      </c>
      <c r="H108" s="9"/>
      <c r="I108" s="9">
        <v>-449000</v>
      </c>
    </row>
    <row r="109" spans="1:9" x14ac:dyDescent="0.25">
      <c r="A109" s="7">
        <v>70107500</v>
      </c>
      <c r="B109" s="9"/>
      <c r="C109" s="9"/>
      <c r="D109" s="9"/>
      <c r="E109" s="9"/>
      <c r="F109" s="9"/>
      <c r="G109" s="9">
        <v>-600000</v>
      </c>
      <c r="H109" s="9"/>
      <c r="I109" s="9">
        <v>-600000</v>
      </c>
    </row>
    <row r="110" spans="1:9" x14ac:dyDescent="0.25">
      <c r="A110" s="7">
        <v>70107600</v>
      </c>
      <c r="B110" s="9"/>
      <c r="C110" s="9">
        <v>-120000</v>
      </c>
      <c r="D110" s="9">
        <v>-376500</v>
      </c>
      <c r="E110" s="9">
        <v>-185500</v>
      </c>
      <c r="F110" s="9">
        <v>-315000</v>
      </c>
      <c r="G110" s="9"/>
      <c r="H110" s="9"/>
      <c r="I110" s="9">
        <v>-997000</v>
      </c>
    </row>
    <row r="111" spans="1:9" x14ac:dyDescent="0.25">
      <c r="A111" s="7">
        <v>70108100</v>
      </c>
      <c r="B111" s="9"/>
      <c r="C111" s="9"/>
      <c r="D111" s="9"/>
      <c r="E111" s="9"/>
      <c r="F111" s="9"/>
      <c r="G111" s="9">
        <v>-397016</v>
      </c>
      <c r="H111" s="9"/>
      <c r="I111" s="9">
        <v>-397016</v>
      </c>
    </row>
    <row r="112" spans="1:9" x14ac:dyDescent="0.25">
      <c r="A112" s="7">
        <v>70115100</v>
      </c>
      <c r="B112" s="9">
        <v>-2388500</v>
      </c>
      <c r="C112" s="9">
        <v>-525000</v>
      </c>
      <c r="D112" s="9"/>
      <c r="E112" s="9">
        <v>-764725</v>
      </c>
      <c r="F112" s="9">
        <v>-365900</v>
      </c>
      <c r="G112" s="9">
        <v>-2559791</v>
      </c>
      <c r="H112" s="9"/>
      <c r="I112" s="9">
        <v>-6603916</v>
      </c>
    </row>
    <row r="113" spans="1:9" x14ac:dyDescent="0.25">
      <c r="A113" s="7">
        <v>70119300</v>
      </c>
      <c r="B113" s="9">
        <v>-87000</v>
      </c>
      <c r="C113" s="9">
        <v>-90900</v>
      </c>
      <c r="D113" s="9"/>
      <c r="E113" s="9">
        <v>-172000</v>
      </c>
      <c r="F113" s="9"/>
      <c r="G113" s="9">
        <v>-183460</v>
      </c>
      <c r="H113" s="9"/>
      <c r="I113" s="9">
        <v>-533360</v>
      </c>
    </row>
    <row r="114" spans="1:9" x14ac:dyDescent="0.25">
      <c r="A114" s="6" t="s">
        <v>1930</v>
      </c>
      <c r="B114" s="9">
        <v>-1292400</v>
      </c>
      <c r="C114" s="9">
        <v>-71400</v>
      </c>
      <c r="D114" s="9"/>
      <c r="E114" s="9">
        <v>-586500</v>
      </c>
      <c r="F114" s="9">
        <v>-180000</v>
      </c>
      <c r="G114" s="9"/>
      <c r="H114" s="9"/>
      <c r="I114" s="9">
        <v>-2130300</v>
      </c>
    </row>
    <row r="115" spans="1:9" x14ac:dyDescent="0.25">
      <c r="A115" s="7">
        <v>70107600</v>
      </c>
      <c r="B115" s="9">
        <v>-915600</v>
      </c>
      <c r="C115" s="9"/>
      <c r="D115" s="9"/>
      <c r="E115" s="9"/>
      <c r="F115" s="9"/>
      <c r="G115" s="9"/>
      <c r="H115" s="9"/>
      <c r="I115" s="9">
        <v>-915600</v>
      </c>
    </row>
    <row r="116" spans="1:9" x14ac:dyDescent="0.25">
      <c r="A116" s="7">
        <v>70108110</v>
      </c>
      <c r="B116" s="9">
        <v>-376800</v>
      </c>
      <c r="C116" s="9">
        <v>-71400</v>
      </c>
      <c r="D116" s="9"/>
      <c r="E116" s="9">
        <v>-586500</v>
      </c>
      <c r="F116" s="9">
        <v>-180000</v>
      </c>
      <c r="G116" s="9"/>
      <c r="H116" s="9"/>
      <c r="I116" s="9">
        <v>-1214700</v>
      </c>
    </row>
    <row r="117" spans="1:9" x14ac:dyDescent="0.25">
      <c r="A117" s="6" t="s">
        <v>1951</v>
      </c>
      <c r="B117" s="9">
        <v>-1834000</v>
      </c>
      <c r="C117" s="9">
        <v>-604000</v>
      </c>
      <c r="D117" s="9">
        <v>-800000</v>
      </c>
      <c r="E117" s="9">
        <v>-379000</v>
      </c>
      <c r="F117" s="9">
        <v>-919000</v>
      </c>
      <c r="G117" s="9">
        <v>-2758000</v>
      </c>
      <c r="H117" s="9"/>
      <c r="I117" s="9">
        <v>-7294000</v>
      </c>
    </row>
    <row r="118" spans="1:9" x14ac:dyDescent="0.25">
      <c r="A118" s="7">
        <v>70101102</v>
      </c>
      <c r="B118" s="9">
        <v>-1009000</v>
      </c>
      <c r="C118" s="9"/>
      <c r="D118" s="9"/>
      <c r="E118" s="9"/>
      <c r="F118" s="9"/>
      <c r="G118" s="9"/>
      <c r="H118" s="9"/>
      <c r="I118" s="9">
        <v>-1009000</v>
      </c>
    </row>
    <row r="119" spans="1:9" x14ac:dyDescent="0.25">
      <c r="A119" s="7">
        <v>70101114</v>
      </c>
      <c r="B119" s="9">
        <v>-825000</v>
      </c>
      <c r="C119" s="9"/>
      <c r="D119" s="9"/>
      <c r="E119" s="9"/>
      <c r="F119" s="9">
        <v>-523000</v>
      </c>
      <c r="G119" s="9"/>
      <c r="H119" s="9"/>
      <c r="I119" s="9">
        <v>-1348000</v>
      </c>
    </row>
    <row r="120" spans="1:9" x14ac:dyDescent="0.25">
      <c r="A120" s="7">
        <v>70101202</v>
      </c>
      <c r="B120" s="9"/>
      <c r="C120" s="9">
        <v>-604000</v>
      </c>
      <c r="D120" s="9">
        <v>-800000</v>
      </c>
      <c r="E120" s="9">
        <v>-152000</v>
      </c>
      <c r="F120" s="9"/>
      <c r="G120" s="9">
        <v>-1500000</v>
      </c>
      <c r="H120" s="9"/>
      <c r="I120" s="9">
        <v>-3056000</v>
      </c>
    </row>
    <row r="121" spans="1:9" x14ac:dyDescent="0.25">
      <c r="A121" s="7">
        <v>70107600</v>
      </c>
      <c r="B121" s="9"/>
      <c r="C121" s="9"/>
      <c r="D121" s="9"/>
      <c r="E121" s="9">
        <v>-227000</v>
      </c>
      <c r="F121" s="9">
        <v>-396000</v>
      </c>
      <c r="G121" s="9">
        <v>-1237000</v>
      </c>
      <c r="H121" s="9"/>
      <c r="I121" s="9">
        <v>-1860000</v>
      </c>
    </row>
    <row r="122" spans="1:9" x14ac:dyDescent="0.25">
      <c r="A122" s="7">
        <v>70108100</v>
      </c>
      <c r="B122" s="9"/>
      <c r="C122" s="9"/>
      <c r="D122" s="9"/>
      <c r="E122" s="9"/>
      <c r="F122" s="9"/>
      <c r="G122" s="9">
        <v>-21000</v>
      </c>
      <c r="H122" s="9"/>
      <c r="I122" s="9">
        <v>-21000</v>
      </c>
    </row>
    <row r="123" spans="1:9" x14ac:dyDescent="0.25">
      <c r="A123" s="6" t="s">
        <v>1995</v>
      </c>
      <c r="B123" s="9"/>
      <c r="C123" s="9">
        <v>-310000</v>
      </c>
      <c r="D123" s="9"/>
      <c r="E123" s="9"/>
      <c r="F123" s="9">
        <v>-768956</v>
      </c>
      <c r="G123" s="9"/>
      <c r="H123" s="9"/>
      <c r="I123" s="9">
        <v>-1078956</v>
      </c>
    </row>
    <row r="124" spans="1:9" x14ac:dyDescent="0.25">
      <c r="A124" s="7">
        <v>70101202</v>
      </c>
      <c r="B124" s="9"/>
      <c r="C124" s="9">
        <v>-310000</v>
      </c>
      <c r="D124" s="9"/>
      <c r="E124" s="9"/>
      <c r="F124" s="9">
        <v>-167756</v>
      </c>
      <c r="G124" s="9"/>
      <c r="H124" s="9"/>
      <c r="I124" s="9">
        <v>-477756</v>
      </c>
    </row>
    <row r="125" spans="1:9" x14ac:dyDescent="0.25">
      <c r="A125" s="7">
        <v>70107600</v>
      </c>
      <c r="B125" s="9"/>
      <c r="C125" s="9"/>
      <c r="D125" s="9"/>
      <c r="E125" s="9"/>
      <c r="F125" s="9">
        <v>-601200</v>
      </c>
      <c r="G125" s="9"/>
      <c r="H125" s="9"/>
      <c r="I125" s="9">
        <v>-601200</v>
      </c>
    </row>
    <row r="126" spans="1:9" x14ac:dyDescent="0.25">
      <c r="A126" s="6" t="s">
        <v>1971</v>
      </c>
      <c r="B126" s="9">
        <v>-648100</v>
      </c>
      <c r="C126" s="9"/>
      <c r="D126" s="9">
        <v>-261036</v>
      </c>
      <c r="E126" s="9">
        <v>-2744500</v>
      </c>
      <c r="F126" s="9">
        <v>-819600</v>
      </c>
      <c r="G126" s="9">
        <v>-1610800</v>
      </c>
      <c r="H126" s="9"/>
      <c r="I126" s="9">
        <v>-6084036</v>
      </c>
    </row>
    <row r="127" spans="1:9" x14ac:dyDescent="0.25">
      <c r="A127" s="7">
        <v>70101114</v>
      </c>
      <c r="B127" s="9"/>
      <c r="C127" s="9"/>
      <c r="D127" s="9">
        <v>-261036</v>
      </c>
      <c r="E127" s="9"/>
      <c r="F127" s="9"/>
      <c r="G127" s="9"/>
      <c r="H127" s="9"/>
      <c r="I127" s="9">
        <v>-261036</v>
      </c>
    </row>
    <row r="128" spans="1:9" x14ac:dyDescent="0.25">
      <c r="A128" s="7">
        <v>70101202</v>
      </c>
      <c r="B128" s="9">
        <v>-648100</v>
      </c>
      <c r="C128" s="9"/>
      <c r="D128" s="9"/>
      <c r="E128" s="9">
        <v>-2744500</v>
      </c>
      <c r="F128" s="9">
        <v>-819600</v>
      </c>
      <c r="G128" s="9">
        <v>-1610800</v>
      </c>
      <c r="H128" s="9"/>
      <c r="I128" s="9">
        <v>-5823000</v>
      </c>
    </row>
    <row r="129" spans="1:9" x14ac:dyDescent="0.25">
      <c r="A129" s="6" t="s">
        <v>2012</v>
      </c>
      <c r="B129" s="9"/>
      <c r="C129" s="9"/>
      <c r="D129" s="9"/>
      <c r="E129" s="9">
        <v>-1663000</v>
      </c>
      <c r="F129" s="9">
        <v>-877100</v>
      </c>
      <c r="G129" s="9">
        <v>-600000</v>
      </c>
      <c r="H129" s="9"/>
      <c r="I129" s="9">
        <v>-3140100</v>
      </c>
    </row>
    <row r="130" spans="1:9" x14ac:dyDescent="0.25">
      <c r="A130" s="7">
        <v>70101114</v>
      </c>
      <c r="B130" s="9"/>
      <c r="C130" s="9"/>
      <c r="D130" s="9"/>
      <c r="E130" s="9">
        <v>-957000</v>
      </c>
      <c r="F130" s="9"/>
      <c r="G130" s="9"/>
      <c r="H130" s="9"/>
      <c r="I130" s="9">
        <v>-957000</v>
      </c>
    </row>
    <row r="131" spans="1:9" x14ac:dyDescent="0.25">
      <c r="A131" s="7">
        <v>70101202</v>
      </c>
      <c r="B131" s="9"/>
      <c r="C131" s="9"/>
      <c r="D131" s="9"/>
      <c r="E131" s="9">
        <v>-706000</v>
      </c>
      <c r="F131" s="9"/>
      <c r="G131" s="9">
        <v>-600000</v>
      </c>
      <c r="H131" s="9"/>
      <c r="I131" s="9">
        <v>-1306000</v>
      </c>
    </row>
    <row r="132" spans="1:9" x14ac:dyDescent="0.25">
      <c r="A132" s="7">
        <v>70107600</v>
      </c>
      <c r="B132" s="9"/>
      <c r="C132" s="9"/>
      <c r="D132" s="9"/>
      <c r="E132" s="9"/>
      <c r="F132" s="9">
        <v>-877100</v>
      </c>
      <c r="G132" s="9"/>
      <c r="H132" s="9"/>
      <c r="I132" s="9">
        <v>-877100</v>
      </c>
    </row>
    <row r="133" spans="1:9" x14ac:dyDescent="0.25">
      <c r="A133" s="6" t="s">
        <v>2008</v>
      </c>
      <c r="B133" s="9"/>
      <c r="C133" s="9"/>
      <c r="D133" s="9">
        <v>-133500</v>
      </c>
      <c r="E133" s="9"/>
      <c r="F133" s="9">
        <v>-208000</v>
      </c>
      <c r="G133" s="9">
        <v>-1044900</v>
      </c>
      <c r="H133" s="9"/>
      <c r="I133" s="9">
        <v>-1386400</v>
      </c>
    </row>
    <row r="134" spans="1:9" x14ac:dyDescent="0.25">
      <c r="A134" s="7">
        <v>70101102</v>
      </c>
      <c r="B134" s="9"/>
      <c r="C134" s="9"/>
      <c r="D134" s="9"/>
      <c r="E134" s="9"/>
      <c r="F134" s="9">
        <v>-208000</v>
      </c>
      <c r="G134" s="9"/>
      <c r="H134" s="9"/>
      <c r="I134" s="9">
        <v>-208000</v>
      </c>
    </row>
    <row r="135" spans="1:9" x14ac:dyDescent="0.25">
      <c r="A135" s="7">
        <v>70101114</v>
      </c>
      <c r="B135" s="9"/>
      <c r="C135" s="9"/>
      <c r="D135" s="9"/>
      <c r="E135" s="9"/>
      <c r="F135" s="9"/>
      <c r="G135" s="9">
        <v>-1044900</v>
      </c>
      <c r="H135" s="9"/>
      <c r="I135" s="9">
        <v>-1044900</v>
      </c>
    </row>
    <row r="136" spans="1:9" x14ac:dyDescent="0.25">
      <c r="A136" s="7">
        <v>70101202</v>
      </c>
      <c r="B136" s="9"/>
      <c r="C136" s="9"/>
      <c r="D136" s="9">
        <v>-133500</v>
      </c>
      <c r="E136" s="9"/>
      <c r="F136" s="9"/>
      <c r="G136" s="9"/>
      <c r="H136" s="9"/>
      <c r="I136" s="9">
        <v>-133500</v>
      </c>
    </row>
    <row r="137" spans="1:9" x14ac:dyDescent="0.25">
      <c r="A137" s="6" t="s">
        <v>1933</v>
      </c>
      <c r="B137" s="9">
        <v>-2781500</v>
      </c>
      <c r="C137" s="9"/>
      <c r="D137" s="9"/>
      <c r="E137" s="9">
        <v>-80000</v>
      </c>
      <c r="F137" s="9"/>
      <c r="G137" s="9">
        <v>-1907540</v>
      </c>
      <c r="H137" s="9"/>
      <c r="I137" s="9">
        <v>-4769040</v>
      </c>
    </row>
    <row r="138" spans="1:9" x14ac:dyDescent="0.25">
      <c r="A138" s="7">
        <v>70101114</v>
      </c>
      <c r="B138" s="9">
        <v>-1609000</v>
      </c>
      <c r="C138" s="9"/>
      <c r="D138" s="9"/>
      <c r="E138" s="9"/>
      <c r="F138" s="9"/>
      <c r="G138" s="9">
        <v>-1584540</v>
      </c>
      <c r="H138" s="9"/>
      <c r="I138" s="9">
        <v>-3193540</v>
      </c>
    </row>
    <row r="139" spans="1:9" x14ac:dyDescent="0.25">
      <c r="A139" s="7">
        <v>70101202</v>
      </c>
      <c r="B139" s="9">
        <v>-210000</v>
      </c>
      <c r="C139" s="9"/>
      <c r="D139" s="9"/>
      <c r="E139" s="9">
        <v>-80000</v>
      </c>
      <c r="F139" s="9"/>
      <c r="G139" s="9">
        <v>-323000</v>
      </c>
      <c r="H139" s="9"/>
      <c r="I139" s="9">
        <v>-613000</v>
      </c>
    </row>
    <row r="140" spans="1:9" x14ac:dyDescent="0.25">
      <c r="A140" s="7">
        <v>70108100</v>
      </c>
      <c r="B140" s="9">
        <v>-962500</v>
      </c>
      <c r="C140" s="9"/>
      <c r="D140" s="9"/>
      <c r="E140" s="9"/>
      <c r="F140" s="9"/>
      <c r="G140" s="9"/>
      <c r="H140" s="9"/>
      <c r="I140" s="9">
        <v>-962500</v>
      </c>
    </row>
    <row r="141" spans="1:9" x14ac:dyDescent="0.25">
      <c r="A141" s="6" t="s">
        <v>1948</v>
      </c>
      <c r="B141" s="9">
        <v>-2017000</v>
      </c>
      <c r="C141" s="9">
        <v>-386300</v>
      </c>
      <c r="D141" s="9"/>
      <c r="E141" s="9">
        <v>-822000</v>
      </c>
      <c r="F141" s="9"/>
      <c r="G141" s="9">
        <v>-946000</v>
      </c>
      <c r="H141" s="9"/>
      <c r="I141" s="9">
        <v>-4171300</v>
      </c>
    </row>
    <row r="142" spans="1:9" x14ac:dyDescent="0.25">
      <c r="A142" s="7">
        <v>70101102</v>
      </c>
      <c r="B142" s="9"/>
      <c r="C142" s="9">
        <v>-166300</v>
      </c>
      <c r="D142" s="9"/>
      <c r="E142" s="9"/>
      <c r="F142" s="9"/>
      <c r="G142" s="9"/>
      <c r="H142" s="9"/>
      <c r="I142" s="9">
        <v>-166300</v>
      </c>
    </row>
    <row r="143" spans="1:9" x14ac:dyDescent="0.25">
      <c r="A143" s="7">
        <v>70101114</v>
      </c>
      <c r="B143" s="9">
        <v>-124000</v>
      </c>
      <c r="C143" s="9">
        <v>-220000</v>
      </c>
      <c r="D143" s="9"/>
      <c r="E143" s="9">
        <v>-222000</v>
      </c>
      <c r="F143" s="9"/>
      <c r="G143" s="9"/>
      <c r="H143" s="9"/>
      <c r="I143" s="9">
        <v>-566000</v>
      </c>
    </row>
    <row r="144" spans="1:9" x14ac:dyDescent="0.25">
      <c r="A144" s="7">
        <v>70101202</v>
      </c>
      <c r="B144" s="9">
        <v>-93000</v>
      </c>
      <c r="C144" s="9"/>
      <c r="D144" s="9"/>
      <c r="E144" s="9"/>
      <c r="F144" s="9"/>
      <c r="G144" s="9">
        <v>-171000</v>
      </c>
      <c r="H144" s="9"/>
      <c r="I144" s="9">
        <v>-264000</v>
      </c>
    </row>
    <row r="145" spans="1:9" x14ac:dyDescent="0.25">
      <c r="A145" s="7">
        <v>70101230</v>
      </c>
      <c r="B145" s="9">
        <v>-1800000</v>
      </c>
      <c r="C145" s="9"/>
      <c r="D145" s="9"/>
      <c r="E145" s="9"/>
      <c r="F145" s="9"/>
      <c r="G145" s="9"/>
      <c r="H145" s="9"/>
      <c r="I145" s="9">
        <v>-1800000</v>
      </c>
    </row>
    <row r="146" spans="1:9" x14ac:dyDescent="0.25">
      <c r="A146" s="7">
        <v>70107500</v>
      </c>
      <c r="B146" s="9"/>
      <c r="C146" s="9"/>
      <c r="D146" s="9"/>
      <c r="E146" s="9">
        <v>-600000</v>
      </c>
      <c r="F146" s="9"/>
      <c r="G146" s="9">
        <v>-600000</v>
      </c>
      <c r="H146" s="9"/>
      <c r="I146" s="9">
        <v>-1200000</v>
      </c>
    </row>
    <row r="147" spans="1:9" x14ac:dyDescent="0.25">
      <c r="A147" s="7">
        <v>70107600</v>
      </c>
      <c r="B147" s="9"/>
      <c r="C147" s="9"/>
      <c r="D147" s="9"/>
      <c r="E147" s="9"/>
      <c r="F147" s="9"/>
      <c r="G147" s="9">
        <v>-175000</v>
      </c>
      <c r="H147" s="9"/>
      <c r="I147" s="9">
        <v>-175000</v>
      </c>
    </row>
    <row r="148" spans="1:9" x14ac:dyDescent="0.25">
      <c r="A148" s="6" t="s">
        <v>1955</v>
      </c>
      <c r="B148" s="9">
        <v>-835777</v>
      </c>
      <c r="C148" s="9"/>
      <c r="D148" s="9"/>
      <c r="E148" s="9">
        <v>-890470</v>
      </c>
      <c r="F148" s="9"/>
      <c r="G148" s="9">
        <v>-509000</v>
      </c>
      <c r="H148" s="9"/>
      <c r="I148" s="9">
        <v>-2235247</v>
      </c>
    </row>
    <row r="149" spans="1:9" x14ac:dyDescent="0.25">
      <c r="A149" s="7">
        <v>70101102</v>
      </c>
      <c r="B149" s="9"/>
      <c r="C149" s="9"/>
      <c r="D149" s="9"/>
      <c r="E149" s="9"/>
      <c r="F149" s="9"/>
      <c r="G149" s="9">
        <v>-509000</v>
      </c>
      <c r="H149" s="9"/>
      <c r="I149" s="9">
        <v>-509000</v>
      </c>
    </row>
    <row r="150" spans="1:9" x14ac:dyDescent="0.25">
      <c r="A150" s="7">
        <v>70101114</v>
      </c>
      <c r="B150" s="9">
        <v>-835777</v>
      </c>
      <c r="C150" s="9"/>
      <c r="D150" s="9"/>
      <c r="E150" s="9">
        <v>-290470</v>
      </c>
      <c r="F150" s="9"/>
      <c r="G150" s="9"/>
      <c r="H150" s="9"/>
      <c r="I150" s="9">
        <v>-1126247</v>
      </c>
    </row>
    <row r="151" spans="1:9" x14ac:dyDescent="0.25">
      <c r="A151" s="7">
        <v>70101202</v>
      </c>
      <c r="B151" s="9"/>
      <c r="C151" s="9"/>
      <c r="D151" s="9"/>
      <c r="E151" s="9">
        <v>-600000</v>
      </c>
      <c r="F151" s="9"/>
      <c r="G151" s="9"/>
      <c r="H151" s="9"/>
      <c r="I151" s="9">
        <v>-600000</v>
      </c>
    </row>
    <row r="152" spans="1:9" x14ac:dyDescent="0.25">
      <c r="A152" s="6" t="s">
        <v>1935</v>
      </c>
      <c r="B152" s="9">
        <v>-243910</v>
      </c>
      <c r="C152" s="9"/>
      <c r="D152" s="9">
        <v>-581500</v>
      </c>
      <c r="E152" s="9">
        <v>-665500</v>
      </c>
      <c r="F152" s="9">
        <v>-100000</v>
      </c>
      <c r="G152" s="9"/>
      <c r="H152" s="9"/>
      <c r="I152" s="9">
        <v>-1590910</v>
      </c>
    </row>
    <row r="153" spans="1:9" x14ac:dyDescent="0.25">
      <c r="A153" s="7">
        <v>70101102</v>
      </c>
      <c r="B153" s="9"/>
      <c r="C153" s="9"/>
      <c r="D153" s="9"/>
      <c r="E153" s="9"/>
      <c r="F153" s="9">
        <v>-100000</v>
      </c>
      <c r="G153" s="9"/>
      <c r="H153" s="9"/>
      <c r="I153" s="9">
        <v>-100000</v>
      </c>
    </row>
    <row r="154" spans="1:9" x14ac:dyDescent="0.25">
      <c r="A154" s="7">
        <v>70101114</v>
      </c>
      <c r="B154" s="9">
        <v>-243910</v>
      </c>
      <c r="C154" s="9"/>
      <c r="D154" s="9">
        <v>-557500</v>
      </c>
      <c r="E154" s="9"/>
      <c r="F154" s="9"/>
      <c r="G154" s="9"/>
      <c r="H154" s="9"/>
      <c r="I154" s="9">
        <v>-801410</v>
      </c>
    </row>
    <row r="155" spans="1:9" x14ac:dyDescent="0.25">
      <c r="A155" s="7">
        <v>70107600</v>
      </c>
      <c r="B155" s="9"/>
      <c r="C155" s="9"/>
      <c r="D155" s="9"/>
      <c r="E155" s="9">
        <v>-665500</v>
      </c>
      <c r="F155" s="9"/>
      <c r="G155" s="9"/>
      <c r="H155" s="9"/>
      <c r="I155" s="9">
        <v>-665500</v>
      </c>
    </row>
    <row r="156" spans="1:9" x14ac:dyDescent="0.25">
      <c r="A156" s="7">
        <v>70108100</v>
      </c>
      <c r="B156" s="9"/>
      <c r="C156" s="9"/>
      <c r="D156" s="9">
        <v>-24000</v>
      </c>
      <c r="E156" s="9"/>
      <c r="F156" s="9"/>
      <c r="G156" s="9"/>
      <c r="H156" s="9"/>
      <c r="I156" s="9">
        <v>-24000</v>
      </c>
    </row>
    <row r="157" spans="1:9" x14ac:dyDescent="0.25">
      <c r="A157" s="6" t="s">
        <v>1977</v>
      </c>
      <c r="B157" s="9">
        <v>-991000</v>
      </c>
      <c r="C157" s="9"/>
      <c r="D157" s="9"/>
      <c r="E157" s="9"/>
      <c r="F157" s="9"/>
      <c r="G157" s="9"/>
      <c r="H157" s="9"/>
      <c r="I157" s="9">
        <v>-991000</v>
      </c>
    </row>
    <row r="158" spans="1:9" x14ac:dyDescent="0.25">
      <c r="A158" s="7">
        <v>70101202</v>
      </c>
      <c r="B158" s="9">
        <v>-991000</v>
      </c>
      <c r="C158" s="9"/>
      <c r="D158" s="9"/>
      <c r="E158" s="9"/>
      <c r="F158" s="9"/>
      <c r="G158" s="9"/>
      <c r="H158" s="9"/>
      <c r="I158" s="9">
        <v>-991000</v>
      </c>
    </row>
    <row r="159" spans="1:9" x14ac:dyDescent="0.25">
      <c r="A159" s="6" t="s">
        <v>2061</v>
      </c>
      <c r="B159" s="9">
        <v>58589163</v>
      </c>
      <c r="C159" s="9">
        <v>34438078</v>
      </c>
      <c r="D159" s="9">
        <v>30159697</v>
      </c>
      <c r="E159" s="9">
        <v>63465821</v>
      </c>
      <c r="F159" s="9">
        <v>66145918</v>
      </c>
      <c r="G159" s="9">
        <v>66915336</v>
      </c>
      <c r="H159" s="9">
        <v>0</v>
      </c>
      <c r="I159" s="9">
        <v>319714013</v>
      </c>
    </row>
    <row r="160" spans="1:9" x14ac:dyDescent="0.25">
      <c r="A160" s="7" t="s">
        <v>2061</v>
      </c>
      <c r="B160" s="9">
        <v>58589163</v>
      </c>
      <c r="C160" s="9">
        <v>34438078</v>
      </c>
      <c r="D160" s="9">
        <v>30159697</v>
      </c>
      <c r="E160" s="9">
        <v>63465821</v>
      </c>
      <c r="F160" s="9">
        <v>66145918</v>
      </c>
      <c r="G160" s="9">
        <v>66915336</v>
      </c>
      <c r="H160" s="9">
        <v>0</v>
      </c>
      <c r="I160" s="9">
        <v>319714013</v>
      </c>
    </row>
    <row r="161" spans="1:9" x14ac:dyDescent="0.25">
      <c r="A161" s="6" t="s">
        <v>2062</v>
      </c>
      <c r="B161" s="9">
        <v>0</v>
      </c>
      <c r="C161" s="9">
        <v>0</v>
      </c>
      <c r="D161" s="9">
        <v>0</v>
      </c>
      <c r="E161" s="9">
        <v>0</v>
      </c>
      <c r="F161" s="9">
        <v>0</v>
      </c>
      <c r="G161" s="9">
        <v>0</v>
      </c>
      <c r="H161" s="9">
        <v>0</v>
      </c>
      <c r="I161" s="9">
        <v>0</v>
      </c>
    </row>
    <row r="162" spans="1:9" x14ac:dyDescent="0.25">
      <c r="B162"/>
    </row>
    <row r="163" spans="1:9" x14ac:dyDescent="0.25">
      <c r="B163"/>
    </row>
    <row r="164" spans="1:9" x14ac:dyDescent="0.25">
      <c r="B164"/>
    </row>
    <row r="165" spans="1:9" x14ac:dyDescent="0.25">
      <c r="B165"/>
    </row>
    <row r="166" spans="1:9" x14ac:dyDescent="0.25">
      <c r="B166"/>
    </row>
    <row r="167" spans="1:9" x14ac:dyDescent="0.25">
      <c r="B167"/>
    </row>
    <row r="168" spans="1:9" x14ac:dyDescent="0.25">
      <c r="B168"/>
    </row>
    <row r="169" spans="1:9" x14ac:dyDescent="0.25">
      <c r="B169"/>
    </row>
    <row r="170" spans="1:9" x14ac:dyDescent="0.25">
      <c r="B170"/>
    </row>
    <row r="171" spans="1:9" x14ac:dyDescent="0.25">
      <c r="B171"/>
    </row>
    <row r="172" spans="1:9" x14ac:dyDescent="0.25">
      <c r="B172"/>
    </row>
    <row r="173" spans="1:9" x14ac:dyDescent="0.25">
      <c r="B173"/>
    </row>
    <row r="174" spans="1:9" x14ac:dyDescent="0.25">
      <c r="B174"/>
    </row>
    <row r="175" spans="1:9" x14ac:dyDescent="0.25">
      <c r="B175"/>
    </row>
    <row r="176" spans="1:9" x14ac:dyDescent="0.25">
      <c r="B176"/>
    </row>
    <row r="177" spans="2:2" x14ac:dyDescent="0.25">
      <c r="B177"/>
    </row>
    <row r="178" spans="2:2" x14ac:dyDescent="0.25">
      <c r="B178"/>
    </row>
    <row r="179" spans="2:2" x14ac:dyDescent="0.25">
      <c r="B179"/>
    </row>
    <row r="180" spans="2:2" x14ac:dyDescent="0.25">
      <c r="B180"/>
    </row>
    <row r="181" spans="2:2" x14ac:dyDescent="0.25">
      <c r="B181"/>
    </row>
    <row r="182" spans="2:2" x14ac:dyDescent="0.25">
      <c r="B182"/>
    </row>
    <row r="183" spans="2:2" x14ac:dyDescent="0.25">
      <c r="B183"/>
    </row>
    <row r="184" spans="2:2" x14ac:dyDescent="0.25">
      <c r="B184"/>
    </row>
    <row r="185" spans="2:2" x14ac:dyDescent="0.25">
      <c r="B185"/>
    </row>
    <row r="186" spans="2:2" x14ac:dyDescent="0.25">
      <c r="B186"/>
    </row>
    <row r="187" spans="2:2" x14ac:dyDescent="0.25">
      <c r="B187"/>
    </row>
    <row r="188" spans="2:2" x14ac:dyDescent="0.25">
      <c r="B188"/>
    </row>
    <row r="189" spans="2:2" x14ac:dyDescent="0.25">
      <c r="B189"/>
    </row>
    <row r="190" spans="2:2" x14ac:dyDescent="0.25">
      <c r="B190"/>
    </row>
    <row r="191" spans="2:2" x14ac:dyDescent="0.25">
      <c r="B191"/>
    </row>
    <row r="192" spans="2:2" x14ac:dyDescent="0.25">
      <c r="B192"/>
    </row>
    <row r="193" spans="2:2" x14ac:dyDescent="0.25">
      <c r="B193"/>
    </row>
    <row r="194" spans="2:2" x14ac:dyDescent="0.25">
      <c r="B194"/>
    </row>
    <row r="195" spans="2:2" x14ac:dyDescent="0.25">
      <c r="B195"/>
    </row>
    <row r="196" spans="2:2" x14ac:dyDescent="0.25">
      <c r="B196"/>
    </row>
    <row r="197" spans="2:2" x14ac:dyDescent="0.25">
      <c r="B197"/>
    </row>
    <row r="198" spans="2:2" x14ac:dyDescent="0.25">
      <c r="B198"/>
    </row>
    <row r="199" spans="2:2" x14ac:dyDescent="0.25">
      <c r="B199"/>
    </row>
    <row r="200" spans="2:2" x14ac:dyDescent="0.25">
      <c r="B200"/>
    </row>
    <row r="201" spans="2:2" x14ac:dyDescent="0.25">
      <c r="B201"/>
    </row>
    <row r="202" spans="2:2" x14ac:dyDescent="0.25">
      <c r="B202"/>
    </row>
    <row r="203" spans="2:2" x14ac:dyDescent="0.25">
      <c r="B203"/>
    </row>
    <row r="204" spans="2:2" x14ac:dyDescent="0.25">
      <c r="B204"/>
    </row>
    <row r="205" spans="2:2" x14ac:dyDescent="0.25">
      <c r="B205"/>
    </row>
    <row r="206" spans="2:2" x14ac:dyDescent="0.25">
      <c r="B206"/>
    </row>
    <row r="207" spans="2:2" x14ac:dyDescent="0.25">
      <c r="B207"/>
    </row>
    <row r="208" spans="2:2" x14ac:dyDescent="0.25">
      <c r="B208"/>
    </row>
    <row r="209" spans="2:2" x14ac:dyDescent="0.25">
      <c r="B209"/>
    </row>
    <row r="210" spans="2:2" x14ac:dyDescent="0.25">
      <c r="B210"/>
    </row>
    <row r="211" spans="2:2" x14ac:dyDescent="0.25">
      <c r="B211"/>
    </row>
    <row r="212" spans="2:2" x14ac:dyDescent="0.25">
      <c r="B212"/>
    </row>
    <row r="213" spans="2:2" x14ac:dyDescent="0.25">
      <c r="B213"/>
    </row>
    <row r="214" spans="2:2" x14ac:dyDescent="0.25">
      <c r="B214"/>
    </row>
    <row r="215" spans="2:2" x14ac:dyDescent="0.25">
      <c r="B215"/>
    </row>
    <row r="216" spans="2:2" x14ac:dyDescent="0.25">
      <c r="B216"/>
    </row>
    <row r="217" spans="2:2" x14ac:dyDescent="0.25">
      <c r="B217"/>
    </row>
    <row r="218" spans="2:2" x14ac:dyDescent="0.25">
      <c r="B218"/>
    </row>
    <row r="219" spans="2:2" x14ac:dyDescent="0.25">
      <c r="B219"/>
    </row>
    <row r="220" spans="2:2" x14ac:dyDescent="0.25">
      <c r="B220"/>
    </row>
    <row r="221" spans="2:2" x14ac:dyDescent="0.25">
      <c r="B221"/>
    </row>
    <row r="222" spans="2:2" x14ac:dyDescent="0.25">
      <c r="B222"/>
    </row>
    <row r="223" spans="2:2" x14ac:dyDescent="0.25">
      <c r="B223"/>
    </row>
    <row r="224" spans="2:2" x14ac:dyDescent="0.25">
      <c r="B224"/>
    </row>
    <row r="225" spans="2:2" x14ac:dyDescent="0.25">
      <c r="B225"/>
    </row>
    <row r="226" spans="2:2" x14ac:dyDescent="0.25">
      <c r="B226"/>
    </row>
    <row r="227" spans="2:2" x14ac:dyDescent="0.25">
      <c r="B227"/>
    </row>
    <row r="228" spans="2:2" x14ac:dyDescent="0.25">
      <c r="B228"/>
    </row>
    <row r="229" spans="2:2" x14ac:dyDescent="0.25">
      <c r="B229"/>
    </row>
    <row r="230" spans="2:2" x14ac:dyDescent="0.25">
      <c r="B230"/>
    </row>
    <row r="231" spans="2:2" x14ac:dyDescent="0.25">
      <c r="B231"/>
    </row>
    <row r="232" spans="2:2" x14ac:dyDescent="0.25">
      <c r="B232"/>
    </row>
    <row r="233" spans="2:2" x14ac:dyDescent="0.25">
      <c r="B233"/>
    </row>
    <row r="234" spans="2:2" x14ac:dyDescent="0.25">
      <c r="B234"/>
    </row>
    <row r="235" spans="2:2" x14ac:dyDescent="0.25">
      <c r="B235"/>
    </row>
    <row r="236" spans="2:2" x14ac:dyDescent="0.25">
      <c r="B236"/>
    </row>
    <row r="237" spans="2:2" x14ac:dyDescent="0.25">
      <c r="B237"/>
    </row>
    <row r="238" spans="2:2" x14ac:dyDescent="0.25">
      <c r="B238"/>
    </row>
    <row r="239" spans="2:2" x14ac:dyDescent="0.25">
      <c r="B239"/>
    </row>
    <row r="240" spans="2:2" x14ac:dyDescent="0.25">
      <c r="B240"/>
    </row>
    <row r="241" spans="2:2" x14ac:dyDescent="0.25">
      <c r="B241"/>
    </row>
    <row r="242" spans="2:2" x14ac:dyDescent="0.25">
      <c r="B242"/>
    </row>
    <row r="243" spans="2:2" x14ac:dyDescent="0.25">
      <c r="B243"/>
    </row>
    <row r="244" spans="2:2" x14ac:dyDescent="0.25">
      <c r="B244"/>
    </row>
    <row r="245" spans="2:2" x14ac:dyDescent="0.25">
      <c r="B245"/>
    </row>
    <row r="246" spans="2:2" x14ac:dyDescent="0.25">
      <c r="B246"/>
    </row>
    <row r="247" spans="2:2" x14ac:dyDescent="0.25">
      <c r="B247"/>
    </row>
    <row r="248" spans="2:2" x14ac:dyDescent="0.25">
      <c r="B248"/>
    </row>
    <row r="249" spans="2:2" x14ac:dyDescent="0.25">
      <c r="B249"/>
    </row>
    <row r="250" spans="2:2" x14ac:dyDescent="0.25">
      <c r="B250"/>
    </row>
    <row r="251" spans="2:2" x14ac:dyDescent="0.25">
      <c r="B251"/>
    </row>
    <row r="252" spans="2:2" x14ac:dyDescent="0.25">
      <c r="B252"/>
    </row>
    <row r="253" spans="2:2" x14ac:dyDescent="0.25">
      <c r="B253"/>
    </row>
    <row r="254" spans="2:2" x14ac:dyDescent="0.25">
      <c r="B254"/>
    </row>
    <row r="255" spans="2:2" x14ac:dyDescent="0.25">
      <c r="B255"/>
    </row>
    <row r="256" spans="2:2" x14ac:dyDescent="0.25">
      <c r="B256"/>
    </row>
    <row r="257" spans="2:2" x14ac:dyDescent="0.25">
      <c r="B257"/>
    </row>
    <row r="258" spans="2:2" x14ac:dyDescent="0.25">
      <c r="B258"/>
    </row>
    <row r="259" spans="2:2" x14ac:dyDescent="0.25">
      <c r="B259"/>
    </row>
    <row r="260" spans="2:2" x14ac:dyDescent="0.25">
      <c r="B260"/>
    </row>
    <row r="261" spans="2:2" x14ac:dyDescent="0.25">
      <c r="B261"/>
    </row>
    <row r="262" spans="2:2" x14ac:dyDescent="0.25">
      <c r="B262"/>
    </row>
    <row r="263" spans="2:2" x14ac:dyDescent="0.25">
      <c r="B263"/>
    </row>
    <row r="264" spans="2:2" x14ac:dyDescent="0.25">
      <c r="B264"/>
    </row>
    <row r="265" spans="2:2" x14ac:dyDescent="0.25">
      <c r="B265"/>
    </row>
    <row r="266" spans="2:2" x14ac:dyDescent="0.25">
      <c r="B266"/>
    </row>
    <row r="267" spans="2:2" x14ac:dyDescent="0.25">
      <c r="B267"/>
    </row>
    <row r="268" spans="2:2" x14ac:dyDescent="0.25">
      <c r="B268"/>
    </row>
    <row r="269" spans="2:2" x14ac:dyDescent="0.25">
      <c r="B269"/>
    </row>
    <row r="270" spans="2:2" x14ac:dyDescent="0.25">
      <c r="B270"/>
    </row>
    <row r="271" spans="2:2" x14ac:dyDescent="0.25">
      <c r="B271"/>
    </row>
    <row r="272" spans="2:2" x14ac:dyDescent="0.25">
      <c r="B272"/>
    </row>
    <row r="273" spans="2:9" x14ac:dyDescent="0.25">
      <c r="B273"/>
    </row>
    <row r="274" spans="2:9" x14ac:dyDescent="0.25">
      <c r="B274"/>
    </row>
    <row r="275" spans="2:9" x14ac:dyDescent="0.25">
      <c r="B275"/>
    </row>
    <row r="276" spans="2:9" x14ac:dyDescent="0.25">
      <c r="B276"/>
    </row>
    <row r="277" spans="2:9" x14ac:dyDescent="0.25">
      <c r="B277"/>
    </row>
    <row r="278" spans="2:9" x14ac:dyDescent="0.25">
      <c r="B278"/>
    </row>
    <row r="279" spans="2:9" x14ac:dyDescent="0.25">
      <c r="B279"/>
    </row>
    <row r="280" spans="2:9" x14ac:dyDescent="0.25">
      <c r="B280"/>
    </row>
    <row r="281" spans="2:9" x14ac:dyDescent="0.25">
      <c r="C281" s="8"/>
      <c r="D281" s="8"/>
      <c r="E281" s="8"/>
      <c r="F281" s="8"/>
      <c r="G281" s="8"/>
      <c r="H281" s="8"/>
      <c r="I281" s="8"/>
    </row>
    <row r="282" spans="2:9" x14ac:dyDescent="0.25">
      <c r="C282" s="8"/>
      <c r="D282" s="8"/>
      <c r="E282" s="8"/>
      <c r="F282" s="8"/>
      <c r="G282" s="8"/>
      <c r="H282" s="8"/>
      <c r="I282" s="8"/>
    </row>
    <row r="283" spans="2:9" x14ac:dyDescent="0.25">
      <c r="C283" s="8"/>
      <c r="D283" s="8"/>
      <c r="E283" s="8"/>
      <c r="F283" s="8"/>
      <c r="G283" s="8"/>
      <c r="H283" s="8"/>
      <c r="I283" s="8"/>
    </row>
    <row r="284" spans="2:9" x14ac:dyDescent="0.25">
      <c r="C284" s="8"/>
      <c r="D284" s="8"/>
      <c r="E284" s="8"/>
      <c r="F284" s="8"/>
      <c r="G284" s="8"/>
      <c r="H284" s="8"/>
      <c r="I284" s="8"/>
    </row>
    <row r="285" spans="2:9" x14ac:dyDescent="0.25">
      <c r="C285" s="8"/>
      <c r="D285" s="8"/>
      <c r="E285" s="8"/>
      <c r="F285" s="8"/>
      <c r="G285" s="8"/>
      <c r="H285" s="8"/>
      <c r="I285" s="8"/>
    </row>
    <row r="286" spans="2:9" x14ac:dyDescent="0.25">
      <c r="C286" s="8"/>
      <c r="D286" s="8"/>
      <c r="E286" s="8"/>
      <c r="F286" s="8"/>
      <c r="G286" s="8"/>
      <c r="H286" s="8"/>
      <c r="I286" s="8"/>
    </row>
    <row r="287" spans="2:9" x14ac:dyDescent="0.25">
      <c r="C287" s="8"/>
      <c r="D287" s="8"/>
      <c r="E287" s="8"/>
      <c r="F287" s="8"/>
      <c r="G287" s="8"/>
      <c r="H287" s="8"/>
      <c r="I287" s="8"/>
    </row>
    <row r="288" spans="2:9" x14ac:dyDescent="0.25">
      <c r="C288" s="8"/>
      <c r="D288" s="8"/>
      <c r="E288" s="8"/>
      <c r="F288" s="8"/>
      <c r="G288" s="8"/>
      <c r="H288" s="8"/>
      <c r="I288" s="8"/>
    </row>
    <row r="289" spans="3:9" x14ac:dyDescent="0.25">
      <c r="C289" s="8"/>
      <c r="D289" s="8"/>
      <c r="E289" s="8"/>
      <c r="F289" s="8"/>
      <c r="G289" s="8"/>
      <c r="H289" s="8"/>
      <c r="I289" s="8"/>
    </row>
    <row r="290" spans="3:9" x14ac:dyDescent="0.25">
      <c r="C290" s="8"/>
      <c r="D290" s="8"/>
      <c r="E290" s="8"/>
      <c r="F290" s="8"/>
      <c r="G290" s="8"/>
      <c r="H290" s="8"/>
      <c r="I290" s="8"/>
    </row>
    <row r="291" spans="3:9" x14ac:dyDescent="0.25">
      <c r="C291" s="8"/>
      <c r="D291" s="8"/>
      <c r="E291" s="8"/>
      <c r="F291" s="8"/>
      <c r="G291" s="8"/>
      <c r="H291" s="8"/>
      <c r="I291" s="8"/>
    </row>
    <row r="292" spans="3:9" x14ac:dyDescent="0.25">
      <c r="C292" s="8"/>
      <c r="D292" s="8"/>
      <c r="E292" s="8"/>
      <c r="F292" s="8"/>
      <c r="G292" s="8"/>
      <c r="H292" s="8"/>
      <c r="I292" s="8"/>
    </row>
    <row r="293" spans="3:9" x14ac:dyDescent="0.25">
      <c r="C293" s="8"/>
      <c r="D293" s="8"/>
      <c r="E293" s="8"/>
      <c r="F293" s="8"/>
      <c r="G293" s="8"/>
      <c r="H293" s="8"/>
      <c r="I293" s="8"/>
    </row>
    <row r="294" spans="3:9" x14ac:dyDescent="0.25">
      <c r="C294" s="8"/>
      <c r="D294" s="8"/>
      <c r="E294" s="8"/>
      <c r="F294" s="8"/>
      <c r="G294" s="8"/>
      <c r="H294" s="8"/>
      <c r="I294" s="8"/>
    </row>
    <row r="295" spans="3:9" x14ac:dyDescent="0.25">
      <c r="C295" s="8"/>
      <c r="D295" s="8"/>
      <c r="E295" s="8"/>
      <c r="F295" s="8"/>
      <c r="G295" s="8"/>
      <c r="H295" s="8"/>
      <c r="I295" s="8"/>
    </row>
    <row r="296" spans="3:9" x14ac:dyDescent="0.25">
      <c r="C296" s="8"/>
      <c r="D296" s="8"/>
      <c r="E296" s="8"/>
      <c r="F296" s="8"/>
      <c r="G296" s="8"/>
      <c r="H296" s="8"/>
      <c r="I296" s="8"/>
    </row>
    <row r="297" spans="3:9" x14ac:dyDescent="0.25">
      <c r="C297" s="8"/>
      <c r="D297" s="8"/>
      <c r="E297" s="8"/>
      <c r="F297" s="8"/>
      <c r="G297" s="8"/>
      <c r="H297" s="8"/>
      <c r="I297" s="8"/>
    </row>
    <row r="298" spans="3:9" x14ac:dyDescent="0.25">
      <c r="C298" s="8"/>
      <c r="D298" s="8"/>
      <c r="E298" s="8"/>
      <c r="F298" s="8"/>
      <c r="G298" s="8"/>
      <c r="H298" s="8"/>
      <c r="I298" s="8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5" tint="0.39997558519241921"/>
  </sheetPr>
  <dimension ref="A2:AB1296"/>
  <sheetViews>
    <sheetView topLeftCell="L1" workbookViewId="0">
      <pane ySplit="6" topLeftCell="A40" activePane="bottomLeft" state="frozen"/>
      <selection activeCell="F1" sqref="F1"/>
      <selection pane="bottomLeft" activeCell="Y9" sqref="Y9"/>
    </sheetView>
  </sheetViews>
  <sheetFormatPr defaultRowHeight="15" x14ac:dyDescent="0.25"/>
  <cols>
    <col min="1" max="1" width="14.85546875" style="2" bestFit="1" customWidth="1"/>
    <col min="2" max="2" width="4" style="2" bestFit="1" customWidth="1"/>
    <col min="3" max="3" width="10.42578125" style="2" bestFit="1" customWidth="1"/>
    <col min="4" max="4" width="11.7109375" style="2" bestFit="1" customWidth="1"/>
    <col min="5" max="5" width="9" style="2" bestFit="1" customWidth="1"/>
    <col min="6" max="6" width="15" style="2" bestFit="1" customWidth="1"/>
    <col min="7" max="7" width="15.42578125" style="2" bestFit="1" customWidth="1"/>
    <col min="8" max="8" width="12.7109375" style="2" bestFit="1" customWidth="1"/>
    <col min="9" max="9" width="3" style="2" bestFit="1" customWidth="1"/>
    <col min="10" max="10" width="5.5703125" style="2" bestFit="1" customWidth="1"/>
    <col min="11" max="11" width="21.42578125" style="2" bestFit="1" customWidth="1"/>
    <col min="12" max="12" width="7.5703125" style="2" bestFit="1" customWidth="1"/>
    <col min="13" max="13" width="21.140625" style="2" bestFit="1" customWidth="1"/>
    <col min="14" max="14" width="7.85546875" style="2" bestFit="1" customWidth="1"/>
    <col min="15" max="15" width="14.85546875" style="2" bestFit="1" customWidth="1"/>
    <col min="16" max="16" width="6.85546875" style="2" bestFit="1" customWidth="1"/>
    <col min="17" max="17" width="10.140625" style="2" bestFit="1" customWidth="1"/>
    <col min="18" max="18" width="11.28515625" style="2" bestFit="1" customWidth="1"/>
    <col min="19" max="19" width="16.85546875" style="2" bestFit="1" customWidth="1"/>
    <col min="20" max="20" width="31" style="2" bestFit="1" customWidth="1"/>
    <col min="21" max="21" width="60.42578125" style="2" bestFit="1" customWidth="1"/>
    <col min="22" max="22" width="13" style="4" bestFit="1" customWidth="1"/>
    <col min="23" max="23" width="18.7109375" style="4" bestFit="1" customWidth="1"/>
    <col min="24" max="24" width="14.140625" style="4" bestFit="1" customWidth="1"/>
    <col min="25" max="25" width="7.5703125" style="2" bestFit="1" customWidth="1"/>
    <col min="26" max="26" width="12" style="2" bestFit="1" customWidth="1"/>
    <col min="27" max="27" width="13.7109375" style="2" bestFit="1" customWidth="1"/>
    <col min="28" max="28" width="21.42578125" style="2" bestFit="1" customWidth="1"/>
    <col min="29" max="16384" width="9.140625" style="2"/>
  </cols>
  <sheetData>
    <row r="2" spans="1:28" x14ac:dyDescent="0.25">
      <c r="A2" s="2" t="s">
        <v>0</v>
      </c>
      <c r="E2" s="2">
        <v>10000001</v>
      </c>
      <c r="G2" s="2" t="s">
        <v>1</v>
      </c>
    </row>
    <row r="3" spans="1:28" x14ac:dyDescent="0.25">
      <c r="A3" s="2" t="s">
        <v>2</v>
      </c>
      <c r="E3" s="2">
        <v>3300</v>
      </c>
    </row>
    <row r="6" spans="1:28" x14ac:dyDescent="0.25">
      <c r="C6" s="2" t="s">
        <v>3</v>
      </c>
      <c r="D6" s="2" t="s">
        <v>4</v>
      </c>
      <c r="F6" s="2" t="s">
        <v>5</v>
      </c>
      <c r="H6" s="2" t="s">
        <v>6</v>
      </c>
      <c r="I6" s="2" t="s">
        <v>2065</v>
      </c>
      <c r="J6" s="2" t="s">
        <v>7</v>
      </c>
      <c r="K6" s="2" t="s">
        <v>8</v>
      </c>
      <c r="L6" s="2" t="s">
        <v>9</v>
      </c>
      <c r="M6" s="2" t="s">
        <v>10</v>
      </c>
      <c r="N6" s="2" t="s">
        <v>11</v>
      </c>
      <c r="O6" s="2" t="s">
        <v>12</v>
      </c>
      <c r="P6" s="2" t="s">
        <v>13</v>
      </c>
      <c r="Q6" s="2" t="s">
        <v>14</v>
      </c>
      <c r="R6" s="2" t="s">
        <v>15</v>
      </c>
      <c r="S6" s="2" t="s">
        <v>16</v>
      </c>
      <c r="T6" s="2" t="s">
        <v>17</v>
      </c>
      <c r="U6" s="2" t="s">
        <v>18</v>
      </c>
      <c r="V6" s="4" t="s">
        <v>2032</v>
      </c>
      <c r="W6" s="4" t="s">
        <v>2034</v>
      </c>
      <c r="X6" s="4" t="s">
        <v>2033</v>
      </c>
      <c r="Y6" s="2" t="s">
        <v>22</v>
      </c>
      <c r="Z6" s="2" t="s">
        <v>23</v>
      </c>
      <c r="AA6" s="2" t="s">
        <v>24</v>
      </c>
      <c r="AB6" s="2" t="s">
        <v>8</v>
      </c>
    </row>
    <row r="7" spans="1:28" x14ac:dyDescent="0.25">
      <c r="C7" s="2">
        <v>10000001</v>
      </c>
      <c r="D7" s="2" t="s">
        <v>39</v>
      </c>
      <c r="F7" s="2">
        <v>12005321</v>
      </c>
      <c r="H7" s="2" t="s">
        <v>39</v>
      </c>
      <c r="I7" s="2" t="str">
        <f>+MID(H7,4,2)</f>
        <v>07</v>
      </c>
      <c r="J7" s="2">
        <v>50</v>
      </c>
      <c r="K7" s="3">
        <v>-400000</v>
      </c>
      <c r="L7" s="2" t="s">
        <v>26</v>
      </c>
      <c r="M7" s="3">
        <v>-400000</v>
      </c>
      <c r="N7" s="2" t="s">
        <v>26</v>
      </c>
      <c r="R7" s="2" t="s">
        <v>27</v>
      </c>
      <c r="S7" s="2" t="s">
        <v>40</v>
      </c>
      <c r="T7" s="2" t="s">
        <v>41</v>
      </c>
      <c r="U7" s="2" t="s">
        <v>42</v>
      </c>
      <c r="V7" s="4">
        <f>+VLOOKUP(U7,'FBCJ Jul-Des 2025'!$G$10:$P$1302,8,0)</f>
        <v>70107300</v>
      </c>
      <c r="W7" s="4" t="str">
        <f>+VLOOKUP(V7,Sheet1!$A$2:$B$27,2,0)</f>
        <v>Biaya Olahraga Dan Permainan</v>
      </c>
      <c r="X7" s="4" t="str">
        <f>+VLOOKUP(U7,'FBCJ Jul-Des 2025'!$G$10:$P$1302,9,0)</f>
        <v>R124D1HRDV</v>
      </c>
      <c r="Y7" s="2" t="s">
        <v>43</v>
      </c>
      <c r="Z7" s="2">
        <v>1495275</v>
      </c>
      <c r="AA7" s="2">
        <v>20250707</v>
      </c>
      <c r="AB7" s="3">
        <v>400000</v>
      </c>
    </row>
    <row r="8" spans="1:28" x14ac:dyDescent="0.25">
      <c r="C8" s="2">
        <v>10000001</v>
      </c>
      <c r="D8" s="2" t="s">
        <v>39</v>
      </c>
      <c r="F8" s="2">
        <v>12005322</v>
      </c>
      <c r="H8" s="2" t="s">
        <v>39</v>
      </c>
      <c r="I8" s="2" t="str">
        <f t="shared" ref="I8:I71" si="0">+MID(H8,4,2)</f>
        <v>07</v>
      </c>
      <c r="J8" s="2">
        <v>50</v>
      </c>
      <c r="K8" s="3">
        <v>-100000</v>
      </c>
      <c r="L8" s="2" t="s">
        <v>26</v>
      </c>
      <c r="M8" s="3">
        <v>-100000</v>
      </c>
      <c r="N8" s="2" t="s">
        <v>26</v>
      </c>
      <c r="R8" s="2" t="s">
        <v>27</v>
      </c>
      <c r="S8" s="2" t="s">
        <v>44</v>
      </c>
      <c r="T8" s="2" t="s">
        <v>45</v>
      </c>
      <c r="U8" s="2" t="s">
        <v>46</v>
      </c>
      <c r="V8" s="4">
        <f>+VLOOKUP(U8,'FBCJ Jul-Des 2025'!$G$10:$P$1302,8,0)</f>
        <v>70009110</v>
      </c>
      <c r="W8" s="4" t="str">
        <f>+VLOOKUP(V8,Sheet1!$A$2:$B$27,2,0)</f>
        <v>Biaya Survey dan Analisa</v>
      </c>
      <c r="X8" s="4" t="str">
        <f>+VLOOKUP(U8,'FBCJ Jul-Des 2025'!$G$10:$P$1302,9,0)</f>
        <v>P206D1SLSS</v>
      </c>
      <c r="Y8" s="2" t="s">
        <v>43</v>
      </c>
      <c r="Z8" s="2">
        <v>1495275</v>
      </c>
      <c r="AA8" s="2">
        <v>20250707</v>
      </c>
      <c r="AB8" s="3">
        <v>100000</v>
      </c>
    </row>
    <row r="9" spans="1:28" x14ac:dyDescent="0.25">
      <c r="C9" s="2">
        <v>10000001</v>
      </c>
      <c r="D9" s="2" t="s">
        <v>39</v>
      </c>
      <c r="F9" s="2">
        <v>12005323</v>
      </c>
      <c r="H9" s="2" t="s">
        <v>39</v>
      </c>
      <c r="I9" s="2" t="str">
        <f t="shared" si="0"/>
        <v>07</v>
      </c>
      <c r="J9" s="2">
        <v>50</v>
      </c>
      <c r="K9" s="3">
        <v>-100000</v>
      </c>
      <c r="L9" s="2" t="s">
        <v>26</v>
      </c>
      <c r="M9" s="3">
        <v>-100000</v>
      </c>
      <c r="N9" s="2" t="s">
        <v>26</v>
      </c>
      <c r="R9" s="2" t="s">
        <v>27</v>
      </c>
      <c r="S9" s="2" t="s">
        <v>44</v>
      </c>
      <c r="T9" s="2" t="s">
        <v>45</v>
      </c>
      <c r="U9" s="2" t="s">
        <v>47</v>
      </c>
      <c r="V9" s="4">
        <f>+VLOOKUP(U9,'FBCJ Jul-Des 2025'!$G$10:$P$1302,8,0)</f>
        <v>70009110</v>
      </c>
      <c r="W9" s="4" t="str">
        <f>+VLOOKUP(V9,Sheet1!$A$2:$B$27,2,0)</f>
        <v>Biaya Survey dan Analisa</v>
      </c>
      <c r="X9" s="4" t="str">
        <f>+VLOOKUP(U9,'FBCJ Jul-Des 2025'!$G$10:$P$1302,9,0)</f>
        <v>P206D1SLSS</v>
      </c>
      <c r="Y9" s="2" t="s">
        <v>43</v>
      </c>
      <c r="Z9" s="2">
        <v>1495275</v>
      </c>
      <c r="AA9" s="2">
        <v>20250707</v>
      </c>
      <c r="AB9" s="3">
        <v>100000</v>
      </c>
    </row>
    <row r="10" spans="1:28" x14ac:dyDescent="0.25">
      <c r="C10" s="2">
        <v>10000001</v>
      </c>
      <c r="D10" s="2" t="s">
        <v>39</v>
      </c>
      <c r="F10" s="2">
        <v>12005324</v>
      </c>
      <c r="H10" s="2" t="s">
        <v>39</v>
      </c>
      <c r="I10" s="2" t="str">
        <f t="shared" si="0"/>
        <v>07</v>
      </c>
      <c r="J10" s="2">
        <v>50</v>
      </c>
      <c r="K10" s="3">
        <v>-150000</v>
      </c>
      <c r="L10" s="2" t="s">
        <v>26</v>
      </c>
      <c r="M10" s="3">
        <v>-150000</v>
      </c>
      <c r="N10" s="2" t="s">
        <v>26</v>
      </c>
      <c r="R10" s="2" t="s">
        <v>27</v>
      </c>
      <c r="S10" s="2" t="s">
        <v>44</v>
      </c>
      <c r="T10" s="2" t="s">
        <v>45</v>
      </c>
      <c r="U10" s="2" t="s">
        <v>48</v>
      </c>
      <c r="V10" s="4">
        <f>+VLOOKUP(U10,'FBCJ Jul-Des 2025'!$G$10:$P$1302,8,0)</f>
        <v>70009110</v>
      </c>
      <c r="W10" s="4" t="str">
        <f>+VLOOKUP(V10,Sheet1!$A$2:$B$27,2,0)</f>
        <v>Biaya Survey dan Analisa</v>
      </c>
      <c r="X10" s="4" t="str">
        <f>+VLOOKUP(U10,'FBCJ Jul-Des 2025'!$G$10:$P$1302,9,0)</f>
        <v>P206D1SLSS</v>
      </c>
      <c r="Y10" s="2" t="s">
        <v>43</v>
      </c>
      <c r="Z10" s="2">
        <v>1495275</v>
      </c>
      <c r="AA10" s="2">
        <v>20250707</v>
      </c>
      <c r="AB10" s="3">
        <v>150000</v>
      </c>
    </row>
    <row r="11" spans="1:28" x14ac:dyDescent="0.25">
      <c r="C11" s="2">
        <v>10000001</v>
      </c>
      <c r="D11" s="2" t="s">
        <v>39</v>
      </c>
      <c r="F11" s="2">
        <v>12005325</v>
      </c>
      <c r="H11" s="2" t="s">
        <v>39</v>
      </c>
      <c r="I11" s="2" t="str">
        <f t="shared" si="0"/>
        <v>07</v>
      </c>
      <c r="J11" s="2">
        <v>50</v>
      </c>
      <c r="K11" s="3">
        <v>-100000</v>
      </c>
      <c r="L11" s="2" t="s">
        <v>26</v>
      </c>
      <c r="M11" s="3">
        <v>-100000</v>
      </c>
      <c r="N11" s="2" t="s">
        <v>26</v>
      </c>
      <c r="R11" s="2" t="s">
        <v>27</v>
      </c>
      <c r="S11" s="2" t="s">
        <v>44</v>
      </c>
      <c r="T11" s="2" t="s">
        <v>45</v>
      </c>
      <c r="U11" s="2" t="s">
        <v>49</v>
      </c>
      <c r="V11" s="4">
        <f>+VLOOKUP(U11,'FBCJ Jul-Des 2025'!$G$10:$P$1302,8,0)</f>
        <v>70009110</v>
      </c>
      <c r="W11" s="4" t="str">
        <f>+VLOOKUP(V11,Sheet1!$A$2:$B$27,2,0)</f>
        <v>Biaya Survey dan Analisa</v>
      </c>
      <c r="X11" s="4" t="str">
        <f>+VLOOKUP(U11,'FBCJ Jul-Des 2025'!$G$10:$P$1302,9,0)</f>
        <v>C206D1SLSS</v>
      </c>
      <c r="Y11" s="2" t="s">
        <v>43</v>
      </c>
      <c r="Z11" s="2">
        <v>1495275</v>
      </c>
      <c r="AA11" s="2">
        <v>20250707</v>
      </c>
      <c r="AB11" s="3">
        <v>100000</v>
      </c>
    </row>
    <row r="12" spans="1:28" x14ac:dyDescent="0.25">
      <c r="C12" s="2">
        <v>10000001</v>
      </c>
      <c r="D12" s="2" t="s">
        <v>39</v>
      </c>
      <c r="F12" s="2">
        <v>12005326</v>
      </c>
      <c r="H12" s="2" t="s">
        <v>39</v>
      </c>
      <c r="I12" s="2" t="str">
        <f t="shared" si="0"/>
        <v>07</v>
      </c>
      <c r="J12" s="2">
        <v>50</v>
      </c>
      <c r="K12" s="3">
        <v>-100000</v>
      </c>
      <c r="L12" s="2" t="s">
        <v>26</v>
      </c>
      <c r="M12" s="3">
        <v>-100000</v>
      </c>
      <c r="N12" s="2" t="s">
        <v>26</v>
      </c>
      <c r="R12" s="2" t="s">
        <v>27</v>
      </c>
      <c r="S12" s="2" t="s">
        <v>44</v>
      </c>
      <c r="T12" s="2" t="s">
        <v>45</v>
      </c>
      <c r="U12" s="2" t="s">
        <v>50</v>
      </c>
      <c r="V12" s="4">
        <f>+VLOOKUP(U12,'FBCJ Jul-Des 2025'!$G$10:$P$1302,8,0)</f>
        <v>70009110</v>
      </c>
      <c r="W12" s="4" t="str">
        <f>+VLOOKUP(V12,Sheet1!$A$2:$B$27,2,0)</f>
        <v>Biaya Survey dan Analisa</v>
      </c>
      <c r="X12" s="4" t="str">
        <f>+VLOOKUP(U12,'FBCJ Jul-Des 2025'!$G$10:$P$1302,9,0)</f>
        <v>P206D1SLSS</v>
      </c>
      <c r="Y12" s="2" t="s">
        <v>43</v>
      </c>
      <c r="Z12" s="2">
        <v>1495275</v>
      </c>
      <c r="AA12" s="2">
        <v>20250707</v>
      </c>
      <c r="AB12" s="3">
        <v>100000</v>
      </c>
    </row>
    <row r="13" spans="1:28" x14ac:dyDescent="0.25">
      <c r="C13" s="2">
        <v>10000001</v>
      </c>
      <c r="D13" s="2" t="s">
        <v>39</v>
      </c>
      <c r="F13" s="2">
        <v>12005327</v>
      </c>
      <c r="H13" s="2" t="s">
        <v>39</v>
      </c>
      <c r="I13" s="2" t="str">
        <f t="shared" si="0"/>
        <v>07</v>
      </c>
      <c r="J13" s="2">
        <v>50</v>
      </c>
      <c r="K13" s="3">
        <v>-100000</v>
      </c>
      <c r="L13" s="2" t="s">
        <v>26</v>
      </c>
      <c r="M13" s="3">
        <v>-100000</v>
      </c>
      <c r="N13" s="2" t="s">
        <v>26</v>
      </c>
      <c r="R13" s="2" t="s">
        <v>27</v>
      </c>
      <c r="S13" s="2" t="s">
        <v>44</v>
      </c>
      <c r="T13" s="2" t="s">
        <v>45</v>
      </c>
      <c r="U13" s="2" t="s">
        <v>51</v>
      </c>
      <c r="V13" s="4">
        <f>+VLOOKUP(U13,'FBCJ Jul-Des 2025'!$G$10:$P$1302,8,0)</f>
        <v>70009110</v>
      </c>
      <c r="W13" s="4" t="str">
        <f>+VLOOKUP(V13,Sheet1!$A$2:$B$27,2,0)</f>
        <v>Biaya Survey dan Analisa</v>
      </c>
      <c r="X13" s="4" t="str">
        <f>+VLOOKUP(U13,'FBCJ Jul-Des 2025'!$G$10:$P$1302,9,0)</f>
        <v>P206D1SLSS</v>
      </c>
      <c r="Y13" s="2" t="s">
        <v>43</v>
      </c>
      <c r="Z13" s="2">
        <v>1495275</v>
      </c>
      <c r="AA13" s="2">
        <v>20250707</v>
      </c>
      <c r="AB13" s="3">
        <v>100000</v>
      </c>
    </row>
    <row r="14" spans="1:28" x14ac:dyDescent="0.25">
      <c r="C14" s="2">
        <v>10000001</v>
      </c>
      <c r="D14" s="2" t="s">
        <v>39</v>
      </c>
      <c r="F14" s="2">
        <v>12005328</v>
      </c>
      <c r="H14" s="2" t="s">
        <v>39</v>
      </c>
      <c r="I14" s="2" t="str">
        <f t="shared" si="0"/>
        <v>07</v>
      </c>
      <c r="J14" s="2">
        <v>50</v>
      </c>
      <c r="K14" s="3">
        <v>-100000</v>
      </c>
      <c r="L14" s="2" t="s">
        <v>26</v>
      </c>
      <c r="M14" s="3">
        <v>-100000</v>
      </c>
      <c r="N14" s="2" t="s">
        <v>26</v>
      </c>
      <c r="R14" s="2" t="s">
        <v>27</v>
      </c>
      <c r="S14" s="2" t="s">
        <v>44</v>
      </c>
      <c r="T14" s="2" t="s">
        <v>45</v>
      </c>
      <c r="U14" s="2" t="s">
        <v>52</v>
      </c>
      <c r="V14" s="4">
        <f>+VLOOKUP(U14,'FBCJ Jul-Des 2025'!$G$10:$P$1302,8,0)</f>
        <v>70009110</v>
      </c>
      <c r="W14" s="4" t="str">
        <f>+VLOOKUP(V14,Sheet1!$A$2:$B$27,2,0)</f>
        <v>Biaya Survey dan Analisa</v>
      </c>
      <c r="X14" s="4" t="str">
        <f>+VLOOKUP(U14,'FBCJ Jul-Des 2025'!$G$10:$P$1302,9,0)</f>
        <v>C206D1SLSS</v>
      </c>
      <c r="Y14" s="2" t="s">
        <v>43</v>
      </c>
      <c r="Z14" s="2">
        <v>1495275</v>
      </c>
      <c r="AA14" s="2">
        <v>20250707</v>
      </c>
      <c r="AB14" s="3">
        <v>100000</v>
      </c>
    </row>
    <row r="15" spans="1:28" x14ac:dyDescent="0.25">
      <c r="C15" s="2">
        <v>10000001</v>
      </c>
      <c r="D15" s="2" t="s">
        <v>39</v>
      </c>
      <c r="F15" s="2">
        <v>12005329</v>
      </c>
      <c r="H15" s="2" t="s">
        <v>39</v>
      </c>
      <c r="I15" s="2" t="str">
        <f t="shared" si="0"/>
        <v>07</v>
      </c>
      <c r="J15" s="2">
        <v>50</v>
      </c>
      <c r="K15" s="3">
        <v>-100000</v>
      </c>
      <c r="L15" s="2" t="s">
        <v>26</v>
      </c>
      <c r="M15" s="3">
        <v>-100000</v>
      </c>
      <c r="N15" s="2" t="s">
        <v>26</v>
      </c>
      <c r="R15" s="2" t="s">
        <v>27</v>
      </c>
      <c r="S15" s="2" t="s">
        <v>44</v>
      </c>
      <c r="T15" s="2" t="s">
        <v>45</v>
      </c>
      <c r="U15" s="2" t="s">
        <v>53</v>
      </c>
      <c r="V15" s="4">
        <f>+VLOOKUP(U15,'FBCJ Jul-Des 2025'!$G$10:$P$1302,8,0)</f>
        <v>70009110</v>
      </c>
      <c r="W15" s="4" t="str">
        <f>+VLOOKUP(V15,Sheet1!$A$2:$B$27,2,0)</f>
        <v>Biaya Survey dan Analisa</v>
      </c>
      <c r="X15" s="4" t="str">
        <f>+VLOOKUP(U15,'FBCJ Jul-Des 2025'!$G$10:$P$1302,9,0)</f>
        <v>P206D1SLSS</v>
      </c>
      <c r="Y15" s="2" t="s">
        <v>43</v>
      </c>
      <c r="Z15" s="2">
        <v>1495275</v>
      </c>
      <c r="AA15" s="2">
        <v>20250707</v>
      </c>
      <c r="AB15" s="3">
        <v>100000</v>
      </c>
    </row>
    <row r="16" spans="1:28" x14ac:dyDescent="0.25">
      <c r="C16" s="2">
        <v>10000001</v>
      </c>
      <c r="D16" s="2" t="s">
        <v>39</v>
      </c>
      <c r="F16" s="2">
        <v>12005330</v>
      </c>
      <c r="H16" s="2" t="s">
        <v>39</v>
      </c>
      <c r="I16" s="2" t="str">
        <f t="shared" si="0"/>
        <v>07</v>
      </c>
      <c r="J16" s="2">
        <v>50</v>
      </c>
      <c r="K16" s="3">
        <v>-100000</v>
      </c>
      <c r="L16" s="2" t="s">
        <v>26</v>
      </c>
      <c r="M16" s="3">
        <v>-100000</v>
      </c>
      <c r="N16" s="2" t="s">
        <v>26</v>
      </c>
      <c r="R16" s="2" t="s">
        <v>27</v>
      </c>
      <c r="S16" s="2" t="s">
        <v>44</v>
      </c>
      <c r="T16" s="2" t="s">
        <v>45</v>
      </c>
      <c r="U16" s="2" t="s">
        <v>54</v>
      </c>
      <c r="V16" s="4">
        <f>+VLOOKUP(U16,'FBCJ Jul-Des 2025'!$G$10:$P$1302,8,0)</f>
        <v>70009110</v>
      </c>
      <c r="W16" s="4" t="str">
        <f>+VLOOKUP(V16,Sheet1!$A$2:$B$27,2,0)</f>
        <v>Biaya Survey dan Analisa</v>
      </c>
      <c r="X16" s="4" t="str">
        <f>+VLOOKUP(U16,'FBCJ Jul-Des 2025'!$G$10:$P$1302,9,0)</f>
        <v>P206D1SLSS</v>
      </c>
      <c r="Y16" s="2" t="s">
        <v>43</v>
      </c>
      <c r="Z16" s="2">
        <v>1495275</v>
      </c>
      <c r="AA16" s="2">
        <v>20250707</v>
      </c>
      <c r="AB16" s="3">
        <v>100000</v>
      </c>
    </row>
    <row r="17" spans="3:28" x14ac:dyDescent="0.25">
      <c r="C17" s="2">
        <v>10000001</v>
      </c>
      <c r="D17" s="2" t="s">
        <v>39</v>
      </c>
      <c r="F17" s="2">
        <v>12005331</v>
      </c>
      <c r="H17" s="2" t="s">
        <v>39</v>
      </c>
      <c r="I17" s="2" t="str">
        <f t="shared" si="0"/>
        <v>07</v>
      </c>
      <c r="J17" s="2">
        <v>50</v>
      </c>
      <c r="K17" s="3">
        <v>-50000</v>
      </c>
      <c r="L17" s="2" t="s">
        <v>26</v>
      </c>
      <c r="M17" s="3">
        <v>-50000</v>
      </c>
      <c r="N17" s="2" t="s">
        <v>26</v>
      </c>
      <c r="R17" s="2" t="s">
        <v>27</v>
      </c>
      <c r="S17" s="2" t="s">
        <v>44</v>
      </c>
      <c r="T17" s="2" t="s">
        <v>45</v>
      </c>
      <c r="U17" s="2" t="s">
        <v>55</v>
      </c>
      <c r="V17" s="4">
        <f>+VLOOKUP(U17,'FBCJ Jul-Des 2025'!$G$10:$P$1302,8,0)</f>
        <v>70009110</v>
      </c>
      <c r="W17" s="4" t="str">
        <f>+VLOOKUP(V17,Sheet1!$A$2:$B$27,2,0)</f>
        <v>Biaya Survey dan Analisa</v>
      </c>
      <c r="X17" s="4" t="str">
        <f>+VLOOKUP(U17,'FBCJ Jul-Des 2025'!$G$10:$P$1302,9,0)</f>
        <v>P206D1SLSS</v>
      </c>
      <c r="Y17" s="2" t="s">
        <v>43</v>
      </c>
      <c r="Z17" s="2">
        <v>1495275</v>
      </c>
      <c r="AA17" s="2">
        <v>20250707</v>
      </c>
      <c r="AB17" s="3">
        <v>50000</v>
      </c>
    </row>
    <row r="18" spans="3:28" x14ac:dyDescent="0.25">
      <c r="C18" s="2">
        <v>10000001</v>
      </c>
      <c r="D18" s="2" t="s">
        <v>39</v>
      </c>
      <c r="F18" s="2">
        <v>12005332</v>
      </c>
      <c r="H18" s="2" t="s">
        <v>39</v>
      </c>
      <c r="I18" s="2" t="str">
        <f t="shared" si="0"/>
        <v>07</v>
      </c>
      <c r="J18" s="2">
        <v>50</v>
      </c>
      <c r="K18" s="3">
        <v>-940000</v>
      </c>
      <c r="L18" s="2" t="s">
        <v>26</v>
      </c>
      <c r="M18" s="3">
        <v>-940000</v>
      </c>
      <c r="N18" s="2" t="s">
        <v>26</v>
      </c>
      <c r="R18" s="2" t="s">
        <v>27</v>
      </c>
      <c r="S18" s="2" t="s">
        <v>56</v>
      </c>
      <c r="T18" s="2" t="s">
        <v>57</v>
      </c>
      <c r="U18" s="2" t="s">
        <v>58</v>
      </c>
      <c r="V18" s="4">
        <f>+VLOOKUP(U18,'FBCJ Jul-Des 2025'!$G$10:$P$1302,8,0)</f>
        <v>70101202</v>
      </c>
      <c r="W18" s="4" t="str">
        <f>+VLOOKUP(V18,Sheet1!$A$2:$B$27,2,0)</f>
        <v>By Pemeliharaan Kend,ABerat,Mesin-Material Pihak3</v>
      </c>
      <c r="X18" s="4" t="str">
        <f>+VLOOKUP(U18,'FBCJ Jul-Des 2025'!$G$10:$P$1302,9,0)</f>
        <v>R124NSS</v>
      </c>
      <c r="Y18" s="2" t="s">
        <v>43</v>
      </c>
      <c r="Z18" s="2">
        <v>1495275</v>
      </c>
      <c r="AA18" s="2">
        <v>20250707</v>
      </c>
      <c r="AB18" s="3">
        <v>940000</v>
      </c>
    </row>
    <row r="19" spans="3:28" x14ac:dyDescent="0.25">
      <c r="C19" s="2">
        <v>10000001</v>
      </c>
      <c r="D19" s="2" t="s">
        <v>39</v>
      </c>
      <c r="F19" s="2">
        <v>12005333</v>
      </c>
      <c r="H19" s="2" t="s">
        <v>39</v>
      </c>
      <c r="I19" s="2" t="str">
        <f t="shared" si="0"/>
        <v>07</v>
      </c>
      <c r="J19" s="2">
        <v>50</v>
      </c>
      <c r="K19" s="3">
        <v>-50000</v>
      </c>
      <c r="L19" s="2" t="s">
        <v>26</v>
      </c>
      <c r="M19" s="3">
        <v>-50000</v>
      </c>
      <c r="N19" s="2" t="s">
        <v>26</v>
      </c>
      <c r="R19" s="2" t="s">
        <v>27</v>
      </c>
      <c r="S19" s="2" t="s">
        <v>56</v>
      </c>
      <c r="T19" s="2" t="s">
        <v>59</v>
      </c>
      <c r="U19" s="2" t="s">
        <v>60</v>
      </c>
      <c r="V19" s="4">
        <f>+VLOOKUP(U19,'FBCJ Jul-Des 2025'!$G$10:$P$1302,8,0)</f>
        <v>70101114</v>
      </c>
      <c r="W19" s="4" t="str">
        <f>+VLOOKUP(V19,Sheet1!$A$2:$B$27,2,0)</f>
        <v>By Perbaikan &amp; Perawatan Perabot Material Pihak3</v>
      </c>
      <c r="X19" s="4" t="str">
        <f>+VLOOKUP(U19,'FBCJ Jul-Des 2025'!$G$10:$P$1302,9,0)</f>
        <v>R124NSS</v>
      </c>
      <c r="Y19" s="2" t="s">
        <v>43</v>
      </c>
      <c r="Z19" s="2">
        <v>1495275</v>
      </c>
      <c r="AA19" s="2">
        <v>20250707</v>
      </c>
      <c r="AB19" s="3">
        <v>50000</v>
      </c>
    </row>
    <row r="20" spans="3:28" x14ac:dyDescent="0.25">
      <c r="C20" s="2">
        <v>10000001</v>
      </c>
      <c r="D20" s="2" t="s">
        <v>39</v>
      </c>
      <c r="F20" s="2">
        <v>12005334</v>
      </c>
      <c r="H20" s="2" t="s">
        <v>39</v>
      </c>
      <c r="I20" s="2" t="str">
        <f t="shared" si="0"/>
        <v>07</v>
      </c>
      <c r="J20" s="2">
        <v>50</v>
      </c>
      <c r="K20" s="3">
        <v>-110008</v>
      </c>
      <c r="L20" s="2" t="s">
        <v>26</v>
      </c>
      <c r="M20" s="3">
        <v>-110008</v>
      </c>
      <c r="N20" s="2" t="s">
        <v>26</v>
      </c>
      <c r="R20" s="2" t="s">
        <v>27</v>
      </c>
      <c r="S20" s="2" t="s">
        <v>61</v>
      </c>
      <c r="T20" s="2" t="s">
        <v>57</v>
      </c>
      <c r="U20" s="2" t="s">
        <v>62</v>
      </c>
      <c r="V20" s="4">
        <f>+VLOOKUP(U20,'FBCJ Jul-Des 2025'!$G$10:$P$1302,8,0)</f>
        <v>70101202</v>
      </c>
      <c r="W20" s="4" t="str">
        <f>+VLOOKUP(V20,Sheet1!$A$2:$B$27,2,0)</f>
        <v>By Pemeliharaan Kend,ABerat,Mesin-Material Pihak3</v>
      </c>
      <c r="X20" s="4" t="str">
        <f>+VLOOKUP(U20,'FBCJ Jul-Des 2025'!$G$10:$P$1302,9,0)</f>
        <v>R124MMP</v>
      </c>
      <c r="Y20" s="2" t="s">
        <v>43</v>
      </c>
      <c r="Z20" s="2">
        <v>1495275</v>
      </c>
      <c r="AA20" s="2">
        <v>20250707</v>
      </c>
      <c r="AB20" s="3">
        <v>110008</v>
      </c>
    </row>
    <row r="21" spans="3:28" x14ac:dyDescent="0.25">
      <c r="C21" s="2">
        <v>10000001</v>
      </c>
      <c r="D21" s="2" t="s">
        <v>39</v>
      </c>
      <c r="F21" s="2">
        <v>12005335</v>
      </c>
      <c r="H21" s="2" t="s">
        <v>39</v>
      </c>
      <c r="I21" s="2" t="str">
        <f t="shared" si="0"/>
        <v>07</v>
      </c>
      <c r="J21" s="2">
        <v>50</v>
      </c>
      <c r="K21" s="3">
        <v>-72000</v>
      </c>
      <c r="L21" s="2" t="s">
        <v>26</v>
      </c>
      <c r="M21" s="3">
        <v>-72000</v>
      </c>
      <c r="N21" s="2" t="s">
        <v>26</v>
      </c>
      <c r="R21" s="2" t="s">
        <v>27</v>
      </c>
      <c r="S21" s="2" t="s">
        <v>63</v>
      </c>
      <c r="T21" s="2" t="s">
        <v>64</v>
      </c>
      <c r="U21" s="2" t="s">
        <v>65</v>
      </c>
      <c r="V21" s="4">
        <f>+VLOOKUP(U21,'FBCJ Jul-Des 2025'!$G$10:$P$1302,8,0)</f>
        <v>70108110</v>
      </c>
      <c r="W21" s="4" t="str">
        <f>+VLOOKUP(V21,Sheet1!$A$2:$B$27,2,0)</f>
        <v>Biaya  Fotocopy</v>
      </c>
      <c r="X21" s="4" t="str">
        <f>+VLOOKUP(U21,'FBCJ Jul-Des 2025'!$G$10:$P$1302,9,0)</f>
        <v>R124QMR</v>
      </c>
      <c r="Y21" s="2" t="s">
        <v>43</v>
      </c>
      <c r="Z21" s="2">
        <v>1495275</v>
      </c>
      <c r="AA21" s="2">
        <v>20250707</v>
      </c>
      <c r="AB21" s="3">
        <v>72000</v>
      </c>
    </row>
    <row r="22" spans="3:28" x14ac:dyDescent="0.25">
      <c r="C22" s="2">
        <v>10000001</v>
      </c>
      <c r="D22" s="2" t="s">
        <v>39</v>
      </c>
      <c r="F22" s="2">
        <v>12005336</v>
      </c>
      <c r="H22" s="2" t="s">
        <v>39</v>
      </c>
      <c r="I22" s="2" t="str">
        <f t="shared" si="0"/>
        <v>07</v>
      </c>
      <c r="J22" s="2">
        <v>50</v>
      </c>
      <c r="K22" s="3">
        <v>-210000</v>
      </c>
      <c r="L22" s="2" t="s">
        <v>26</v>
      </c>
      <c r="M22" s="3">
        <v>-210000</v>
      </c>
      <c r="N22" s="2" t="s">
        <v>26</v>
      </c>
      <c r="R22" s="2" t="s">
        <v>27</v>
      </c>
      <c r="S22" s="2" t="s">
        <v>66</v>
      </c>
      <c r="T22" s="2" t="s">
        <v>67</v>
      </c>
      <c r="U22" s="2" t="s">
        <v>68</v>
      </c>
      <c r="V22" s="4">
        <f>+VLOOKUP(U22,'FBCJ Jul-Des 2025'!$G$10:$P$1302,8,0)</f>
        <v>70106100</v>
      </c>
      <c r="W22" s="4" t="str">
        <f>+VLOOKUP(V22,Sheet1!$A$2:$B$27,2,0)</f>
        <v>Biaya Transportasi Lokal</v>
      </c>
      <c r="X22" s="4" t="str">
        <f>+VLOOKUP(U22,'FBCJ Jul-Des 2025'!$G$10:$P$1302,9,0)</f>
        <v>P206D1SLSS</v>
      </c>
      <c r="Y22" s="2" t="s">
        <v>43</v>
      </c>
      <c r="Z22" s="2">
        <v>1495275</v>
      </c>
      <c r="AA22" s="2">
        <v>20250707</v>
      </c>
      <c r="AB22" s="3">
        <v>210000</v>
      </c>
    </row>
    <row r="23" spans="3:28" x14ac:dyDescent="0.25">
      <c r="C23" s="2">
        <v>10000001</v>
      </c>
      <c r="D23" s="2" t="s">
        <v>39</v>
      </c>
      <c r="F23" s="2">
        <v>12005337</v>
      </c>
      <c r="H23" s="2" t="s">
        <v>39</v>
      </c>
      <c r="I23" s="2" t="str">
        <f t="shared" si="0"/>
        <v>07</v>
      </c>
      <c r="J23" s="2">
        <v>50</v>
      </c>
      <c r="K23" s="3">
        <v>-22000</v>
      </c>
      <c r="L23" s="2" t="s">
        <v>26</v>
      </c>
      <c r="M23" s="3">
        <v>-22000</v>
      </c>
      <c r="N23" s="2" t="s">
        <v>26</v>
      </c>
      <c r="R23" s="2" t="s">
        <v>27</v>
      </c>
      <c r="S23" s="2" t="s">
        <v>66</v>
      </c>
      <c r="T23" s="2" t="s">
        <v>64</v>
      </c>
      <c r="U23" s="2" t="s">
        <v>69</v>
      </c>
      <c r="V23" s="4">
        <f>+VLOOKUP(U23,'FBCJ Jul-Des 2025'!$G$10:$P$1302,8,0)</f>
        <v>70108110</v>
      </c>
      <c r="W23" s="4" t="str">
        <f>+VLOOKUP(V23,Sheet1!$A$2:$B$27,2,0)</f>
        <v>Biaya  Fotocopy</v>
      </c>
      <c r="X23" s="4" t="str">
        <f>+VLOOKUP(U23,'FBCJ Jul-Des 2025'!$G$10:$P$1302,9,0)</f>
        <v>P206D1SLSS</v>
      </c>
      <c r="Y23" s="2" t="s">
        <v>43</v>
      </c>
      <c r="Z23" s="2">
        <v>1495275</v>
      </c>
      <c r="AA23" s="2">
        <v>20250707</v>
      </c>
      <c r="AB23" s="3">
        <v>22000</v>
      </c>
    </row>
    <row r="24" spans="3:28" x14ac:dyDescent="0.25">
      <c r="C24" s="2">
        <v>10000001</v>
      </c>
      <c r="D24" s="2" t="s">
        <v>39</v>
      </c>
      <c r="F24" s="2">
        <v>12005338</v>
      </c>
      <c r="H24" s="2" t="s">
        <v>39</v>
      </c>
      <c r="I24" s="2" t="str">
        <f t="shared" si="0"/>
        <v>07</v>
      </c>
      <c r="J24" s="2">
        <v>50</v>
      </c>
      <c r="K24" s="3">
        <v>-980000</v>
      </c>
      <c r="L24" s="2" t="s">
        <v>26</v>
      </c>
      <c r="M24" s="3">
        <v>-980000</v>
      </c>
      <c r="N24" s="2" t="s">
        <v>26</v>
      </c>
      <c r="R24" s="2" t="s">
        <v>27</v>
      </c>
      <c r="S24" s="2" t="s">
        <v>70</v>
      </c>
      <c r="T24" s="2" t="s">
        <v>59</v>
      </c>
      <c r="U24" s="2" t="s">
        <v>71</v>
      </c>
      <c r="V24" s="4">
        <f>+VLOOKUP(U24,'FBCJ Jul-Des 2025'!$G$10:$P$1302,8,0)</f>
        <v>70101114</v>
      </c>
      <c r="W24" s="4" t="str">
        <f>+VLOOKUP(V24,Sheet1!$A$2:$B$27,2,0)</f>
        <v>By Perbaikan &amp; Perawatan Perabot Material Pihak3</v>
      </c>
      <c r="X24" s="4" t="str">
        <f>+VLOOKUP(U24,'FBCJ Jul-Des 2025'!$G$10:$P$1302,9,0)</f>
        <v>R124TCP</v>
      </c>
      <c r="Y24" s="2" t="s">
        <v>43</v>
      </c>
      <c r="Z24" s="2">
        <v>1495275</v>
      </c>
      <c r="AA24" s="2">
        <v>20250707</v>
      </c>
      <c r="AB24" s="3">
        <v>980000</v>
      </c>
    </row>
    <row r="25" spans="3:28" x14ac:dyDescent="0.25">
      <c r="C25" s="2">
        <v>10000001</v>
      </c>
      <c r="D25" s="2" t="s">
        <v>39</v>
      </c>
      <c r="F25" s="2">
        <v>12005339</v>
      </c>
      <c r="H25" s="2" t="s">
        <v>39</v>
      </c>
      <c r="I25" s="2" t="str">
        <f t="shared" si="0"/>
        <v>07</v>
      </c>
      <c r="J25" s="2">
        <v>50</v>
      </c>
      <c r="K25" s="3">
        <v>-243910</v>
      </c>
      <c r="L25" s="2" t="s">
        <v>26</v>
      </c>
      <c r="M25" s="3">
        <v>-243910</v>
      </c>
      <c r="N25" s="2" t="s">
        <v>26</v>
      </c>
      <c r="R25" s="2" t="s">
        <v>27</v>
      </c>
      <c r="S25" s="2" t="s">
        <v>72</v>
      </c>
      <c r="T25" s="2" t="s">
        <v>59</v>
      </c>
      <c r="U25" s="2" t="s">
        <v>73</v>
      </c>
      <c r="V25" s="4">
        <f>+VLOOKUP(U25,'FBCJ Jul-Des 2025'!$G$10:$P$1302,8,0)</f>
        <v>70101114</v>
      </c>
      <c r="W25" s="4" t="str">
        <f>+VLOOKUP(V25,Sheet1!$A$2:$B$27,2,0)</f>
        <v>By Perbaikan &amp; Perawatan Perabot Material Pihak3</v>
      </c>
      <c r="X25" s="4" t="str">
        <f>+VLOOKUP(U25,'FBCJ Jul-Des 2025'!$G$10:$P$1302,9,0)</f>
        <v>R124WHRS</v>
      </c>
      <c r="Y25" s="2" t="s">
        <v>43</v>
      </c>
      <c r="Z25" s="2">
        <v>1495275</v>
      </c>
      <c r="AA25" s="2">
        <v>20250707</v>
      </c>
      <c r="AB25" s="3">
        <v>243910</v>
      </c>
    </row>
    <row r="26" spans="3:28" x14ac:dyDescent="0.25">
      <c r="C26" s="2">
        <v>10000001</v>
      </c>
      <c r="D26" s="2" t="s">
        <v>39</v>
      </c>
      <c r="F26" s="2">
        <v>12005340</v>
      </c>
      <c r="H26" s="2" t="s">
        <v>39</v>
      </c>
      <c r="I26" s="2" t="str">
        <f t="shared" si="0"/>
        <v>07</v>
      </c>
      <c r="J26" s="2">
        <v>50</v>
      </c>
      <c r="K26" s="3">
        <v>-50000</v>
      </c>
      <c r="L26" s="2" t="s">
        <v>26</v>
      </c>
      <c r="M26" s="3">
        <v>-50000</v>
      </c>
      <c r="N26" s="2" t="s">
        <v>26</v>
      </c>
      <c r="R26" s="2" t="s">
        <v>27</v>
      </c>
      <c r="S26" s="2" t="s">
        <v>74</v>
      </c>
      <c r="T26" s="2" t="s">
        <v>45</v>
      </c>
      <c r="U26" s="2" t="s">
        <v>75</v>
      </c>
      <c r="V26" s="4">
        <f>+VLOOKUP(U26,'FBCJ Jul-Des 2025'!$G$10:$P$1302,8,0)</f>
        <v>70009110</v>
      </c>
      <c r="W26" s="4" t="str">
        <f>+VLOOKUP(V26,Sheet1!$A$2:$B$27,2,0)</f>
        <v>Biaya Survey dan Analisa</v>
      </c>
      <c r="X26" s="4" t="str">
        <f>+VLOOKUP(U26,'FBCJ Jul-Des 2025'!$G$10:$P$1302,9,0)</f>
        <v>P206D1SLSS</v>
      </c>
      <c r="Y26" s="2" t="s">
        <v>43</v>
      </c>
      <c r="Z26" s="2">
        <v>1495275</v>
      </c>
      <c r="AA26" s="2">
        <v>20250707</v>
      </c>
      <c r="AB26" s="3">
        <v>50000</v>
      </c>
    </row>
    <row r="27" spans="3:28" x14ac:dyDescent="0.25">
      <c r="C27" s="2">
        <v>10000001</v>
      </c>
      <c r="D27" s="2" t="s">
        <v>39</v>
      </c>
      <c r="F27" s="2">
        <v>12005341</v>
      </c>
      <c r="H27" s="2" t="s">
        <v>39</v>
      </c>
      <c r="I27" s="2" t="str">
        <f t="shared" si="0"/>
        <v>07</v>
      </c>
      <c r="J27" s="2">
        <v>50</v>
      </c>
      <c r="K27" s="3">
        <v>-50000</v>
      </c>
      <c r="L27" s="2" t="s">
        <v>26</v>
      </c>
      <c r="M27" s="3">
        <v>-50000</v>
      </c>
      <c r="N27" s="2" t="s">
        <v>26</v>
      </c>
      <c r="R27" s="2" t="s">
        <v>27</v>
      </c>
      <c r="S27" s="2" t="s">
        <v>74</v>
      </c>
      <c r="T27" s="2" t="s">
        <v>45</v>
      </c>
      <c r="U27" s="2" t="s">
        <v>76</v>
      </c>
      <c r="V27" s="4">
        <f>+VLOOKUP(U27,'FBCJ Jul-Des 2025'!$G$10:$P$1302,8,0)</f>
        <v>70009110</v>
      </c>
      <c r="W27" s="4" t="str">
        <f>+VLOOKUP(V27,Sheet1!$A$2:$B$27,2,0)</f>
        <v>Biaya Survey dan Analisa</v>
      </c>
      <c r="X27" s="4" t="str">
        <f>+VLOOKUP(U27,'FBCJ Jul-Des 2025'!$G$10:$P$1302,9,0)</f>
        <v>P206D1SLSS</v>
      </c>
      <c r="Y27" s="2" t="s">
        <v>43</v>
      </c>
      <c r="Z27" s="2">
        <v>1495275</v>
      </c>
      <c r="AA27" s="2">
        <v>20250707</v>
      </c>
      <c r="AB27" s="3">
        <v>50000</v>
      </c>
    </row>
    <row r="28" spans="3:28" x14ac:dyDescent="0.25">
      <c r="C28" s="2">
        <v>10000001</v>
      </c>
      <c r="D28" s="2" t="s">
        <v>39</v>
      </c>
      <c r="F28" s="2">
        <v>12005342</v>
      </c>
      <c r="H28" s="2" t="s">
        <v>39</v>
      </c>
      <c r="I28" s="2" t="str">
        <f t="shared" si="0"/>
        <v>07</v>
      </c>
      <c r="J28" s="2">
        <v>50</v>
      </c>
      <c r="K28" s="3">
        <v>-50000</v>
      </c>
      <c r="L28" s="2" t="s">
        <v>26</v>
      </c>
      <c r="M28" s="3">
        <v>-50000</v>
      </c>
      <c r="N28" s="2" t="s">
        <v>26</v>
      </c>
      <c r="R28" s="2" t="s">
        <v>27</v>
      </c>
      <c r="S28" s="2" t="s">
        <v>74</v>
      </c>
      <c r="T28" s="2" t="s">
        <v>45</v>
      </c>
      <c r="U28" s="2" t="s">
        <v>77</v>
      </c>
      <c r="V28" s="4">
        <f>+VLOOKUP(U28,'FBCJ Jul-Des 2025'!$G$10:$P$1302,8,0)</f>
        <v>70009110</v>
      </c>
      <c r="W28" s="4" t="str">
        <f>+VLOOKUP(V28,Sheet1!$A$2:$B$27,2,0)</f>
        <v>Biaya Survey dan Analisa</v>
      </c>
      <c r="X28" s="4" t="str">
        <f>+VLOOKUP(U28,'FBCJ Jul-Des 2025'!$G$10:$P$1302,9,0)</f>
        <v>P206D1SLSS</v>
      </c>
      <c r="Y28" s="2" t="s">
        <v>43</v>
      </c>
      <c r="Z28" s="2">
        <v>1495275</v>
      </c>
      <c r="AA28" s="2">
        <v>20250707</v>
      </c>
      <c r="AB28" s="3">
        <v>50000</v>
      </c>
    </row>
    <row r="29" spans="3:28" x14ac:dyDescent="0.25">
      <c r="C29" s="2">
        <v>10000001</v>
      </c>
      <c r="D29" s="2" t="s">
        <v>39</v>
      </c>
      <c r="F29" s="2">
        <v>12005343</v>
      </c>
      <c r="H29" s="2" t="s">
        <v>39</v>
      </c>
      <c r="I29" s="2" t="str">
        <f t="shared" si="0"/>
        <v>07</v>
      </c>
      <c r="J29" s="2">
        <v>50</v>
      </c>
      <c r="K29" s="3">
        <v>-50000</v>
      </c>
      <c r="L29" s="2" t="s">
        <v>26</v>
      </c>
      <c r="M29" s="3">
        <v>-50000</v>
      </c>
      <c r="N29" s="2" t="s">
        <v>26</v>
      </c>
      <c r="R29" s="2" t="s">
        <v>27</v>
      </c>
      <c r="S29" s="2" t="s">
        <v>74</v>
      </c>
      <c r="T29" s="2" t="s">
        <v>45</v>
      </c>
      <c r="U29" s="2" t="s">
        <v>78</v>
      </c>
      <c r="V29" s="4">
        <f>+VLOOKUP(U29,'FBCJ Jul-Des 2025'!$G$10:$P$1302,8,0)</f>
        <v>70009110</v>
      </c>
      <c r="W29" s="4" t="str">
        <f>+VLOOKUP(V29,Sheet1!$A$2:$B$27,2,0)</f>
        <v>Biaya Survey dan Analisa</v>
      </c>
      <c r="X29" s="4" t="str">
        <f>+VLOOKUP(U29,'FBCJ Jul-Des 2025'!$G$10:$P$1302,9,0)</f>
        <v>P206D1SLSS</v>
      </c>
      <c r="Y29" s="2" t="s">
        <v>43</v>
      </c>
      <c r="Z29" s="2">
        <v>1495275</v>
      </c>
      <c r="AA29" s="2">
        <v>20250707</v>
      </c>
      <c r="AB29" s="3">
        <v>50000</v>
      </c>
    </row>
    <row r="30" spans="3:28" x14ac:dyDescent="0.25">
      <c r="C30" s="2">
        <v>10000001</v>
      </c>
      <c r="D30" s="2" t="s">
        <v>39</v>
      </c>
      <c r="F30" s="2">
        <v>12005344</v>
      </c>
      <c r="H30" s="2" t="s">
        <v>39</v>
      </c>
      <c r="I30" s="2" t="str">
        <f t="shared" si="0"/>
        <v>07</v>
      </c>
      <c r="J30" s="2">
        <v>50</v>
      </c>
      <c r="K30" s="3">
        <v>-50000</v>
      </c>
      <c r="L30" s="2" t="s">
        <v>26</v>
      </c>
      <c r="M30" s="3">
        <v>-50000</v>
      </c>
      <c r="N30" s="2" t="s">
        <v>26</v>
      </c>
      <c r="R30" s="2" t="s">
        <v>27</v>
      </c>
      <c r="S30" s="2" t="s">
        <v>79</v>
      </c>
      <c r="T30" s="2" t="s">
        <v>45</v>
      </c>
      <c r="U30" s="2" t="s">
        <v>80</v>
      </c>
      <c r="V30" s="4">
        <f>+VLOOKUP(U30,'FBCJ Jul-Des 2025'!$G$10:$P$1302,8,0)</f>
        <v>70009110</v>
      </c>
      <c r="W30" s="4" t="str">
        <f>+VLOOKUP(V30,Sheet1!$A$2:$B$27,2,0)</f>
        <v>Biaya Survey dan Analisa</v>
      </c>
      <c r="X30" s="4" t="str">
        <f>+VLOOKUP(U30,'FBCJ Jul-Des 2025'!$G$10:$P$1302,9,0)</f>
        <v>M204D1COMM</v>
      </c>
      <c r="Y30" s="2" t="s">
        <v>43</v>
      </c>
      <c r="Z30" s="2">
        <v>1495275</v>
      </c>
      <c r="AA30" s="2">
        <v>20250707</v>
      </c>
      <c r="AB30" s="3">
        <v>50000</v>
      </c>
    </row>
    <row r="31" spans="3:28" x14ac:dyDescent="0.25">
      <c r="C31" s="2">
        <v>10000001</v>
      </c>
      <c r="D31" s="2" t="s">
        <v>39</v>
      </c>
      <c r="F31" s="2">
        <v>12005345</v>
      </c>
      <c r="H31" s="2" t="s">
        <v>39</v>
      </c>
      <c r="I31" s="2" t="str">
        <f t="shared" si="0"/>
        <v>07</v>
      </c>
      <c r="J31" s="2">
        <v>50</v>
      </c>
      <c r="K31" s="3">
        <v>-50000</v>
      </c>
      <c r="L31" s="2" t="s">
        <v>26</v>
      </c>
      <c r="M31" s="3">
        <v>-50000</v>
      </c>
      <c r="N31" s="2" t="s">
        <v>26</v>
      </c>
      <c r="R31" s="2" t="s">
        <v>27</v>
      </c>
      <c r="S31" s="2" t="s">
        <v>79</v>
      </c>
      <c r="T31" s="2" t="s">
        <v>45</v>
      </c>
      <c r="U31" s="2" t="s">
        <v>81</v>
      </c>
      <c r="V31" s="4">
        <f>+VLOOKUP(U31,'FBCJ Jul-Des 2025'!$G$10:$P$1302,8,0)</f>
        <v>70009110</v>
      </c>
      <c r="W31" s="4" t="str">
        <f>+VLOOKUP(V31,Sheet1!$A$2:$B$27,2,0)</f>
        <v>Biaya Survey dan Analisa</v>
      </c>
      <c r="X31" s="4" t="str">
        <f>+VLOOKUP(U31,'FBCJ Jul-Des 2025'!$G$10:$P$1302,9,0)</f>
        <v>M204D1COMM</v>
      </c>
      <c r="Y31" s="2" t="s">
        <v>43</v>
      </c>
      <c r="Z31" s="2">
        <v>1495275</v>
      </c>
      <c r="AA31" s="2">
        <v>20250707</v>
      </c>
      <c r="AB31" s="3">
        <v>50000</v>
      </c>
    </row>
    <row r="32" spans="3:28" x14ac:dyDescent="0.25">
      <c r="C32" s="2">
        <v>10000001</v>
      </c>
      <c r="D32" s="2" t="s">
        <v>39</v>
      </c>
      <c r="F32" s="2">
        <v>12005346</v>
      </c>
      <c r="H32" s="2" t="s">
        <v>39</v>
      </c>
      <c r="I32" s="2" t="str">
        <f t="shared" si="0"/>
        <v>07</v>
      </c>
      <c r="J32" s="2">
        <v>50</v>
      </c>
      <c r="K32" s="3">
        <v>-50000</v>
      </c>
      <c r="L32" s="2" t="s">
        <v>26</v>
      </c>
      <c r="M32" s="3">
        <v>-50000</v>
      </c>
      <c r="N32" s="2" t="s">
        <v>26</v>
      </c>
      <c r="R32" s="2" t="s">
        <v>27</v>
      </c>
      <c r="S32" s="2" t="s">
        <v>82</v>
      </c>
      <c r="T32" s="2" t="s">
        <v>45</v>
      </c>
      <c r="U32" s="2" t="s">
        <v>83</v>
      </c>
      <c r="V32" s="4">
        <f>+VLOOKUP(U32,'FBCJ Jul-Des 2025'!$G$10:$P$1302,8,0)</f>
        <v>70009110</v>
      </c>
      <c r="W32" s="4" t="str">
        <f>+VLOOKUP(V32,Sheet1!$A$2:$B$27,2,0)</f>
        <v>Biaya Survey dan Analisa</v>
      </c>
      <c r="X32" s="4" t="str">
        <f>+VLOOKUP(U32,'FBCJ Jul-Des 2025'!$G$10:$P$1302,9,0)</f>
        <v>P206D1SLSS</v>
      </c>
      <c r="Y32" s="2" t="s">
        <v>43</v>
      </c>
      <c r="Z32" s="2">
        <v>1495275</v>
      </c>
      <c r="AA32" s="2">
        <v>20250707</v>
      </c>
      <c r="AB32" s="3">
        <v>50000</v>
      </c>
    </row>
    <row r="33" spans="3:28" x14ac:dyDescent="0.25">
      <c r="C33" s="2">
        <v>10000001</v>
      </c>
      <c r="D33" s="2" t="s">
        <v>39</v>
      </c>
      <c r="F33" s="2">
        <v>12005347</v>
      </c>
      <c r="H33" s="2" t="s">
        <v>39</v>
      </c>
      <c r="I33" s="2" t="str">
        <f t="shared" si="0"/>
        <v>07</v>
      </c>
      <c r="J33" s="2">
        <v>50</v>
      </c>
      <c r="K33" s="3">
        <v>-50000</v>
      </c>
      <c r="L33" s="2" t="s">
        <v>26</v>
      </c>
      <c r="M33" s="3">
        <v>-50000</v>
      </c>
      <c r="N33" s="2" t="s">
        <v>26</v>
      </c>
      <c r="R33" s="2" t="s">
        <v>27</v>
      </c>
      <c r="S33" s="2" t="s">
        <v>82</v>
      </c>
      <c r="T33" s="2" t="s">
        <v>45</v>
      </c>
      <c r="U33" s="2" t="s">
        <v>84</v>
      </c>
      <c r="V33" s="4">
        <f>+VLOOKUP(U33,'FBCJ Jul-Des 2025'!$G$10:$P$1302,8,0)</f>
        <v>70009110</v>
      </c>
      <c r="W33" s="4" t="str">
        <f>+VLOOKUP(V33,Sheet1!$A$2:$B$27,2,0)</f>
        <v>Biaya Survey dan Analisa</v>
      </c>
      <c r="X33" s="4" t="str">
        <f>+VLOOKUP(U33,'FBCJ Jul-Des 2025'!$G$10:$P$1302,9,0)</f>
        <v>P206D1SLSS</v>
      </c>
      <c r="Y33" s="2" t="s">
        <v>43</v>
      </c>
      <c r="Z33" s="2">
        <v>1495275</v>
      </c>
      <c r="AA33" s="2">
        <v>20250707</v>
      </c>
      <c r="AB33" s="3">
        <v>50000</v>
      </c>
    </row>
    <row r="34" spans="3:28" x14ac:dyDescent="0.25">
      <c r="C34" s="2">
        <v>10000001</v>
      </c>
      <c r="D34" s="2" t="s">
        <v>85</v>
      </c>
      <c r="F34" s="2">
        <v>12005348</v>
      </c>
      <c r="H34" s="2" t="s">
        <v>85</v>
      </c>
      <c r="I34" s="2" t="str">
        <f t="shared" si="0"/>
        <v>07</v>
      </c>
      <c r="J34" s="2">
        <v>50</v>
      </c>
      <c r="K34" s="3">
        <v>-50000</v>
      </c>
      <c r="L34" s="2" t="s">
        <v>26</v>
      </c>
      <c r="M34" s="3">
        <v>-50000</v>
      </c>
      <c r="N34" s="2" t="s">
        <v>26</v>
      </c>
      <c r="R34" s="2" t="s">
        <v>27</v>
      </c>
      <c r="S34" s="2" t="s">
        <v>82</v>
      </c>
      <c r="T34" s="2" t="s">
        <v>45</v>
      </c>
      <c r="U34" s="2" t="s">
        <v>86</v>
      </c>
      <c r="V34" s="4">
        <f>+VLOOKUP(U34,'FBCJ Jul-Des 2025'!$G$10:$P$1302,8,0)</f>
        <v>70009110</v>
      </c>
      <c r="W34" s="4" t="str">
        <f>+VLOOKUP(V34,Sheet1!$A$2:$B$27,2,0)</f>
        <v>Biaya Survey dan Analisa</v>
      </c>
      <c r="X34" s="4" t="str">
        <f>+VLOOKUP(U34,'FBCJ Jul-Des 2025'!$G$10:$P$1302,9,0)</f>
        <v>P206D1SLSS</v>
      </c>
      <c r="Y34" s="2" t="s">
        <v>43</v>
      </c>
      <c r="Z34" s="2">
        <v>1495275</v>
      </c>
      <c r="AA34" s="2">
        <v>20250708</v>
      </c>
      <c r="AB34" s="3">
        <v>50000</v>
      </c>
    </row>
    <row r="35" spans="3:28" x14ac:dyDescent="0.25">
      <c r="C35" s="2">
        <v>10000001</v>
      </c>
      <c r="D35" s="2" t="s">
        <v>85</v>
      </c>
      <c r="F35" s="2">
        <v>12005349</v>
      </c>
      <c r="H35" s="2" t="s">
        <v>85</v>
      </c>
      <c r="I35" s="2" t="str">
        <f t="shared" si="0"/>
        <v>07</v>
      </c>
      <c r="J35" s="2">
        <v>50</v>
      </c>
      <c r="K35" s="3">
        <v>-50000</v>
      </c>
      <c r="L35" s="2" t="s">
        <v>26</v>
      </c>
      <c r="M35" s="3">
        <v>-50000</v>
      </c>
      <c r="N35" s="2" t="s">
        <v>26</v>
      </c>
      <c r="R35" s="2" t="s">
        <v>27</v>
      </c>
      <c r="S35" s="2" t="s">
        <v>82</v>
      </c>
      <c r="T35" s="2" t="s">
        <v>45</v>
      </c>
      <c r="U35" s="2" t="s">
        <v>87</v>
      </c>
      <c r="V35" s="4">
        <f>+VLOOKUP(U35,'FBCJ Jul-Des 2025'!$G$10:$P$1302,8,0)</f>
        <v>70009110</v>
      </c>
      <c r="W35" s="4" t="str">
        <f>+VLOOKUP(V35,Sheet1!$A$2:$B$27,2,0)</f>
        <v>Biaya Survey dan Analisa</v>
      </c>
      <c r="X35" s="4" t="str">
        <f>+VLOOKUP(U35,'FBCJ Jul-Des 2025'!$G$10:$P$1302,9,0)</f>
        <v>P206D1SLSS</v>
      </c>
      <c r="Y35" s="2" t="s">
        <v>43</v>
      </c>
      <c r="Z35" s="2">
        <v>1495275</v>
      </c>
      <c r="AA35" s="2">
        <v>20250708</v>
      </c>
      <c r="AB35" s="3">
        <v>50000</v>
      </c>
    </row>
    <row r="36" spans="3:28" x14ac:dyDescent="0.25">
      <c r="C36" s="2">
        <v>10000001</v>
      </c>
      <c r="D36" s="2" t="s">
        <v>85</v>
      </c>
      <c r="F36" s="2">
        <v>12005350</v>
      </c>
      <c r="H36" s="2" t="s">
        <v>85</v>
      </c>
      <c r="I36" s="2" t="str">
        <f t="shared" si="0"/>
        <v>07</v>
      </c>
      <c r="J36" s="2">
        <v>50</v>
      </c>
      <c r="K36" s="3">
        <v>-50000</v>
      </c>
      <c r="L36" s="2" t="s">
        <v>26</v>
      </c>
      <c r="M36" s="3">
        <v>-50000</v>
      </c>
      <c r="N36" s="2" t="s">
        <v>26</v>
      </c>
      <c r="R36" s="2" t="s">
        <v>27</v>
      </c>
      <c r="S36" s="2" t="s">
        <v>82</v>
      </c>
      <c r="T36" s="2" t="s">
        <v>45</v>
      </c>
      <c r="U36" s="2" t="s">
        <v>88</v>
      </c>
      <c r="V36" s="4">
        <f>+VLOOKUP(U36,'FBCJ Jul-Des 2025'!$G$10:$P$1302,8,0)</f>
        <v>70009110</v>
      </c>
      <c r="W36" s="4" t="str">
        <f>+VLOOKUP(V36,Sheet1!$A$2:$B$27,2,0)</f>
        <v>Biaya Survey dan Analisa</v>
      </c>
      <c r="X36" s="4" t="str">
        <f>+VLOOKUP(U36,'FBCJ Jul-Des 2025'!$G$10:$P$1302,9,0)</f>
        <v>P206D1SLSS</v>
      </c>
      <c r="Y36" s="2" t="s">
        <v>43</v>
      </c>
      <c r="Z36" s="2">
        <v>1495275</v>
      </c>
      <c r="AA36" s="2">
        <v>20250708</v>
      </c>
      <c r="AB36" s="3">
        <v>50000</v>
      </c>
    </row>
    <row r="37" spans="3:28" x14ac:dyDescent="0.25">
      <c r="C37" s="2">
        <v>10000001</v>
      </c>
      <c r="D37" s="2" t="s">
        <v>85</v>
      </c>
      <c r="F37" s="2">
        <v>12005351</v>
      </c>
      <c r="H37" s="2" t="s">
        <v>85</v>
      </c>
      <c r="I37" s="2" t="str">
        <f t="shared" si="0"/>
        <v>07</v>
      </c>
      <c r="J37" s="2">
        <v>50</v>
      </c>
      <c r="K37" s="3">
        <v>-50000</v>
      </c>
      <c r="L37" s="2" t="s">
        <v>26</v>
      </c>
      <c r="M37" s="3">
        <v>-50000</v>
      </c>
      <c r="N37" s="2" t="s">
        <v>26</v>
      </c>
      <c r="R37" s="2" t="s">
        <v>27</v>
      </c>
      <c r="S37" s="2" t="s">
        <v>82</v>
      </c>
      <c r="T37" s="2" t="s">
        <v>45</v>
      </c>
      <c r="U37" s="2" t="s">
        <v>89</v>
      </c>
      <c r="V37" s="4">
        <f>+VLOOKUP(U37,'FBCJ Jul-Des 2025'!$G$10:$P$1302,8,0)</f>
        <v>70009110</v>
      </c>
      <c r="W37" s="4" t="str">
        <f>+VLOOKUP(V37,Sheet1!$A$2:$B$27,2,0)</f>
        <v>Biaya Survey dan Analisa</v>
      </c>
      <c r="X37" s="4" t="str">
        <f>+VLOOKUP(U37,'FBCJ Jul-Des 2025'!$G$10:$P$1302,9,0)</f>
        <v>P206D1SLSS</v>
      </c>
      <c r="Y37" s="2" t="s">
        <v>43</v>
      </c>
      <c r="Z37" s="2">
        <v>1495275</v>
      </c>
      <c r="AA37" s="2">
        <v>20250708</v>
      </c>
      <c r="AB37" s="3">
        <v>50000</v>
      </c>
    </row>
    <row r="38" spans="3:28" x14ac:dyDescent="0.25">
      <c r="C38" s="2">
        <v>10000001</v>
      </c>
      <c r="D38" s="2" t="s">
        <v>85</v>
      </c>
      <c r="F38" s="2">
        <v>12005352</v>
      </c>
      <c r="H38" s="2" t="s">
        <v>85</v>
      </c>
      <c r="I38" s="2" t="str">
        <f t="shared" si="0"/>
        <v>07</v>
      </c>
      <c r="J38" s="2">
        <v>50</v>
      </c>
      <c r="K38" s="3">
        <v>-50000</v>
      </c>
      <c r="L38" s="2" t="s">
        <v>26</v>
      </c>
      <c r="M38" s="3">
        <v>-50000</v>
      </c>
      <c r="N38" s="2" t="s">
        <v>26</v>
      </c>
      <c r="R38" s="2" t="s">
        <v>27</v>
      </c>
      <c r="S38" s="2" t="s">
        <v>82</v>
      </c>
      <c r="T38" s="2" t="s">
        <v>45</v>
      </c>
      <c r="U38" s="2" t="s">
        <v>90</v>
      </c>
      <c r="V38" s="4">
        <f>+VLOOKUP(U38,'FBCJ Jul-Des 2025'!$G$10:$P$1302,8,0)</f>
        <v>70009110</v>
      </c>
      <c r="W38" s="4" t="str">
        <f>+VLOOKUP(V38,Sheet1!$A$2:$B$27,2,0)</f>
        <v>Biaya Survey dan Analisa</v>
      </c>
      <c r="X38" s="4" t="str">
        <f>+VLOOKUP(U38,'FBCJ Jul-Des 2025'!$G$10:$P$1302,9,0)</f>
        <v>P206D1SLSS</v>
      </c>
      <c r="Y38" s="2" t="s">
        <v>43</v>
      </c>
      <c r="Z38" s="2">
        <v>1495275</v>
      </c>
      <c r="AA38" s="2">
        <v>20250708</v>
      </c>
      <c r="AB38" s="3">
        <v>50000</v>
      </c>
    </row>
    <row r="39" spans="3:28" x14ac:dyDescent="0.25">
      <c r="C39" s="2">
        <v>10000001</v>
      </c>
      <c r="D39" s="2" t="s">
        <v>85</v>
      </c>
      <c r="F39" s="2">
        <v>12005353</v>
      </c>
      <c r="H39" s="2" t="s">
        <v>85</v>
      </c>
      <c r="I39" s="2" t="str">
        <f t="shared" si="0"/>
        <v>07</v>
      </c>
      <c r="J39" s="2">
        <v>50</v>
      </c>
      <c r="K39" s="3">
        <v>-50000</v>
      </c>
      <c r="L39" s="2" t="s">
        <v>26</v>
      </c>
      <c r="M39" s="3">
        <v>-50000</v>
      </c>
      <c r="N39" s="2" t="s">
        <v>26</v>
      </c>
      <c r="R39" s="2" t="s">
        <v>27</v>
      </c>
      <c r="S39" s="2" t="s">
        <v>82</v>
      </c>
      <c r="T39" s="2" t="s">
        <v>45</v>
      </c>
      <c r="U39" s="2" t="s">
        <v>91</v>
      </c>
      <c r="V39" s="4">
        <f>+VLOOKUP(U39,'FBCJ Jul-Des 2025'!$G$10:$P$1302,8,0)</f>
        <v>70009110</v>
      </c>
      <c r="W39" s="4" t="str">
        <f>+VLOOKUP(V39,Sheet1!$A$2:$B$27,2,0)</f>
        <v>Biaya Survey dan Analisa</v>
      </c>
      <c r="X39" s="4" t="str">
        <f>+VLOOKUP(U39,'FBCJ Jul-Des 2025'!$G$10:$P$1302,9,0)</f>
        <v>P206D1SLSS</v>
      </c>
      <c r="Y39" s="2" t="s">
        <v>43</v>
      </c>
      <c r="Z39" s="2">
        <v>1495275</v>
      </c>
      <c r="AA39" s="2">
        <v>20250708</v>
      </c>
      <c r="AB39" s="3">
        <v>50000</v>
      </c>
    </row>
    <row r="40" spans="3:28" x14ac:dyDescent="0.25">
      <c r="C40" s="2">
        <v>10000001</v>
      </c>
      <c r="D40" s="2" t="s">
        <v>85</v>
      </c>
      <c r="F40" s="2">
        <v>12005354</v>
      </c>
      <c r="H40" s="2" t="s">
        <v>85</v>
      </c>
      <c r="I40" s="2" t="str">
        <f t="shared" si="0"/>
        <v>07</v>
      </c>
      <c r="J40" s="2">
        <v>50</v>
      </c>
      <c r="K40" s="3">
        <v>-50000</v>
      </c>
      <c r="L40" s="2" t="s">
        <v>26</v>
      </c>
      <c r="M40" s="3">
        <v>-50000</v>
      </c>
      <c r="N40" s="2" t="s">
        <v>26</v>
      </c>
      <c r="R40" s="2" t="s">
        <v>27</v>
      </c>
      <c r="S40" s="2" t="s">
        <v>92</v>
      </c>
      <c r="T40" s="2" t="s">
        <v>45</v>
      </c>
      <c r="U40" s="2" t="s">
        <v>93</v>
      </c>
      <c r="V40" s="4">
        <f>+VLOOKUP(U40,'FBCJ Jul-Des 2025'!$G$10:$P$1302,8,0)</f>
        <v>70009110</v>
      </c>
      <c r="W40" s="4" t="str">
        <f>+VLOOKUP(V40,Sheet1!$A$2:$B$27,2,0)</f>
        <v>Biaya Survey dan Analisa</v>
      </c>
      <c r="X40" s="4" t="str">
        <f>+VLOOKUP(U40,'FBCJ Jul-Des 2025'!$G$10:$P$1302,9,0)</f>
        <v>P206D1SLSS</v>
      </c>
      <c r="Y40" s="2" t="s">
        <v>43</v>
      </c>
      <c r="Z40" s="2">
        <v>1495275</v>
      </c>
      <c r="AA40" s="2">
        <v>20250708</v>
      </c>
      <c r="AB40" s="3">
        <v>50000</v>
      </c>
    </row>
    <row r="41" spans="3:28" x14ac:dyDescent="0.25">
      <c r="C41" s="2">
        <v>10000001</v>
      </c>
      <c r="D41" s="2" t="s">
        <v>85</v>
      </c>
      <c r="F41" s="2">
        <v>12005355</v>
      </c>
      <c r="H41" s="2" t="s">
        <v>85</v>
      </c>
      <c r="I41" s="2" t="str">
        <f t="shared" si="0"/>
        <v>07</v>
      </c>
      <c r="J41" s="2">
        <v>50</v>
      </c>
      <c r="K41" s="3">
        <v>-50000</v>
      </c>
      <c r="L41" s="2" t="s">
        <v>26</v>
      </c>
      <c r="M41" s="3">
        <v>-50000</v>
      </c>
      <c r="N41" s="2" t="s">
        <v>26</v>
      </c>
      <c r="R41" s="2" t="s">
        <v>27</v>
      </c>
      <c r="S41" s="2" t="s">
        <v>92</v>
      </c>
      <c r="T41" s="2" t="s">
        <v>45</v>
      </c>
      <c r="U41" s="2" t="s">
        <v>94</v>
      </c>
      <c r="V41" s="4">
        <f>+VLOOKUP(U41,'FBCJ Jul-Des 2025'!$G$10:$P$1302,8,0)</f>
        <v>70009110</v>
      </c>
      <c r="W41" s="4" t="str">
        <f>+VLOOKUP(V41,Sheet1!$A$2:$B$27,2,0)</f>
        <v>Biaya Survey dan Analisa</v>
      </c>
      <c r="X41" s="4" t="str">
        <f>+VLOOKUP(U41,'FBCJ Jul-Des 2025'!$G$10:$P$1302,9,0)</f>
        <v>M204D1COMM</v>
      </c>
      <c r="Y41" s="2" t="s">
        <v>43</v>
      </c>
      <c r="Z41" s="2">
        <v>1495275</v>
      </c>
      <c r="AA41" s="2">
        <v>20250708</v>
      </c>
      <c r="AB41" s="3">
        <v>50000</v>
      </c>
    </row>
    <row r="42" spans="3:28" x14ac:dyDescent="0.25">
      <c r="C42" s="2">
        <v>10000001</v>
      </c>
      <c r="D42" s="2" t="s">
        <v>85</v>
      </c>
      <c r="F42" s="2">
        <v>12005356</v>
      </c>
      <c r="H42" s="2" t="s">
        <v>85</v>
      </c>
      <c r="I42" s="2" t="str">
        <f t="shared" si="0"/>
        <v>07</v>
      </c>
      <c r="J42" s="2">
        <v>50</v>
      </c>
      <c r="K42" s="3">
        <v>-630000</v>
      </c>
      <c r="L42" s="2" t="s">
        <v>26</v>
      </c>
      <c r="M42" s="3">
        <v>-630000</v>
      </c>
      <c r="N42" s="2" t="s">
        <v>26</v>
      </c>
      <c r="R42" s="2" t="s">
        <v>27</v>
      </c>
      <c r="S42" s="2" t="s">
        <v>95</v>
      </c>
      <c r="T42" s="2" t="s">
        <v>96</v>
      </c>
      <c r="U42" s="2" t="s">
        <v>97</v>
      </c>
      <c r="V42" s="4">
        <f>+VLOOKUP(U42,'FBCJ Jul-Des 2025'!$G$10:$P$1302,8,0)</f>
        <v>70106400</v>
      </c>
      <c r="W42" s="4" t="str">
        <f>+VLOOKUP(V42,Sheet1!$A$2:$B$27,2,0)</f>
        <v>Biaya Bahan Bakar</v>
      </c>
      <c r="X42" s="4" t="str">
        <f>+VLOOKUP(U42,'FBCJ Jul-Des 2025'!$G$10:$P$1302,9,0)</f>
        <v>R124D1HRGA</v>
      </c>
      <c r="Y42" s="2" t="s">
        <v>43</v>
      </c>
      <c r="Z42" s="2">
        <v>1495275</v>
      </c>
      <c r="AA42" s="2">
        <v>20250708</v>
      </c>
      <c r="AB42" s="3">
        <v>630000</v>
      </c>
    </row>
    <row r="43" spans="3:28" x14ac:dyDescent="0.25">
      <c r="C43" s="2">
        <v>10000001</v>
      </c>
      <c r="D43" s="2" t="s">
        <v>85</v>
      </c>
      <c r="F43" s="2">
        <v>12005357</v>
      </c>
      <c r="H43" s="2" t="s">
        <v>85</v>
      </c>
      <c r="I43" s="2" t="str">
        <f t="shared" si="0"/>
        <v>07</v>
      </c>
      <c r="J43" s="2">
        <v>50</v>
      </c>
      <c r="K43" s="3">
        <v>-369000</v>
      </c>
      <c r="L43" s="2" t="s">
        <v>26</v>
      </c>
      <c r="M43" s="3">
        <v>-369000</v>
      </c>
      <c r="N43" s="2" t="s">
        <v>26</v>
      </c>
      <c r="R43" s="2" t="s">
        <v>27</v>
      </c>
      <c r="S43" s="2" t="s">
        <v>95</v>
      </c>
      <c r="T43" s="2" t="s">
        <v>67</v>
      </c>
      <c r="U43" s="2" t="s">
        <v>98</v>
      </c>
      <c r="V43" s="4">
        <f>+VLOOKUP(U43,'FBCJ Jul-Des 2025'!$G$10:$P$1302,8,0)</f>
        <v>70106100</v>
      </c>
      <c r="W43" s="4" t="str">
        <f>+VLOOKUP(V43,Sheet1!$A$2:$B$27,2,0)</f>
        <v>Biaya Transportasi Lokal</v>
      </c>
      <c r="X43" s="4" t="str">
        <f>+VLOOKUP(U43,'FBCJ Jul-Des 2025'!$G$10:$P$1302,9,0)</f>
        <v>R124D1HRGA</v>
      </c>
      <c r="Y43" s="2" t="s">
        <v>43</v>
      </c>
      <c r="Z43" s="2">
        <v>1495275</v>
      </c>
      <c r="AA43" s="2">
        <v>20250708</v>
      </c>
      <c r="AB43" s="3">
        <v>369000</v>
      </c>
    </row>
    <row r="44" spans="3:28" x14ac:dyDescent="0.25">
      <c r="C44" s="2">
        <v>10000001</v>
      </c>
      <c r="D44" s="2" t="s">
        <v>85</v>
      </c>
      <c r="F44" s="2">
        <v>12005358</v>
      </c>
      <c r="H44" s="2" t="s">
        <v>85</v>
      </c>
      <c r="I44" s="2" t="str">
        <f t="shared" si="0"/>
        <v>07</v>
      </c>
      <c r="J44" s="2">
        <v>50</v>
      </c>
      <c r="K44" s="3">
        <v>-502640</v>
      </c>
      <c r="L44" s="2" t="s">
        <v>26</v>
      </c>
      <c r="M44" s="3">
        <v>-502640</v>
      </c>
      <c r="N44" s="2" t="s">
        <v>26</v>
      </c>
      <c r="R44" s="2" t="s">
        <v>27</v>
      </c>
      <c r="S44" s="2" t="s">
        <v>99</v>
      </c>
      <c r="T44" s="2" t="s">
        <v>57</v>
      </c>
      <c r="U44" s="2" t="s">
        <v>100</v>
      </c>
      <c r="V44" s="4">
        <f>+VLOOKUP(U44,'FBCJ Jul-Des 2025'!$G$10:$P$1302,8,0)</f>
        <v>70101202</v>
      </c>
      <c r="W44" s="4" t="str">
        <f>+VLOOKUP(V44,Sheet1!$A$2:$B$27,2,0)</f>
        <v>By Pemeliharaan Kend,ABerat,Mesin-Material Pihak3</v>
      </c>
      <c r="X44" s="4" t="str">
        <f>+VLOOKUP(U44,'FBCJ Jul-Des 2025'!$G$10:$P$1302,9,0)</f>
        <v>R124MIN</v>
      </c>
      <c r="Y44" s="2" t="s">
        <v>43</v>
      </c>
      <c r="Z44" s="2">
        <v>1495275</v>
      </c>
      <c r="AA44" s="2">
        <v>20250708</v>
      </c>
      <c r="AB44" s="3">
        <v>502640</v>
      </c>
    </row>
    <row r="45" spans="3:28" x14ac:dyDescent="0.25">
      <c r="C45" s="2">
        <v>10000001</v>
      </c>
      <c r="D45" s="2" t="s">
        <v>85</v>
      </c>
      <c r="F45" s="2">
        <v>12005359</v>
      </c>
      <c r="H45" s="2" t="s">
        <v>85</v>
      </c>
      <c r="I45" s="2" t="str">
        <f t="shared" si="0"/>
        <v>07</v>
      </c>
      <c r="J45" s="2">
        <v>50</v>
      </c>
      <c r="K45" s="3">
        <v>-184000</v>
      </c>
      <c r="L45" s="2" t="s">
        <v>26</v>
      </c>
      <c r="M45" s="3">
        <v>-184000</v>
      </c>
      <c r="N45" s="2" t="s">
        <v>26</v>
      </c>
      <c r="R45" s="2" t="s">
        <v>27</v>
      </c>
      <c r="S45" s="2" t="s">
        <v>101</v>
      </c>
      <c r="T45" s="2" t="s">
        <v>67</v>
      </c>
      <c r="U45" s="2" t="s">
        <v>102</v>
      </c>
      <c r="V45" s="4">
        <f>+VLOOKUP(U45,'FBCJ Jul-Des 2025'!$G$10:$P$1302,8,0)</f>
        <v>70106100</v>
      </c>
      <c r="W45" s="4" t="str">
        <f>+VLOOKUP(V45,Sheet1!$A$2:$B$27,2,0)</f>
        <v>Biaya Transportasi Lokal</v>
      </c>
      <c r="X45" s="4" t="str">
        <f>+VLOOKUP(U45,'FBCJ Jul-Des 2025'!$G$10:$P$1302,9,0)</f>
        <v>P206D1SLSS</v>
      </c>
      <c r="Y45" s="2" t="s">
        <v>43</v>
      </c>
      <c r="Z45" s="2">
        <v>1495275</v>
      </c>
      <c r="AA45" s="2">
        <v>20250708</v>
      </c>
      <c r="AB45" s="3">
        <v>184000</v>
      </c>
    </row>
    <row r="46" spans="3:28" x14ac:dyDescent="0.25">
      <c r="C46" s="2">
        <v>10000001</v>
      </c>
      <c r="D46" s="2" t="s">
        <v>85</v>
      </c>
      <c r="F46" s="2">
        <v>12005360</v>
      </c>
      <c r="H46" s="2" t="s">
        <v>85</v>
      </c>
      <c r="I46" s="2" t="str">
        <f t="shared" si="0"/>
        <v>07</v>
      </c>
      <c r="J46" s="2">
        <v>50</v>
      </c>
      <c r="K46" s="3">
        <v>-50000</v>
      </c>
      <c r="L46" s="2" t="s">
        <v>26</v>
      </c>
      <c r="M46" s="3">
        <v>-50000</v>
      </c>
      <c r="N46" s="2" t="s">
        <v>26</v>
      </c>
      <c r="R46" s="2" t="s">
        <v>27</v>
      </c>
      <c r="S46" s="2" t="s">
        <v>103</v>
      </c>
      <c r="T46" s="2" t="s">
        <v>45</v>
      </c>
      <c r="U46" s="2" t="s">
        <v>104</v>
      </c>
      <c r="V46" s="4">
        <f>+VLOOKUP(U46,'FBCJ Jul-Des 2025'!$G$10:$P$1302,8,0)</f>
        <v>70009110</v>
      </c>
      <c r="W46" s="4" t="str">
        <f>+VLOOKUP(V46,Sheet1!$A$2:$B$27,2,0)</f>
        <v>Biaya Survey dan Analisa</v>
      </c>
      <c r="X46" s="4" t="str">
        <f>+VLOOKUP(U46,'FBCJ Jul-Des 2025'!$G$10:$P$1302,9,0)</f>
        <v>P206D1SLSS</v>
      </c>
      <c r="Y46" s="2" t="s">
        <v>43</v>
      </c>
      <c r="Z46" s="2">
        <v>1495275</v>
      </c>
      <c r="AA46" s="2">
        <v>20250708</v>
      </c>
      <c r="AB46" s="3">
        <v>50000</v>
      </c>
    </row>
    <row r="47" spans="3:28" x14ac:dyDescent="0.25">
      <c r="C47" s="2">
        <v>10000001</v>
      </c>
      <c r="D47" s="2" t="s">
        <v>85</v>
      </c>
      <c r="F47" s="2">
        <v>12005361</v>
      </c>
      <c r="H47" s="2" t="s">
        <v>85</v>
      </c>
      <c r="I47" s="2" t="str">
        <f t="shared" si="0"/>
        <v>07</v>
      </c>
      <c r="J47" s="2">
        <v>50</v>
      </c>
      <c r="K47" s="3">
        <v>-50000</v>
      </c>
      <c r="L47" s="2" t="s">
        <v>26</v>
      </c>
      <c r="M47" s="3">
        <v>-50000</v>
      </c>
      <c r="N47" s="2" t="s">
        <v>26</v>
      </c>
      <c r="R47" s="2" t="s">
        <v>27</v>
      </c>
      <c r="S47" s="2" t="s">
        <v>103</v>
      </c>
      <c r="T47" s="2" t="s">
        <v>45</v>
      </c>
      <c r="U47" s="2" t="s">
        <v>105</v>
      </c>
      <c r="V47" s="4">
        <f>+VLOOKUP(U47,'FBCJ Jul-Des 2025'!$G$10:$P$1302,8,0)</f>
        <v>70009110</v>
      </c>
      <c r="W47" s="4" t="str">
        <f>+VLOOKUP(V47,Sheet1!$A$2:$B$27,2,0)</f>
        <v>Biaya Survey dan Analisa</v>
      </c>
      <c r="X47" s="4" t="str">
        <f>+VLOOKUP(U47,'FBCJ Jul-Des 2025'!$G$10:$P$1302,9,0)</f>
        <v>P206D1SLSS</v>
      </c>
      <c r="Y47" s="2" t="s">
        <v>43</v>
      </c>
      <c r="Z47" s="2">
        <v>1495275</v>
      </c>
      <c r="AA47" s="2">
        <v>20250708</v>
      </c>
      <c r="AB47" s="3">
        <v>50000</v>
      </c>
    </row>
    <row r="48" spans="3:28" x14ac:dyDescent="0.25">
      <c r="C48" s="2">
        <v>10000001</v>
      </c>
      <c r="D48" s="2" t="s">
        <v>85</v>
      </c>
      <c r="F48" s="2">
        <v>12005362</v>
      </c>
      <c r="H48" s="2" t="s">
        <v>85</v>
      </c>
      <c r="I48" s="2" t="str">
        <f t="shared" si="0"/>
        <v>07</v>
      </c>
      <c r="J48" s="2">
        <v>50</v>
      </c>
      <c r="K48" s="3">
        <v>-50000</v>
      </c>
      <c r="L48" s="2" t="s">
        <v>26</v>
      </c>
      <c r="M48" s="3">
        <v>-50000</v>
      </c>
      <c r="N48" s="2" t="s">
        <v>26</v>
      </c>
      <c r="R48" s="2" t="s">
        <v>27</v>
      </c>
      <c r="S48" s="2" t="s">
        <v>103</v>
      </c>
      <c r="T48" s="2" t="s">
        <v>45</v>
      </c>
      <c r="U48" s="2" t="s">
        <v>106</v>
      </c>
      <c r="V48" s="4">
        <f>+VLOOKUP(U48,'FBCJ Jul-Des 2025'!$G$10:$P$1302,8,0)</f>
        <v>70009110</v>
      </c>
      <c r="W48" s="4" t="str">
        <f>+VLOOKUP(V48,Sheet1!$A$2:$B$27,2,0)</f>
        <v>Biaya Survey dan Analisa</v>
      </c>
      <c r="X48" s="4" t="str">
        <f>+VLOOKUP(U48,'FBCJ Jul-Des 2025'!$G$10:$P$1302,9,0)</f>
        <v>P206D1SLSS</v>
      </c>
      <c r="Y48" s="2" t="s">
        <v>43</v>
      </c>
      <c r="Z48" s="2">
        <v>1495275</v>
      </c>
      <c r="AA48" s="2">
        <v>20250708</v>
      </c>
      <c r="AB48" s="3">
        <v>50000</v>
      </c>
    </row>
    <row r="49" spans="3:28" x14ac:dyDescent="0.25">
      <c r="C49" s="2">
        <v>10000001</v>
      </c>
      <c r="D49" s="2" t="s">
        <v>85</v>
      </c>
      <c r="F49" s="2">
        <v>12005363</v>
      </c>
      <c r="H49" s="2" t="s">
        <v>85</v>
      </c>
      <c r="I49" s="2" t="str">
        <f t="shared" si="0"/>
        <v>07</v>
      </c>
      <c r="J49" s="2">
        <v>50</v>
      </c>
      <c r="K49" s="3">
        <v>-50000</v>
      </c>
      <c r="L49" s="2" t="s">
        <v>26</v>
      </c>
      <c r="M49" s="3">
        <v>-50000</v>
      </c>
      <c r="N49" s="2" t="s">
        <v>26</v>
      </c>
      <c r="R49" s="2" t="s">
        <v>27</v>
      </c>
      <c r="S49" s="2" t="s">
        <v>107</v>
      </c>
      <c r="T49" s="2" t="s">
        <v>45</v>
      </c>
      <c r="U49" s="2" t="s">
        <v>108</v>
      </c>
      <c r="V49" s="4">
        <f>+VLOOKUP(U49,'FBCJ Jul-Des 2025'!$G$10:$P$1302,8,0)</f>
        <v>70009110</v>
      </c>
      <c r="W49" s="4" t="str">
        <f>+VLOOKUP(V49,Sheet1!$A$2:$B$27,2,0)</f>
        <v>Biaya Survey dan Analisa</v>
      </c>
      <c r="X49" s="4" t="str">
        <f>+VLOOKUP(U49,'FBCJ Jul-Des 2025'!$G$10:$P$1302,9,0)</f>
        <v>M204D1COMM</v>
      </c>
      <c r="Y49" s="2" t="s">
        <v>43</v>
      </c>
      <c r="Z49" s="2">
        <v>1495275</v>
      </c>
      <c r="AA49" s="2">
        <v>20250708</v>
      </c>
      <c r="AB49" s="3">
        <v>50000</v>
      </c>
    </row>
    <row r="50" spans="3:28" x14ac:dyDescent="0.25">
      <c r="C50" s="2">
        <v>10000001</v>
      </c>
      <c r="D50" s="2" t="s">
        <v>85</v>
      </c>
      <c r="F50" s="2">
        <v>12005364</v>
      </c>
      <c r="H50" s="2" t="s">
        <v>85</v>
      </c>
      <c r="I50" s="2" t="str">
        <f t="shared" si="0"/>
        <v>07</v>
      </c>
      <c r="J50" s="2">
        <v>50</v>
      </c>
      <c r="K50" s="3">
        <v>-50000</v>
      </c>
      <c r="L50" s="2" t="s">
        <v>26</v>
      </c>
      <c r="M50" s="3">
        <v>-50000</v>
      </c>
      <c r="N50" s="2" t="s">
        <v>26</v>
      </c>
      <c r="R50" s="2" t="s">
        <v>27</v>
      </c>
      <c r="S50" s="2" t="s">
        <v>107</v>
      </c>
      <c r="T50" s="2" t="s">
        <v>45</v>
      </c>
      <c r="U50" s="2" t="s">
        <v>109</v>
      </c>
      <c r="V50" s="4">
        <f>+VLOOKUP(U50,'FBCJ Jul-Des 2025'!$G$10:$P$1302,8,0)</f>
        <v>70009110</v>
      </c>
      <c r="W50" s="4" t="str">
        <f>+VLOOKUP(V50,Sheet1!$A$2:$B$27,2,0)</f>
        <v>Biaya Survey dan Analisa</v>
      </c>
      <c r="X50" s="4" t="str">
        <f>+VLOOKUP(U50,'FBCJ Jul-Des 2025'!$G$10:$P$1302,9,0)</f>
        <v>M204D1COMM</v>
      </c>
      <c r="Y50" s="2" t="s">
        <v>43</v>
      </c>
      <c r="Z50" s="2">
        <v>1495275</v>
      </c>
      <c r="AA50" s="2">
        <v>20250708</v>
      </c>
      <c r="AB50" s="3">
        <v>50000</v>
      </c>
    </row>
    <row r="51" spans="3:28" x14ac:dyDescent="0.25">
      <c r="C51" s="2">
        <v>10000001</v>
      </c>
      <c r="D51" s="2" t="s">
        <v>85</v>
      </c>
      <c r="F51" s="2">
        <v>12005365</v>
      </c>
      <c r="H51" s="2" t="s">
        <v>85</v>
      </c>
      <c r="I51" s="2" t="str">
        <f t="shared" si="0"/>
        <v>07</v>
      </c>
      <c r="J51" s="2">
        <v>50</v>
      </c>
      <c r="K51" s="3">
        <v>-50000</v>
      </c>
      <c r="L51" s="2" t="s">
        <v>26</v>
      </c>
      <c r="M51" s="3">
        <v>-50000</v>
      </c>
      <c r="N51" s="2" t="s">
        <v>26</v>
      </c>
      <c r="R51" s="2" t="s">
        <v>27</v>
      </c>
      <c r="S51" s="2" t="s">
        <v>107</v>
      </c>
      <c r="T51" s="2" t="s">
        <v>45</v>
      </c>
      <c r="U51" s="2" t="s">
        <v>110</v>
      </c>
      <c r="V51" s="4">
        <f>+VLOOKUP(U51,'FBCJ Jul-Des 2025'!$G$10:$P$1302,8,0)</f>
        <v>70009110</v>
      </c>
      <c r="W51" s="4" t="str">
        <f>+VLOOKUP(V51,Sheet1!$A$2:$B$27,2,0)</f>
        <v>Biaya Survey dan Analisa</v>
      </c>
      <c r="X51" s="4" t="str">
        <f>+VLOOKUP(U51,'FBCJ Jul-Des 2025'!$G$10:$P$1302,9,0)</f>
        <v>M204D1COMM</v>
      </c>
      <c r="Y51" s="2" t="s">
        <v>43</v>
      </c>
      <c r="Z51" s="2">
        <v>1495275</v>
      </c>
      <c r="AA51" s="2">
        <v>20250708</v>
      </c>
      <c r="AB51" s="3">
        <v>50000</v>
      </c>
    </row>
    <row r="52" spans="3:28" x14ac:dyDescent="0.25">
      <c r="C52" s="2">
        <v>10000001</v>
      </c>
      <c r="D52" s="2" t="s">
        <v>85</v>
      </c>
      <c r="F52" s="2">
        <v>12005366</v>
      </c>
      <c r="H52" s="2" t="s">
        <v>85</v>
      </c>
      <c r="I52" s="2" t="str">
        <f t="shared" si="0"/>
        <v>07</v>
      </c>
      <c r="J52" s="2">
        <v>50</v>
      </c>
      <c r="K52" s="3">
        <v>-200000</v>
      </c>
      <c r="L52" s="2" t="s">
        <v>26</v>
      </c>
      <c r="M52" s="3">
        <v>-200000</v>
      </c>
      <c r="N52" s="2" t="s">
        <v>26</v>
      </c>
      <c r="R52" s="2" t="s">
        <v>27</v>
      </c>
      <c r="S52" s="2" t="s">
        <v>111</v>
      </c>
      <c r="T52" s="2" t="s">
        <v>45</v>
      </c>
      <c r="U52" s="2" t="s">
        <v>112</v>
      </c>
      <c r="V52" s="4">
        <f>+VLOOKUP(U52,'FBCJ Jul-Des 2025'!$G$10:$P$1302,8,0)</f>
        <v>70009110</v>
      </c>
      <c r="W52" s="4" t="str">
        <f>+VLOOKUP(V52,Sheet1!$A$2:$B$27,2,0)</f>
        <v>Biaya Survey dan Analisa</v>
      </c>
      <c r="X52" s="4" t="str">
        <f>+VLOOKUP(U52,'FBCJ Jul-Des 2025'!$G$10:$P$1302,9,0)</f>
        <v>P206D1SLSS</v>
      </c>
      <c r="Y52" s="2" t="s">
        <v>43</v>
      </c>
      <c r="Z52" s="2">
        <v>1495275</v>
      </c>
      <c r="AA52" s="2">
        <v>20250708</v>
      </c>
      <c r="AB52" s="3">
        <v>200000</v>
      </c>
    </row>
    <row r="53" spans="3:28" x14ac:dyDescent="0.25">
      <c r="C53" s="2">
        <v>10000001</v>
      </c>
      <c r="D53" s="2" t="s">
        <v>85</v>
      </c>
      <c r="F53" s="2">
        <v>12005367</v>
      </c>
      <c r="H53" s="2" t="s">
        <v>85</v>
      </c>
      <c r="I53" s="2" t="str">
        <f t="shared" si="0"/>
        <v>07</v>
      </c>
      <c r="J53" s="2">
        <v>50</v>
      </c>
      <c r="K53" s="3">
        <v>-100000</v>
      </c>
      <c r="L53" s="2" t="s">
        <v>26</v>
      </c>
      <c r="M53" s="3">
        <v>-100000</v>
      </c>
      <c r="N53" s="2" t="s">
        <v>26</v>
      </c>
      <c r="R53" s="2" t="s">
        <v>27</v>
      </c>
      <c r="S53" s="2" t="s">
        <v>111</v>
      </c>
      <c r="T53" s="2" t="s">
        <v>45</v>
      </c>
      <c r="U53" s="2" t="s">
        <v>113</v>
      </c>
      <c r="V53" s="4">
        <f>+VLOOKUP(U53,'FBCJ Jul-Des 2025'!$G$10:$P$1302,8,0)</f>
        <v>70009110</v>
      </c>
      <c r="W53" s="4" t="str">
        <f>+VLOOKUP(V53,Sheet1!$A$2:$B$27,2,0)</f>
        <v>Biaya Survey dan Analisa</v>
      </c>
      <c r="X53" s="4" t="str">
        <f>+VLOOKUP(U53,'FBCJ Jul-Des 2025'!$G$10:$P$1302,9,0)</f>
        <v>M204D1COMM</v>
      </c>
      <c r="Y53" s="2" t="s">
        <v>43</v>
      </c>
      <c r="Z53" s="2">
        <v>1495275</v>
      </c>
      <c r="AA53" s="2">
        <v>20250708</v>
      </c>
      <c r="AB53" s="3">
        <v>100000</v>
      </c>
    </row>
    <row r="54" spans="3:28" x14ac:dyDescent="0.25">
      <c r="C54" s="2">
        <v>10000001</v>
      </c>
      <c r="D54" s="2" t="s">
        <v>85</v>
      </c>
      <c r="F54" s="2">
        <v>12005368</v>
      </c>
      <c r="H54" s="2" t="s">
        <v>85</v>
      </c>
      <c r="I54" s="2" t="str">
        <f t="shared" si="0"/>
        <v>07</v>
      </c>
      <c r="J54" s="2">
        <v>50</v>
      </c>
      <c r="K54" s="3">
        <v>-50000</v>
      </c>
      <c r="L54" s="2" t="s">
        <v>26</v>
      </c>
      <c r="M54" s="3">
        <v>-50000</v>
      </c>
      <c r="N54" s="2" t="s">
        <v>26</v>
      </c>
      <c r="R54" s="2" t="s">
        <v>27</v>
      </c>
      <c r="S54" s="2" t="s">
        <v>111</v>
      </c>
      <c r="T54" s="2" t="s">
        <v>45</v>
      </c>
      <c r="U54" s="2" t="s">
        <v>114</v>
      </c>
      <c r="V54" s="4">
        <f>+VLOOKUP(U54,'FBCJ Jul-Des 2025'!$G$10:$P$1302,8,0)</f>
        <v>70009110</v>
      </c>
      <c r="W54" s="4" t="str">
        <f>+VLOOKUP(V54,Sheet1!$A$2:$B$27,2,0)</f>
        <v>Biaya Survey dan Analisa</v>
      </c>
      <c r="X54" s="4" t="str">
        <f>+VLOOKUP(U54,'FBCJ Jul-Des 2025'!$G$10:$P$1302,9,0)</f>
        <v>C206D1SLSS</v>
      </c>
      <c r="Y54" s="2" t="s">
        <v>43</v>
      </c>
      <c r="Z54" s="2">
        <v>1495275</v>
      </c>
      <c r="AA54" s="2">
        <v>20250708</v>
      </c>
      <c r="AB54" s="3">
        <v>50000</v>
      </c>
    </row>
    <row r="55" spans="3:28" x14ac:dyDescent="0.25">
      <c r="C55" s="2">
        <v>10000001</v>
      </c>
      <c r="D55" s="2" t="s">
        <v>85</v>
      </c>
      <c r="F55" s="2">
        <v>12005369</v>
      </c>
      <c r="H55" s="2" t="s">
        <v>85</v>
      </c>
      <c r="I55" s="2" t="str">
        <f t="shared" si="0"/>
        <v>07</v>
      </c>
      <c r="J55" s="2">
        <v>50</v>
      </c>
      <c r="K55" s="3">
        <v>-50000</v>
      </c>
      <c r="L55" s="2" t="s">
        <v>26</v>
      </c>
      <c r="M55" s="3">
        <v>-50000</v>
      </c>
      <c r="N55" s="2" t="s">
        <v>26</v>
      </c>
      <c r="R55" s="2" t="s">
        <v>27</v>
      </c>
      <c r="S55" s="2" t="s">
        <v>111</v>
      </c>
      <c r="T55" s="2" t="s">
        <v>45</v>
      </c>
      <c r="U55" s="2" t="s">
        <v>115</v>
      </c>
      <c r="V55" s="4">
        <f>+VLOOKUP(U55,'FBCJ Jul-Des 2025'!$G$10:$P$1302,8,0)</f>
        <v>70009110</v>
      </c>
      <c r="W55" s="4" t="str">
        <f>+VLOOKUP(V55,Sheet1!$A$2:$B$27,2,0)</f>
        <v>Biaya Survey dan Analisa</v>
      </c>
      <c r="X55" s="4" t="str">
        <f>+VLOOKUP(U55,'FBCJ Jul-Des 2025'!$G$10:$P$1302,9,0)</f>
        <v>P206D1SLSS</v>
      </c>
      <c r="Y55" s="2" t="s">
        <v>43</v>
      </c>
      <c r="Z55" s="2">
        <v>1495275</v>
      </c>
      <c r="AA55" s="2">
        <v>20250708</v>
      </c>
      <c r="AB55" s="3">
        <v>50000</v>
      </c>
    </row>
    <row r="56" spans="3:28" x14ac:dyDescent="0.25">
      <c r="C56" s="2">
        <v>10000001</v>
      </c>
      <c r="D56" s="2" t="s">
        <v>85</v>
      </c>
      <c r="F56" s="2">
        <v>12005370</v>
      </c>
      <c r="H56" s="2" t="s">
        <v>85</v>
      </c>
      <c r="I56" s="2" t="str">
        <f t="shared" si="0"/>
        <v>07</v>
      </c>
      <c r="J56" s="2">
        <v>50</v>
      </c>
      <c r="K56" s="3">
        <v>-50000</v>
      </c>
      <c r="L56" s="2" t="s">
        <v>26</v>
      </c>
      <c r="M56" s="3">
        <v>-50000</v>
      </c>
      <c r="N56" s="2" t="s">
        <v>26</v>
      </c>
      <c r="R56" s="2" t="s">
        <v>27</v>
      </c>
      <c r="S56" s="2" t="s">
        <v>111</v>
      </c>
      <c r="T56" s="2" t="s">
        <v>45</v>
      </c>
      <c r="U56" s="2" t="s">
        <v>116</v>
      </c>
      <c r="V56" s="4">
        <f>+VLOOKUP(U56,'FBCJ Jul-Des 2025'!$G$10:$P$1302,8,0)</f>
        <v>70009110</v>
      </c>
      <c r="W56" s="4" t="str">
        <f>+VLOOKUP(V56,Sheet1!$A$2:$B$27,2,0)</f>
        <v>Biaya Survey dan Analisa</v>
      </c>
      <c r="X56" s="4" t="str">
        <f>+VLOOKUP(U56,'FBCJ Jul-Des 2025'!$G$10:$P$1302,9,0)</f>
        <v>P206D1SLSS</v>
      </c>
      <c r="Y56" s="2" t="s">
        <v>43</v>
      </c>
      <c r="Z56" s="2">
        <v>1495275</v>
      </c>
      <c r="AA56" s="2">
        <v>20250708</v>
      </c>
      <c r="AB56" s="3">
        <v>50000</v>
      </c>
    </row>
    <row r="57" spans="3:28" x14ac:dyDescent="0.25">
      <c r="C57" s="2">
        <v>10000001</v>
      </c>
      <c r="D57" s="2" t="s">
        <v>85</v>
      </c>
      <c r="F57" s="2">
        <v>12005371</v>
      </c>
      <c r="H57" s="2" t="s">
        <v>85</v>
      </c>
      <c r="I57" s="2" t="str">
        <f t="shared" si="0"/>
        <v>07</v>
      </c>
      <c r="J57" s="2">
        <v>50</v>
      </c>
      <c r="K57" s="3">
        <v>-50000</v>
      </c>
      <c r="L57" s="2" t="s">
        <v>26</v>
      </c>
      <c r="M57" s="3">
        <v>-50000</v>
      </c>
      <c r="N57" s="2" t="s">
        <v>26</v>
      </c>
      <c r="R57" s="2" t="s">
        <v>27</v>
      </c>
      <c r="S57" s="2" t="s">
        <v>111</v>
      </c>
      <c r="T57" s="2" t="s">
        <v>45</v>
      </c>
      <c r="U57" s="2" t="s">
        <v>117</v>
      </c>
      <c r="V57" s="4">
        <f>+VLOOKUP(U57,'FBCJ Jul-Des 2025'!$G$10:$P$1302,8,0)</f>
        <v>70009110</v>
      </c>
      <c r="W57" s="4" t="str">
        <f>+VLOOKUP(V57,Sheet1!$A$2:$B$27,2,0)</f>
        <v>Biaya Survey dan Analisa</v>
      </c>
      <c r="X57" s="4" t="str">
        <f>+VLOOKUP(U57,'FBCJ Jul-Des 2025'!$G$10:$P$1302,9,0)</f>
        <v>C206D1SLSS</v>
      </c>
      <c r="Y57" s="2" t="s">
        <v>43</v>
      </c>
      <c r="Z57" s="2">
        <v>1495275</v>
      </c>
      <c r="AA57" s="2">
        <v>20250708</v>
      </c>
      <c r="AB57" s="3">
        <v>50000</v>
      </c>
    </row>
    <row r="58" spans="3:28" x14ac:dyDescent="0.25">
      <c r="C58" s="2">
        <v>10000001</v>
      </c>
      <c r="D58" s="2" t="s">
        <v>85</v>
      </c>
      <c r="F58" s="2">
        <v>12005372</v>
      </c>
      <c r="H58" s="2" t="s">
        <v>85</v>
      </c>
      <c r="I58" s="2" t="str">
        <f t="shared" si="0"/>
        <v>07</v>
      </c>
      <c r="J58" s="2">
        <v>50</v>
      </c>
      <c r="K58" s="3">
        <v>-50000</v>
      </c>
      <c r="L58" s="2" t="s">
        <v>26</v>
      </c>
      <c r="M58" s="3">
        <v>-50000</v>
      </c>
      <c r="N58" s="2" t="s">
        <v>26</v>
      </c>
      <c r="R58" s="2" t="s">
        <v>27</v>
      </c>
      <c r="S58" s="2" t="s">
        <v>111</v>
      </c>
      <c r="T58" s="2" t="s">
        <v>45</v>
      </c>
      <c r="U58" s="2" t="s">
        <v>118</v>
      </c>
      <c r="V58" s="4">
        <f>+VLOOKUP(U58,'FBCJ Jul-Des 2025'!$G$10:$P$1302,8,0)</f>
        <v>70009110</v>
      </c>
      <c r="W58" s="4" t="str">
        <f>+VLOOKUP(V58,Sheet1!$A$2:$B$27,2,0)</f>
        <v>Biaya Survey dan Analisa</v>
      </c>
      <c r="X58" s="4" t="str">
        <f>+VLOOKUP(U58,'FBCJ Jul-Des 2025'!$G$10:$P$1302,9,0)</f>
        <v>P206D1SLSS</v>
      </c>
      <c r="Y58" s="2" t="s">
        <v>43</v>
      </c>
      <c r="Z58" s="2">
        <v>1495275</v>
      </c>
      <c r="AA58" s="2">
        <v>20250708</v>
      </c>
      <c r="AB58" s="3">
        <v>50000</v>
      </c>
    </row>
    <row r="59" spans="3:28" x14ac:dyDescent="0.25">
      <c r="C59" s="2">
        <v>10000001</v>
      </c>
      <c r="D59" s="2" t="s">
        <v>85</v>
      </c>
      <c r="F59" s="2">
        <v>12005373</v>
      </c>
      <c r="H59" s="2" t="s">
        <v>85</v>
      </c>
      <c r="I59" s="2" t="str">
        <f t="shared" si="0"/>
        <v>07</v>
      </c>
      <c r="J59" s="2">
        <v>50</v>
      </c>
      <c r="K59" s="3">
        <v>-50000</v>
      </c>
      <c r="L59" s="2" t="s">
        <v>26</v>
      </c>
      <c r="M59" s="3">
        <v>-50000</v>
      </c>
      <c r="N59" s="2" t="s">
        <v>26</v>
      </c>
      <c r="R59" s="2" t="s">
        <v>27</v>
      </c>
      <c r="S59" s="2" t="s">
        <v>111</v>
      </c>
      <c r="T59" s="2" t="s">
        <v>45</v>
      </c>
      <c r="U59" s="2" t="s">
        <v>119</v>
      </c>
      <c r="V59" s="4">
        <f>+VLOOKUP(U59,'FBCJ Jul-Des 2025'!$G$10:$P$1302,8,0)</f>
        <v>70009110</v>
      </c>
      <c r="W59" s="4" t="str">
        <f>+VLOOKUP(V59,Sheet1!$A$2:$B$27,2,0)</f>
        <v>Biaya Survey dan Analisa</v>
      </c>
      <c r="X59" s="4" t="str">
        <f>+VLOOKUP(U59,'FBCJ Jul-Des 2025'!$G$10:$P$1302,9,0)</f>
        <v>P206D1SLSS</v>
      </c>
      <c r="Y59" s="2" t="s">
        <v>43</v>
      </c>
      <c r="Z59" s="2">
        <v>1495275</v>
      </c>
      <c r="AA59" s="2">
        <v>20250708</v>
      </c>
      <c r="AB59" s="3">
        <v>50000</v>
      </c>
    </row>
    <row r="60" spans="3:28" x14ac:dyDescent="0.25">
      <c r="C60" s="2">
        <v>10000001</v>
      </c>
      <c r="D60" s="2" t="s">
        <v>85</v>
      </c>
      <c r="F60" s="2">
        <v>12005374</v>
      </c>
      <c r="H60" s="2" t="s">
        <v>85</v>
      </c>
      <c r="I60" s="2" t="str">
        <f t="shared" si="0"/>
        <v>07</v>
      </c>
      <c r="J60" s="2">
        <v>50</v>
      </c>
      <c r="K60" s="3">
        <v>-50000</v>
      </c>
      <c r="L60" s="2" t="s">
        <v>26</v>
      </c>
      <c r="M60" s="3">
        <v>-50000</v>
      </c>
      <c r="N60" s="2" t="s">
        <v>26</v>
      </c>
      <c r="R60" s="2" t="s">
        <v>27</v>
      </c>
      <c r="S60" s="2" t="s">
        <v>111</v>
      </c>
      <c r="T60" s="2" t="s">
        <v>45</v>
      </c>
      <c r="U60" s="2" t="s">
        <v>120</v>
      </c>
      <c r="V60" s="4">
        <f>+VLOOKUP(U60,'FBCJ Jul-Des 2025'!$G$10:$P$1302,8,0)</f>
        <v>70009110</v>
      </c>
      <c r="W60" s="4" t="str">
        <f>+VLOOKUP(V60,Sheet1!$A$2:$B$27,2,0)</f>
        <v>Biaya Survey dan Analisa</v>
      </c>
      <c r="X60" s="4" t="str">
        <f>+VLOOKUP(U60,'FBCJ Jul-Des 2025'!$G$10:$P$1302,9,0)</f>
        <v>C206D1SLSS</v>
      </c>
      <c r="Y60" s="2" t="s">
        <v>43</v>
      </c>
      <c r="Z60" s="2">
        <v>1495275</v>
      </c>
      <c r="AA60" s="2">
        <v>20250708</v>
      </c>
      <c r="AB60" s="3">
        <v>50000</v>
      </c>
    </row>
    <row r="61" spans="3:28" x14ac:dyDescent="0.25">
      <c r="C61" s="2">
        <v>10000001</v>
      </c>
      <c r="D61" s="2" t="s">
        <v>85</v>
      </c>
      <c r="F61" s="2">
        <v>12005375</v>
      </c>
      <c r="H61" s="2" t="s">
        <v>85</v>
      </c>
      <c r="I61" s="2" t="str">
        <f t="shared" si="0"/>
        <v>07</v>
      </c>
      <c r="J61" s="2">
        <v>50</v>
      </c>
      <c r="K61" s="3">
        <v>-50000</v>
      </c>
      <c r="L61" s="2" t="s">
        <v>26</v>
      </c>
      <c r="M61" s="3">
        <v>-50000</v>
      </c>
      <c r="N61" s="2" t="s">
        <v>26</v>
      </c>
      <c r="R61" s="2" t="s">
        <v>27</v>
      </c>
      <c r="S61" s="2" t="s">
        <v>111</v>
      </c>
      <c r="T61" s="2" t="s">
        <v>45</v>
      </c>
      <c r="U61" s="2" t="s">
        <v>121</v>
      </c>
      <c r="V61" s="4">
        <f>+VLOOKUP(U61,'FBCJ Jul-Des 2025'!$G$10:$P$1302,8,0)</f>
        <v>70009110</v>
      </c>
      <c r="W61" s="4" t="str">
        <f>+VLOOKUP(V61,Sheet1!$A$2:$B$27,2,0)</f>
        <v>Biaya Survey dan Analisa</v>
      </c>
      <c r="X61" s="4" t="str">
        <f>+VLOOKUP(U61,'FBCJ Jul-Des 2025'!$G$10:$P$1302,9,0)</f>
        <v>P206D1SLSS</v>
      </c>
      <c r="Y61" s="2" t="s">
        <v>43</v>
      </c>
      <c r="Z61" s="2">
        <v>1495275</v>
      </c>
      <c r="AA61" s="2">
        <v>20250708</v>
      </c>
      <c r="AB61" s="3">
        <v>50000</v>
      </c>
    </row>
    <row r="62" spans="3:28" x14ac:dyDescent="0.25">
      <c r="C62" s="2">
        <v>10000001</v>
      </c>
      <c r="D62" s="2" t="s">
        <v>85</v>
      </c>
      <c r="F62" s="2">
        <v>12005376</v>
      </c>
      <c r="H62" s="2" t="s">
        <v>85</v>
      </c>
      <c r="I62" s="2" t="str">
        <f t="shared" si="0"/>
        <v>07</v>
      </c>
      <c r="J62" s="2">
        <v>50</v>
      </c>
      <c r="K62" s="3">
        <v>-50000</v>
      </c>
      <c r="L62" s="2" t="s">
        <v>26</v>
      </c>
      <c r="M62" s="3">
        <v>-50000</v>
      </c>
      <c r="N62" s="2" t="s">
        <v>26</v>
      </c>
      <c r="R62" s="2" t="s">
        <v>27</v>
      </c>
      <c r="S62" s="2" t="s">
        <v>111</v>
      </c>
      <c r="T62" s="2" t="s">
        <v>45</v>
      </c>
      <c r="U62" s="2" t="s">
        <v>122</v>
      </c>
      <c r="V62" s="4">
        <f>+VLOOKUP(U62,'FBCJ Jul-Des 2025'!$G$10:$P$1302,8,0)</f>
        <v>70009110</v>
      </c>
      <c r="W62" s="4" t="str">
        <f>+VLOOKUP(V62,Sheet1!$A$2:$B$27,2,0)</f>
        <v>Biaya Survey dan Analisa</v>
      </c>
      <c r="X62" s="4" t="str">
        <f>+VLOOKUP(U62,'FBCJ Jul-Des 2025'!$G$10:$P$1302,9,0)</f>
        <v>P206D1SLSS</v>
      </c>
      <c r="Y62" s="2" t="s">
        <v>43</v>
      </c>
      <c r="Z62" s="2">
        <v>1495275</v>
      </c>
      <c r="AA62" s="2">
        <v>20250708</v>
      </c>
      <c r="AB62" s="3">
        <v>50000</v>
      </c>
    </row>
    <row r="63" spans="3:28" x14ac:dyDescent="0.25">
      <c r="C63" s="2">
        <v>10000001</v>
      </c>
      <c r="D63" s="2" t="s">
        <v>85</v>
      </c>
      <c r="F63" s="2">
        <v>12005377</v>
      </c>
      <c r="H63" s="2" t="s">
        <v>85</v>
      </c>
      <c r="I63" s="2" t="str">
        <f t="shared" si="0"/>
        <v>07</v>
      </c>
      <c r="J63" s="2">
        <v>50</v>
      </c>
      <c r="K63" s="3">
        <v>-93000</v>
      </c>
      <c r="L63" s="2" t="s">
        <v>26</v>
      </c>
      <c r="M63" s="3">
        <v>-93000</v>
      </c>
      <c r="N63" s="2" t="s">
        <v>26</v>
      </c>
      <c r="R63" s="2" t="s">
        <v>27</v>
      </c>
      <c r="S63" s="2" t="s">
        <v>123</v>
      </c>
      <c r="T63" s="2" t="s">
        <v>57</v>
      </c>
      <c r="U63" s="2" t="s">
        <v>124</v>
      </c>
      <c r="V63" s="4">
        <f>+VLOOKUP(U63,'FBCJ Jul-Des 2025'!$G$10:$P$1302,8,0)</f>
        <v>70101202</v>
      </c>
      <c r="W63" s="4" t="str">
        <f>+VLOOKUP(V63,Sheet1!$A$2:$B$27,2,0)</f>
        <v>By Pemeliharaan Kend,ABerat,Mesin-Material Pihak3</v>
      </c>
      <c r="X63" s="4" t="str">
        <f>+VLOOKUP(U63,'FBCJ Jul-Des 2025'!$G$10:$P$1302,9,0)</f>
        <v>R124WHFSB</v>
      </c>
      <c r="Y63" s="2" t="s">
        <v>43</v>
      </c>
      <c r="Z63" s="2">
        <v>1495275</v>
      </c>
      <c r="AA63" s="2">
        <v>20250708</v>
      </c>
      <c r="AB63" s="3">
        <v>93000</v>
      </c>
    </row>
    <row r="64" spans="3:28" x14ac:dyDescent="0.25">
      <c r="C64" s="2">
        <v>10000001</v>
      </c>
      <c r="D64" s="2" t="s">
        <v>85</v>
      </c>
      <c r="F64" s="2">
        <v>12005378</v>
      </c>
      <c r="H64" s="2" t="s">
        <v>85</v>
      </c>
      <c r="I64" s="2" t="str">
        <f t="shared" si="0"/>
        <v>07</v>
      </c>
      <c r="J64" s="2">
        <v>50</v>
      </c>
      <c r="K64" s="3">
        <v>-973200</v>
      </c>
      <c r="L64" s="2" t="s">
        <v>26</v>
      </c>
      <c r="M64" s="3">
        <v>-973200</v>
      </c>
      <c r="N64" s="2" t="s">
        <v>26</v>
      </c>
      <c r="R64" s="2" t="s">
        <v>27</v>
      </c>
      <c r="S64" s="2" t="s">
        <v>125</v>
      </c>
      <c r="T64" s="2" t="s">
        <v>126</v>
      </c>
      <c r="U64" s="2" t="s">
        <v>127</v>
      </c>
      <c r="V64" s="4">
        <f>+VLOOKUP(U64,'FBCJ Jul-Des 2025'!$G$10:$P$1302,8,0)</f>
        <v>70107600</v>
      </c>
      <c r="W64" s="4" t="str">
        <f>+VLOOKUP(V64,Sheet1!$A$2:$B$27,2,0)</f>
        <v>Biaya Konsumsi Kantor</v>
      </c>
      <c r="X64" s="4" t="str">
        <f>+VLOOKUP(U64,'FBCJ Jul-Des 2025'!$G$10:$P$1302,9,0)</f>
        <v>R124D1HRGA</v>
      </c>
      <c r="Y64" s="2" t="s">
        <v>43</v>
      </c>
      <c r="Z64" s="2">
        <v>1495275</v>
      </c>
      <c r="AA64" s="2">
        <v>20250708</v>
      </c>
      <c r="AB64" s="3">
        <v>973200</v>
      </c>
    </row>
    <row r="65" spans="3:28" x14ac:dyDescent="0.25">
      <c r="C65" s="2">
        <v>10000001</v>
      </c>
      <c r="D65" s="2" t="s">
        <v>85</v>
      </c>
      <c r="F65" s="2">
        <v>12005379</v>
      </c>
      <c r="H65" s="2" t="s">
        <v>85</v>
      </c>
      <c r="I65" s="2" t="str">
        <f t="shared" si="0"/>
        <v>07</v>
      </c>
      <c r="J65" s="2">
        <v>50</v>
      </c>
      <c r="K65" s="3">
        <v>-990000</v>
      </c>
      <c r="L65" s="2" t="s">
        <v>26</v>
      </c>
      <c r="M65" s="3">
        <v>-990000</v>
      </c>
      <c r="N65" s="2" t="s">
        <v>26</v>
      </c>
      <c r="R65" s="2" t="s">
        <v>27</v>
      </c>
      <c r="S65" s="2" t="s">
        <v>128</v>
      </c>
      <c r="T65" s="2" t="s">
        <v>129</v>
      </c>
      <c r="U65" s="2" t="s">
        <v>130</v>
      </c>
      <c r="V65" s="4">
        <f>+VLOOKUP(U65,'FBCJ Jul-Des 2025'!$G$10:$P$1302,8,0)</f>
        <v>70101102</v>
      </c>
      <c r="W65" s="4" t="str">
        <f>+VLOOKUP(V65,Sheet1!$A$2:$B$27,2,0)</f>
        <v>By Pemeliharaan BgnanPrasarana Material Pihak3</v>
      </c>
      <c r="X65" s="4" t="str">
        <f>+VLOOKUP(U65,'FBCJ Jul-Des 2025'!$G$10:$P$1302,9,0)</f>
        <v>R124D1HRGA</v>
      </c>
      <c r="Y65" s="2" t="s">
        <v>43</v>
      </c>
      <c r="Z65" s="2">
        <v>1495275</v>
      </c>
      <c r="AA65" s="2">
        <v>20250708</v>
      </c>
      <c r="AB65" s="3">
        <v>990000</v>
      </c>
    </row>
    <row r="66" spans="3:28" x14ac:dyDescent="0.25">
      <c r="C66" s="2">
        <v>10000001</v>
      </c>
      <c r="D66" s="2" t="s">
        <v>85</v>
      </c>
      <c r="F66" s="2">
        <v>12005380</v>
      </c>
      <c r="H66" s="2" t="s">
        <v>85</v>
      </c>
      <c r="I66" s="2" t="str">
        <f t="shared" si="0"/>
        <v>07</v>
      </c>
      <c r="J66" s="2">
        <v>50</v>
      </c>
      <c r="K66" s="3">
        <v>-825000</v>
      </c>
      <c r="L66" s="2" t="s">
        <v>26</v>
      </c>
      <c r="M66" s="3">
        <v>-825000</v>
      </c>
      <c r="N66" s="2" t="s">
        <v>26</v>
      </c>
      <c r="R66" s="2" t="s">
        <v>27</v>
      </c>
      <c r="S66" s="2" t="s">
        <v>131</v>
      </c>
      <c r="T66" s="2" t="s">
        <v>59</v>
      </c>
      <c r="U66" s="2" t="s">
        <v>132</v>
      </c>
      <c r="V66" s="4">
        <f>+VLOOKUP(U66,'FBCJ Jul-Des 2025'!$G$10:$P$1302,8,0)</f>
        <v>70101114</v>
      </c>
      <c r="W66" s="4" t="str">
        <f>+VLOOKUP(V66,Sheet1!$A$2:$B$27,2,0)</f>
        <v>By Perbaikan &amp; Perawatan Perabot Material Pihak3</v>
      </c>
      <c r="X66" s="4" t="str">
        <f>+VLOOKUP(U66,'FBCJ Jul-Des 2025'!$G$10:$P$1302,9,0)</f>
        <v>R124REF</v>
      </c>
      <c r="Y66" s="2" t="s">
        <v>43</v>
      </c>
      <c r="Z66" s="2">
        <v>1495275</v>
      </c>
      <c r="AA66" s="2">
        <v>20250708</v>
      </c>
      <c r="AB66" s="3">
        <v>825000</v>
      </c>
    </row>
    <row r="67" spans="3:28" x14ac:dyDescent="0.25">
      <c r="C67" s="2">
        <v>10000001</v>
      </c>
      <c r="D67" s="2" t="s">
        <v>85</v>
      </c>
      <c r="F67" s="2">
        <v>12005381</v>
      </c>
      <c r="H67" s="2" t="s">
        <v>85</v>
      </c>
      <c r="I67" s="2" t="str">
        <f t="shared" si="0"/>
        <v>07</v>
      </c>
      <c r="J67" s="2">
        <v>50</v>
      </c>
      <c r="K67" s="3">
        <v>-685420</v>
      </c>
      <c r="L67" s="2" t="s">
        <v>26</v>
      </c>
      <c r="M67" s="3">
        <v>-685420</v>
      </c>
      <c r="N67" s="2" t="s">
        <v>26</v>
      </c>
      <c r="R67" s="2" t="s">
        <v>27</v>
      </c>
      <c r="S67" s="2" t="s">
        <v>133</v>
      </c>
      <c r="T67" s="2" t="s">
        <v>129</v>
      </c>
      <c r="U67" s="2" t="s">
        <v>134</v>
      </c>
      <c r="V67" s="4">
        <f>+VLOOKUP(U67,'FBCJ Jul-Des 2025'!$G$10:$P$1302,8,0)</f>
        <v>70101102</v>
      </c>
      <c r="W67" s="4" t="str">
        <f>+VLOOKUP(V67,Sheet1!$A$2:$B$27,2,0)</f>
        <v>By Pemeliharaan BgnanPrasarana Material Pihak3</v>
      </c>
      <c r="X67" s="4" t="str">
        <f>+VLOOKUP(U67,'FBCJ Jul-Des 2025'!$G$10:$P$1302,9,0)</f>
        <v>R124D1HRGA</v>
      </c>
      <c r="Y67" s="2" t="s">
        <v>43</v>
      </c>
      <c r="Z67" s="2">
        <v>1495275</v>
      </c>
      <c r="AA67" s="2">
        <v>20250708</v>
      </c>
      <c r="AB67" s="3">
        <v>685420</v>
      </c>
    </row>
    <row r="68" spans="3:28" x14ac:dyDescent="0.25">
      <c r="C68" s="2">
        <v>10000001</v>
      </c>
      <c r="D68" s="2" t="s">
        <v>85</v>
      </c>
      <c r="F68" s="2">
        <v>12005382</v>
      </c>
      <c r="H68" s="2" t="s">
        <v>85</v>
      </c>
      <c r="I68" s="2" t="str">
        <f t="shared" si="0"/>
        <v>07</v>
      </c>
      <c r="J68" s="2">
        <v>50</v>
      </c>
      <c r="K68" s="3">
        <v>-460060</v>
      </c>
      <c r="L68" s="2" t="s">
        <v>26</v>
      </c>
      <c r="M68" s="3">
        <v>-460060</v>
      </c>
      <c r="N68" s="2" t="s">
        <v>26</v>
      </c>
      <c r="R68" s="2" t="s">
        <v>27</v>
      </c>
      <c r="S68" s="2" t="s">
        <v>135</v>
      </c>
      <c r="T68" s="2" t="s">
        <v>57</v>
      </c>
      <c r="U68" s="2" t="s">
        <v>136</v>
      </c>
      <c r="V68" s="4">
        <f>+VLOOKUP(U68,'FBCJ Jul-Des 2025'!$G$10:$P$1302,8,0)</f>
        <v>70101202</v>
      </c>
      <c r="W68" s="4" t="str">
        <f>+VLOOKUP(V68,Sheet1!$A$2:$B$27,2,0)</f>
        <v>By Pemeliharaan Kend,ABerat,Mesin-Material Pihak3</v>
      </c>
      <c r="X68" s="4" t="str">
        <f>+VLOOKUP(U68,'FBCJ Jul-Des 2025'!$G$10:$P$1302,9,0)</f>
        <v>R124MIN</v>
      </c>
      <c r="Y68" s="2" t="s">
        <v>43</v>
      </c>
      <c r="Z68" s="2">
        <v>1495275</v>
      </c>
      <c r="AA68" s="2">
        <v>20250708</v>
      </c>
      <c r="AB68" s="3">
        <v>460060</v>
      </c>
    </row>
    <row r="69" spans="3:28" x14ac:dyDescent="0.25">
      <c r="C69" s="2">
        <v>10000001</v>
      </c>
      <c r="D69" s="2" t="s">
        <v>85</v>
      </c>
      <c r="F69" s="2">
        <v>12005383</v>
      </c>
      <c r="H69" s="2" t="s">
        <v>85</v>
      </c>
      <c r="I69" s="2" t="str">
        <f t="shared" si="0"/>
        <v>07</v>
      </c>
      <c r="J69" s="2">
        <v>50</v>
      </c>
      <c r="K69" s="3">
        <v>-186599</v>
      </c>
      <c r="L69" s="2" t="s">
        <v>26</v>
      </c>
      <c r="M69" s="3">
        <v>-186599</v>
      </c>
      <c r="N69" s="2" t="s">
        <v>26</v>
      </c>
      <c r="R69" s="2" t="s">
        <v>27</v>
      </c>
      <c r="S69" s="2" t="s">
        <v>137</v>
      </c>
      <c r="T69" s="2" t="s">
        <v>41</v>
      </c>
      <c r="U69" s="2" t="s">
        <v>138</v>
      </c>
      <c r="V69" s="4">
        <f>+VLOOKUP(U69,'FBCJ Jul-Des 2025'!$G$10:$P$1302,8,0)</f>
        <v>70107300</v>
      </c>
      <c r="W69" s="4" t="str">
        <f>+VLOOKUP(V69,Sheet1!$A$2:$B$27,2,0)</f>
        <v>Biaya Olahraga Dan Permainan</v>
      </c>
      <c r="X69" s="4" t="str">
        <f>+VLOOKUP(U69,'FBCJ Jul-Des 2025'!$G$10:$P$1302,9,0)</f>
        <v>R124D1HRDV</v>
      </c>
      <c r="Y69" s="2" t="s">
        <v>43</v>
      </c>
      <c r="Z69" s="2">
        <v>1495275</v>
      </c>
      <c r="AA69" s="2">
        <v>20250708</v>
      </c>
      <c r="AB69" s="3">
        <v>186599</v>
      </c>
    </row>
    <row r="70" spans="3:28" x14ac:dyDescent="0.25">
      <c r="C70" s="2">
        <v>10000001</v>
      </c>
      <c r="D70" s="2" t="s">
        <v>85</v>
      </c>
      <c r="F70" s="2">
        <v>12005384</v>
      </c>
      <c r="H70" s="2" t="s">
        <v>85</v>
      </c>
      <c r="I70" s="2" t="str">
        <f t="shared" si="0"/>
        <v>07</v>
      </c>
      <c r="J70" s="2">
        <v>50</v>
      </c>
      <c r="K70" s="3">
        <v>-143900</v>
      </c>
      <c r="L70" s="2" t="s">
        <v>26</v>
      </c>
      <c r="M70" s="3">
        <v>-143900</v>
      </c>
      <c r="N70" s="2" t="s">
        <v>26</v>
      </c>
      <c r="R70" s="2" t="s">
        <v>27</v>
      </c>
      <c r="S70" s="2" t="s">
        <v>139</v>
      </c>
      <c r="T70" s="2" t="s">
        <v>59</v>
      </c>
      <c r="U70" s="2" t="s">
        <v>140</v>
      </c>
      <c r="V70" s="4">
        <f>+VLOOKUP(U70,'FBCJ Jul-Des 2025'!$G$10:$P$1302,8,0)</f>
        <v>70101114</v>
      </c>
      <c r="W70" s="4" t="str">
        <f>+VLOOKUP(V70,Sheet1!$A$2:$B$27,2,0)</f>
        <v>By Perbaikan &amp; Perawatan Perabot Material Pihak3</v>
      </c>
      <c r="X70" s="4" t="str">
        <f>+VLOOKUP(U70,'FBCJ Jul-Des 2025'!$G$10:$P$1302,9,0)</f>
        <v>R124MNT</v>
      </c>
      <c r="Y70" s="2" t="s">
        <v>43</v>
      </c>
      <c r="Z70" s="2">
        <v>1495275</v>
      </c>
      <c r="AA70" s="2">
        <v>20250708</v>
      </c>
      <c r="AB70" s="3">
        <v>143900</v>
      </c>
    </row>
    <row r="71" spans="3:28" x14ac:dyDescent="0.25">
      <c r="C71" s="2">
        <v>10000001</v>
      </c>
      <c r="D71" s="2" t="s">
        <v>85</v>
      </c>
      <c r="F71" s="2">
        <v>12005385</v>
      </c>
      <c r="H71" s="2" t="s">
        <v>85</v>
      </c>
      <c r="I71" s="2" t="str">
        <f t="shared" si="0"/>
        <v>07</v>
      </c>
      <c r="J71" s="2">
        <v>50</v>
      </c>
      <c r="K71" s="3">
        <v>-504050</v>
      </c>
      <c r="L71" s="2" t="s">
        <v>26</v>
      </c>
      <c r="M71" s="3">
        <v>-504050</v>
      </c>
      <c r="N71" s="2" t="s">
        <v>26</v>
      </c>
      <c r="R71" s="2" t="s">
        <v>27</v>
      </c>
      <c r="S71" s="2" t="s">
        <v>141</v>
      </c>
      <c r="T71" s="2" t="s">
        <v>59</v>
      </c>
      <c r="U71" s="2" t="s">
        <v>142</v>
      </c>
      <c r="V71" s="4">
        <f>+VLOOKUP(U71,'FBCJ Jul-Des 2025'!$G$10:$P$1302,8,0)</f>
        <v>70101114</v>
      </c>
      <c r="W71" s="4" t="str">
        <f>+VLOOKUP(V71,Sheet1!$A$2:$B$27,2,0)</f>
        <v>By Perbaikan &amp; Perawatan Perabot Material Pihak3</v>
      </c>
      <c r="X71" s="4" t="str">
        <f>+VLOOKUP(U71,'FBCJ Jul-Des 2025'!$G$10:$P$1302,9,0)</f>
        <v>R124WHP</v>
      </c>
      <c r="Y71" s="2" t="s">
        <v>43</v>
      </c>
      <c r="Z71" s="2">
        <v>1495275</v>
      </c>
      <c r="AA71" s="2">
        <v>20250708</v>
      </c>
      <c r="AB71" s="3">
        <v>504050</v>
      </c>
    </row>
    <row r="72" spans="3:28" x14ac:dyDescent="0.25">
      <c r="C72" s="2">
        <v>10000001</v>
      </c>
      <c r="D72" s="2" t="s">
        <v>85</v>
      </c>
      <c r="F72" s="2">
        <v>12005386</v>
      </c>
      <c r="H72" s="2" t="s">
        <v>85</v>
      </c>
      <c r="I72" s="2" t="str">
        <f t="shared" ref="I72:I135" si="1">+MID(H72,4,2)</f>
        <v>07</v>
      </c>
      <c r="J72" s="2">
        <v>50</v>
      </c>
      <c r="K72" s="3">
        <v>-210000</v>
      </c>
      <c r="L72" s="2" t="s">
        <v>26</v>
      </c>
      <c r="M72" s="3">
        <v>-210000</v>
      </c>
      <c r="N72" s="2" t="s">
        <v>26</v>
      </c>
      <c r="R72" s="2" t="s">
        <v>27</v>
      </c>
      <c r="S72" s="2" t="s">
        <v>143</v>
      </c>
      <c r="T72" s="2" t="s">
        <v>57</v>
      </c>
      <c r="U72" s="2" t="s">
        <v>144</v>
      </c>
      <c r="V72" s="4">
        <f>+VLOOKUP(U72,'FBCJ Jul-Des 2025'!$G$10:$P$1302,8,0)</f>
        <v>70101202</v>
      </c>
      <c r="W72" s="4" t="str">
        <f>+VLOOKUP(V72,Sheet1!$A$2:$B$27,2,0)</f>
        <v>By Pemeliharaan Kend,ABerat,Mesin-Material Pihak3</v>
      </c>
      <c r="X72" s="4" t="str">
        <f>+VLOOKUP(U72,'FBCJ Jul-Des 2025'!$G$10:$P$1302,9,0)</f>
        <v>R124TCP</v>
      </c>
      <c r="Y72" s="2" t="s">
        <v>43</v>
      </c>
      <c r="Z72" s="2">
        <v>1495275</v>
      </c>
      <c r="AA72" s="2">
        <v>20250708</v>
      </c>
      <c r="AB72" s="3">
        <v>210000</v>
      </c>
    </row>
    <row r="73" spans="3:28" x14ac:dyDescent="0.25">
      <c r="C73" s="2">
        <v>10000001</v>
      </c>
      <c r="D73" s="2" t="s">
        <v>85</v>
      </c>
      <c r="F73" s="2">
        <v>12005387</v>
      </c>
      <c r="H73" s="2" t="s">
        <v>85</v>
      </c>
      <c r="I73" s="2" t="str">
        <f t="shared" si="1"/>
        <v>07</v>
      </c>
      <c r="J73" s="2">
        <v>50</v>
      </c>
      <c r="K73" s="3">
        <v>-863500</v>
      </c>
      <c r="L73" s="2" t="s">
        <v>26</v>
      </c>
      <c r="M73" s="3">
        <v>-863500</v>
      </c>
      <c r="N73" s="2" t="s">
        <v>26</v>
      </c>
      <c r="R73" s="2" t="s">
        <v>27</v>
      </c>
      <c r="S73" s="2" t="s">
        <v>145</v>
      </c>
      <c r="T73" s="2" t="s">
        <v>146</v>
      </c>
      <c r="U73" s="2" t="s">
        <v>147</v>
      </c>
      <c r="V73" s="4">
        <f>+VLOOKUP(U73,'FBCJ Jul-Des 2025'!$G$10:$P$1302,8,0)</f>
        <v>70115100</v>
      </c>
      <c r="W73" s="4" t="str">
        <f>+VLOOKUP(V73,Sheet1!$A$2:$B$27,2,0)</f>
        <v>Biaya Riset, Pengembangan, dan Laboratorium</v>
      </c>
      <c r="X73" s="4" t="str">
        <f>+VLOOKUP(U73,'FBCJ Jul-Des 2025'!$G$10:$P$1302,9,0)</f>
        <v>M204D1COMM</v>
      </c>
      <c r="Y73" s="2" t="s">
        <v>43</v>
      </c>
      <c r="Z73" s="2">
        <v>1495275</v>
      </c>
      <c r="AA73" s="2">
        <v>20250708</v>
      </c>
      <c r="AB73" s="3">
        <v>863500</v>
      </c>
    </row>
    <row r="74" spans="3:28" x14ac:dyDescent="0.25">
      <c r="C74" s="2">
        <v>10000001</v>
      </c>
      <c r="D74" s="2" t="s">
        <v>85</v>
      </c>
      <c r="F74" s="2">
        <v>12005388</v>
      </c>
      <c r="H74" s="2" t="s">
        <v>85</v>
      </c>
      <c r="I74" s="2" t="str">
        <f t="shared" si="1"/>
        <v>07</v>
      </c>
      <c r="J74" s="2">
        <v>50</v>
      </c>
      <c r="K74" s="3">
        <v>-50000</v>
      </c>
      <c r="L74" s="2" t="s">
        <v>26</v>
      </c>
      <c r="M74" s="3">
        <v>-50000</v>
      </c>
      <c r="N74" s="2" t="s">
        <v>26</v>
      </c>
      <c r="R74" s="2" t="s">
        <v>27</v>
      </c>
      <c r="S74" s="2" t="s">
        <v>148</v>
      </c>
      <c r="T74" s="2" t="s">
        <v>126</v>
      </c>
      <c r="U74" s="2" t="s">
        <v>149</v>
      </c>
      <c r="V74" s="4">
        <f>+VLOOKUP(U74,'FBCJ Jul-Des 2025'!$G$10:$P$1302,8,0)</f>
        <v>70107600</v>
      </c>
      <c r="W74" s="4" t="str">
        <f>+VLOOKUP(V74,Sheet1!$A$2:$B$27,2,0)</f>
        <v>Biaya Konsumsi Kantor</v>
      </c>
      <c r="X74" s="4" t="str">
        <f>+VLOOKUP(U74,'FBCJ Jul-Des 2025'!$G$10:$P$1302,9,0)</f>
        <v>R124MNT</v>
      </c>
      <c r="Y74" s="2" t="s">
        <v>43</v>
      </c>
      <c r="Z74" s="2">
        <v>1495275</v>
      </c>
      <c r="AA74" s="2">
        <v>20250708</v>
      </c>
      <c r="AB74" s="3">
        <v>50000</v>
      </c>
    </row>
    <row r="75" spans="3:28" x14ac:dyDescent="0.25">
      <c r="C75" s="2">
        <v>10000001</v>
      </c>
      <c r="D75" s="2" t="s">
        <v>85</v>
      </c>
      <c r="F75" s="2">
        <v>12005389</v>
      </c>
      <c r="H75" s="2" t="s">
        <v>85</v>
      </c>
      <c r="I75" s="2" t="str">
        <f t="shared" si="1"/>
        <v>07</v>
      </c>
      <c r="J75" s="2">
        <v>50</v>
      </c>
      <c r="K75" s="3">
        <v>-680000</v>
      </c>
      <c r="L75" s="2" t="s">
        <v>26</v>
      </c>
      <c r="M75" s="3">
        <v>-680000</v>
      </c>
      <c r="N75" s="2" t="s">
        <v>26</v>
      </c>
      <c r="R75" s="2" t="s">
        <v>27</v>
      </c>
      <c r="S75" s="2" t="s">
        <v>150</v>
      </c>
      <c r="T75" s="2" t="s">
        <v>146</v>
      </c>
      <c r="U75" s="2" t="s">
        <v>151</v>
      </c>
      <c r="V75" s="4">
        <f>+VLOOKUP(U75,'FBCJ Jul-Des 2025'!$G$10:$P$1302,8,0)</f>
        <v>70115100</v>
      </c>
      <c r="W75" s="4" t="str">
        <f>+VLOOKUP(V75,Sheet1!$A$2:$B$27,2,0)</f>
        <v>Biaya Riset, Pengembangan, dan Laboratorium</v>
      </c>
      <c r="X75" s="4" t="str">
        <f>+VLOOKUP(U75,'FBCJ Jul-Des 2025'!$G$10:$P$1302,9,0)</f>
        <v>R124QCA</v>
      </c>
      <c r="Y75" s="2" t="s">
        <v>43</v>
      </c>
      <c r="Z75" s="2">
        <v>1495275</v>
      </c>
      <c r="AA75" s="2">
        <v>20250708</v>
      </c>
      <c r="AB75" s="3">
        <v>680000</v>
      </c>
    </row>
    <row r="76" spans="3:28" x14ac:dyDescent="0.25">
      <c r="C76" s="2">
        <v>10000001</v>
      </c>
      <c r="D76" s="2" t="s">
        <v>85</v>
      </c>
      <c r="F76" s="2">
        <v>12005390</v>
      </c>
      <c r="H76" s="2" t="s">
        <v>85</v>
      </c>
      <c r="I76" s="2" t="str">
        <f t="shared" si="1"/>
        <v>07</v>
      </c>
      <c r="J76" s="2">
        <v>50</v>
      </c>
      <c r="K76" s="3">
        <v>-144900</v>
      </c>
      <c r="L76" s="2" t="s">
        <v>26</v>
      </c>
      <c r="M76" s="3">
        <v>-144900</v>
      </c>
      <c r="N76" s="2" t="s">
        <v>26</v>
      </c>
      <c r="R76" s="2" t="s">
        <v>27</v>
      </c>
      <c r="S76" s="2" t="s">
        <v>150</v>
      </c>
      <c r="T76" s="2" t="s">
        <v>59</v>
      </c>
      <c r="U76" s="2" t="s">
        <v>152</v>
      </c>
      <c r="V76" s="4">
        <f>+VLOOKUP(U76,'FBCJ Jul-Des 2025'!$G$10:$P$1302,8,0)</f>
        <v>70101114</v>
      </c>
      <c r="W76" s="4" t="str">
        <f>+VLOOKUP(V76,Sheet1!$A$2:$B$27,2,0)</f>
        <v>By Perbaikan &amp; Perawatan Perabot Material Pihak3</v>
      </c>
      <c r="X76" s="4" t="str">
        <f>+VLOOKUP(U76,'FBCJ Jul-Des 2025'!$G$10:$P$1302,9,0)</f>
        <v>R124QCA</v>
      </c>
      <c r="Y76" s="2" t="s">
        <v>43</v>
      </c>
      <c r="Z76" s="2">
        <v>1495275</v>
      </c>
      <c r="AA76" s="2">
        <v>20250708</v>
      </c>
      <c r="AB76" s="3">
        <v>144900</v>
      </c>
    </row>
    <row r="77" spans="3:28" x14ac:dyDescent="0.25">
      <c r="C77" s="2">
        <v>10000001</v>
      </c>
      <c r="D77" s="2" t="s">
        <v>85</v>
      </c>
      <c r="F77" s="2">
        <v>12005391</v>
      </c>
      <c r="H77" s="2" t="s">
        <v>85</v>
      </c>
      <c r="I77" s="2" t="str">
        <f t="shared" si="1"/>
        <v>07</v>
      </c>
      <c r="J77" s="2">
        <v>50</v>
      </c>
      <c r="K77" s="3">
        <v>-680000</v>
      </c>
      <c r="L77" s="2" t="s">
        <v>26</v>
      </c>
      <c r="M77" s="3">
        <v>-680000</v>
      </c>
      <c r="N77" s="2" t="s">
        <v>26</v>
      </c>
      <c r="R77" s="2" t="s">
        <v>27</v>
      </c>
      <c r="S77" s="2" t="s">
        <v>153</v>
      </c>
      <c r="T77" s="2" t="s">
        <v>146</v>
      </c>
      <c r="U77" s="2" t="s">
        <v>151</v>
      </c>
      <c r="V77" s="4">
        <f>+VLOOKUP(U77,'FBCJ Jul-Des 2025'!$G$10:$P$1302,8,0)</f>
        <v>70115100</v>
      </c>
      <c r="W77" s="4" t="str">
        <f>+VLOOKUP(V77,Sheet1!$A$2:$B$27,2,0)</f>
        <v>Biaya Riset, Pengembangan, dan Laboratorium</v>
      </c>
      <c r="X77" s="4" t="str">
        <f>+VLOOKUP(U77,'FBCJ Jul-Des 2025'!$G$10:$P$1302,9,0)</f>
        <v>R124QCA</v>
      </c>
      <c r="Y77" s="2" t="s">
        <v>43</v>
      </c>
      <c r="Z77" s="2">
        <v>1495275</v>
      </c>
      <c r="AA77" s="2">
        <v>20250708</v>
      </c>
      <c r="AB77" s="3">
        <v>680000</v>
      </c>
    </row>
    <row r="78" spans="3:28" x14ac:dyDescent="0.25">
      <c r="C78" s="2">
        <v>10000001</v>
      </c>
      <c r="D78" s="2" t="s">
        <v>85</v>
      </c>
      <c r="F78" s="2">
        <v>12005392</v>
      </c>
      <c r="H78" s="2" t="s">
        <v>85</v>
      </c>
      <c r="I78" s="2" t="str">
        <f t="shared" si="1"/>
        <v>07</v>
      </c>
      <c r="J78" s="2">
        <v>50</v>
      </c>
      <c r="K78" s="3">
        <v>-217000</v>
      </c>
      <c r="L78" s="2" t="s">
        <v>26</v>
      </c>
      <c r="M78" s="3">
        <v>-217000</v>
      </c>
      <c r="N78" s="2" t="s">
        <v>26</v>
      </c>
      <c r="R78" s="2" t="s">
        <v>27</v>
      </c>
      <c r="S78" s="2" t="s">
        <v>153</v>
      </c>
      <c r="T78" s="2" t="s">
        <v>67</v>
      </c>
      <c r="U78" s="2" t="s">
        <v>154</v>
      </c>
      <c r="V78" s="4">
        <f>+VLOOKUP(U78,'FBCJ Jul-Des 2025'!$G$10:$P$1302,8,0)</f>
        <v>70106100</v>
      </c>
      <c r="W78" s="4" t="str">
        <f>+VLOOKUP(V78,Sheet1!$A$2:$B$27,2,0)</f>
        <v>Biaya Transportasi Lokal</v>
      </c>
      <c r="X78" s="4" t="str">
        <f>+VLOOKUP(U78,'FBCJ Jul-Des 2025'!$G$10:$P$1302,9,0)</f>
        <v>R124QCA</v>
      </c>
      <c r="Y78" s="2" t="s">
        <v>43</v>
      </c>
      <c r="Z78" s="2">
        <v>1495275</v>
      </c>
      <c r="AA78" s="2">
        <v>20250708</v>
      </c>
      <c r="AB78" s="3">
        <v>217000</v>
      </c>
    </row>
    <row r="79" spans="3:28" x14ac:dyDescent="0.25">
      <c r="C79" s="2">
        <v>10000001</v>
      </c>
      <c r="D79" s="2" t="s">
        <v>85</v>
      </c>
      <c r="F79" s="2">
        <v>12005393</v>
      </c>
      <c r="H79" s="2" t="s">
        <v>85</v>
      </c>
      <c r="I79" s="2" t="str">
        <f t="shared" si="1"/>
        <v>07</v>
      </c>
      <c r="J79" s="2">
        <v>50</v>
      </c>
      <c r="K79" s="3">
        <v>-48000</v>
      </c>
      <c r="L79" s="2" t="s">
        <v>26</v>
      </c>
      <c r="M79" s="3">
        <v>-48000</v>
      </c>
      <c r="N79" s="2" t="s">
        <v>26</v>
      </c>
      <c r="R79" s="2" t="s">
        <v>27</v>
      </c>
      <c r="S79" s="2" t="s">
        <v>155</v>
      </c>
      <c r="T79" s="2" t="s">
        <v>59</v>
      </c>
      <c r="U79" s="2" t="s">
        <v>156</v>
      </c>
      <c r="V79" s="4">
        <f>+VLOOKUP(U79,'FBCJ Jul-Des 2025'!$G$10:$P$1302,8,0)</f>
        <v>70101114</v>
      </c>
      <c r="W79" s="4" t="str">
        <f>+VLOOKUP(V79,Sheet1!$A$2:$B$27,2,0)</f>
        <v>By Perbaikan &amp; Perawatan Perabot Material Pihak3</v>
      </c>
      <c r="X79" s="4" t="str">
        <f>+VLOOKUP(U79,'FBCJ Jul-Des 2025'!$G$10:$P$1302,9,0)</f>
        <v>R124WHFSB</v>
      </c>
      <c r="Y79" s="2" t="s">
        <v>43</v>
      </c>
      <c r="Z79" s="2">
        <v>1495275</v>
      </c>
      <c r="AA79" s="2">
        <v>20250708</v>
      </c>
      <c r="AB79" s="3">
        <v>48000</v>
      </c>
    </row>
    <row r="80" spans="3:28" x14ac:dyDescent="0.25">
      <c r="C80" s="2">
        <v>10000001</v>
      </c>
      <c r="D80" s="2" t="s">
        <v>85</v>
      </c>
      <c r="F80" s="2">
        <v>12005394</v>
      </c>
      <c r="H80" s="2" t="s">
        <v>85</v>
      </c>
      <c r="I80" s="2" t="str">
        <f t="shared" si="1"/>
        <v>07</v>
      </c>
      <c r="J80" s="2">
        <v>50</v>
      </c>
      <c r="K80" s="3">
        <v>-50000</v>
      </c>
      <c r="L80" s="2" t="s">
        <v>26</v>
      </c>
      <c r="M80" s="3">
        <v>-50000</v>
      </c>
      <c r="N80" s="2" t="s">
        <v>26</v>
      </c>
      <c r="R80" s="2" t="s">
        <v>27</v>
      </c>
      <c r="S80" s="2" t="s">
        <v>157</v>
      </c>
      <c r="T80" s="2" t="s">
        <v>45</v>
      </c>
      <c r="U80" s="2" t="s">
        <v>158</v>
      </c>
      <c r="V80" s="4">
        <f>+VLOOKUP(U80,'FBCJ Jul-Des 2025'!$G$10:$P$1302,8,0)</f>
        <v>70009110</v>
      </c>
      <c r="W80" s="4" t="str">
        <f>+VLOOKUP(V80,Sheet1!$A$2:$B$27,2,0)</f>
        <v>Biaya Survey dan Analisa</v>
      </c>
      <c r="X80" s="4" t="str">
        <f>+VLOOKUP(U80,'FBCJ Jul-Des 2025'!$G$10:$P$1302,9,0)</f>
        <v>M204D1COMM</v>
      </c>
      <c r="Y80" s="2" t="s">
        <v>43</v>
      </c>
      <c r="Z80" s="2">
        <v>1495275</v>
      </c>
      <c r="AA80" s="2">
        <v>20250708</v>
      </c>
      <c r="AB80" s="3">
        <v>50000</v>
      </c>
    </row>
    <row r="81" spans="3:28" x14ac:dyDescent="0.25">
      <c r="C81" s="2">
        <v>10000001</v>
      </c>
      <c r="D81" s="2" t="s">
        <v>85</v>
      </c>
      <c r="F81" s="2">
        <v>12005395</v>
      </c>
      <c r="H81" s="2" t="s">
        <v>85</v>
      </c>
      <c r="I81" s="2" t="str">
        <f t="shared" si="1"/>
        <v>07</v>
      </c>
      <c r="J81" s="2">
        <v>50</v>
      </c>
      <c r="K81" s="3">
        <v>-50000</v>
      </c>
      <c r="L81" s="2" t="s">
        <v>26</v>
      </c>
      <c r="M81" s="3">
        <v>-50000</v>
      </c>
      <c r="N81" s="2" t="s">
        <v>26</v>
      </c>
      <c r="R81" s="2" t="s">
        <v>27</v>
      </c>
      <c r="S81" s="2" t="s">
        <v>157</v>
      </c>
      <c r="T81" s="2" t="s">
        <v>45</v>
      </c>
      <c r="U81" s="2" t="s">
        <v>159</v>
      </c>
      <c r="V81" s="4">
        <f>+VLOOKUP(U81,'FBCJ Jul-Des 2025'!$G$10:$P$1302,8,0)</f>
        <v>70009110</v>
      </c>
      <c r="W81" s="4" t="str">
        <f>+VLOOKUP(V81,Sheet1!$A$2:$B$27,2,0)</f>
        <v>Biaya Survey dan Analisa</v>
      </c>
      <c r="X81" s="4" t="str">
        <f>+VLOOKUP(U81,'FBCJ Jul-Des 2025'!$G$10:$P$1302,9,0)</f>
        <v>P206D1SLSS</v>
      </c>
      <c r="Y81" s="2" t="s">
        <v>43</v>
      </c>
      <c r="Z81" s="2">
        <v>1495275</v>
      </c>
      <c r="AA81" s="2">
        <v>20250708</v>
      </c>
      <c r="AB81" s="3">
        <v>50000</v>
      </c>
    </row>
    <row r="82" spans="3:28" x14ac:dyDescent="0.25">
      <c r="C82" s="2">
        <v>10000001</v>
      </c>
      <c r="D82" s="2" t="s">
        <v>85</v>
      </c>
      <c r="F82" s="2">
        <v>12005396</v>
      </c>
      <c r="H82" s="2" t="s">
        <v>85</v>
      </c>
      <c r="I82" s="2" t="str">
        <f t="shared" si="1"/>
        <v>07</v>
      </c>
      <c r="J82" s="2">
        <v>50</v>
      </c>
      <c r="K82" s="3">
        <v>-50000</v>
      </c>
      <c r="L82" s="2" t="s">
        <v>26</v>
      </c>
      <c r="M82" s="3">
        <v>-50000</v>
      </c>
      <c r="N82" s="2" t="s">
        <v>26</v>
      </c>
      <c r="R82" s="2" t="s">
        <v>27</v>
      </c>
      <c r="S82" s="2" t="s">
        <v>157</v>
      </c>
      <c r="T82" s="2" t="s">
        <v>45</v>
      </c>
      <c r="U82" s="2" t="s">
        <v>160</v>
      </c>
      <c r="V82" s="4">
        <f>+VLOOKUP(U82,'FBCJ Jul-Des 2025'!$G$10:$P$1302,8,0)</f>
        <v>70009110</v>
      </c>
      <c r="W82" s="4" t="str">
        <f>+VLOOKUP(V82,Sheet1!$A$2:$B$27,2,0)</f>
        <v>Biaya Survey dan Analisa</v>
      </c>
      <c r="X82" s="4" t="str">
        <f>+VLOOKUP(U82,'FBCJ Jul-Des 2025'!$G$10:$P$1302,9,0)</f>
        <v>P206D1SLSS</v>
      </c>
      <c r="Y82" s="2" t="s">
        <v>43</v>
      </c>
      <c r="Z82" s="2">
        <v>1495275</v>
      </c>
      <c r="AA82" s="2">
        <v>20250708</v>
      </c>
      <c r="AB82" s="3">
        <v>50000</v>
      </c>
    </row>
    <row r="83" spans="3:28" x14ac:dyDescent="0.25">
      <c r="C83" s="2">
        <v>10000001</v>
      </c>
      <c r="D83" s="2" t="s">
        <v>85</v>
      </c>
      <c r="F83" s="2">
        <v>12005397</v>
      </c>
      <c r="H83" s="2" t="s">
        <v>85</v>
      </c>
      <c r="I83" s="2" t="str">
        <f t="shared" si="1"/>
        <v>07</v>
      </c>
      <c r="J83" s="2">
        <v>50</v>
      </c>
      <c r="K83" s="3">
        <v>-286400</v>
      </c>
      <c r="L83" s="2" t="s">
        <v>26</v>
      </c>
      <c r="M83" s="3">
        <v>-286400</v>
      </c>
      <c r="N83" s="2" t="s">
        <v>26</v>
      </c>
      <c r="R83" s="2" t="s">
        <v>27</v>
      </c>
      <c r="S83" s="2" t="s">
        <v>161</v>
      </c>
      <c r="T83" s="2" t="s">
        <v>162</v>
      </c>
      <c r="U83" s="2" t="s">
        <v>163</v>
      </c>
      <c r="V83" s="4">
        <f>+VLOOKUP(U83,'FBCJ Jul-Des 2025'!$G$10:$P$1302,8,0)</f>
        <v>70102300</v>
      </c>
      <c r="W83" s="4" t="str">
        <f>+VLOOKUP(V83,Sheet1!$A$2:$B$27,2,0)</f>
        <v>Biaya Poliklinik</v>
      </c>
      <c r="X83" s="4" t="str">
        <f>+VLOOKUP(U83,'FBCJ Jul-Des 2025'!$G$10:$P$1302,9,0)</f>
        <v>R124D1EHFS</v>
      </c>
      <c r="Y83" s="2" t="s">
        <v>43</v>
      </c>
      <c r="Z83" s="2">
        <v>1495275</v>
      </c>
      <c r="AA83" s="2">
        <v>20250708</v>
      </c>
      <c r="AB83" s="3">
        <v>286400</v>
      </c>
    </row>
    <row r="84" spans="3:28" x14ac:dyDescent="0.25">
      <c r="C84" s="2">
        <v>10000001</v>
      </c>
      <c r="D84" s="2" t="s">
        <v>85</v>
      </c>
      <c r="F84" s="2">
        <v>12005398</v>
      </c>
      <c r="H84" s="2" t="s">
        <v>85</v>
      </c>
      <c r="I84" s="2" t="str">
        <f t="shared" si="1"/>
        <v>07</v>
      </c>
      <c r="J84" s="2">
        <v>50</v>
      </c>
      <c r="K84" s="3">
        <v>-156280</v>
      </c>
      <c r="L84" s="2" t="s">
        <v>26</v>
      </c>
      <c r="M84" s="3">
        <v>-156280</v>
      </c>
      <c r="N84" s="2" t="s">
        <v>26</v>
      </c>
      <c r="R84" s="2" t="s">
        <v>27</v>
      </c>
      <c r="S84" s="2" t="s">
        <v>161</v>
      </c>
      <c r="T84" s="2" t="s">
        <v>126</v>
      </c>
      <c r="U84" s="2" t="s">
        <v>164</v>
      </c>
      <c r="V84" s="4">
        <f>+VLOOKUP(U84,'FBCJ Jul-Des 2025'!$G$10:$P$1302,8,0)</f>
        <v>70107600</v>
      </c>
      <c r="W84" s="4" t="str">
        <f>+VLOOKUP(V84,Sheet1!$A$2:$B$27,2,0)</f>
        <v>Biaya Konsumsi Kantor</v>
      </c>
      <c r="X84" s="4" t="str">
        <f>+VLOOKUP(U84,'FBCJ Jul-Des 2025'!$G$10:$P$1302,9,0)</f>
        <v>R124D1EHFS</v>
      </c>
      <c r="Y84" s="2" t="s">
        <v>43</v>
      </c>
      <c r="Z84" s="2">
        <v>1495275</v>
      </c>
      <c r="AA84" s="2">
        <v>20250708</v>
      </c>
      <c r="AB84" s="3">
        <v>156280</v>
      </c>
    </row>
    <row r="85" spans="3:28" x14ac:dyDescent="0.25">
      <c r="C85" s="2">
        <v>10000001</v>
      </c>
      <c r="D85" s="2" t="s">
        <v>85</v>
      </c>
      <c r="F85" s="2">
        <v>12005399</v>
      </c>
      <c r="H85" s="2" t="s">
        <v>85</v>
      </c>
      <c r="I85" s="2" t="str">
        <f t="shared" si="1"/>
        <v>07</v>
      </c>
      <c r="J85" s="2">
        <v>50</v>
      </c>
      <c r="K85" s="3">
        <v>-172150</v>
      </c>
      <c r="L85" s="2" t="s">
        <v>26</v>
      </c>
      <c r="M85" s="3">
        <v>-172150</v>
      </c>
      <c r="N85" s="2" t="s">
        <v>26</v>
      </c>
      <c r="R85" s="2" t="s">
        <v>27</v>
      </c>
      <c r="S85" s="2" t="s">
        <v>165</v>
      </c>
      <c r="T85" s="2" t="s">
        <v>59</v>
      </c>
      <c r="U85" s="2" t="s">
        <v>166</v>
      </c>
      <c r="V85" s="4">
        <f>+VLOOKUP(U85,'FBCJ Jul-Des 2025'!$G$10:$P$1302,8,0)</f>
        <v>70101114</v>
      </c>
      <c r="W85" s="4" t="str">
        <f>+VLOOKUP(V85,Sheet1!$A$2:$B$27,2,0)</f>
        <v>By Perbaikan &amp; Perawatan Perabot Material Pihak3</v>
      </c>
      <c r="X85" s="4" t="str">
        <f>+VLOOKUP(U85,'FBCJ Jul-Des 2025'!$G$10:$P$1302,9,0)</f>
        <v>R124LOG</v>
      </c>
      <c r="Y85" s="2" t="s">
        <v>43</v>
      </c>
      <c r="Z85" s="2">
        <v>1495275</v>
      </c>
      <c r="AA85" s="2">
        <v>20250708</v>
      </c>
      <c r="AB85" s="3">
        <v>172150</v>
      </c>
    </row>
    <row r="86" spans="3:28" x14ac:dyDescent="0.25">
      <c r="C86" s="2">
        <v>10000001</v>
      </c>
      <c r="D86" s="2" t="s">
        <v>85</v>
      </c>
      <c r="F86" s="2">
        <v>12005400</v>
      </c>
      <c r="H86" s="2" t="s">
        <v>85</v>
      </c>
      <c r="I86" s="2" t="str">
        <f t="shared" si="1"/>
        <v>07</v>
      </c>
      <c r="J86" s="2">
        <v>50</v>
      </c>
      <c r="K86" s="3">
        <v>-830000</v>
      </c>
      <c r="L86" s="2" t="s">
        <v>26</v>
      </c>
      <c r="M86" s="3">
        <v>-830000</v>
      </c>
      <c r="N86" s="2" t="s">
        <v>26</v>
      </c>
      <c r="R86" s="2" t="s">
        <v>27</v>
      </c>
      <c r="S86" s="2" t="s">
        <v>167</v>
      </c>
      <c r="T86" s="2" t="s">
        <v>96</v>
      </c>
      <c r="U86" s="2" t="s">
        <v>168</v>
      </c>
      <c r="V86" s="4">
        <f>+VLOOKUP(U86,'FBCJ Jul-Des 2025'!$G$10:$P$1302,8,0)</f>
        <v>70106400</v>
      </c>
      <c r="W86" s="4" t="str">
        <f>+VLOOKUP(V86,Sheet1!$A$2:$B$27,2,0)</f>
        <v>Biaya Bahan Bakar</v>
      </c>
      <c r="X86" s="4" t="str">
        <f>+VLOOKUP(U86,'FBCJ Jul-Des 2025'!$G$10:$P$1302,9,0)</f>
        <v>R124D1HRGA</v>
      </c>
      <c r="Y86" s="2" t="s">
        <v>43</v>
      </c>
      <c r="Z86" s="2">
        <v>1495275</v>
      </c>
      <c r="AA86" s="2">
        <v>20250708</v>
      </c>
      <c r="AB86" s="3">
        <v>830000</v>
      </c>
    </row>
    <row r="87" spans="3:28" x14ac:dyDescent="0.25">
      <c r="C87" s="2">
        <v>10000001</v>
      </c>
      <c r="D87" s="2" t="s">
        <v>85</v>
      </c>
      <c r="F87" s="2">
        <v>12005401</v>
      </c>
      <c r="H87" s="2" t="s">
        <v>85</v>
      </c>
      <c r="I87" s="2" t="str">
        <f t="shared" si="1"/>
        <v>07</v>
      </c>
      <c r="J87" s="2">
        <v>50</v>
      </c>
      <c r="K87" s="3">
        <v>-168900</v>
      </c>
      <c r="L87" s="2" t="s">
        <v>26</v>
      </c>
      <c r="M87" s="3">
        <v>-168900</v>
      </c>
      <c r="N87" s="2" t="s">
        <v>26</v>
      </c>
      <c r="R87" s="2" t="s">
        <v>27</v>
      </c>
      <c r="S87" s="2" t="s">
        <v>167</v>
      </c>
      <c r="T87" s="2" t="s">
        <v>67</v>
      </c>
      <c r="U87" s="2" t="s">
        <v>98</v>
      </c>
      <c r="V87" s="4">
        <f>+VLOOKUP(U87,'FBCJ Jul-Des 2025'!$G$10:$P$1302,8,0)</f>
        <v>70106100</v>
      </c>
      <c r="W87" s="4" t="str">
        <f>+VLOOKUP(V87,Sheet1!$A$2:$B$27,2,0)</f>
        <v>Biaya Transportasi Lokal</v>
      </c>
      <c r="X87" s="4" t="str">
        <f>+VLOOKUP(U87,'FBCJ Jul-Des 2025'!$G$10:$P$1302,9,0)</f>
        <v>R124D1HRGA</v>
      </c>
      <c r="Y87" s="2" t="s">
        <v>43</v>
      </c>
      <c r="Z87" s="2">
        <v>1495275</v>
      </c>
      <c r="AA87" s="2">
        <v>20250708</v>
      </c>
      <c r="AB87" s="3">
        <v>168900</v>
      </c>
    </row>
    <row r="88" spans="3:28" x14ac:dyDescent="0.25">
      <c r="C88" s="2">
        <v>10000001</v>
      </c>
      <c r="D88" s="2" t="s">
        <v>85</v>
      </c>
      <c r="F88" s="2">
        <v>12005402</v>
      </c>
      <c r="H88" s="2" t="s">
        <v>85</v>
      </c>
      <c r="I88" s="2" t="str">
        <f t="shared" si="1"/>
        <v>07</v>
      </c>
      <c r="J88" s="2">
        <v>50</v>
      </c>
      <c r="K88" s="3">
        <v>-325000</v>
      </c>
      <c r="L88" s="2" t="s">
        <v>26</v>
      </c>
      <c r="M88" s="3">
        <v>-325000</v>
      </c>
      <c r="N88" s="2" t="s">
        <v>26</v>
      </c>
      <c r="R88" s="2" t="s">
        <v>27</v>
      </c>
      <c r="S88" s="2" t="s">
        <v>169</v>
      </c>
      <c r="T88" s="2" t="s">
        <v>126</v>
      </c>
      <c r="U88" s="2" t="s">
        <v>170</v>
      </c>
      <c r="V88" s="4">
        <f>+VLOOKUP(U88,'FBCJ Jul-Des 2025'!$G$10:$P$1302,8,0)</f>
        <v>70107600</v>
      </c>
      <c r="W88" s="4" t="str">
        <f>+VLOOKUP(V88,Sheet1!$A$2:$B$27,2,0)</f>
        <v>Biaya Konsumsi Kantor</v>
      </c>
      <c r="X88" s="4" t="str">
        <f>+VLOOKUP(U88,'FBCJ Jul-Des 2025'!$G$10:$P$1302,9,0)</f>
        <v>R124LOG</v>
      </c>
      <c r="Y88" s="2" t="s">
        <v>43</v>
      </c>
      <c r="Z88" s="2">
        <v>1495275</v>
      </c>
      <c r="AA88" s="2">
        <v>20250708</v>
      </c>
      <c r="AB88" s="3">
        <v>325000</v>
      </c>
    </row>
    <row r="89" spans="3:28" x14ac:dyDescent="0.25">
      <c r="C89" s="2">
        <v>10000001</v>
      </c>
      <c r="D89" s="2" t="s">
        <v>85</v>
      </c>
      <c r="F89" s="2">
        <v>12005403</v>
      </c>
      <c r="H89" s="2" t="s">
        <v>85</v>
      </c>
      <c r="I89" s="2" t="str">
        <f t="shared" si="1"/>
        <v>07</v>
      </c>
      <c r="J89" s="2">
        <v>50</v>
      </c>
      <c r="K89" s="3">
        <v>-900000</v>
      </c>
      <c r="L89" s="2" t="s">
        <v>26</v>
      </c>
      <c r="M89" s="3">
        <v>-900000</v>
      </c>
      <c r="N89" s="2" t="s">
        <v>26</v>
      </c>
      <c r="R89" s="2" t="s">
        <v>27</v>
      </c>
      <c r="S89" s="2" t="s">
        <v>171</v>
      </c>
      <c r="T89" s="2" t="s">
        <v>172</v>
      </c>
      <c r="U89" s="2" t="s">
        <v>173</v>
      </c>
      <c r="V89" s="4">
        <f>+VLOOKUP(U89,'FBCJ Jul-Des 2025'!$G$10:$P$1302,8,0)</f>
        <v>70101230</v>
      </c>
      <c r="W89" s="4" t="str">
        <f>+VLOOKUP(V89,Sheet1!$A$2:$B$27,2,0)</f>
        <v>Pemakaian Sparepart Kend &amp; A.Berat</v>
      </c>
      <c r="X89" s="4" t="str">
        <f>+VLOOKUP(U89,'FBCJ Jul-Des 2025'!$G$10:$P$1302,9,0)</f>
        <v>R124WHFSB</v>
      </c>
      <c r="Y89" s="2" t="s">
        <v>43</v>
      </c>
      <c r="Z89" s="2">
        <v>1495275</v>
      </c>
      <c r="AA89" s="2">
        <v>20250708</v>
      </c>
      <c r="AB89" s="3">
        <v>900000</v>
      </c>
    </row>
    <row r="90" spans="3:28" x14ac:dyDescent="0.25">
      <c r="C90" s="2">
        <v>10000001</v>
      </c>
      <c r="D90" s="2" t="s">
        <v>85</v>
      </c>
      <c r="F90" s="2">
        <v>12005404</v>
      </c>
      <c r="H90" s="2" t="s">
        <v>85</v>
      </c>
      <c r="I90" s="2" t="str">
        <f t="shared" si="1"/>
        <v>07</v>
      </c>
      <c r="J90" s="2">
        <v>50</v>
      </c>
      <c r="K90" s="3">
        <v>-900000</v>
      </c>
      <c r="L90" s="2" t="s">
        <v>26</v>
      </c>
      <c r="M90" s="3">
        <v>-900000</v>
      </c>
      <c r="N90" s="2" t="s">
        <v>26</v>
      </c>
      <c r="R90" s="2" t="s">
        <v>27</v>
      </c>
      <c r="S90" s="2" t="s">
        <v>174</v>
      </c>
      <c r="T90" s="2" t="s">
        <v>172</v>
      </c>
      <c r="U90" s="2" t="s">
        <v>173</v>
      </c>
      <c r="V90" s="4">
        <f>+VLOOKUP(U90,'FBCJ Jul-Des 2025'!$G$10:$P$1302,8,0)</f>
        <v>70101230</v>
      </c>
      <c r="W90" s="4" t="str">
        <f>+VLOOKUP(V90,Sheet1!$A$2:$B$27,2,0)</f>
        <v>Pemakaian Sparepart Kend &amp; A.Berat</v>
      </c>
      <c r="X90" s="4" t="str">
        <f>+VLOOKUP(U90,'FBCJ Jul-Des 2025'!$G$10:$P$1302,9,0)</f>
        <v>R124WHFSB</v>
      </c>
      <c r="Y90" s="2" t="s">
        <v>43</v>
      </c>
      <c r="Z90" s="2">
        <v>1495275</v>
      </c>
      <c r="AA90" s="2">
        <v>20250708</v>
      </c>
      <c r="AB90" s="3">
        <v>900000</v>
      </c>
    </row>
    <row r="91" spans="3:28" x14ac:dyDescent="0.25">
      <c r="C91" s="2">
        <v>10000001</v>
      </c>
      <c r="D91" s="2" t="s">
        <v>85</v>
      </c>
      <c r="F91" s="2">
        <v>12005405</v>
      </c>
      <c r="H91" s="2" t="s">
        <v>85</v>
      </c>
      <c r="I91" s="2" t="str">
        <f t="shared" si="1"/>
        <v>07</v>
      </c>
      <c r="J91" s="2">
        <v>50</v>
      </c>
      <c r="K91" s="3">
        <v>-76000</v>
      </c>
      <c r="L91" s="2" t="s">
        <v>26</v>
      </c>
      <c r="M91" s="3">
        <v>-76000</v>
      </c>
      <c r="N91" s="2" t="s">
        <v>26</v>
      </c>
      <c r="R91" s="2" t="s">
        <v>27</v>
      </c>
      <c r="S91" s="2" t="s">
        <v>174</v>
      </c>
      <c r="T91" s="2" t="s">
        <v>59</v>
      </c>
      <c r="U91" s="2" t="s">
        <v>175</v>
      </c>
      <c r="V91" s="4">
        <f>+VLOOKUP(U91,'FBCJ Jul-Des 2025'!$G$10:$P$1302,8,0)</f>
        <v>70101114</v>
      </c>
      <c r="W91" s="4" t="str">
        <f>+VLOOKUP(V91,Sheet1!$A$2:$B$27,2,0)</f>
        <v>By Perbaikan &amp; Perawatan Perabot Material Pihak3</v>
      </c>
      <c r="X91" s="4" t="str">
        <f>+VLOOKUP(U91,'FBCJ Jul-Des 2025'!$G$10:$P$1302,9,0)</f>
        <v>R124WHFSB</v>
      </c>
      <c r="Y91" s="2" t="s">
        <v>43</v>
      </c>
      <c r="Z91" s="2">
        <v>1495275</v>
      </c>
      <c r="AA91" s="2">
        <v>20250708</v>
      </c>
      <c r="AB91" s="3">
        <v>76000</v>
      </c>
    </row>
    <row r="92" spans="3:28" x14ac:dyDescent="0.25">
      <c r="C92" s="2">
        <v>10000001</v>
      </c>
      <c r="D92" s="2" t="s">
        <v>85</v>
      </c>
      <c r="F92" s="2">
        <v>12005406</v>
      </c>
      <c r="H92" s="2" t="s">
        <v>85</v>
      </c>
      <c r="I92" s="2" t="str">
        <f t="shared" si="1"/>
        <v>07</v>
      </c>
      <c r="J92" s="2">
        <v>50</v>
      </c>
      <c r="K92" s="3">
        <v>-915600</v>
      </c>
      <c r="L92" s="2" t="s">
        <v>26</v>
      </c>
      <c r="M92" s="3">
        <v>-915600</v>
      </c>
      <c r="N92" s="2" t="s">
        <v>26</v>
      </c>
      <c r="R92" s="2" t="s">
        <v>27</v>
      </c>
      <c r="S92" s="2" t="s">
        <v>176</v>
      </c>
      <c r="T92" s="2" t="s">
        <v>126</v>
      </c>
      <c r="U92" s="2" t="s">
        <v>177</v>
      </c>
      <c r="V92" s="4">
        <f>+VLOOKUP(U92,'FBCJ Jul-Des 2025'!$G$10:$P$1302,8,0)</f>
        <v>70107600</v>
      </c>
      <c r="W92" s="4" t="str">
        <f>+VLOOKUP(V92,Sheet1!$A$2:$B$27,2,0)</f>
        <v>Biaya Konsumsi Kantor</v>
      </c>
      <c r="X92" s="4" t="str">
        <f>+VLOOKUP(U92,'FBCJ Jul-Des 2025'!$G$10:$P$1302,9,0)</f>
        <v>R124QMR</v>
      </c>
      <c r="Y92" s="2" t="s">
        <v>43</v>
      </c>
      <c r="Z92" s="2">
        <v>1495275</v>
      </c>
      <c r="AA92" s="2">
        <v>20250708</v>
      </c>
      <c r="AB92" s="3">
        <v>915600</v>
      </c>
    </row>
    <row r="93" spans="3:28" x14ac:dyDescent="0.25">
      <c r="C93" s="2">
        <v>10000001</v>
      </c>
      <c r="D93" s="2" t="s">
        <v>85</v>
      </c>
      <c r="F93" s="2">
        <v>12005407</v>
      </c>
      <c r="H93" s="2" t="s">
        <v>85</v>
      </c>
      <c r="I93" s="2" t="str">
        <f t="shared" si="1"/>
        <v>07</v>
      </c>
      <c r="J93" s="2">
        <v>50</v>
      </c>
      <c r="K93" s="3">
        <v>-420000</v>
      </c>
      <c r="L93" s="2" t="s">
        <v>26</v>
      </c>
      <c r="M93" s="3">
        <v>-420000</v>
      </c>
      <c r="N93" s="2" t="s">
        <v>26</v>
      </c>
      <c r="R93" s="2" t="s">
        <v>27</v>
      </c>
      <c r="S93" s="2" t="s">
        <v>178</v>
      </c>
      <c r="T93" s="2" t="s">
        <v>57</v>
      </c>
      <c r="U93" s="2" t="s">
        <v>179</v>
      </c>
      <c r="V93" s="4">
        <f>+VLOOKUP(U93,'FBCJ Jul-Des 2025'!$G$10:$P$1302,8,0)</f>
        <v>70101202</v>
      </c>
      <c r="W93" s="4" t="str">
        <f>+VLOOKUP(V93,Sheet1!$A$2:$B$27,2,0)</f>
        <v>By Pemeliharaan Kend,ABerat,Mesin-Material Pihak3</v>
      </c>
      <c r="X93" s="4" t="str">
        <f>+VLOOKUP(U93,'FBCJ Jul-Des 2025'!$G$10:$P$1302,9,0)</f>
        <v>C206D1SLSS</v>
      </c>
      <c r="Y93" s="2" t="s">
        <v>43</v>
      </c>
      <c r="Z93" s="2">
        <v>1495275</v>
      </c>
      <c r="AA93" s="2">
        <v>20250708</v>
      </c>
      <c r="AB93" s="3">
        <v>420000</v>
      </c>
    </row>
    <row r="94" spans="3:28" x14ac:dyDescent="0.25">
      <c r="C94" s="2">
        <v>10000001</v>
      </c>
      <c r="D94" s="2" t="s">
        <v>85</v>
      </c>
      <c r="F94" s="2">
        <v>12005408</v>
      </c>
      <c r="H94" s="2" t="s">
        <v>85</v>
      </c>
      <c r="I94" s="2" t="str">
        <f t="shared" si="1"/>
        <v>07</v>
      </c>
      <c r="J94" s="2">
        <v>50</v>
      </c>
      <c r="K94" s="3">
        <v>-328000</v>
      </c>
      <c r="L94" s="2" t="s">
        <v>26</v>
      </c>
      <c r="M94" s="3">
        <v>-328000</v>
      </c>
      <c r="N94" s="2" t="s">
        <v>26</v>
      </c>
      <c r="R94" s="2" t="s">
        <v>27</v>
      </c>
      <c r="S94" s="2" t="s">
        <v>180</v>
      </c>
      <c r="T94" s="2" t="s">
        <v>57</v>
      </c>
      <c r="U94" s="2" t="s">
        <v>181</v>
      </c>
      <c r="V94" s="4">
        <f>+VLOOKUP(U94,'FBCJ Jul-Des 2025'!$G$10:$P$1302,8,0)</f>
        <v>70101202</v>
      </c>
      <c r="W94" s="4" t="str">
        <f>+VLOOKUP(V94,Sheet1!$A$2:$B$27,2,0)</f>
        <v>By Pemeliharaan Kend,ABerat,Mesin-Material Pihak3</v>
      </c>
      <c r="X94" s="4" t="str">
        <f>+VLOOKUP(U94,'FBCJ Jul-Des 2025'!$G$10:$P$1302,9,0)</f>
        <v>P206D1SLSS</v>
      </c>
      <c r="Y94" s="2" t="s">
        <v>43</v>
      </c>
      <c r="Z94" s="2">
        <v>1495275</v>
      </c>
      <c r="AA94" s="2">
        <v>20250708</v>
      </c>
      <c r="AB94" s="3">
        <v>328000</v>
      </c>
    </row>
    <row r="95" spans="3:28" x14ac:dyDescent="0.25">
      <c r="C95" s="2">
        <v>10000001</v>
      </c>
      <c r="D95" s="2" t="s">
        <v>85</v>
      </c>
      <c r="F95" s="2">
        <v>12005409</v>
      </c>
      <c r="H95" s="2" t="s">
        <v>85</v>
      </c>
      <c r="I95" s="2" t="str">
        <f t="shared" si="1"/>
        <v>07</v>
      </c>
      <c r="J95" s="2">
        <v>50</v>
      </c>
      <c r="K95" s="3">
        <v>-50000</v>
      </c>
      <c r="L95" s="2" t="s">
        <v>26</v>
      </c>
      <c r="M95" s="3">
        <v>-50000</v>
      </c>
      <c r="N95" s="2" t="s">
        <v>26</v>
      </c>
      <c r="R95" s="2" t="s">
        <v>27</v>
      </c>
      <c r="S95" s="2" t="s">
        <v>182</v>
      </c>
      <c r="T95" s="2" t="s">
        <v>45</v>
      </c>
      <c r="U95" s="2" t="s">
        <v>183</v>
      </c>
      <c r="V95" s="4">
        <f>+VLOOKUP(U95,'FBCJ Jul-Des 2025'!$G$10:$P$1302,8,0)</f>
        <v>70009110</v>
      </c>
      <c r="W95" s="4" t="str">
        <f>+VLOOKUP(V95,Sheet1!$A$2:$B$27,2,0)</f>
        <v>Biaya Survey dan Analisa</v>
      </c>
      <c r="X95" s="4" t="str">
        <f>+VLOOKUP(U95,'FBCJ Jul-Des 2025'!$G$10:$P$1302,9,0)</f>
        <v>M204D1COMM</v>
      </c>
      <c r="Y95" s="2" t="s">
        <v>43</v>
      </c>
      <c r="Z95" s="2">
        <v>1495275</v>
      </c>
      <c r="AA95" s="2">
        <v>20250708</v>
      </c>
      <c r="AB95" s="3">
        <v>50000</v>
      </c>
    </row>
    <row r="96" spans="3:28" x14ac:dyDescent="0.25">
      <c r="C96" s="2">
        <v>10000001</v>
      </c>
      <c r="D96" s="2" t="s">
        <v>85</v>
      </c>
      <c r="F96" s="2">
        <v>12005410</v>
      </c>
      <c r="H96" s="2" t="s">
        <v>85</v>
      </c>
      <c r="I96" s="2" t="str">
        <f t="shared" si="1"/>
        <v>07</v>
      </c>
      <c r="J96" s="2">
        <v>50</v>
      </c>
      <c r="K96" s="3">
        <v>-50000</v>
      </c>
      <c r="L96" s="2" t="s">
        <v>26</v>
      </c>
      <c r="M96" s="3">
        <v>-50000</v>
      </c>
      <c r="N96" s="2" t="s">
        <v>26</v>
      </c>
      <c r="R96" s="2" t="s">
        <v>27</v>
      </c>
      <c r="S96" s="2" t="s">
        <v>184</v>
      </c>
      <c r="T96" s="2" t="s">
        <v>45</v>
      </c>
      <c r="U96" s="2" t="s">
        <v>185</v>
      </c>
      <c r="V96" s="4">
        <f>+VLOOKUP(U96,'FBCJ Jul-Des 2025'!$G$10:$P$1302,8,0)</f>
        <v>70009110</v>
      </c>
      <c r="W96" s="4" t="str">
        <f>+VLOOKUP(V96,Sheet1!$A$2:$B$27,2,0)</f>
        <v>Biaya Survey dan Analisa</v>
      </c>
      <c r="X96" s="4" t="str">
        <f>+VLOOKUP(U96,'FBCJ Jul-Des 2025'!$G$10:$P$1302,9,0)</f>
        <v>P206D1SLSS</v>
      </c>
      <c r="Y96" s="2" t="s">
        <v>43</v>
      </c>
      <c r="Z96" s="2">
        <v>1495275</v>
      </c>
      <c r="AA96" s="2">
        <v>20250708</v>
      </c>
      <c r="AB96" s="3">
        <v>50000</v>
      </c>
    </row>
    <row r="97" spans="3:28" x14ac:dyDescent="0.25">
      <c r="C97" s="2">
        <v>10000001</v>
      </c>
      <c r="D97" s="2" t="s">
        <v>85</v>
      </c>
      <c r="F97" s="2">
        <v>12005411</v>
      </c>
      <c r="H97" s="2" t="s">
        <v>85</v>
      </c>
      <c r="I97" s="2" t="str">
        <f t="shared" si="1"/>
        <v>07</v>
      </c>
      <c r="J97" s="2">
        <v>50</v>
      </c>
      <c r="K97" s="3">
        <v>-50000</v>
      </c>
      <c r="L97" s="2" t="s">
        <v>26</v>
      </c>
      <c r="M97" s="3">
        <v>-50000</v>
      </c>
      <c r="N97" s="2" t="s">
        <v>26</v>
      </c>
      <c r="R97" s="2" t="s">
        <v>27</v>
      </c>
      <c r="S97" s="2" t="s">
        <v>184</v>
      </c>
      <c r="T97" s="2" t="s">
        <v>45</v>
      </c>
      <c r="U97" s="2" t="s">
        <v>186</v>
      </c>
      <c r="V97" s="4">
        <f>+VLOOKUP(U97,'FBCJ Jul-Des 2025'!$G$10:$P$1302,8,0)</f>
        <v>70009110</v>
      </c>
      <c r="W97" s="4" t="str">
        <f>+VLOOKUP(V97,Sheet1!$A$2:$B$27,2,0)</f>
        <v>Biaya Survey dan Analisa</v>
      </c>
      <c r="X97" s="4" t="str">
        <f>+VLOOKUP(U97,'FBCJ Jul-Des 2025'!$G$10:$P$1302,9,0)</f>
        <v>P206D1SLSS</v>
      </c>
      <c r="Y97" s="2" t="s">
        <v>43</v>
      </c>
      <c r="Z97" s="2">
        <v>1495275</v>
      </c>
      <c r="AA97" s="2">
        <v>20250708</v>
      </c>
      <c r="AB97" s="3">
        <v>50000</v>
      </c>
    </row>
    <row r="98" spans="3:28" x14ac:dyDescent="0.25">
      <c r="C98" s="2">
        <v>10000001</v>
      </c>
      <c r="D98" s="2" t="s">
        <v>85</v>
      </c>
      <c r="F98" s="2">
        <v>12005412</v>
      </c>
      <c r="H98" s="2" t="s">
        <v>85</v>
      </c>
      <c r="I98" s="2" t="str">
        <f t="shared" si="1"/>
        <v>07</v>
      </c>
      <c r="J98" s="2">
        <v>50</v>
      </c>
      <c r="K98" s="3">
        <v>-50000</v>
      </c>
      <c r="L98" s="2" t="s">
        <v>26</v>
      </c>
      <c r="M98" s="3">
        <v>-50000</v>
      </c>
      <c r="N98" s="2" t="s">
        <v>26</v>
      </c>
      <c r="R98" s="2" t="s">
        <v>27</v>
      </c>
      <c r="S98" s="2" t="s">
        <v>184</v>
      </c>
      <c r="T98" s="2" t="s">
        <v>45</v>
      </c>
      <c r="U98" s="2" t="s">
        <v>187</v>
      </c>
      <c r="V98" s="4">
        <f>+VLOOKUP(U98,'FBCJ Jul-Des 2025'!$G$10:$P$1302,8,0)</f>
        <v>70009110</v>
      </c>
      <c r="W98" s="4" t="str">
        <f>+VLOOKUP(V98,Sheet1!$A$2:$B$27,2,0)</f>
        <v>Biaya Survey dan Analisa</v>
      </c>
      <c r="X98" s="4" t="str">
        <f>+VLOOKUP(U98,'FBCJ Jul-Des 2025'!$G$10:$P$1302,9,0)</f>
        <v>P206D1SLSS</v>
      </c>
      <c r="Y98" s="2" t="s">
        <v>43</v>
      </c>
      <c r="Z98" s="2">
        <v>1495275</v>
      </c>
      <c r="AA98" s="2">
        <v>20250708</v>
      </c>
      <c r="AB98" s="3">
        <v>50000</v>
      </c>
    </row>
    <row r="99" spans="3:28" x14ac:dyDescent="0.25">
      <c r="C99" s="2">
        <v>10000001</v>
      </c>
      <c r="D99" s="2" t="s">
        <v>85</v>
      </c>
      <c r="F99" s="2">
        <v>12005413</v>
      </c>
      <c r="H99" s="2" t="s">
        <v>85</v>
      </c>
      <c r="I99" s="2" t="str">
        <f t="shared" si="1"/>
        <v>07</v>
      </c>
      <c r="J99" s="2">
        <v>50</v>
      </c>
      <c r="K99" s="3">
        <v>-809000</v>
      </c>
      <c r="L99" s="2" t="s">
        <v>26</v>
      </c>
      <c r="M99" s="3">
        <v>-809000</v>
      </c>
      <c r="N99" s="2" t="s">
        <v>26</v>
      </c>
      <c r="R99" s="2" t="s">
        <v>27</v>
      </c>
      <c r="S99" s="2" t="s">
        <v>188</v>
      </c>
      <c r="T99" s="2" t="s">
        <v>59</v>
      </c>
      <c r="U99" s="2" t="s">
        <v>189</v>
      </c>
      <c r="V99" s="4">
        <f>+VLOOKUP(U99,'FBCJ Jul-Des 2025'!$G$10:$P$1302,8,0)</f>
        <v>70101114</v>
      </c>
      <c r="W99" s="4" t="str">
        <f>+VLOOKUP(V99,Sheet1!$A$2:$B$27,2,0)</f>
        <v>By Perbaikan &amp; Perawatan Perabot Material Pihak3</v>
      </c>
      <c r="X99" s="4" t="str">
        <f>+VLOOKUP(U99,'FBCJ Jul-Des 2025'!$G$10:$P$1302,9,0)</f>
        <v>R124D1HRGA</v>
      </c>
      <c r="Y99" s="2" t="s">
        <v>43</v>
      </c>
      <c r="Z99" s="2">
        <v>1495275</v>
      </c>
      <c r="AA99" s="2">
        <v>20250708</v>
      </c>
      <c r="AB99" s="3">
        <v>809000</v>
      </c>
    </row>
    <row r="100" spans="3:28" x14ac:dyDescent="0.25">
      <c r="C100" s="2">
        <v>10000001</v>
      </c>
      <c r="D100" s="2" t="s">
        <v>85</v>
      </c>
      <c r="F100" s="2">
        <v>12005414</v>
      </c>
      <c r="H100" s="2" t="s">
        <v>85</v>
      </c>
      <c r="I100" s="2" t="str">
        <f t="shared" si="1"/>
        <v>07</v>
      </c>
      <c r="J100" s="2">
        <v>50</v>
      </c>
      <c r="K100" s="3">
        <v>-500000</v>
      </c>
      <c r="L100" s="2" t="s">
        <v>26</v>
      </c>
      <c r="M100" s="3">
        <v>-500000</v>
      </c>
      <c r="N100" s="2" t="s">
        <v>26</v>
      </c>
      <c r="R100" s="2" t="s">
        <v>27</v>
      </c>
      <c r="S100" s="2" t="s">
        <v>190</v>
      </c>
      <c r="T100" s="2" t="s">
        <v>96</v>
      </c>
      <c r="U100" s="2" t="s">
        <v>191</v>
      </c>
      <c r="V100" s="4">
        <f>+VLOOKUP(U100,'FBCJ Jul-Des 2025'!$G$10:$P$1302,8,0)</f>
        <v>70106400</v>
      </c>
      <c r="W100" s="4" t="str">
        <f>+VLOOKUP(V100,Sheet1!$A$2:$B$27,2,0)</f>
        <v>Biaya Bahan Bakar</v>
      </c>
      <c r="X100" s="4" t="str">
        <f>+VLOOKUP(U100,'FBCJ Jul-Des 2025'!$G$10:$P$1302,9,0)</f>
        <v>R124D1HRGA</v>
      </c>
      <c r="Y100" s="2" t="s">
        <v>43</v>
      </c>
      <c r="Z100" s="2">
        <v>1495275</v>
      </c>
      <c r="AA100" s="2">
        <v>20250708</v>
      </c>
      <c r="AB100" s="3">
        <v>500000</v>
      </c>
    </row>
    <row r="101" spans="3:28" x14ac:dyDescent="0.25">
      <c r="C101" s="2">
        <v>10000001</v>
      </c>
      <c r="D101" s="2" t="s">
        <v>85</v>
      </c>
      <c r="F101" s="2">
        <v>12005415</v>
      </c>
      <c r="H101" s="2" t="s">
        <v>85</v>
      </c>
      <c r="I101" s="2" t="str">
        <f t="shared" si="1"/>
        <v>07</v>
      </c>
      <c r="J101" s="2">
        <v>50</v>
      </c>
      <c r="K101" s="3">
        <v>-499500</v>
      </c>
      <c r="L101" s="2" t="s">
        <v>26</v>
      </c>
      <c r="M101" s="3">
        <v>-499500</v>
      </c>
      <c r="N101" s="2" t="s">
        <v>26</v>
      </c>
      <c r="R101" s="2" t="s">
        <v>27</v>
      </c>
      <c r="S101" s="2" t="s">
        <v>190</v>
      </c>
      <c r="T101" s="2" t="s">
        <v>67</v>
      </c>
      <c r="U101" s="2" t="s">
        <v>98</v>
      </c>
      <c r="V101" s="4">
        <f>+VLOOKUP(U101,'FBCJ Jul-Des 2025'!$G$10:$P$1302,8,0)</f>
        <v>70106100</v>
      </c>
      <c r="W101" s="4" t="str">
        <f>+VLOOKUP(V101,Sheet1!$A$2:$B$27,2,0)</f>
        <v>Biaya Transportasi Lokal</v>
      </c>
      <c r="X101" s="4" t="str">
        <f>+VLOOKUP(U101,'FBCJ Jul-Des 2025'!$G$10:$P$1302,9,0)</f>
        <v>R124D1HRGA</v>
      </c>
      <c r="Y101" s="2" t="s">
        <v>43</v>
      </c>
      <c r="Z101" s="2">
        <v>1495275</v>
      </c>
      <c r="AA101" s="2">
        <v>20250708</v>
      </c>
      <c r="AB101" s="3">
        <v>499500</v>
      </c>
    </row>
    <row r="102" spans="3:28" x14ac:dyDescent="0.25">
      <c r="C102" s="2">
        <v>10000001</v>
      </c>
      <c r="D102" s="2" t="s">
        <v>85</v>
      </c>
      <c r="F102" s="2">
        <v>12005416</v>
      </c>
      <c r="H102" s="2" t="s">
        <v>85</v>
      </c>
      <c r="I102" s="2" t="str">
        <f t="shared" si="1"/>
        <v>07</v>
      </c>
      <c r="J102" s="2">
        <v>50</v>
      </c>
      <c r="K102" s="3">
        <v>-57800</v>
      </c>
      <c r="L102" s="2" t="s">
        <v>26</v>
      </c>
      <c r="M102" s="3">
        <v>-57800</v>
      </c>
      <c r="N102" s="2" t="s">
        <v>26</v>
      </c>
      <c r="R102" s="2" t="s">
        <v>27</v>
      </c>
      <c r="S102" s="2" t="s">
        <v>192</v>
      </c>
      <c r="T102" s="2" t="s">
        <v>193</v>
      </c>
      <c r="U102" s="2" t="s">
        <v>194</v>
      </c>
      <c r="V102" s="4">
        <f>+VLOOKUP(U102,'FBCJ Jul-Des 2025'!$G$10:$P$1302,8,0)</f>
        <v>70105300</v>
      </c>
      <c r="W102" s="4" t="str">
        <f>+VLOOKUP(V102,Sheet1!$A$2:$B$27,2,0)</f>
        <v>Biaya Perizinan Pemerintah</v>
      </c>
      <c r="X102" s="4" t="str">
        <f>+VLOOKUP(U102,'FBCJ Jul-Des 2025'!$G$10:$P$1302,9,0)</f>
        <v>R124D1HRGA</v>
      </c>
      <c r="Y102" s="2" t="s">
        <v>43</v>
      </c>
      <c r="Z102" s="2">
        <v>1495275</v>
      </c>
      <c r="AA102" s="2">
        <v>20250708</v>
      </c>
      <c r="AB102" s="3">
        <v>57800</v>
      </c>
    </row>
    <row r="103" spans="3:28" x14ac:dyDescent="0.25">
      <c r="C103" s="2">
        <v>10000001</v>
      </c>
      <c r="D103" s="2" t="s">
        <v>85</v>
      </c>
      <c r="F103" s="2">
        <v>12005417</v>
      </c>
      <c r="H103" s="2" t="s">
        <v>85</v>
      </c>
      <c r="I103" s="2" t="str">
        <f t="shared" si="1"/>
        <v>07</v>
      </c>
      <c r="J103" s="2">
        <v>50</v>
      </c>
      <c r="K103" s="3">
        <v>-600000</v>
      </c>
      <c r="L103" s="2" t="s">
        <v>26</v>
      </c>
      <c r="M103" s="3">
        <v>-600000</v>
      </c>
      <c r="N103" s="2" t="s">
        <v>26</v>
      </c>
      <c r="R103" s="2" t="s">
        <v>27</v>
      </c>
      <c r="S103" s="2" t="s">
        <v>195</v>
      </c>
      <c r="T103" s="2" t="s">
        <v>41</v>
      </c>
      <c r="U103" s="2" t="s">
        <v>196</v>
      </c>
      <c r="V103" s="4">
        <f>+VLOOKUP(U103,'FBCJ Jul-Des 2025'!$G$10:$P$1302,8,0)</f>
        <v>70107300</v>
      </c>
      <c r="W103" s="4" t="str">
        <f>+VLOOKUP(V103,Sheet1!$A$2:$B$27,2,0)</f>
        <v>Biaya Olahraga Dan Permainan</v>
      </c>
      <c r="X103" s="4" t="str">
        <f>+VLOOKUP(U103,'FBCJ Jul-Des 2025'!$G$10:$P$1302,9,0)</f>
        <v>R124D1HRDV</v>
      </c>
      <c r="Y103" s="2" t="s">
        <v>43</v>
      </c>
      <c r="Z103" s="2">
        <v>1495275</v>
      </c>
      <c r="AA103" s="2">
        <v>20250708</v>
      </c>
      <c r="AB103" s="3">
        <v>600000</v>
      </c>
    </row>
    <row r="104" spans="3:28" x14ac:dyDescent="0.25">
      <c r="C104" s="2">
        <v>10000001</v>
      </c>
      <c r="D104" s="2" t="s">
        <v>85</v>
      </c>
      <c r="F104" s="2">
        <v>12005418</v>
      </c>
      <c r="H104" s="2" t="s">
        <v>85</v>
      </c>
      <c r="I104" s="2" t="str">
        <f t="shared" si="1"/>
        <v>07</v>
      </c>
      <c r="J104" s="2">
        <v>50</v>
      </c>
      <c r="K104" s="3">
        <v>-770000</v>
      </c>
      <c r="L104" s="2" t="s">
        <v>26</v>
      </c>
      <c r="M104" s="3">
        <v>-770000</v>
      </c>
      <c r="N104" s="2" t="s">
        <v>26</v>
      </c>
      <c r="R104" s="2" t="s">
        <v>27</v>
      </c>
      <c r="S104" s="2" t="s">
        <v>197</v>
      </c>
      <c r="T104" s="2" t="s">
        <v>96</v>
      </c>
      <c r="U104" s="2" t="s">
        <v>198</v>
      </c>
      <c r="V104" s="4">
        <f>+VLOOKUP(U104,'FBCJ Jul-Des 2025'!$G$10:$P$1302,8,0)</f>
        <v>70106400</v>
      </c>
      <c r="W104" s="4" t="str">
        <f>+VLOOKUP(V104,Sheet1!$A$2:$B$27,2,0)</f>
        <v>Biaya Bahan Bakar</v>
      </c>
      <c r="X104" s="4" t="str">
        <f>+VLOOKUP(U104,'FBCJ Jul-Des 2025'!$G$10:$P$1302,9,0)</f>
        <v>R124D1HRGA</v>
      </c>
      <c r="Y104" s="2" t="s">
        <v>43</v>
      </c>
      <c r="Z104" s="2">
        <v>1495275</v>
      </c>
      <c r="AA104" s="2">
        <v>20250708</v>
      </c>
      <c r="AB104" s="3">
        <v>770000</v>
      </c>
    </row>
    <row r="105" spans="3:28" x14ac:dyDescent="0.25">
      <c r="C105" s="2">
        <v>10000001</v>
      </c>
      <c r="D105" s="2" t="s">
        <v>85</v>
      </c>
      <c r="F105" s="2">
        <v>12005419</v>
      </c>
      <c r="H105" s="2" t="s">
        <v>85</v>
      </c>
      <c r="I105" s="2" t="str">
        <f t="shared" si="1"/>
        <v>07</v>
      </c>
      <c r="J105" s="2">
        <v>50</v>
      </c>
      <c r="K105" s="3">
        <v>-229500</v>
      </c>
      <c r="L105" s="2" t="s">
        <v>26</v>
      </c>
      <c r="M105" s="3">
        <v>-229500</v>
      </c>
      <c r="N105" s="2" t="s">
        <v>26</v>
      </c>
      <c r="R105" s="2" t="s">
        <v>27</v>
      </c>
      <c r="S105" s="2" t="s">
        <v>197</v>
      </c>
      <c r="T105" s="2" t="s">
        <v>67</v>
      </c>
      <c r="U105" s="2" t="s">
        <v>98</v>
      </c>
      <c r="V105" s="4">
        <f>+VLOOKUP(U105,'FBCJ Jul-Des 2025'!$G$10:$P$1302,8,0)</f>
        <v>70106100</v>
      </c>
      <c r="W105" s="4" t="str">
        <f>+VLOOKUP(V105,Sheet1!$A$2:$B$27,2,0)</f>
        <v>Biaya Transportasi Lokal</v>
      </c>
      <c r="X105" s="4" t="str">
        <f>+VLOOKUP(U105,'FBCJ Jul-Des 2025'!$G$10:$P$1302,9,0)</f>
        <v>R124D1HRGA</v>
      </c>
      <c r="Y105" s="2" t="s">
        <v>43</v>
      </c>
      <c r="Z105" s="2">
        <v>1495275</v>
      </c>
      <c r="AA105" s="2">
        <v>20250708</v>
      </c>
      <c r="AB105" s="3">
        <v>229500</v>
      </c>
    </row>
    <row r="106" spans="3:28" x14ac:dyDescent="0.25">
      <c r="C106" s="2">
        <v>10000001</v>
      </c>
      <c r="D106" s="2" t="s">
        <v>199</v>
      </c>
      <c r="F106" s="2">
        <v>12005420</v>
      </c>
      <c r="H106" s="2" t="s">
        <v>199</v>
      </c>
      <c r="I106" s="2" t="str">
        <f t="shared" si="1"/>
        <v>07</v>
      </c>
      <c r="J106" s="2">
        <v>50</v>
      </c>
      <c r="K106" s="3">
        <v>-856000</v>
      </c>
      <c r="L106" s="2" t="s">
        <v>26</v>
      </c>
      <c r="M106" s="3">
        <v>-856000</v>
      </c>
      <c r="N106" s="2" t="s">
        <v>26</v>
      </c>
      <c r="R106" s="2" t="s">
        <v>27</v>
      </c>
      <c r="S106" s="2" t="s">
        <v>200</v>
      </c>
      <c r="T106" s="2" t="s">
        <v>129</v>
      </c>
      <c r="U106" s="2" t="s">
        <v>201</v>
      </c>
      <c r="V106" s="4">
        <f>+VLOOKUP(U106,'FBCJ Jul-Des 2025'!$G$10:$P$1302,8,0)</f>
        <v>70101102</v>
      </c>
      <c r="W106" s="4" t="str">
        <f>+VLOOKUP(V106,Sheet1!$A$2:$B$27,2,0)</f>
        <v>By Pemeliharaan BgnanPrasarana Material Pihak3</v>
      </c>
      <c r="X106" s="4" t="str">
        <f>+VLOOKUP(U106,'FBCJ Jul-Des 2025'!$G$10:$P$1302,9,0)</f>
        <v>R124REF</v>
      </c>
      <c r="Y106" s="2" t="s">
        <v>43</v>
      </c>
      <c r="Z106" s="2">
        <v>1495275</v>
      </c>
      <c r="AA106" s="2">
        <v>20250710</v>
      </c>
      <c r="AB106" s="3">
        <v>856000</v>
      </c>
    </row>
    <row r="107" spans="3:28" x14ac:dyDescent="0.25">
      <c r="C107" s="2">
        <v>10000001</v>
      </c>
      <c r="D107" s="2" t="s">
        <v>199</v>
      </c>
      <c r="F107" s="2">
        <v>12005421</v>
      </c>
      <c r="H107" s="2" t="s">
        <v>199</v>
      </c>
      <c r="I107" s="2" t="str">
        <f t="shared" si="1"/>
        <v>07</v>
      </c>
      <c r="J107" s="2">
        <v>50</v>
      </c>
      <c r="K107" s="3">
        <v>-945000</v>
      </c>
      <c r="L107" s="2" t="s">
        <v>26</v>
      </c>
      <c r="M107" s="3">
        <v>-945000</v>
      </c>
      <c r="N107" s="2" t="s">
        <v>26</v>
      </c>
      <c r="R107" s="2" t="s">
        <v>27</v>
      </c>
      <c r="S107" s="2" t="s">
        <v>202</v>
      </c>
      <c r="T107" s="2" t="s">
        <v>126</v>
      </c>
      <c r="U107" s="2" t="s">
        <v>203</v>
      </c>
      <c r="V107" s="4">
        <f>+VLOOKUP(U107,'FBCJ Jul-Des 2025'!$G$10:$P$1302,8,0)</f>
        <v>70107600</v>
      </c>
      <c r="W107" s="4" t="str">
        <f>+VLOOKUP(V107,Sheet1!$A$2:$B$27,2,0)</f>
        <v>Biaya Konsumsi Kantor</v>
      </c>
      <c r="X107" s="4" t="str">
        <f>+VLOOKUP(U107,'FBCJ Jul-Des 2025'!$G$10:$P$1302,9,0)</f>
        <v>M204D1COMM</v>
      </c>
      <c r="Y107" s="2" t="s">
        <v>43</v>
      </c>
      <c r="Z107" s="2">
        <v>1495275</v>
      </c>
      <c r="AA107" s="2">
        <v>20250710</v>
      </c>
      <c r="AB107" s="3">
        <v>945000</v>
      </c>
    </row>
    <row r="108" spans="3:28" x14ac:dyDescent="0.25">
      <c r="C108" s="2">
        <v>10000001</v>
      </c>
      <c r="D108" s="2" t="s">
        <v>199</v>
      </c>
      <c r="F108" s="2">
        <v>12005422</v>
      </c>
      <c r="H108" s="2" t="s">
        <v>199</v>
      </c>
      <c r="I108" s="2" t="str">
        <f t="shared" si="1"/>
        <v>07</v>
      </c>
      <c r="J108" s="2">
        <v>50</v>
      </c>
      <c r="K108" s="3">
        <v>-300000</v>
      </c>
      <c r="L108" s="2" t="s">
        <v>26</v>
      </c>
      <c r="M108" s="3">
        <v>-300000</v>
      </c>
      <c r="N108" s="2" t="s">
        <v>26</v>
      </c>
      <c r="R108" s="2" t="s">
        <v>27</v>
      </c>
      <c r="S108" s="2" t="s">
        <v>204</v>
      </c>
      <c r="T108" s="2" t="s">
        <v>96</v>
      </c>
      <c r="U108" s="2" t="s">
        <v>205</v>
      </c>
      <c r="V108" s="4">
        <f>+VLOOKUP(U108,'FBCJ Jul-Des 2025'!$G$10:$P$1302,8,0)</f>
        <v>70106400</v>
      </c>
      <c r="W108" s="4" t="str">
        <f>+VLOOKUP(V108,Sheet1!$A$2:$B$27,2,0)</f>
        <v>Biaya Bahan Bakar</v>
      </c>
      <c r="X108" s="4" t="str">
        <f>+VLOOKUP(U108,'FBCJ Jul-Des 2025'!$G$10:$P$1302,9,0)</f>
        <v>R124D1HRGA</v>
      </c>
      <c r="Y108" s="2" t="s">
        <v>43</v>
      </c>
      <c r="Z108" s="2">
        <v>1495275</v>
      </c>
      <c r="AA108" s="2">
        <v>20250710</v>
      </c>
      <c r="AB108" s="3">
        <v>300000</v>
      </c>
    </row>
    <row r="109" spans="3:28" x14ac:dyDescent="0.25">
      <c r="C109" s="2">
        <v>10000001</v>
      </c>
      <c r="D109" s="2" t="s">
        <v>199</v>
      </c>
      <c r="F109" s="2">
        <v>12005423</v>
      </c>
      <c r="H109" s="2" t="s">
        <v>199</v>
      </c>
      <c r="I109" s="2" t="str">
        <f t="shared" si="1"/>
        <v>07</v>
      </c>
      <c r="J109" s="2">
        <v>50</v>
      </c>
      <c r="K109" s="3">
        <v>-700000</v>
      </c>
      <c r="L109" s="2" t="s">
        <v>26</v>
      </c>
      <c r="M109" s="3">
        <v>-700000</v>
      </c>
      <c r="N109" s="2" t="s">
        <v>26</v>
      </c>
      <c r="R109" s="2" t="s">
        <v>27</v>
      </c>
      <c r="S109" s="2" t="s">
        <v>204</v>
      </c>
      <c r="T109" s="2" t="s">
        <v>67</v>
      </c>
      <c r="U109" s="2" t="s">
        <v>98</v>
      </c>
      <c r="V109" s="4">
        <f>+VLOOKUP(U109,'FBCJ Jul-Des 2025'!$G$10:$P$1302,8,0)</f>
        <v>70106100</v>
      </c>
      <c r="W109" s="4" t="str">
        <f>+VLOOKUP(V109,Sheet1!$A$2:$B$27,2,0)</f>
        <v>Biaya Transportasi Lokal</v>
      </c>
      <c r="X109" s="4" t="str">
        <f>+VLOOKUP(U109,'FBCJ Jul-Des 2025'!$G$10:$P$1302,9,0)</f>
        <v>R124D1HRGA</v>
      </c>
      <c r="Y109" s="2" t="s">
        <v>43</v>
      </c>
      <c r="Z109" s="2">
        <v>1495275</v>
      </c>
      <c r="AA109" s="2">
        <v>20250710</v>
      </c>
      <c r="AB109" s="3">
        <v>700000</v>
      </c>
    </row>
    <row r="110" spans="3:28" x14ac:dyDescent="0.25">
      <c r="C110" s="2">
        <v>10000001</v>
      </c>
      <c r="D110" s="2" t="s">
        <v>199</v>
      </c>
      <c r="F110" s="2">
        <v>12005424</v>
      </c>
      <c r="H110" s="2" t="s">
        <v>199</v>
      </c>
      <c r="I110" s="2" t="str">
        <f t="shared" si="1"/>
        <v>07</v>
      </c>
      <c r="J110" s="2">
        <v>50</v>
      </c>
      <c r="K110" s="3">
        <v>-50000</v>
      </c>
      <c r="L110" s="2" t="s">
        <v>26</v>
      </c>
      <c r="M110" s="3">
        <v>-50000</v>
      </c>
      <c r="N110" s="2" t="s">
        <v>26</v>
      </c>
      <c r="R110" s="2" t="s">
        <v>27</v>
      </c>
      <c r="S110" s="2" t="s">
        <v>206</v>
      </c>
      <c r="T110" s="2" t="s">
        <v>45</v>
      </c>
      <c r="U110" s="2" t="s">
        <v>207</v>
      </c>
      <c r="V110" s="4">
        <f>+VLOOKUP(U110,'FBCJ Jul-Des 2025'!$G$10:$P$1302,8,0)</f>
        <v>70009110</v>
      </c>
      <c r="W110" s="4" t="str">
        <f>+VLOOKUP(V110,Sheet1!$A$2:$B$27,2,0)</f>
        <v>Biaya Survey dan Analisa</v>
      </c>
      <c r="X110" s="4" t="str">
        <f>+VLOOKUP(U110,'FBCJ Jul-Des 2025'!$G$10:$P$1302,9,0)</f>
        <v>P206D1SLSS</v>
      </c>
      <c r="Y110" s="2" t="s">
        <v>43</v>
      </c>
      <c r="Z110" s="2">
        <v>1495275</v>
      </c>
      <c r="AA110" s="2">
        <v>20250710</v>
      </c>
      <c r="AB110" s="3">
        <v>50000</v>
      </c>
    </row>
    <row r="111" spans="3:28" x14ac:dyDescent="0.25">
      <c r="C111" s="2">
        <v>10000001</v>
      </c>
      <c r="D111" s="2" t="s">
        <v>199</v>
      </c>
      <c r="F111" s="2">
        <v>12005425</v>
      </c>
      <c r="H111" s="2" t="s">
        <v>199</v>
      </c>
      <c r="I111" s="2" t="str">
        <f t="shared" si="1"/>
        <v>07</v>
      </c>
      <c r="J111" s="2">
        <v>50</v>
      </c>
      <c r="K111" s="3">
        <v>-50000</v>
      </c>
      <c r="L111" s="2" t="s">
        <v>26</v>
      </c>
      <c r="M111" s="3">
        <v>-50000</v>
      </c>
      <c r="N111" s="2" t="s">
        <v>26</v>
      </c>
      <c r="R111" s="2" t="s">
        <v>27</v>
      </c>
      <c r="S111" s="2" t="s">
        <v>206</v>
      </c>
      <c r="T111" s="2" t="s">
        <v>45</v>
      </c>
      <c r="U111" s="2" t="s">
        <v>208</v>
      </c>
      <c r="V111" s="4">
        <f>+VLOOKUP(U111,'FBCJ Jul-Des 2025'!$G$10:$P$1302,8,0)</f>
        <v>70009110</v>
      </c>
      <c r="W111" s="4" t="str">
        <f>+VLOOKUP(V111,Sheet1!$A$2:$B$27,2,0)</f>
        <v>Biaya Survey dan Analisa</v>
      </c>
      <c r="X111" s="4" t="str">
        <f>+VLOOKUP(U111,'FBCJ Jul-Des 2025'!$G$10:$P$1302,9,0)</f>
        <v>P206D1SLSS</v>
      </c>
      <c r="Y111" s="2" t="s">
        <v>43</v>
      </c>
      <c r="Z111" s="2">
        <v>1495275</v>
      </c>
      <c r="AA111" s="2">
        <v>20250710</v>
      </c>
      <c r="AB111" s="3">
        <v>50000</v>
      </c>
    </row>
    <row r="112" spans="3:28" x14ac:dyDescent="0.25">
      <c r="C112" s="2">
        <v>10000001</v>
      </c>
      <c r="D112" s="2" t="s">
        <v>199</v>
      </c>
      <c r="F112" s="2">
        <v>12005426</v>
      </c>
      <c r="H112" s="2" t="s">
        <v>199</v>
      </c>
      <c r="I112" s="2" t="str">
        <f t="shared" si="1"/>
        <v>07</v>
      </c>
      <c r="J112" s="2">
        <v>50</v>
      </c>
      <c r="K112" s="3">
        <v>-991458</v>
      </c>
      <c r="L112" s="2" t="s">
        <v>26</v>
      </c>
      <c r="M112" s="3">
        <v>-991458</v>
      </c>
      <c r="N112" s="2" t="s">
        <v>26</v>
      </c>
      <c r="R112" s="2" t="s">
        <v>27</v>
      </c>
      <c r="S112" s="2" t="s">
        <v>209</v>
      </c>
      <c r="T112" s="2" t="s">
        <v>59</v>
      </c>
      <c r="U112" s="2" t="s">
        <v>210</v>
      </c>
      <c r="V112" s="4">
        <f>+VLOOKUP(U112,'FBCJ Jul-Des 2025'!$G$10:$P$1302,8,0)</f>
        <v>70101114</v>
      </c>
      <c r="W112" s="4" t="str">
        <f>+VLOOKUP(V112,Sheet1!$A$2:$B$27,2,0)</f>
        <v>By Perbaikan &amp; Perawatan Perabot Material Pihak3</v>
      </c>
      <c r="X112" s="4" t="str">
        <f>+VLOOKUP(U112,'FBCJ Jul-Des 2025'!$G$10:$P$1302,9,0)</f>
        <v>R124D1HRGA</v>
      </c>
      <c r="Y112" s="2" t="s">
        <v>43</v>
      </c>
      <c r="Z112" s="2">
        <v>1495275</v>
      </c>
      <c r="AA112" s="2">
        <v>20250710</v>
      </c>
      <c r="AB112" s="3">
        <v>991458</v>
      </c>
    </row>
    <row r="113" spans="3:28" x14ac:dyDescent="0.25">
      <c r="C113" s="2">
        <v>10000001</v>
      </c>
      <c r="D113" s="2" t="s">
        <v>199</v>
      </c>
      <c r="F113" s="2">
        <v>12005427</v>
      </c>
      <c r="H113" s="2" t="s">
        <v>199</v>
      </c>
      <c r="I113" s="2" t="str">
        <f t="shared" si="1"/>
        <v>07</v>
      </c>
      <c r="J113" s="2">
        <v>50</v>
      </c>
      <c r="K113" s="3">
        <v>-50000</v>
      </c>
      <c r="L113" s="2" t="s">
        <v>26</v>
      </c>
      <c r="M113" s="3">
        <v>-50000</v>
      </c>
      <c r="N113" s="2" t="s">
        <v>26</v>
      </c>
      <c r="R113" s="2" t="s">
        <v>27</v>
      </c>
      <c r="S113" s="2" t="s">
        <v>211</v>
      </c>
      <c r="T113" s="2" t="s">
        <v>45</v>
      </c>
      <c r="U113" s="2" t="s">
        <v>212</v>
      </c>
      <c r="V113" s="4">
        <f>+VLOOKUP(U113,'FBCJ Jul-Des 2025'!$G$10:$P$1302,8,0)</f>
        <v>70009110</v>
      </c>
      <c r="W113" s="4" t="str">
        <f>+VLOOKUP(V113,Sheet1!$A$2:$B$27,2,0)</f>
        <v>Biaya Survey dan Analisa</v>
      </c>
      <c r="X113" s="4" t="str">
        <f>+VLOOKUP(U113,'FBCJ Jul-Des 2025'!$G$10:$P$1302,9,0)</f>
        <v>P206D1SLSS</v>
      </c>
      <c r="Y113" s="2" t="s">
        <v>43</v>
      </c>
      <c r="Z113" s="2">
        <v>1495275</v>
      </c>
      <c r="AA113" s="2">
        <v>20250710</v>
      </c>
      <c r="AB113" s="3">
        <v>50000</v>
      </c>
    </row>
    <row r="114" spans="3:28" x14ac:dyDescent="0.25">
      <c r="C114" s="2">
        <v>10000001</v>
      </c>
      <c r="D114" s="2" t="s">
        <v>199</v>
      </c>
      <c r="F114" s="2">
        <v>12005428</v>
      </c>
      <c r="H114" s="2" t="s">
        <v>199</v>
      </c>
      <c r="I114" s="2" t="str">
        <f t="shared" si="1"/>
        <v>07</v>
      </c>
      <c r="J114" s="2">
        <v>50</v>
      </c>
      <c r="K114" s="3">
        <v>-50000</v>
      </c>
      <c r="L114" s="2" t="s">
        <v>26</v>
      </c>
      <c r="M114" s="3">
        <v>-50000</v>
      </c>
      <c r="N114" s="2" t="s">
        <v>26</v>
      </c>
      <c r="R114" s="2" t="s">
        <v>27</v>
      </c>
      <c r="S114" s="2" t="s">
        <v>211</v>
      </c>
      <c r="T114" s="2" t="s">
        <v>45</v>
      </c>
      <c r="U114" s="2" t="s">
        <v>213</v>
      </c>
      <c r="V114" s="4">
        <f>+VLOOKUP(U114,'FBCJ Jul-Des 2025'!$G$10:$P$1302,8,0)</f>
        <v>70009110</v>
      </c>
      <c r="W114" s="4" t="str">
        <f>+VLOOKUP(V114,Sheet1!$A$2:$B$27,2,0)</f>
        <v>Biaya Survey dan Analisa</v>
      </c>
      <c r="X114" s="4" t="str">
        <f>+VLOOKUP(U114,'FBCJ Jul-Des 2025'!$G$10:$P$1302,9,0)</f>
        <v>P206D1SLSS</v>
      </c>
      <c r="Y114" s="2" t="s">
        <v>43</v>
      </c>
      <c r="Z114" s="2">
        <v>1495275</v>
      </c>
      <c r="AA114" s="2">
        <v>20250710</v>
      </c>
      <c r="AB114" s="3">
        <v>50000</v>
      </c>
    </row>
    <row r="115" spans="3:28" x14ac:dyDescent="0.25">
      <c r="C115" s="2">
        <v>10000001</v>
      </c>
      <c r="D115" s="2" t="s">
        <v>199</v>
      </c>
      <c r="F115" s="2">
        <v>12005429</v>
      </c>
      <c r="H115" s="2" t="s">
        <v>199</v>
      </c>
      <c r="I115" s="2" t="str">
        <f t="shared" si="1"/>
        <v>07</v>
      </c>
      <c r="J115" s="2">
        <v>50</v>
      </c>
      <c r="K115" s="3">
        <v>-50000</v>
      </c>
      <c r="L115" s="2" t="s">
        <v>26</v>
      </c>
      <c r="M115" s="3">
        <v>-50000</v>
      </c>
      <c r="N115" s="2" t="s">
        <v>26</v>
      </c>
      <c r="R115" s="2" t="s">
        <v>27</v>
      </c>
      <c r="S115" s="2" t="s">
        <v>211</v>
      </c>
      <c r="T115" s="2" t="s">
        <v>45</v>
      </c>
      <c r="U115" s="2" t="s">
        <v>214</v>
      </c>
      <c r="V115" s="4">
        <f>+VLOOKUP(U115,'FBCJ Jul-Des 2025'!$G$10:$P$1302,8,0)</f>
        <v>70009110</v>
      </c>
      <c r="W115" s="4" t="str">
        <f>+VLOOKUP(V115,Sheet1!$A$2:$B$27,2,0)</f>
        <v>Biaya Survey dan Analisa</v>
      </c>
      <c r="X115" s="4" t="str">
        <f>+VLOOKUP(U115,'FBCJ Jul-Des 2025'!$G$10:$P$1302,9,0)</f>
        <v>P206D1SLSS</v>
      </c>
      <c r="Y115" s="2" t="s">
        <v>43</v>
      </c>
      <c r="Z115" s="2">
        <v>1495275</v>
      </c>
      <c r="AA115" s="2">
        <v>20250710</v>
      </c>
      <c r="AB115" s="3">
        <v>50000</v>
      </c>
    </row>
    <row r="116" spans="3:28" x14ac:dyDescent="0.25">
      <c r="C116" s="2">
        <v>10000001</v>
      </c>
      <c r="D116" s="2" t="s">
        <v>199</v>
      </c>
      <c r="F116" s="2">
        <v>12005430</v>
      </c>
      <c r="H116" s="2" t="s">
        <v>199</v>
      </c>
      <c r="I116" s="2" t="str">
        <f t="shared" si="1"/>
        <v>07</v>
      </c>
      <c r="J116" s="2">
        <v>50</v>
      </c>
      <c r="K116" s="3">
        <v>-50000</v>
      </c>
      <c r="L116" s="2" t="s">
        <v>26</v>
      </c>
      <c r="M116" s="3">
        <v>-50000</v>
      </c>
      <c r="N116" s="2" t="s">
        <v>26</v>
      </c>
      <c r="R116" s="2" t="s">
        <v>27</v>
      </c>
      <c r="S116" s="2" t="s">
        <v>215</v>
      </c>
      <c r="T116" s="2" t="s">
        <v>45</v>
      </c>
      <c r="U116" s="2" t="s">
        <v>216</v>
      </c>
      <c r="V116" s="4">
        <f>+VLOOKUP(U116,'FBCJ Jul-Des 2025'!$G$10:$P$1302,8,0)</f>
        <v>70009110</v>
      </c>
      <c r="W116" s="4" t="str">
        <f>+VLOOKUP(V116,Sheet1!$A$2:$B$27,2,0)</f>
        <v>Biaya Survey dan Analisa</v>
      </c>
      <c r="X116" s="4" t="str">
        <f>+VLOOKUP(U116,'FBCJ Jul-Des 2025'!$G$10:$P$1302,9,0)</f>
        <v>P206D1SLSS</v>
      </c>
      <c r="Y116" s="2" t="s">
        <v>43</v>
      </c>
      <c r="Z116" s="2">
        <v>1495275</v>
      </c>
      <c r="AA116" s="2">
        <v>20250710</v>
      </c>
      <c r="AB116" s="3">
        <v>50000</v>
      </c>
    </row>
    <row r="117" spans="3:28" x14ac:dyDescent="0.25">
      <c r="C117" s="2">
        <v>10000001</v>
      </c>
      <c r="D117" s="2" t="s">
        <v>199</v>
      </c>
      <c r="F117" s="2">
        <v>12005431</v>
      </c>
      <c r="H117" s="2" t="s">
        <v>199</v>
      </c>
      <c r="I117" s="2" t="str">
        <f t="shared" si="1"/>
        <v>07</v>
      </c>
      <c r="J117" s="2">
        <v>50</v>
      </c>
      <c r="K117" s="3">
        <v>-50000</v>
      </c>
      <c r="L117" s="2" t="s">
        <v>26</v>
      </c>
      <c r="M117" s="3">
        <v>-50000</v>
      </c>
      <c r="N117" s="2" t="s">
        <v>26</v>
      </c>
      <c r="R117" s="2" t="s">
        <v>27</v>
      </c>
      <c r="S117" s="2" t="s">
        <v>215</v>
      </c>
      <c r="T117" s="2" t="s">
        <v>45</v>
      </c>
      <c r="U117" s="2" t="s">
        <v>216</v>
      </c>
      <c r="V117" s="4">
        <f>+VLOOKUP(U117,'FBCJ Jul-Des 2025'!$G$10:$P$1302,8,0)</f>
        <v>70009110</v>
      </c>
      <c r="W117" s="4" t="str">
        <f>+VLOOKUP(V117,Sheet1!$A$2:$B$27,2,0)</f>
        <v>Biaya Survey dan Analisa</v>
      </c>
      <c r="X117" s="4" t="str">
        <f>+VLOOKUP(U117,'FBCJ Jul-Des 2025'!$G$10:$P$1302,9,0)</f>
        <v>P206D1SLSS</v>
      </c>
      <c r="Y117" s="2" t="s">
        <v>43</v>
      </c>
      <c r="Z117" s="2">
        <v>1495275</v>
      </c>
      <c r="AA117" s="2">
        <v>20250710</v>
      </c>
      <c r="AB117" s="3">
        <v>50000</v>
      </c>
    </row>
    <row r="118" spans="3:28" x14ac:dyDescent="0.25">
      <c r="C118" s="2">
        <v>10000001</v>
      </c>
      <c r="D118" s="2" t="s">
        <v>199</v>
      </c>
      <c r="F118" s="2">
        <v>12005432</v>
      </c>
      <c r="H118" s="2" t="s">
        <v>199</v>
      </c>
      <c r="I118" s="2" t="str">
        <f t="shared" si="1"/>
        <v>07</v>
      </c>
      <c r="J118" s="2">
        <v>50</v>
      </c>
      <c r="K118" s="3">
        <v>-952000</v>
      </c>
      <c r="L118" s="2" t="s">
        <v>26</v>
      </c>
      <c r="M118" s="3">
        <v>-952000</v>
      </c>
      <c r="N118" s="2" t="s">
        <v>26</v>
      </c>
      <c r="R118" s="2" t="s">
        <v>27</v>
      </c>
      <c r="S118" s="2" t="s">
        <v>217</v>
      </c>
      <c r="T118" s="2" t="s">
        <v>126</v>
      </c>
      <c r="U118" s="2" t="s">
        <v>218</v>
      </c>
      <c r="V118" s="4">
        <f>+VLOOKUP(U118,'FBCJ Jul-Des 2025'!$G$10:$P$1302,8,0)</f>
        <v>70107600</v>
      </c>
      <c r="W118" s="4" t="str">
        <f>+VLOOKUP(V118,Sheet1!$A$2:$B$27,2,0)</f>
        <v>Biaya Konsumsi Kantor</v>
      </c>
      <c r="X118" s="4" t="str">
        <f>+VLOOKUP(U118,'FBCJ Jul-Des 2025'!$G$10:$P$1302,9,0)</f>
        <v>R124D1HRDV</v>
      </c>
      <c r="Y118" s="2" t="s">
        <v>43</v>
      </c>
      <c r="Z118" s="2">
        <v>1495275</v>
      </c>
      <c r="AA118" s="2">
        <v>20250710</v>
      </c>
      <c r="AB118" s="3">
        <v>952000</v>
      </c>
    </row>
    <row r="119" spans="3:28" x14ac:dyDescent="0.25">
      <c r="C119" s="2">
        <v>10000001</v>
      </c>
      <c r="D119" s="2" t="s">
        <v>199</v>
      </c>
      <c r="F119" s="2">
        <v>12005433</v>
      </c>
      <c r="H119" s="2" t="s">
        <v>199</v>
      </c>
      <c r="I119" s="2" t="str">
        <f t="shared" si="1"/>
        <v>07</v>
      </c>
      <c r="J119" s="2">
        <v>50</v>
      </c>
      <c r="K119" s="3">
        <v>-580000</v>
      </c>
      <c r="L119" s="2" t="s">
        <v>26</v>
      </c>
      <c r="M119" s="3">
        <v>-580000</v>
      </c>
      <c r="N119" s="2" t="s">
        <v>26</v>
      </c>
      <c r="R119" s="2" t="s">
        <v>27</v>
      </c>
      <c r="S119" s="2" t="s">
        <v>219</v>
      </c>
      <c r="T119" s="2" t="s">
        <v>96</v>
      </c>
      <c r="U119" s="2" t="s">
        <v>220</v>
      </c>
      <c r="V119" s="4">
        <f>+VLOOKUP(U119,'FBCJ Jul-Des 2025'!$G$10:$P$1302,8,0)</f>
        <v>70106400</v>
      </c>
      <c r="W119" s="4" t="str">
        <f>+VLOOKUP(V119,Sheet1!$A$2:$B$27,2,0)</f>
        <v>Biaya Bahan Bakar</v>
      </c>
      <c r="X119" s="4" t="str">
        <f>+VLOOKUP(U119,'FBCJ Jul-Des 2025'!$G$10:$P$1302,9,0)</f>
        <v>R124D1HRGA</v>
      </c>
      <c r="Y119" s="2" t="s">
        <v>43</v>
      </c>
      <c r="Z119" s="2">
        <v>1495275</v>
      </c>
      <c r="AA119" s="2">
        <v>20250710</v>
      </c>
      <c r="AB119" s="3">
        <v>580000</v>
      </c>
    </row>
    <row r="120" spans="3:28" x14ac:dyDescent="0.25">
      <c r="C120" s="2">
        <v>10000001</v>
      </c>
      <c r="D120" s="2" t="s">
        <v>199</v>
      </c>
      <c r="F120" s="2">
        <v>12005434</v>
      </c>
      <c r="H120" s="2" t="s">
        <v>199</v>
      </c>
      <c r="I120" s="2" t="str">
        <f t="shared" si="1"/>
        <v>07</v>
      </c>
      <c r="J120" s="2">
        <v>50</v>
      </c>
      <c r="K120" s="3">
        <v>-420000</v>
      </c>
      <c r="L120" s="2" t="s">
        <v>26</v>
      </c>
      <c r="M120" s="3">
        <v>-420000</v>
      </c>
      <c r="N120" s="2" t="s">
        <v>26</v>
      </c>
      <c r="R120" s="2" t="s">
        <v>27</v>
      </c>
      <c r="S120" s="2" t="s">
        <v>219</v>
      </c>
      <c r="T120" s="2" t="s">
        <v>67</v>
      </c>
      <c r="U120" s="2" t="s">
        <v>98</v>
      </c>
      <c r="V120" s="4">
        <f>+VLOOKUP(U120,'FBCJ Jul-Des 2025'!$G$10:$P$1302,8,0)</f>
        <v>70106100</v>
      </c>
      <c r="W120" s="4" t="str">
        <f>+VLOOKUP(V120,Sheet1!$A$2:$B$27,2,0)</f>
        <v>Biaya Transportasi Lokal</v>
      </c>
      <c r="X120" s="4" t="str">
        <f>+VLOOKUP(U120,'FBCJ Jul-Des 2025'!$G$10:$P$1302,9,0)</f>
        <v>R124D1HRGA</v>
      </c>
      <c r="Y120" s="2" t="s">
        <v>43</v>
      </c>
      <c r="Z120" s="2">
        <v>1495275</v>
      </c>
      <c r="AA120" s="2">
        <v>20250710</v>
      </c>
      <c r="AB120" s="3">
        <v>420000</v>
      </c>
    </row>
    <row r="121" spans="3:28" x14ac:dyDescent="0.25">
      <c r="C121" s="2">
        <v>10000001</v>
      </c>
      <c r="D121" s="2" t="s">
        <v>221</v>
      </c>
      <c r="F121" s="2">
        <v>12005435</v>
      </c>
      <c r="H121" s="2" t="s">
        <v>221</v>
      </c>
      <c r="I121" s="2" t="str">
        <f t="shared" si="1"/>
        <v>07</v>
      </c>
      <c r="J121" s="2">
        <v>50</v>
      </c>
      <c r="K121" s="3">
        <v>-50000</v>
      </c>
      <c r="L121" s="2" t="s">
        <v>26</v>
      </c>
      <c r="M121" s="3">
        <v>-50000</v>
      </c>
      <c r="N121" s="2" t="s">
        <v>26</v>
      </c>
      <c r="R121" s="2" t="s">
        <v>27</v>
      </c>
      <c r="S121" s="2" t="s">
        <v>222</v>
      </c>
      <c r="T121" s="2" t="s">
        <v>45</v>
      </c>
      <c r="U121" s="2" t="s">
        <v>223</v>
      </c>
      <c r="V121" s="4">
        <f>+VLOOKUP(U121,'FBCJ Jul-Des 2025'!$G$10:$P$1302,8,0)</f>
        <v>70009110</v>
      </c>
      <c r="W121" s="4" t="str">
        <f>+VLOOKUP(V121,Sheet1!$A$2:$B$27,2,0)</f>
        <v>Biaya Survey dan Analisa</v>
      </c>
      <c r="X121" s="4" t="str">
        <f>+VLOOKUP(U121,'FBCJ Jul-Des 2025'!$G$10:$P$1302,9,0)</f>
        <v>P206D1SLSC</v>
      </c>
      <c r="Y121" s="2" t="s">
        <v>43</v>
      </c>
      <c r="Z121" s="2">
        <v>1495275</v>
      </c>
      <c r="AA121" s="2">
        <v>20250711</v>
      </c>
      <c r="AB121" s="3">
        <v>50000</v>
      </c>
    </row>
    <row r="122" spans="3:28" x14ac:dyDescent="0.25">
      <c r="C122" s="2">
        <v>10000001</v>
      </c>
      <c r="D122" s="2" t="s">
        <v>221</v>
      </c>
      <c r="F122" s="2">
        <v>12005436</v>
      </c>
      <c r="H122" s="2" t="s">
        <v>221</v>
      </c>
      <c r="I122" s="2" t="str">
        <f t="shared" si="1"/>
        <v>07</v>
      </c>
      <c r="J122" s="2">
        <v>50</v>
      </c>
      <c r="K122" s="3">
        <v>-50000</v>
      </c>
      <c r="L122" s="2" t="s">
        <v>26</v>
      </c>
      <c r="M122" s="3">
        <v>-50000</v>
      </c>
      <c r="N122" s="2" t="s">
        <v>26</v>
      </c>
      <c r="R122" s="2" t="s">
        <v>27</v>
      </c>
      <c r="S122" s="2" t="s">
        <v>222</v>
      </c>
      <c r="T122" s="2" t="s">
        <v>45</v>
      </c>
      <c r="U122" s="2" t="s">
        <v>224</v>
      </c>
      <c r="V122" s="4">
        <f>+VLOOKUP(U122,'FBCJ Jul-Des 2025'!$G$10:$P$1302,8,0)</f>
        <v>70009110</v>
      </c>
      <c r="W122" s="4" t="str">
        <f>+VLOOKUP(V122,Sheet1!$A$2:$B$27,2,0)</f>
        <v>Biaya Survey dan Analisa</v>
      </c>
      <c r="X122" s="4" t="str">
        <f>+VLOOKUP(U122,'FBCJ Jul-Des 2025'!$G$10:$P$1302,9,0)</f>
        <v>P206D1SLSS</v>
      </c>
      <c r="Y122" s="2" t="s">
        <v>43</v>
      </c>
      <c r="Z122" s="2">
        <v>1495275</v>
      </c>
      <c r="AA122" s="2">
        <v>20250711</v>
      </c>
      <c r="AB122" s="3">
        <v>50000</v>
      </c>
    </row>
    <row r="123" spans="3:28" x14ac:dyDescent="0.25">
      <c r="C123" s="2">
        <v>10000001</v>
      </c>
      <c r="D123" s="2" t="s">
        <v>221</v>
      </c>
      <c r="F123" s="2">
        <v>12005437</v>
      </c>
      <c r="H123" s="2" t="s">
        <v>221</v>
      </c>
      <c r="I123" s="2" t="str">
        <f t="shared" si="1"/>
        <v>07</v>
      </c>
      <c r="J123" s="2">
        <v>50</v>
      </c>
      <c r="K123" s="3">
        <v>-50000</v>
      </c>
      <c r="L123" s="2" t="s">
        <v>26</v>
      </c>
      <c r="M123" s="3">
        <v>-50000</v>
      </c>
      <c r="N123" s="2" t="s">
        <v>26</v>
      </c>
      <c r="R123" s="2" t="s">
        <v>27</v>
      </c>
      <c r="S123" s="2" t="s">
        <v>222</v>
      </c>
      <c r="T123" s="2" t="s">
        <v>45</v>
      </c>
      <c r="U123" s="2" t="s">
        <v>225</v>
      </c>
      <c r="V123" s="4">
        <f>+VLOOKUP(U123,'FBCJ Jul-Des 2025'!$G$10:$P$1302,8,0)</f>
        <v>70009110</v>
      </c>
      <c r="W123" s="4" t="str">
        <f>+VLOOKUP(V123,Sheet1!$A$2:$B$27,2,0)</f>
        <v>Biaya Survey dan Analisa</v>
      </c>
      <c r="X123" s="4" t="str">
        <f>+VLOOKUP(U123,'FBCJ Jul-Des 2025'!$G$10:$P$1302,9,0)</f>
        <v>P206D1SLSS</v>
      </c>
      <c r="Y123" s="2" t="s">
        <v>43</v>
      </c>
      <c r="Z123" s="2">
        <v>1495275</v>
      </c>
      <c r="AA123" s="2">
        <v>20250711</v>
      </c>
      <c r="AB123" s="3">
        <v>50000</v>
      </c>
    </row>
    <row r="124" spans="3:28" x14ac:dyDescent="0.25">
      <c r="C124" s="2">
        <v>10000001</v>
      </c>
      <c r="D124" s="2" t="s">
        <v>221</v>
      </c>
      <c r="F124" s="2">
        <v>12005438</v>
      </c>
      <c r="H124" s="2" t="s">
        <v>221</v>
      </c>
      <c r="I124" s="2" t="str">
        <f t="shared" si="1"/>
        <v>07</v>
      </c>
      <c r="J124" s="2">
        <v>50</v>
      </c>
      <c r="K124" s="3">
        <v>-50000</v>
      </c>
      <c r="L124" s="2" t="s">
        <v>26</v>
      </c>
      <c r="M124" s="3">
        <v>-50000</v>
      </c>
      <c r="N124" s="2" t="s">
        <v>26</v>
      </c>
      <c r="R124" s="2" t="s">
        <v>27</v>
      </c>
      <c r="S124" s="2" t="s">
        <v>222</v>
      </c>
      <c r="T124" s="2" t="s">
        <v>45</v>
      </c>
      <c r="U124" s="2" t="s">
        <v>226</v>
      </c>
      <c r="V124" s="4">
        <f>+VLOOKUP(U124,'FBCJ Jul-Des 2025'!$G$10:$P$1302,8,0)</f>
        <v>70009110</v>
      </c>
      <c r="W124" s="4" t="str">
        <f>+VLOOKUP(V124,Sheet1!$A$2:$B$27,2,0)</f>
        <v>Biaya Survey dan Analisa</v>
      </c>
      <c r="X124" s="4" t="str">
        <f>+VLOOKUP(U124,'FBCJ Jul-Des 2025'!$G$10:$P$1302,9,0)</f>
        <v>P206D1SLSC</v>
      </c>
      <c r="Y124" s="2" t="s">
        <v>43</v>
      </c>
      <c r="Z124" s="2">
        <v>1495275</v>
      </c>
      <c r="AA124" s="2">
        <v>20250711</v>
      </c>
      <c r="AB124" s="3">
        <v>50000</v>
      </c>
    </row>
    <row r="125" spans="3:28" x14ac:dyDescent="0.25">
      <c r="C125" s="2">
        <v>10000001</v>
      </c>
      <c r="D125" s="2" t="s">
        <v>221</v>
      </c>
      <c r="F125" s="2">
        <v>12005439</v>
      </c>
      <c r="H125" s="2" t="s">
        <v>221</v>
      </c>
      <c r="I125" s="2" t="str">
        <f t="shared" si="1"/>
        <v>07</v>
      </c>
      <c r="J125" s="2">
        <v>50</v>
      </c>
      <c r="K125" s="3">
        <v>-50000</v>
      </c>
      <c r="L125" s="2" t="s">
        <v>26</v>
      </c>
      <c r="M125" s="3">
        <v>-50000</v>
      </c>
      <c r="N125" s="2" t="s">
        <v>26</v>
      </c>
      <c r="R125" s="2" t="s">
        <v>27</v>
      </c>
      <c r="S125" s="2" t="s">
        <v>222</v>
      </c>
      <c r="T125" s="2" t="s">
        <v>45</v>
      </c>
      <c r="U125" s="2" t="s">
        <v>227</v>
      </c>
      <c r="V125" s="4">
        <f>+VLOOKUP(U125,'FBCJ Jul-Des 2025'!$G$10:$P$1302,8,0)</f>
        <v>70009110</v>
      </c>
      <c r="W125" s="4" t="str">
        <f>+VLOOKUP(V125,Sheet1!$A$2:$B$27,2,0)</f>
        <v>Biaya Survey dan Analisa</v>
      </c>
      <c r="X125" s="4" t="str">
        <f>+VLOOKUP(U125,'FBCJ Jul-Des 2025'!$G$10:$P$1302,9,0)</f>
        <v>P206D1SLSS</v>
      </c>
      <c r="Y125" s="2" t="s">
        <v>43</v>
      </c>
      <c r="Z125" s="2">
        <v>1495275</v>
      </c>
      <c r="AA125" s="2">
        <v>20250711</v>
      </c>
      <c r="AB125" s="3">
        <v>50000</v>
      </c>
    </row>
    <row r="126" spans="3:28" x14ac:dyDescent="0.25">
      <c r="C126" s="2">
        <v>10000001</v>
      </c>
      <c r="D126" s="2" t="s">
        <v>221</v>
      </c>
      <c r="F126" s="2">
        <v>12005440</v>
      </c>
      <c r="H126" s="2" t="s">
        <v>221</v>
      </c>
      <c r="I126" s="2" t="str">
        <f t="shared" si="1"/>
        <v>07</v>
      </c>
      <c r="J126" s="2">
        <v>50</v>
      </c>
      <c r="K126" s="3">
        <v>-50000</v>
      </c>
      <c r="L126" s="2" t="s">
        <v>26</v>
      </c>
      <c r="M126" s="3">
        <v>-50000</v>
      </c>
      <c r="N126" s="2" t="s">
        <v>26</v>
      </c>
      <c r="R126" s="2" t="s">
        <v>27</v>
      </c>
      <c r="S126" s="2" t="s">
        <v>222</v>
      </c>
      <c r="T126" s="2" t="s">
        <v>45</v>
      </c>
      <c r="U126" s="2" t="s">
        <v>228</v>
      </c>
      <c r="V126" s="4">
        <f>+VLOOKUP(U126,'FBCJ Jul-Des 2025'!$G$10:$P$1302,8,0)</f>
        <v>70009110</v>
      </c>
      <c r="W126" s="4" t="str">
        <f>+VLOOKUP(V126,Sheet1!$A$2:$B$27,2,0)</f>
        <v>Biaya Survey dan Analisa</v>
      </c>
      <c r="X126" s="4" t="str">
        <f>+VLOOKUP(U126,'FBCJ Jul-Des 2025'!$G$10:$P$1302,9,0)</f>
        <v>P206D1SLSC</v>
      </c>
      <c r="Y126" s="2" t="s">
        <v>43</v>
      </c>
      <c r="Z126" s="2">
        <v>1495275</v>
      </c>
      <c r="AA126" s="2">
        <v>20250711</v>
      </c>
      <c r="AB126" s="3">
        <v>50000</v>
      </c>
    </row>
    <row r="127" spans="3:28" x14ac:dyDescent="0.25">
      <c r="C127" s="2">
        <v>10000001</v>
      </c>
      <c r="D127" s="2" t="s">
        <v>221</v>
      </c>
      <c r="F127" s="2">
        <v>12005441</v>
      </c>
      <c r="H127" s="2" t="s">
        <v>221</v>
      </c>
      <c r="I127" s="2" t="str">
        <f t="shared" si="1"/>
        <v>07</v>
      </c>
      <c r="J127" s="2">
        <v>50</v>
      </c>
      <c r="K127" s="3">
        <v>-50000</v>
      </c>
      <c r="L127" s="2" t="s">
        <v>26</v>
      </c>
      <c r="M127" s="3">
        <v>-50000</v>
      </c>
      <c r="N127" s="2" t="s">
        <v>26</v>
      </c>
      <c r="R127" s="2" t="s">
        <v>27</v>
      </c>
      <c r="S127" s="2" t="s">
        <v>222</v>
      </c>
      <c r="T127" s="2" t="s">
        <v>45</v>
      </c>
      <c r="U127" s="2" t="s">
        <v>229</v>
      </c>
      <c r="V127" s="4">
        <f>+VLOOKUP(U127,'FBCJ Jul-Des 2025'!$G$10:$P$1302,8,0)</f>
        <v>70009110</v>
      </c>
      <c r="W127" s="4" t="str">
        <f>+VLOOKUP(V127,Sheet1!$A$2:$B$27,2,0)</f>
        <v>Biaya Survey dan Analisa</v>
      </c>
      <c r="X127" s="4" t="str">
        <f>+VLOOKUP(U127,'FBCJ Jul-Des 2025'!$G$10:$P$1302,9,0)</f>
        <v>P206D1SLSS</v>
      </c>
      <c r="Y127" s="2" t="s">
        <v>43</v>
      </c>
      <c r="Z127" s="2">
        <v>1495275</v>
      </c>
      <c r="AA127" s="2">
        <v>20250711</v>
      </c>
      <c r="AB127" s="3">
        <v>50000</v>
      </c>
    </row>
    <row r="128" spans="3:28" x14ac:dyDescent="0.25">
      <c r="C128" s="2">
        <v>10000001</v>
      </c>
      <c r="D128" s="2" t="s">
        <v>221</v>
      </c>
      <c r="F128" s="2">
        <v>12005442</v>
      </c>
      <c r="H128" s="2" t="s">
        <v>221</v>
      </c>
      <c r="I128" s="2" t="str">
        <f t="shared" si="1"/>
        <v>07</v>
      </c>
      <c r="J128" s="2">
        <v>50</v>
      </c>
      <c r="K128" s="3">
        <v>-50000</v>
      </c>
      <c r="L128" s="2" t="s">
        <v>26</v>
      </c>
      <c r="M128" s="3">
        <v>-50000</v>
      </c>
      <c r="N128" s="2" t="s">
        <v>26</v>
      </c>
      <c r="R128" s="2" t="s">
        <v>27</v>
      </c>
      <c r="S128" s="2" t="s">
        <v>222</v>
      </c>
      <c r="T128" s="2" t="s">
        <v>45</v>
      </c>
      <c r="U128" s="2" t="s">
        <v>230</v>
      </c>
      <c r="V128" s="4">
        <f>+VLOOKUP(U128,'FBCJ Jul-Des 2025'!$G$10:$P$1302,8,0)</f>
        <v>70009110</v>
      </c>
      <c r="W128" s="4" t="str">
        <f>+VLOOKUP(V128,Sheet1!$A$2:$B$27,2,0)</f>
        <v>Biaya Survey dan Analisa</v>
      </c>
      <c r="X128" s="4" t="str">
        <f>+VLOOKUP(U128,'FBCJ Jul-Des 2025'!$G$10:$P$1302,9,0)</f>
        <v>P206D1SLSS</v>
      </c>
      <c r="Y128" s="2" t="s">
        <v>43</v>
      </c>
      <c r="Z128" s="2">
        <v>1495275</v>
      </c>
      <c r="AA128" s="2">
        <v>20250711</v>
      </c>
      <c r="AB128" s="3">
        <v>50000</v>
      </c>
    </row>
    <row r="129" spans="3:28" x14ac:dyDescent="0.25">
      <c r="C129" s="2">
        <v>10000001</v>
      </c>
      <c r="D129" s="2" t="s">
        <v>221</v>
      </c>
      <c r="F129" s="2">
        <v>12005443</v>
      </c>
      <c r="H129" s="2" t="s">
        <v>221</v>
      </c>
      <c r="I129" s="2" t="str">
        <f t="shared" si="1"/>
        <v>07</v>
      </c>
      <c r="J129" s="2">
        <v>50</v>
      </c>
      <c r="K129" s="3">
        <v>-50000</v>
      </c>
      <c r="L129" s="2" t="s">
        <v>26</v>
      </c>
      <c r="M129" s="3">
        <v>-50000</v>
      </c>
      <c r="N129" s="2" t="s">
        <v>26</v>
      </c>
      <c r="R129" s="2" t="s">
        <v>27</v>
      </c>
      <c r="S129" s="2" t="s">
        <v>231</v>
      </c>
      <c r="T129" s="2" t="s">
        <v>45</v>
      </c>
      <c r="U129" s="2" t="s">
        <v>232</v>
      </c>
      <c r="V129" s="4">
        <f>+VLOOKUP(U129,'FBCJ Jul-Des 2025'!$G$10:$P$1302,8,0)</f>
        <v>70009110</v>
      </c>
      <c r="W129" s="4" t="str">
        <f>+VLOOKUP(V129,Sheet1!$A$2:$B$27,2,0)</f>
        <v>Biaya Survey dan Analisa</v>
      </c>
      <c r="X129" s="4" t="str">
        <f>+VLOOKUP(U129,'FBCJ Jul-Des 2025'!$G$10:$P$1302,9,0)</f>
        <v>M204D1COMM</v>
      </c>
      <c r="Y129" s="2" t="s">
        <v>43</v>
      </c>
      <c r="Z129" s="2">
        <v>1495275</v>
      </c>
      <c r="AA129" s="2">
        <v>20250711</v>
      </c>
      <c r="AB129" s="3">
        <v>50000</v>
      </c>
    </row>
    <row r="130" spans="3:28" x14ac:dyDescent="0.25">
      <c r="C130" s="2">
        <v>10000001</v>
      </c>
      <c r="D130" s="2" t="s">
        <v>221</v>
      </c>
      <c r="F130" s="2">
        <v>12005444</v>
      </c>
      <c r="H130" s="2" t="s">
        <v>221</v>
      </c>
      <c r="I130" s="2" t="str">
        <f t="shared" si="1"/>
        <v>07</v>
      </c>
      <c r="J130" s="2">
        <v>50</v>
      </c>
      <c r="K130" s="3">
        <v>-50000</v>
      </c>
      <c r="L130" s="2" t="s">
        <v>26</v>
      </c>
      <c r="M130" s="3">
        <v>-50000</v>
      </c>
      <c r="N130" s="2" t="s">
        <v>26</v>
      </c>
      <c r="R130" s="2" t="s">
        <v>27</v>
      </c>
      <c r="S130" s="2" t="s">
        <v>231</v>
      </c>
      <c r="T130" s="2" t="s">
        <v>45</v>
      </c>
      <c r="U130" s="2" t="s">
        <v>233</v>
      </c>
      <c r="V130" s="4">
        <f>+VLOOKUP(U130,'FBCJ Jul-Des 2025'!$G$10:$P$1302,8,0)</f>
        <v>70009110</v>
      </c>
      <c r="W130" s="4" t="str">
        <f>+VLOOKUP(V130,Sheet1!$A$2:$B$27,2,0)</f>
        <v>Biaya Survey dan Analisa</v>
      </c>
      <c r="X130" s="4" t="str">
        <f>+VLOOKUP(U130,'FBCJ Jul-Des 2025'!$G$10:$P$1302,9,0)</f>
        <v>M204D1COMM</v>
      </c>
      <c r="Y130" s="2" t="s">
        <v>43</v>
      </c>
      <c r="Z130" s="2">
        <v>1495275</v>
      </c>
      <c r="AA130" s="2">
        <v>20250711</v>
      </c>
      <c r="AB130" s="3">
        <v>50000</v>
      </c>
    </row>
    <row r="131" spans="3:28" x14ac:dyDescent="0.25">
      <c r="C131" s="2">
        <v>10000001</v>
      </c>
      <c r="D131" s="2" t="s">
        <v>221</v>
      </c>
      <c r="F131" s="2">
        <v>12005445</v>
      </c>
      <c r="H131" s="2" t="s">
        <v>221</v>
      </c>
      <c r="I131" s="2" t="str">
        <f t="shared" si="1"/>
        <v>07</v>
      </c>
      <c r="J131" s="2">
        <v>50</v>
      </c>
      <c r="K131" s="3">
        <v>-50000</v>
      </c>
      <c r="L131" s="2" t="s">
        <v>26</v>
      </c>
      <c r="M131" s="3">
        <v>-50000</v>
      </c>
      <c r="N131" s="2" t="s">
        <v>26</v>
      </c>
      <c r="R131" s="2" t="s">
        <v>27</v>
      </c>
      <c r="S131" s="2" t="s">
        <v>231</v>
      </c>
      <c r="T131" s="2" t="s">
        <v>45</v>
      </c>
      <c r="U131" s="2" t="s">
        <v>234</v>
      </c>
      <c r="V131" s="4">
        <f>+VLOOKUP(U131,'FBCJ Jul-Des 2025'!$G$10:$P$1302,8,0)</f>
        <v>70009110</v>
      </c>
      <c r="W131" s="4" t="str">
        <f>+VLOOKUP(V131,Sheet1!$A$2:$B$27,2,0)</f>
        <v>Biaya Survey dan Analisa</v>
      </c>
      <c r="X131" s="4" t="str">
        <f>+VLOOKUP(U131,'FBCJ Jul-Des 2025'!$G$10:$P$1302,9,0)</f>
        <v>C206D1SLSS</v>
      </c>
      <c r="Y131" s="2" t="s">
        <v>43</v>
      </c>
      <c r="Z131" s="2">
        <v>1495275</v>
      </c>
      <c r="AA131" s="2">
        <v>20250711</v>
      </c>
      <c r="AB131" s="3">
        <v>50000</v>
      </c>
    </row>
    <row r="132" spans="3:28" x14ac:dyDescent="0.25">
      <c r="C132" s="2">
        <v>10000001</v>
      </c>
      <c r="D132" s="2" t="s">
        <v>221</v>
      </c>
      <c r="F132" s="2">
        <v>12005446</v>
      </c>
      <c r="H132" s="2" t="s">
        <v>221</v>
      </c>
      <c r="I132" s="2" t="str">
        <f t="shared" si="1"/>
        <v>07</v>
      </c>
      <c r="J132" s="2">
        <v>50</v>
      </c>
      <c r="K132" s="3">
        <v>-50000</v>
      </c>
      <c r="L132" s="2" t="s">
        <v>26</v>
      </c>
      <c r="M132" s="3">
        <v>-50000</v>
      </c>
      <c r="N132" s="2" t="s">
        <v>26</v>
      </c>
      <c r="R132" s="2" t="s">
        <v>27</v>
      </c>
      <c r="S132" s="2" t="s">
        <v>231</v>
      </c>
      <c r="T132" s="2" t="s">
        <v>45</v>
      </c>
      <c r="U132" s="2" t="s">
        <v>235</v>
      </c>
      <c r="V132" s="4">
        <f>+VLOOKUP(U132,'FBCJ Jul-Des 2025'!$G$10:$P$1302,8,0)</f>
        <v>70009110</v>
      </c>
      <c r="W132" s="4" t="str">
        <f>+VLOOKUP(V132,Sheet1!$A$2:$B$27,2,0)</f>
        <v>Biaya Survey dan Analisa</v>
      </c>
      <c r="X132" s="4" t="str">
        <f>+VLOOKUP(U132,'FBCJ Jul-Des 2025'!$G$10:$P$1302,9,0)</f>
        <v>P206D1SLSS</v>
      </c>
      <c r="Y132" s="2" t="s">
        <v>43</v>
      </c>
      <c r="Z132" s="2">
        <v>1495275</v>
      </c>
      <c r="AA132" s="2">
        <v>20250711</v>
      </c>
      <c r="AB132" s="3">
        <v>50000</v>
      </c>
    </row>
    <row r="133" spans="3:28" x14ac:dyDescent="0.25">
      <c r="C133" s="2">
        <v>10000001</v>
      </c>
      <c r="D133" s="2" t="s">
        <v>221</v>
      </c>
      <c r="F133" s="2">
        <v>12005447</v>
      </c>
      <c r="H133" s="2" t="s">
        <v>221</v>
      </c>
      <c r="I133" s="2" t="str">
        <f t="shared" si="1"/>
        <v>07</v>
      </c>
      <c r="J133" s="2">
        <v>50</v>
      </c>
      <c r="K133" s="3">
        <v>-50000</v>
      </c>
      <c r="L133" s="2" t="s">
        <v>26</v>
      </c>
      <c r="M133" s="3">
        <v>-50000</v>
      </c>
      <c r="N133" s="2" t="s">
        <v>26</v>
      </c>
      <c r="R133" s="2" t="s">
        <v>27</v>
      </c>
      <c r="S133" s="2" t="s">
        <v>231</v>
      </c>
      <c r="T133" s="2" t="s">
        <v>45</v>
      </c>
      <c r="U133" s="2" t="s">
        <v>236</v>
      </c>
      <c r="V133" s="4">
        <f>+VLOOKUP(U133,'FBCJ Jul-Des 2025'!$G$10:$P$1302,8,0)</f>
        <v>70009110</v>
      </c>
      <c r="W133" s="4" t="str">
        <f>+VLOOKUP(V133,Sheet1!$A$2:$B$27,2,0)</f>
        <v>Biaya Survey dan Analisa</v>
      </c>
      <c r="X133" s="4" t="str">
        <f>+VLOOKUP(U133,'FBCJ Jul-Des 2025'!$G$10:$P$1302,9,0)</f>
        <v>P206D1SLSS</v>
      </c>
      <c r="Y133" s="2" t="s">
        <v>43</v>
      </c>
      <c r="Z133" s="2">
        <v>1495275</v>
      </c>
      <c r="AA133" s="2">
        <v>20250711</v>
      </c>
      <c r="AB133" s="3">
        <v>50000</v>
      </c>
    </row>
    <row r="134" spans="3:28" x14ac:dyDescent="0.25">
      <c r="C134" s="2">
        <v>10000001</v>
      </c>
      <c r="D134" s="2" t="s">
        <v>221</v>
      </c>
      <c r="F134" s="2">
        <v>12005448</v>
      </c>
      <c r="H134" s="2" t="s">
        <v>221</v>
      </c>
      <c r="I134" s="2" t="str">
        <f t="shared" si="1"/>
        <v>07</v>
      </c>
      <c r="J134" s="2">
        <v>50</v>
      </c>
      <c r="K134" s="3">
        <v>-50000</v>
      </c>
      <c r="L134" s="2" t="s">
        <v>26</v>
      </c>
      <c r="M134" s="3">
        <v>-50000</v>
      </c>
      <c r="N134" s="2" t="s">
        <v>26</v>
      </c>
      <c r="R134" s="2" t="s">
        <v>27</v>
      </c>
      <c r="S134" s="2" t="s">
        <v>231</v>
      </c>
      <c r="T134" s="2" t="s">
        <v>45</v>
      </c>
      <c r="U134" s="2" t="s">
        <v>237</v>
      </c>
      <c r="V134" s="4">
        <f>+VLOOKUP(U134,'FBCJ Jul-Des 2025'!$G$10:$P$1302,8,0)</f>
        <v>70009110</v>
      </c>
      <c r="W134" s="4" t="str">
        <f>+VLOOKUP(V134,Sheet1!$A$2:$B$27,2,0)</f>
        <v>Biaya Survey dan Analisa</v>
      </c>
      <c r="X134" s="4" t="str">
        <f>+VLOOKUP(U134,'FBCJ Jul-Des 2025'!$G$10:$P$1302,9,0)</f>
        <v>P206D1SLSS</v>
      </c>
      <c r="Y134" s="2" t="s">
        <v>43</v>
      </c>
      <c r="Z134" s="2">
        <v>1495275</v>
      </c>
      <c r="AA134" s="2">
        <v>20250711</v>
      </c>
      <c r="AB134" s="3">
        <v>50000</v>
      </c>
    </row>
    <row r="135" spans="3:28" x14ac:dyDescent="0.25">
      <c r="C135" s="2">
        <v>10000001</v>
      </c>
      <c r="D135" s="2" t="s">
        <v>221</v>
      </c>
      <c r="F135" s="2">
        <v>12005449</v>
      </c>
      <c r="H135" s="2" t="s">
        <v>221</v>
      </c>
      <c r="I135" s="2" t="str">
        <f t="shared" si="1"/>
        <v>07</v>
      </c>
      <c r="J135" s="2">
        <v>50</v>
      </c>
      <c r="K135" s="3">
        <v>-50000</v>
      </c>
      <c r="L135" s="2" t="s">
        <v>26</v>
      </c>
      <c r="M135" s="3">
        <v>-50000</v>
      </c>
      <c r="N135" s="2" t="s">
        <v>26</v>
      </c>
      <c r="R135" s="2" t="s">
        <v>27</v>
      </c>
      <c r="S135" s="2" t="s">
        <v>231</v>
      </c>
      <c r="T135" s="2" t="s">
        <v>45</v>
      </c>
      <c r="U135" s="2" t="s">
        <v>238</v>
      </c>
      <c r="V135" s="4">
        <f>+VLOOKUP(U135,'FBCJ Jul-Des 2025'!$G$10:$P$1302,8,0)</f>
        <v>70009110</v>
      </c>
      <c r="W135" s="4" t="str">
        <f>+VLOOKUP(V135,Sheet1!$A$2:$B$27,2,0)</f>
        <v>Biaya Survey dan Analisa</v>
      </c>
      <c r="X135" s="4" t="str">
        <f>+VLOOKUP(U135,'FBCJ Jul-Des 2025'!$G$10:$P$1302,9,0)</f>
        <v>P206D1SLSS</v>
      </c>
      <c r="Y135" s="2" t="s">
        <v>43</v>
      </c>
      <c r="Z135" s="2">
        <v>1495275</v>
      </c>
      <c r="AA135" s="2">
        <v>20250711</v>
      </c>
      <c r="AB135" s="3">
        <v>50000</v>
      </c>
    </row>
    <row r="136" spans="3:28" x14ac:dyDescent="0.25">
      <c r="C136" s="2">
        <v>10000001</v>
      </c>
      <c r="D136" s="2" t="s">
        <v>221</v>
      </c>
      <c r="F136" s="2">
        <v>12005450</v>
      </c>
      <c r="H136" s="2" t="s">
        <v>221</v>
      </c>
      <c r="I136" s="2" t="str">
        <f t="shared" ref="I136:I199" si="2">+MID(H136,4,2)</f>
        <v>07</v>
      </c>
      <c r="J136" s="2">
        <v>50</v>
      </c>
      <c r="K136" s="3">
        <v>-100000</v>
      </c>
      <c r="L136" s="2" t="s">
        <v>26</v>
      </c>
      <c r="M136" s="3">
        <v>-100000</v>
      </c>
      <c r="N136" s="2" t="s">
        <v>26</v>
      </c>
      <c r="R136" s="2" t="s">
        <v>27</v>
      </c>
      <c r="S136" s="2" t="s">
        <v>231</v>
      </c>
      <c r="T136" s="2" t="s">
        <v>45</v>
      </c>
      <c r="U136" s="2" t="s">
        <v>239</v>
      </c>
      <c r="V136" s="4">
        <f>+VLOOKUP(U136,'FBCJ Jul-Des 2025'!$G$10:$P$1302,8,0)</f>
        <v>70009110</v>
      </c>
      <c r="W136" s="4" t="str">
        <f>+VLOOKUP(V136,Sheet1!$A$2:$B$27,2,0)</f>
        <v>Biaya Survey dan Analisa</v>
      </c>
      <c r="X136" s="4" t="str">
        <f>+VLOOKUP(U136,'FBCJ Jul-Des 2025'!$G$10:$P$1302,9,0)</f>
        <v>M204D1COMM</v>
      </c>
      <c r="Y136" s="2" t="s">
        <v>43</v>
      </c>
      <c r="Z136" s="2">
        <v>1495275</v>
      </c>
      <c r="AA136" s="2">
        <v>20250711</v>
      </c>
      <c r="AB136" s="3">
        <v>100000</v>
      </c>
    </row>
    <row r="137" spans="3:28" x14ac:dyDescent="0.25">
      <c r="C137" s="2">
        <v>10000001</v>
      </c>
      <c r="D137" s="2" t="s">
        <v>221</v>
      </c>
      <c r="F137" s="2">
        <v>12005451</v>
      </c>
      <c r="H137" s="2" t="s">
        <v>221</v>
      </c>
      <c r="I137" s="2" t="str">
        <f t="shared" si="2"/>
        <v>07</v>
      </c>
      <c r="J137" s="2">
        <v>50</v>
      </c>
      <c r="K137" s="3">
        <v>-50000</v>
      </c>
      <c r="L137" s="2" t="s">
        <v>26</v>
      </c>
      <c r="M137" s="3">
        <v>-50000</v>
      </c>
      <c r="N137" s="2" t="s">
        <v>26</v>
      </c>
      <c r="R137" s="2" t="s">
        <v>27</v>
      </c>
      <c r="S137" s="2" t="s">
        <v>231</v>
      </c>
      <c r="T137" s="2" t="s">
        <v>45</v>
      </c>
      <c r="U137" s="2" t="s">
        <v>240</v>
      </c>
      <c r="V137" s="4">
        <f>+VLOOKUP(U137,'FBCJ Jul-Des 2025'!$G$10:$P$1302,8,0)</f>
        <v>70009110</v>
      </c>
      <c r="W137" s="4" t="str">
        <f>+VLOOKUP(V137,Sheet1!$A$2:$B$27,2,0)</f>
        <v>Biaya Survey dan Analisa</v>
      </c>
      <c r="X137" s="4" t="str">
        <f>+VLOOKUP(U137,'FBCJ Jul-Des 2025'!$G$10:$P$1302,9,0)</f>
        <v>P206D1SLSS</v>
      </c>
      <c r="Y137" s="2" t="s">
        <v>43</v>
      </c>
      <c r="Z137" s="2">
        <v>1495275</v>
      </c>
      <c r="AA137" s="2">
        <v>20250711</v>
      </c>
      <c r="AB137" s="3">
        <v>50000</v>
      </c>
    </row>
    <row r="138" spans="3:28" x14ac:dyDescent="0.25">
      <c r="C138" s="2">
        <v>10000001</v>
      </c>
      <c r="D138" s="2" t="s">
        <v>221</v>
      </c>
      <c r="F138" s="2">
        <v>12005452</v>
      </c>
      <c r="H138" s="2" t="s">
        <v>221</v>
      </c>
      <c r="I138" s="2" t="str">
        <f t="shared" si="2"/>
        <v>07</v>
      </c>
      <c r="J138" s="2">
        <v>50</v>
      </c>
      <c r="K138" s="3">
        <v>-50000</v>
      </c>
      <c r="L138" s="2" t="s">
        <v>26</v>
      </c>
      <c r="M138" s="3">
        <v>-50000</v>
      </c>
      <c r="N138" s="2" t="s">
        <v>26</v>
      </c>
      <c r="R138" s="2" t="s">
        <v>27</v>
      </c>
      <c r="S138" s="2" t="s">
        <v>231</v>
      </c>
      <c r="T138" s="2" t="s">
        <v>45</v>
      </c>
      <c r="U138" s="2" t="s">
        <v>241</v>
      </c>
      <c r="V138" s="4">
        <f>+VLOOKUP(U138,'FBCJ Jul-Des 2025'!$G$10:$P$1302,8,0)</f>
        <v>70009110</v>
      </c>
      <c r="W138" s="4" t="str">
        <f>+VLOOKUP(V138,Sheet1!$A$2:$B$27,2,0)</f>
        <v>Biaya Survey dan Analisa</v>
      </c>
      <c r="X138" s="4" t="str">
        <f>+VLOOKUP(U138,'FBCJ Jul-Des 2025'!$G$10:$P$1302,9,0)</f>
        <v>P206D1SLSS</v>
      </c>
      <c r="Y138" s="2" t="s">
        <v>43</v>
      </c>
      <c r="Z138" s="2">
        <v>1495275</v>
      </c>
      <c r="AA138" s="2">
        <v>20250711</v>
      </c>
      <c r="AB138" s="3">
        <v>50000</v>
      </c>
    </row>
    <row r="139" spans="3:28" x14ac:dyDescent="0.25">
      <c r="C139" s="2">
        <v>10000001</v>
      </c>
      <c r="D139" s="2" t="s">
        <v>221</v>
      </c>
      <c r="F139" s="2">
        <v>12005453</v>
      </c>
      <c r="H139" s="2" t="s">
        <v>221</v>
      </c>
      <c r="I139" s="2" t="str">
        <f t="shared" si="2"/>
        <v>07</v>
      </c>
      <c r="J139" s="2">
        <v>50</v>
      </c>
      <c r="K139" s="3">
        <v>-50000</v>
      </c>
      <c r="L139" s="2" t="s">
        <v>26</v>
      </c>
      <c r="M139" s="3">
        <v>-50000</v>
      </c>
      <c r="N139" s="2" t="s">
        <v>26</v>
      </c>
      <c r="R139" s="2" t="s">
        <v>27</v>
      </c>
      <c r="S139" s="2" t="s">
        <v>231</v>
      </c>
      <c r="T139" s="2" t="s">
        <v>45</v>
      </c>
      <c r="U139" s="2" t="s">
        <v>242</v>
      </c>
      <c r="V139" s="4">
        <f>+VLOOKUP(U139,'FBCJ Jul-Des 2025'!$G$10:$P$1302,8,0)</f>
        <v>70009110</v>
      </c>
      <c r="W139" s="4" t="str">
        <f>+VLOOKUP(V139,Sheet1!$A$2:$B$27,2,0)</f>
        <v>Biaya Survey dan Analisa</v>
      </c>
      <c r="X139" s="4" t="str">
        <f>+VLOOKUP(U139,'FBCJ Jul-Des 2025'!$G$10:$P$1302,9,0)</f>
        <v>P206D1SLSS</v>
      </c>
      <c r="Y139" s="2" t="s">
        <v>43</v>
      </c>
      <c r="Z139" s="2">
        <v>1495275</v>
      </c>
      <c r="AA139" s="2">
        <v>20250711</v>
      </c>
      <c r="AB139" s="3">
        <v>50000</v>
      </c>
    </row>
    <row r="140" spans="3:28" x14ac:dyDescent="0.25">
      <c r="C140" s="2">
        <v>10000001</v>
      </c>
      <c r="D140" s="2" t="s">
        <v>221</v>
      </c>
      <c r="F140" s="2">
        <v>12005454</v>
      </c>
      <c r="H140" s="2" t="s">
        <v>221</v>
      </c>
      <c r="I140" s="2" t="str">
        <f t="shared" si="2"/>
        <v>07</v>
      </c>
      <c r="J140" s="2">
        <v>50</v>
      </c>
      <c r="K140" s="3">
        <v>-50000</v>
      </c>
      <c r="L140" s="2" t="s">
        <v>26</v>
      </c>
      <c r="M140" s="3">
        <v>-50000</v>
      </c>
      <c r="N140" s="2" t="s">
        <v>26</v>
      </c>
      <c r="R140" s="2" t="s">
        <v>27</v>
      </c>
      <c r="S140" s="2" t="s">
        <v>231</v>
      </c>
      <c r="T140" s="2" t="s">
        <v>45</v>
      </c>
      <c r="U140" s="2" t="s">
        <v>243</v>
      </c>
      <c r="V140" s="4">
        <f>+VLOOKUP(U140,'FBCJ Jul-Des 2025'!$G$10:$P$1302,8,0)</f>
        <v>70009110</v>
      </c>
      <c r="W140" s="4" t="str">
        <f>+VLOOKUP(V140,Sheet1!$A$2:$B$27,2,0)</f>
        <v>Biaya Survey dan Analisa</v>
      </c>
      <c r="X140" s="4" t="str">
        <f>+VLOOKUP(U140,'FBCJ Jul-Des 2025'!$G$10:$P$1302,9,0)</f>
        <v>P206D1SLSS</v>
      </c>
      <c r="Y140" s="2" t="s">
        <v>43</v>
      </c>
      <c r="Z140" s="2">
        <v>1495275</v>
      </c>
      <c r="AA140" s="2">
        <v>20250711</v>
      </c>
      <c r="AB140" s="3">
        <v>50000</v>
      </c>
    </row>
    <row r="141" spans="3:28" x14ac:dyDescent="0.25">
      <c r="C141" s="2">
        <v>10000001</v>
      </c>
      <c r="D141" s="2" t="s">
        <v>221</v>
      </c>
      <c r="F141" s="2">
        <v>12005455</v>
      </c>
      <c r="H141" s="2" t="s">
        <v>221</v>
      </c>
      <c r="I141" s="2" t="str">
        <f t="shared" si="2"/>
        <v>07</v>
      </c>
      <c r="J141" s="2">
        <v>50</v>
      </c>
      <c r="K141" s="3">
        <v>-100000</v>
      </c>
      <c r="L141" s="2" t="s">
        <v>26</v>
      </c>
      <c r="M141" s="3">
        <v>-100000</v>
      </c>
      <c r="N141" s="2" t="s">
        <v>26</v>
      </c>
      <c r="R141" s="2" t="s">
        <v>27</v>
      </c>
      <c r="S141" s="2" t="s">
        <v>231</v>
      </c>
      <c r="T141" s="2" t="s">
        <v>45</v>
      </c>
      <c r="U141" s="2" t="s">
        <v>244</v>
      </c>
      <c r="V141" s="4">
        <f>+VLOOKUP(U141,'FBCJ Jul-Des 2025'!$G$10:$P$1302,8,0)</f>
        <v>70009110</v>
      </c>
      <c r="W141" s="4" t="str">
        <f>+VLOOKUP(V141,Sheet1!$A$2:$B$27,2,0)</f>
        <v>Biaya Survey dan Analisa</v>
      </c>
      <c r="X141" s="4" t="str">
        <f>+VLOOKUP(U141,'FBCJ Jul-Des 2025'!$G$10:$P$1302,9,0)</f>
        <v>M204D1COMM</v>
      </c>
      <c r="Y141" s="2" t="s">
        <v>43</v>
      </c>
      <c r="Z141" s="2">
        <v>1495275</v>
      </c>
      <c r="AA141" s="2">
        <v>20250711</v>
      </c>
      <c r="AB141" s="3">
        <v>100000</v>
      </c>
    </row>
    <row r="142" spans="3:28" x14ac:dyDescent="0.25">
      <c r="C142" s="2">
        <v>10000001</v>
      </c>
      <c r="D142" s="2" t="s">
        <v>221</v>
      </c>
      <c r="F142" s="2">
        <v>12005456</v>
      </c>
      <c r="H142" s="2" t="s">
        <v>221</v>
      </c>
      <c r="I142" s="2" t="str">
        <f t="shared" si="2"/>
        <v>07</v>
      </c>
      <c r="J142" s="2">
        <v>50</v>
      </c>
      <c r="K142" s="3">
        <v>-50000</v>
      </c>
      <c r="L142" s="2" t="s">
        <v>26</v>
      </c>
      <c r="M142" s="3">
        <v>-50000</v>
      </c>
      <c r="N142" s="2" t="s">
        <v>26</v>
      </c>
      <c r="R142" s="2" t="s">
        <v>27</v>
      </c>
      <c r="S142" s="2" t="s">
        <v>231</v>
      </c>
      <c r="T142" s="2" t="s">
        <v>45</v>
      </c>
      <c r="U142" s="2" t="s">
        <v>245</v>
      </c>
      <c r="V142" s="4">
        <f>+VLOOKUP(U142,'FBCJ Jul-Des 2025'!$G$10:$P$1302,8,0)</f>
        <v>70009110</v>
      </c>
      <c r="W142" s="4" t="str">
        <f>+VLOOKUP(V142,Sheet1!$A$2:$B$27,2,0)</f>
        <v>Biaya Survey dan Analisa</v>
      </c>
      <c r="X142" s="4" t="str">
        <f>+VLOOKUP(U142,'FBCJ Jul-Des 2025'!$G$10:$P$1302,9,0)</f>
        <v>P206D1SLSS</v>
      </c>
      <c r="Y142" s="2" t="s">
        <v>43</v>
      </c>
      <c r="Z142" s="2">
        <v>1495275</v>
      </c>
      <c r="AA142" s="2">
        <v>20250711</v>
      </c>
      <c r="AB142" s="3">
        <v>50000</v>
      </c>
    </row>
    <row r="143" spans="3:28" x14ac:dyDescent="0.25">
      <c r="C143" s="2">
        <v>10000001</v>
      </c>
      <c r="D143" s="2" t="s">
        <v>221</v>
      </c>
      <c r="F143" s="2">
        <v>12005457</v>
      </c>
      <c r="H143" s="2" t="s">
        <v>221</v>
      </c>
      <c r="I143" s="2" t="str">
        <f t="shared" si="2"/>
        <v>07</v>
      </c>
      <c r="J143" s="2">
        <v>50</v>
      </c>
      <c r="K143" s="3">
        <v>-50000</v>
      </c>
      <c r="L143" s="2" t="s">
        <v>26</v>
      </c>
      <c r="M143" s="3">
        <v>-50000</v>
      </c>
      <c r="N143" s="2" t="s">
        <v>26</v>
      </c>
      <c r="R143" s="2" t="s">
        <v>27</v>
      </c>
      <c r="S143" s="2" t="s">
        <v>231</v>
      </c>
      <c r="T143" s="2" t="s">
        <v>45</v>
      </c>
      <c r="U143" s="2" t="s">
        <v>246</v>
      </c>
      <c r="V143" s="4">
        <f>+VLOOKUP(U143,'FBCJ Jul-Des 2025'!$G$10:$P$1302,8,0)</f>
        <v>70009110</v>
      </c>
      <c r="W143" s="4" t="str">
        <f>+VLOOKUP(V143,Sheet1!$A$2:$B$27,2,0)</f>
        <v>Biaya Survey dan Analisa</v>
      </c>
      <c r="X143" s="4" t="str">
        <f>+VLOOKUP(U143,'FBCJ Jul-Des 2025'!$G$10:$P$1302,9,0)</f>
        <v>P206D1SLSS</v>
      </c>
      <c r="Y143" s="2" t="s">
        <v>43</v>
      </c>
      <c r="Z143" s="2">
        <v>1495275</v>
      </c>
      <c r="AA143" s="2">
        <v>20250711</v>
      </c>
      <c r="AB143" s="3">
        <v>50000</v>
      </c>
    </row>
    <row r="144" spans="3:28" x14ac:dyDescent="0.25">
      <c r="C144" s="2">
        <v>10000001</v>
      </c>
      <c r="D144" s="2" t="s">
        <v>221</v>
      </c>
      <c r="F144" s="2">
        <v>12005458</v>
      </c>
      <c r="H144" s="2" t="s">
        <v>221</v>
      </c>
      <c r="I144" s="2" t="str">
        <f t="shared" si="2"/>
        <v>07</v>
      </c>
      <c r="J144" s="2">
        <v>50</v>
      </c>
      <c r="K144" s="3">
        <v>-50000</v>
      </c>
      <c r="L144" s="2" t="s">
        <v>26</v>
      </c>
      <c r="M144" s="3">
        <v>-50000</v>
      </c>
      <c r="N144" s="2" t="s">
        <v>26</v>
      </c>
      <c r="R144" s="2" t="s">
        <v>27</v>
      </c>
      <c r="S144" s="2" t="s">
        <v>231</v>
      </c>
      <c r="T144" s="2" t="s">
        <v>45</v>
      </c>
      <c r="U144" s="2" t="s">
        <v>247</v>
      </c>
      <c r="V144" s="4">
        <f>+VLOOKUP(U144,'FBCJ Jul-Des 2025'!$G$10:$P$1302,8,0)</f>
        <v>70009110</v>
      </c>
      <c r="W144" s="4" t="str">
        <f>+VLOOKUP(V144,Sheet1!$A$2:$B$27,2,0)</f>
        <v>Biaya Survey dan Analisa</v>
      </c>
      <c r="X144" s="4" t="str">
        <f>+VLOOKUP(U144,'FBCJ Jul-Des 2025'!$G$10:$P$1302,9,0)</f>
        <v>P206D1SLSS</v>
      </c>
      <c r="Y144" s="2" t="s">
        <v>43</v>
      </c>
      <c r="Z144" s="2">
        <v>1495275</v>
      </c>
      <c r="AA144" s="2">
        <v>20250711</v>
      </c>
      <c r="AB144" s="3">
        <v>50000</v>
      </c>
    </row>
    <row r="145" spans="3:28" x14ac:dyDescent="0.25">
      <c r="C145" s="2">
        <v>10000001</v>
      </c>
      <c r="D145" s="2" t="s">
        <v>221</v>
      </c>
      <c r="F145" s="2">
        <v>12005459</v>
      </c>
      <c r="H145" s="2" t="s">
        <v>221</v>
      </c>
      <c r="I145" s="2" t="str">
        <f t="shared" si="2"/>
        <v>07</v>
      </c>
      <c r="J145" s="2">
        <v>50</v>
      </c>
      <c r="K145" s="3">
        <v>-50000</v>
      </c>
      <c r="L145" s="2" t="s">
        <v>26</v>
      </c>
      <c r="M145" s="3">
        <v>-50000</v>
      </c>
      <c r="N145" s="2" t="s">
        <v>26</v>
      </c>
      <c r="R145" s="2" t="s">
        <v>27</v>
      </c>
      <c r="S145" s="2" t="s">
        <v>231</v>
      </c>
      <c r="T145" s="2" t="s">
        <v>45</v>
      </c>
      <c r="U145" s="2" t="s">
        <v>248</v>
      </c>
      <c r="V145" s="4">
        <f>+VLOOKUP(U145,'FBCJ Jul-Des 2025'!$G$10:$P$1302,8,0)</f>
        <v>70009110</v>
      </c>
      <c r="W145" s="4" t="str">
        <f>+VLOOKUP(V145,Sheet1!$A$2:$B$27,2,0)</f>
        <v>Biaya Survey dan Analisa</v>
      </c>
      <c r="X145" s="4" t="str">
        <f>+VLOOKUP(U145,'FBCJ Jul-Des 2025'!$G$10:$P$1302,9,0)</f>
        <v>P206D1SLSS</v>
      </c>
      <c r="Y145" s="2" t="s">
        <v>43</v>
      </c>
      <c r="Z145" s="2">
        <v>1495275</v>
      </c>
      <c r="AA145" s="2">
        <v>20250711</v>
      </c>
      <c r="AB145" s="3">
        <v>50000</v>
      </c>
    </row>
    <row r="146" spans="3:28" x14ac:dyDescent="0.25">
      <c r="C146" s="2">
        <v>10000001</v>
      </c>
      <c r="D146" s="2" t="s">
        <v>221</v>
      </c>
      <c r="F146" s="2">
        <v>12005460</v>
      </c>
      <c r="H146" s="2" t="s">
        <v>221</v>
      </c>
      <c r="I146" s="2" t="str">
        <f t="shared" si="2"/>
        <v>07</v>
      </c>
      <c r="J146" s="2">
        <v>40</v>
      </c>
      <c r="K146" s="3">
        <v>32056775</v>
      </c>
      <c r="L146" s="2" t="s">
        <v>26</v>
      </c>
      <c r="M146" s="3">
        <v>32056775</v>
      </c>
      <c r="N146" s="2" t="s">
        <v>26</v>
      </c>
      <c r="R146" s="2" t="s">
        <v>27</v>
      </c>
      <c r="T146" s="2" t="s">
        <v>249</v>
      </c>
      <c r="U146" s="2" t="s">
        <v>250</v>
      </c>
      <c r="Y146" s="2" t="s">
        <v>43</v>
      </c>
      <c r="Z146" s="2">
        <v>1495275</v>
      </c>
      <c r="AA146" s="2">
        <v>20250711</v>
      </c>
      <c r="AB146" s="3">
        <v>32056775</v>
      </c>
    </row>
    <row r="147" spans="3:28" x14ac:dyDescent="0.25">
      <c r="C147" s="2">
        <v>10000001</v>
      </c>
      <c r="D147" s="2" t="s">
        <v>251</v>
      </c>
      <c r="F147" s="2">
        <v>12005952</v>
      </c>
      <c r="H147" s="2" t="s">
        <v>251</v>
      </c>
      <c r="I147" s="2" t="str">
        <f t="shared" si="2"/>
        <v>07</v>
      </c>
      <c r="J147" s="2">
        <v>50</v>
      </c>
      <c r="K147" s="3">
        <v>-629000</v>
      </c>
      <c r="L147" s="2" t="s">
        <v>26</v>
      </c>
      <c r="M147" s="3">
        <v>-629000</v>
      </c>
      <c r="N147" s="2" t="s">
        <v>26</v>
      </c>
      <c r="R147" s="2" t="s">
        <v>27</v>
      </c>
      <c r="T147" s="2" t="s">
        <v>59</v>
      </c>
      <c r="U147" s="2" t="s">
        <v>252</v>
      </c>
      <c r="V147" s="4">
        <f>+VLOOKUP(U147,'FBCJ Jul-Des 2025'!$G$10:$P$1302,8,0)</f>
        <v>70101114</v>
      </c>
      <c r="W147" s="4" t="str">
        <f>+VLOOKUP(V147,Sheet1!$A$2:$B$27,2,0)</f>
        <v>By Perbaikan &amp; Perawatan Perabot Material Pihak3</v>
      </c>
      <c r="X147" s="4" t="str">
        <f>+VLOOKUP(U147,'FBCJ Jul-Des 2025'!$G$10:$P$1302,9,0)</f>
        <v>R124TCP</v>
      </c>
      <c r="Y147" s="2" t="s">
        <v>43</v>
      </c>
      <c r="Z147" s="2">
        <v>1495275</v>
      </c>
      <c r="AA147" s="2">
        <v>20250716</v>
      </c>
      <c r="AB147" s="3">
        <v>629000</v>
      </c>
    </row>
    <row r="148" spans="3:28" x14ac:dyDescent="0.25">
      <c r="C148" s="2">
        <v>10000001</v>
      </c>
      <c r="D148" s="2" t="s">
        <v>251</v>
      </c>
      <c r="F148" s="2">
        <v>12005953</v>
      </c>
      <c r="H148" s="2" t="s">
        <v>251</v>
      </c>
      <c r="I148" s="2" t="str">
        <f t="shared" si="2"/>
        <v>07</v>
      </c>
      <c r="J148" s="2">
        <v>50</v>
      </c>
      <c r="K148" s="3">
        <v>-303100</v>
      </c>
      <c r="L148" s="2" t="s">
        <v>26</v>
      </c>
      <c r="M148" s="3">
        <v>-303100</v>
      </c>
      <c r="N148" s="2" t="s">
        <v>26</v>
      </c>
      <c r="R148" s="2" t="s">
        <v>27</v>
      </c>
      <c r="T148" s="2" t="s">
        <v>57</v>
      </c>
      <c r="U148" s="2" t="s">
        <v>253</v>
      </c>
      <c r="V148" s="4">
        <f>+VLOOKUP(U148,'FBCJ Jul-Des 2025'!$G$10:$P$1302,8,0)</f>
        <v>70101202</v>
      </c>
      <c r="W148" s="4" t="str">
        <f>+VLOOKUP(V148,Sheet1!$A$2:$B$27,2,0)</f>
        <v>By Pemeliharaan Kend,ABerat,Mesin-Material Pihak3</v>
      </c>
      <c r="X148" s="4" t="str">
        <f>+VLOOKUP(U148,'FBCJ Jul-Des 2025'!$G$10:$P$1302,9,0)</f>
        <v>R124REF3</v>
      </c>
      <c r="Y148" s="2" t="s">
        <v>43</v>
      </c>
      <c r="Z148" s="2">
        <v>1495275</v>
      </c>
      <c r="AA148" s="2">
        <v>20250716</v>
      </c>
      <c r="AB148" s="3">
        <v>303100</v>
      </c>
    </row>
    <row r="149" spans="3:28" x14ac:dyDescent="0.25">
      <c r="C149" s="2">
        <v>10000001</v>
      </c>
      <c r="D149" s="2" t="s">
        <v>251</v>
      </c>
      <c r="F149" s="2">
        <v>12005954</v>
      </c>
      <c r="H149" s="2" t="s">
        <v>251</v>
      </c>
      <c r="I149" s="2" t="str">
        <f t="shared" si="2"/>
        <v>07</v>
      </c>
      <c r="J149" s="2">
        <v>50</v>
      </c>
      <c r="K149" s="3">
        <v>-290500</v>
      </c>
      <c r="L149" s="2" t="s">
        <v>26</v>
      </c>
      <c r="M149" s="3">
        <v>-290500</v>
      </c>
      <c r="N149" s="2" t="s">
        <v>26</v>
      </c>
      <c r="R149" s="2" t="s">
        <v>27</v>
      </c>
      <c r="T149" s="2" t="s">
        <v>254</v>
      </c>
      <c r="U149" s="2" t="s">
        <v>255</v>
      </c>
      <c r="V149" s="4">
        <f>+VLOOKUP(U149,'FBCJ Jul-Des 2025'!$G$10:$P$1302,8,0)</f>
        <v>70107100</v>
      </c>
      <c r="W149" s="4" t="str">
        <f>+VLOOKUP(V149,Sheet1!$A$2:$B$27,2,0)</f>
        <v>Biaya Mess</v>
      </c>
      <c r="X149" s="4" t="str">
        <f>+VLOOKUP(U149,'FBCJ Jul-Des 2025'!$G$10:$P$1302,9,0)</f>
        <v>R124D1HRGA</v>
      </c>
      <c r="Y149" s="2" t="s">
        <v>43</v>
      </c>
      <c r="Z149" s="2">
        <v>1495275</v>
      </c>
      <c r="AA149" s="2">
        <v>20250716</v>
      </c>
      <c r="AB149" s="3">
        <v>290500</v>
      </c>
    </row>
    <row r="150" spans="3:28" x14ac:dyDescent="0.25">
      <c r="C150" s="2">
        <v>10000001</v>
      </c>
      <c r="D150" s="2" t="s">
        <v>251</v>
      </c>
      <c r="F150" s="2">
        <v>12005955</v>
      </c>
      <c r="H150" s="2" t="s">
        <v>251</v>
      </c>
      <c r="I150" s="2" t="str">
        <f t="shared" si="2"/>
        <v>07</v>
      </c>
      <c r="J150" s="2">
        <v>50</v>
      </c>
      <c r="K150" s="3">
        <v>-304800</v>
      </c>
      <c r="L150" s="2" t="s">
        <v>26</v>
      </c>
      <c r="M150" s="3">
        <v>-304800</v>
      </c>
      <c r="N150" s="2" t="s">
        <v>26</v>
      </c>
      <c r="R150" s="2" t="s">
        <v>27</v>
      </c>
      <c r="T150" s="2" t="s">
        <v>64</v>
      </c>
      <c r="U150" s="2" t="s">
        <v>256</v>
      </c>
      <c r="V150" s="4">
        <f>+VLOOKUP(U150,'FBCJ Jul-Des 2025'!$G$10:$P$1302,8,0)</f>
        <v>70108110</v>
      </c>
      <c r="W150" s="4" t="str">
        <f>+VLOOKUP(V150,Sheet1!$A$2:$B$27,2,0)</f>
        <v>Biaya  Fotocopy</v>
      </c>
      <c r="X150" s="4" t="str">
        <f>+VLOOKUP(U150,'FBCJ Jul-Des 2025'!$G$10:$P$1302,9,0)</f>
        <v>R124QMR</v>
      </c>
      <c r="Y150" s="2" t="s">
        <v>43</v>
      </c>
      <c r="Z150" s="2">
        <v>1495275</v>
      </c>
      <c r="AA150" s="2">
        <v>20250716</v>
      </c>
      <c r="AB150" s="3">
        <v>304800</v>
      </c>
    </row>
    <row r="151" spans="3:28" x14ac:dyDescent="0.25">
      <c r="C151" s="2">
        <v>10000001</v>
      </c>
      <c r="D151" s="2" t="s">
        <v>251</v>
      </c>
      <c r="F151" s="2">
        <v>12005956</v>
      </c>
      <c r="H151" s="2" t="s">
        <v>251</v>
      </c>
      <c r="I151" s="2" t="str">
        <f t="shared" si="2"/>
        <v>07</v>
      </c>
      <c r="J151" s="2">
        <v>50</v>
      </c>
      <c r="K151" s="3">
        <v>-500000</v>
      </c>
      <c r="L151" s="2" t="s">
        <v>26</v>
      </c>
      <c r="M151" s="3">
        <v>-500000</v>
      </c>
      <c r="N151" s="2" t="s">
        <v>26</v>
      </c>
      <c r="R151" s="2" t="s">
        <v>27</v>
      </c>
      <c r="T151" s="2" t="s">
        <v>41</v>
      </c>
      <c r="U151" s="2" t="s">
        <v>257</v>
      </c>
      <c r="V151" s="4">
        <f>+VLOOKUP(U151,'FBCJ Jul-Des 2025'!$G$10:$P$1302,8,0)</f>
        <v>70107300</v>
      </c>
      <c r="W151" s="4" t="str">
        <f>+VLOOKUP(V151,Sheet1!$A$2:$B$27,2,0)</f>
        <v>Biaya Olahraga Dan Permainan</v>
      </c>
      <c r="X151" s="4" t="str">
        <f>+VLOOKUP(U151,'FBCJ Jul-Des 2025'!$G$10:$P$1302,9,0)</f>
        <v>R124D1HRDV</v>
      </c>
      <c r="Y151" s="2" t="s">
        <v>43</v>
      </c>
      <c r="Z151" s="2">
        <v>1495275</v>
      </c>
      <c r="AA151" s="2">
        <v>20250716</v>
      </c>
      <c r="AB151" s="3">
        <v>500000</v>
      </c>
    </row>
    <row r="152" spans="3:28" x14ac:dyDescent="0.25">
      <c r="C152" s="2">
        <v>10000001</v>
      </c>
      <c r="D152" s="2" t="s">
        <v>251</v>
      </c>
      <c r="F152" s="2">
        <v>12005957</v>
      </c>
      <c r="H152" s="2" t="s">
        <v>251</v>
      </c>
      <c r="I152" s="2" t="str">
        <f t="shared" si="2"/>
        <v>07</v>
      </c>
      <c r="J152" s="2">
        <v>50</v>
      </c>
      <c r="K152" s="3">
        <v>-331500</v>
      </c>
      <c r="L152" s="2" t="s">
        <v>26</v>
      </c>
      <c r="M152" s="3">
        <v>-331500</v>
      </c>
      <c r="N152" s="2" t="s">
        <v>26</v>
      </c>
      <c r="R152" s="2" t="s">
        <v>27</v>
      </c>
      <c r="T152" s="2" t="s">
        <v>126</v>
      </c>
      <c r="U152" s="2" t="s">
        <v>258</v>
      </c>
      <c r="V152" s="4">
        <f>+VLOOKUP(U152,'FBCJ Jul-Des 2025'!$G$10:$P$1302,8,0)</f>
        <v>70107600</v>
      </c>
      <c r="W152" s="4" t="str">
        <f>+VLOOKUP(V152,Sheet1!$A$2:$B$27,2,0)</f>
        <v>Biaya Konsumsi Kantor</v>
      </c>
      <c r="X152" s="4" t="str">
        <f>+VLOOKUP(U152,'FBCJ Jul-Des 2025'!$G$10:$P$1302,9,0)</f>
        <v>R124D1HRGA</v>
      </c>
      <c r="Y152" s="2" t="s">
        <v>43</v>
      </c>
      <c r="Z152" s="2">
        <v>1495275</v>
      </c>
      <c r="AA152" s="2">
        <v>20250716</v>
      </c>
      <c r="AB152" s="3">
        <v>331500</v>
      </c>
    </row>
    <row r="153" spans="3:28" x14ac:dyDescent="0.25">
      <c r="C153" s="2">
        <v>10000001</v>
      </c>
      <c r="D153" s="2" t="s">
        <v>251</v>
      </c>
      <c r="F153" s="2">
        <v>12005958</v>
      </c>
      <c r="H153" s="2" t="s">
        <v>251</v>
      </c>
      <c r="I153" s="2" t="str">
        <f t="shared" si="2"/>
        <v>07</v>
      </c>
      <c r="J153" s="2">
        <v>50</v>
      </c>
      <c r="K153" s="3">
        <v>-1000000</v>
      </c>
      <c r="L153" s="2" t="s">
        <v>26</v>
      </c>
      <c r="M153" s="3">
        <v>-1000000</v>
      </c>
      <c r="N153" s="2" t="s">
        <v>26</v>
      </c>
      <c r="R153" s="2" t="s">
        <v>27</v>
      </c>
      <c r="T153" s="2" t="s">
        <v>259</v>
      </c>
      <c r="U153" s="2" t="s">
        <v>260</v>
      </c>
      <c r="V153" s="4">
        <f>+VLOOKUP(U153,'FBCJ Jul-Des 2025'!$G$10:$P$1302,8,0)</f>
        <v>70119300</v>
      </c>
      <c r="W153" s="4" t="str">
        <f>+VLOOKUP(V153,Sheet1!$A$2:$B$27,2,0)</f>
        <v>Biaya Umum dan Administrasi</v>
      </c>
      <c r="X153" s="4" t="str">
        <f>+VLOOKUP(U153,'FBCJ Jul-Des 2025'!$G$10:$P$1302,9,0)</f>
        <v>R124D1PRCN</v>
      </c>
      <c r="Y153" s="2" t="s">
        <v>43</v>
      </c>
      <c r="Z153" s="2">
        <v>1495275</v>
      </c>
      <c r="AA153" s="2">
        <v>20250716</v>
      </c>
      <c r="AB153" s="3">
        <v>1000000</v>
      </c>
    </row>
    <row r="154" spans="3:28" x14ac:dyDescent="0.25">
      <c r="C154" s="2">
        <v>10000001</v>
      </c>
      <c r="D154" s="2" t="s">
        <v>251</v>
      </c>
      <c r="F154" s="2">
        <v>12005959</v>
      </c>
      <c r="H154" s="2" t="s">
        <v>251</v>
      </c>
      <c r="I154" s="2" t="str">
        <f t="shared" si="2"/>
        <v>07</v>
      </c>
      <c r="J154" s="2">
        <v>50</v>
      </c>
      <c r="K154" s="3">
        <v>-153000</v>
      </c>
      <c r="L154" s="2" t="s">
        <v>26</v>
      </c>
      <c r="M154" s="3">
        <v>-153000</v>
      </c>
      <c r="N154" s="2" t="s">
        <v>26</v>
      </c>
      <c r="R154" s="2" t="s">
        <v>27</v>
      </c>
      <c r="T154" s="2" t="s">
        <v>129</v>
      </c>
      <c r="U154" s="2" t="s">
        <v>261</v>
      </c>
      <c r="V154" s="4">
        <f>+VLOOKUP(U154,'FBCJ Jul-Des 2025'!$G$10:$P$1302,8,0)</f>
        <v>70101102</v>
      </c>
      <c r="W154" s="4" t="str">
        <f>+VLOOKUP(V154,Sheet1!$A$2:$B$27,2,0)</f>
        <v>By Pemeliharaan BgnanPrasarana Material Pihak3</v>
      </c>
      <c r="X154" s="4" t="str">
        <f>+VLOOKUP(U154,'FBCJ Jul-Des 2025'!$G$10:$P$1302,9,0)</f>
        <v>R124REF</v>
      </c>
      <c r="Y154" s="2" t="s">
        <v>43</v>
      </c>
      <c r="Z154" s="2">
        <v>1495275</v>
      </c>
      <c r="AA154" s="2">
        <v>20250716</v>
      </c>
      <c r="AB154" s="3">
        <v>153000</v>
      </c>
    </row>
    <row r="155" spans="3:28" x14ac:dyDescent="0.25">
      <c r="C155" s="2">
        <v>10000001</v>
      </c>
      <c r="D155" s="2" t="s">
        <v>251</v>
      </c>
      <c r="F155" s="2">
        <v>12005960</v>
      </c>
      <c r="H155" s="2" t="s">
        <v>251</v>
      </c>
      <c r="I155" s="2" t="str">
        <f t="shared" si="2"/>
        <v>07</v>
      </c>
      <c r="J155" s="2">
        <v>50</v>
      </c>
      <c r="K155" s="3">
        <v>-50000</v>
      </c>
      <c r="L155" s="2" t="s">
        <v>26</v>
      </c>
      <c r="M155" s="3">
        <v>-50000</v>
      </c>
      <c r="N155" s="2" t="s">
        <v>26</v>
      </c>
      <c r="R155" s="2" t="s">
        <v>27</v>
      </c>
      <c r="T155" s="2" t="s">
        <v>45</v>
      </c>
      <c r="U155" s="2" t="s">
        <v>262</v>
      </c>
      <c r="V155" s="4">
        <f>+VLOOKUP(U155,'FBCJ Jul-Des 2025'!$G$10:$P$1302,8,0)</f>
        <v>70009110</v>
      </c>
      <c r="W155" s="4" t="str">
        <f>+VLOOKUP(V155,Sheet1!$A$2:$B$27,2,0)</f>
        <v>Biaya Survey dan Analisa</v>
      </c>
      <c r="X155" s="4" t="str">
        <f>+VLOOKUP(U155,'FBCJ Jul-Des 2025'!$G$10:$P$1302,9,0)</f>
        <v>P206D1SLSS</v>
      </c>
      <c r="Y155" s="2" t="s">
        <v>43</v>
      </c>
      <c r="Z155" s="2">
        <v>1495275</v>
      </c>
      <c r="AA155" s="2">
        <v>20250716</v>
      </c>
      <c r="AB155" s="3">
        <v>50000</v>
      </c>
    </row>
    <row r="156" spans="3:28" x14ac:dyDescent="0.25">
      <c r="C156" s="2">
        <v>10000001</v>
      </c>
      <c r="D156" s="2" t="s">
        <v>251</v>
      </c>
      <c r="F156" s="2">
        <v>12005961</v>
      </c>
      <c r="H156" s="2" t="s">
        <v>251</v>
      </c>
      <c r="I156" s="2" t="str">
        <f t="shared" si="2"/>
        <v>07</v>
      </c>
      <c r="J156" s="2">
        <v>50</v>
      </c>
      <c r="K156" s="3">
        <v>-50000</v>
      </c>
      <c r="L156" s="2" t="s">
        <v>26</v>
      </c>
      <c r="M156" s="3">
        <v>-50000</v>
      </c>
      <c r="N156" s="2" t="s">
        <v>26</v>
      </c>
      <c r="R156" s="2" t="s">
        <v>27</v>
      </c>
      <c r="T156" s="2" t="s">
        <v>45</v>
      </c>
      <c r="U156" s="2" t="s">
        <v>263</v>
      </c>
      <c r="V156" s="4">
        <f>+VLOOKUP(U156,'FBCJ Jul-Des 2025'!$G$10:$P$1302,8,0)</f>
        <v>70009110</v>
      </c>
      <c r="W156" s="4" t="str">
        <f>+VLOOKUP(V156,Sheet1!$A$2:$B$27,2,0)</f>
        <v>Biaya Survey dan Analisa</v>
      </c>
      <c r="X156" s="4" t="str">
        <f>+VLOOKUP(U156,'FBCJ Jul-Des 2025'!$G$10:$P$1302,9,0)</f>
        <v>P206D1SLSS</v>
      </c>
      <c r="Y156" s="2" t="s">
        <v>43</v>
      </c>
      <c r="Z156" s="2">
        <v>1495275</v>
      </c>
      <c r="AA156" s="2">
        <v>20250716</v>
      </c>
      <c r="AB156" s="3">
        <v>50000</v>
      </c>
    </row>
    <row r="157" spans="3:28" x14ac:dyDescent="0.25">
      <c r="C157" s="2">
        <v>10000001</v>
      </c>
      <c r="D157" s="2" t="s">
        <v>251</v>
      </c>
      <c r="F157" s="2">
        <v>12005962</v>
      </c>
      <c r="H157" s="2" t="s">
        <v>251</v>
      </c>
      <c r="I157" s="2" t="str">
        <f t="shared" si="2"/>
        <v>07</v>
      </c>
      <c r="J157" s="2">
        <v>50</v>
      </c>
      <c r="K157" s="3">
        <v>-50000</v>
      </c>
      <c r="L157" s="2" t="s">
        <v>26</v>
      </c>
      <c r="M157" s="3">
        <v>-50000</v>
      </c>
      <c r="N157" s="2" t="s">
        <v>26</v>
      </c>
      <c r="R157" s="2" t="s">
        <v>27</v>
      </c>
      <c r="T157" s="2" t="s">
        <v>45</v>
      </c>
      <c r="U157" s="2" t="s">
        <v>264</v>
      </c>
      <c r="V157" s="4">
        <f>+VLOOKUP(U157,'FBCJ Jul-Des 2025'!$G$10:$P$1302,8,0)</f>
        <v>70009110</v>
      </c>
      <c r="W157" s="4" t="str">
        <f>+VLOOKUP(V157,Sheet1!$A$2:$B$27,2,0)</f>
        <v>Biaya Survey dan Analisa</v>
      </c>
      <c r="X157" s="4" t="str">
        <f>+VLOOKUP(U157,'FBCJ Jul-Des 2025'!$G$10:$P$1302,9,0)</f>
        <v>P206D1SLSS</v>
      </c>
      <c r="Y157" s="2" t="s">
        <v>43</v>
      </c>
      <c r="Z157" s="2">
        <v>1495275</v>
      </c>
      <c r="AA157" s="2">
        <v>20250716</v>
      </c>
      <c r="AB157" s="3">
        <v>50000</v>
      </c>
    </row>
    <row r="158" spans="3:28" x14ac:dyDescent="0.25">
      <c r="C158" s="2">
        <v>10000001</v>
      </c>
      <c r="D158" s="2" t="s">
        <v>251</v>
      </c>
      <c r="F158" s="2">
        <v>12005963</v>
      </c>
      <c r="H158" s="2" t="s">
        <v>251</v>
      </c>
      <c r="I158" s="2" t="str">
        <f t="shared" si="2"/>
        <v>07</v>
      </c>
      <c r="J158" s="2">
        <v>50</v>
      </c>
      <c r="K158" s="3">
        <v>-50000</v>
      </c>
      <c r="L158" s="2" t="s">
        <v>26</v>
      </c>
      <c r="M158" s="3">
        <v>-50000</v>
      </c>
      <c r="N158" s="2" t="s">
        <v>26</v>
      </c>
      <c r="R158" s="2" t="s">
        <v>27</v>
      </c>
      <c r="T158" s="2" t="s">
        <v>45</v>
      </c>
      <c r="U158" s="2" t="s">
        <v>265</v>
      </c>
      <c r="V158" s="4">
        <f>+VLOOKUP(U158,'FBCJ Jul-Des 2025'!$G$10:$P$1302,8,0)</f>
        <v>70009110</v>
      </c>
      <c r="W158" s="4" t="str">
        <f>+VLOOKUP(V158,Sheet1!$A$2:$B$27,2,0)</f>
        <v>Biaya Survey dan Analisa</v>
      </c>
      <c r="X158" s="4" t="str">
        <f>+VLOOKUP(U158,'FBCJ Jul-Des 2025'!$G$10:$P$1302,9,0)</f>
        <v>P206D1SLSS</v>
      </c>
      <c r="Y158" s="2" t="s">
        <v>43</v>
      </c>
      <c r="Z158" s="2">
        <v>1495275</v>
      </c>
      <c r="AA158" s="2">
        <v>20250716</v>
      </c>
      <c r="AB158" s="3">
        <v>50000</v>
      </c>
    </row>
    <row r="159" spans="3:28" x14ac:dyDescent="0.25">
      <c r="C159" s="2">
        <v>10000001</v>
      </c>
      <c r="D159" s="2" t="s">
        <v>251</v>
      </c>
      <c r="F159" s="2">
        <v>12005964</v>
      </c>
      <c r="H159" s="2" t="s">
        <v>251</v>
      </c>
      <c r="I159" s="2" t="str">
        <f t="shared" si="2"/>
        <v>07</v>
      </c>
      <c r="J159" s="2">
        <v>50</v>
      </c>
      <c r="K159" s="3">
        <v>-60000</v>
      </c>
      <c r="L159" s="2" t="s">
        <v>26</v>
      </c>
      <c r="M159" s="3">
        <v>-60000</v>
      </c>
      <c r="N159" s="2" t="s">
        <v>26</v>
      </c>
      <c r="R159" s="2" t="s">
        <v>27</v>
      </c>
      <c r="T159" s="2" t="s">
        <v>129</v>
      </c>
      <c r="U159" s="2" t="s">
        <v>266</v>
      </c>
      <c r="V159" s="4">
        <f>+VLOOKUP(U159,'FBCJ Jul-Des 2025'!$G$10:$P$1302,8,0)</f>
        <v>70101102</v>
      </c>
      <c r="W159" s="4" t="str">
        <f>+VLOOKUP(V159,Sheet1!$A$2:$B$27,2,0)</f>
        <v>By Pemeliharaan BgnanPrasarana Material Pihak3</v>
      </c>
      <c r="X159" s="4" t="str">
        <f>+VLOOKUP(U159,'FBCJ Jul-Des 2025'!$G$10:$P$1302,9,0)</f>
        <v>R124LOG</v>
      </c>
      <c r="Y159" s="2" t="s">
        <v>43</v>
      </c>
      <c r="Z159" s="2">
        <v>1495275</v>
      </c>
      <c r="AA159" s="2">
        <v>20250716</v>
      </c>
      <c r="AB159" s="3">
        <v>60000</v>
      </c>
    </row>
    <row r="160" spans="3:28" x14ac:dyDescent="0.25">
      <c r="C160" s="2">
        <v>10000001</v>
      </c>
      <c r="D160" s="2" t="s">
        <v>251</v>
      </c>
      <c r="F160" s="2">
        <v>12005965</v>
      </c>
      <c r="H160" s="2" t="s">
        <v>251</v>
      </c>
      <c r="I160" s="2" t="str">
        <f t="shared" si="2"/>
        <v>07</v>
      </c>
      <c r="J160" s="2">
        <v>50</v>
      </c>
      <c r="K160" s="3">
        <v>-770000</v>
      </c>
      <c r="L160" s="2" t="s">
        <v>26</v>
      </c>
      <c r="M160" s="3">
        <v>-770000</v>
      </c>
      <c r="N160" s="2" t="s">
        <v>26</v>
      </c>
      <c r="R160" s="2" t="s">
        <v>27</v>
      </c>
      <c r="T160" s="2" t="s">
        <v>96</v>
      </c>
      <c r="U160" s="2" t="s">
        <v>267</v>
      </c>
      <c r="V160" s="4">
        <f>+VLOOKUP(U160,'FBCJ Jul-Des 2025'!$G$10:$P$1302,8,0)</f>
        <v>70106400</v>
      </c>
      <c r="W160" s="4" t="str">
        <f>+VLOOKUP(V160,Sheet1!$A$2:$B$27,2,0)</f>
        <v>Biaya Bahan Bakar</v>
      </c>
      <c r="X160" s="4" t="str">
        <f>+VLOOKUP(U160,'FBCJ Jul-Des 2025'!$G$10:$P$1302,9,0)</f>
        <v>R124D1HRGA</v>
      </c>
      <c r="Y160" s="2" t="s">
        <v>43</v>
      </c>
      <c r="Z160" s="2">
        <v>1495275</v>
      </c>
      <c r="AA160" s="2">
        <v>20250716</v>
      </c>
      <c r="AB160" s="3">
        <v>770000</v>
      </c>
    </row>
    <row r="161" spans="3:28" x14ac:dyDescent="0.25">
      <c r="C161" s="2">
        <v>10000001</v>
      </c>
      <c r="D161" s="2" t="s">
        <v>251</v>
      </c>
      <c r="F161" s="2">
        <v>12005966</v>
      </c>
      <c r="H161" s="2" t="s">
        <v>251</v>
      </c>
      <c r="I161" s="2" t="str">
        <f t="shared" si="2"/>
        <v>07</v>
      </c>
      <c r="J161" s="2">
        <v>50</v>
      </c>
      <c r="K161" s="3">
        <v>-229900</v>
      </c>
      <c r="L161" s="2" t="s">
        <v>26</v>
      </c>
      <c r="M161" s="3">
        <v>-229900</v>
      </c>
      <c r="N161" s="2" t="s">
        <v>26</v>
      </c>
      <c r="R161" s="2" t="s">
        <v>27</v>
      </c>
      <c r="T161" s="2" t="s">
        <v>67</v>
      </c>
      <c r="U161" s="2" t="s">
        <v>98</v>
      </c>
      <c r="V161" s="4">
        <f>+VLOOKUP(U161,'FBCJ Jul-Des 2025'!$G$10:$P$1302,8,0)</f>
        <v>70106100</v>
      </c>
      <c r="W161" s="4" t="str">
        <f>+VLOOKUP(V161,Sheet1!$A$2:$B$27,2,0)</f>
        <v>Biaya Transportasi Lokal</v>
      </c>
      <c r="X161" s="4" t="str">
        <f>+VLOOKUP(U161,'FBCJ Jul-Des 2025'!$G$10:$P$1302,9,0)</f>
        <v>R124D1HRGA</v>
      </c>
      <c r="Y161" s="2" t="s">
        <v>43</v>
      </c>
      <c r="Z161" s="2">
        <v>1495275</v>
      </c>
      <c r="AA161" s="2">
        <v>20250716</v>
      </c>
      <c r="AB161" s="3">
        <v>229900</v>
      </c>
    </row>
    <row r="162" spans="3:28" x14ac:dyDescent="0.25">
      <c r="C162" s="2">
        <v>10000001</v>
      </c>
      <c r="D162" s="2" t="s">
        <v>251</v>
      </c>
      <c r="F162" s="2">
        <v>12005967</v>
      </c>
      <c r="H162" s="2" t="s">
        <v>251</v>
      </c>
      <c r="I162" s="2" t="str">
        <f t="shared" si="2"/>
        <v>07</v>
      </c>
      <c r="J162" s="2">
        <v>50</v>
      </c>
      <c r="K162" s="3">
        <v>-50000</v>
      </c>
      <c r="L162" s="2" t="s">
        <v>26</v>
      </c>
      <c r="M162" s="3">
        <v>-50000</v>
      </c>
      <c r="N162" s="2" t="s">
        <v>26</v>
      </c>
      <c r="R162" s="2" t="s">
        <v>27</v>
      </c>
      <c r="T162" s="2" t="s">
        <v>45</v>
      </c>
      <c r="U162" s="2" t="s">
        <v>268</v>
      </c>
      <c r="V162" s="4">
        <f>+VLOOKUP(U162,'FBCJ Jul-Des 2025'!$G$10:$P$1302,8,0)</f>
        <v>70009110</v>
      </c>
      <c r="W162" s="4" t="str">
        <f>+VLOOKUP(V162,Sheet1!$A$2:$B$27,2,0)</f>
        <v>Biaya Survey dan Analisa</v>
      </c>
      <c r="X162" s="4" t="str">
        <f>+VLOOKUP(U162,'FBCJ Jul-Des 2025'!$G$10:$P$1302,9,0)</f>
        <v>M204D1COMM</v>
      </c>
      <c r="Y162" s="2" t="s">
        <v>43</v>
      </c>
      <c r="Z162" s="2">
        <v>1495275</v>
      </c>
      <c r="AA162" s="2">
        <v>20250716</v>
      </c>
      <c r="AB162" s="3">
        <v>50000</v>
      </c>
    </row>
    <row r="163" spans="3:28" x14ac:dyDescent="0.25">
      <c r="C163" s="2">
        <v>10000001</v>
      </c>
      <c r="D163" s="2" t="s">
        <v>251</v>
      </c>
      <c r="F163" s="2">
        <v>12005968</v>
      </c>
      <c r="H163" s="2" t="s">
        <v>251</v>
      </c>
      <c r="I163" s="2" t="str">
        <f t="shared" si="2"/>
        <v>07</v>
      </c>
      <c r="J163" s="2">
        <v>50</v>
      </c>
      <c r="K163" s="3">
        <v>-50000</v>
      </c>
      <c r="L163" s="2" t="s">
        <v>26</v>
      </c>
      <c r="M163" s="3">
        <v>-50000</v>
      </c>
      <c r="N163" s="2" t="s">
        <v>26</v>
      </c>
      <c r="R163" s="2" t="s">
        <v>27</v>
      </c>
      <c r="T163" s="2" t="s">
        <v>45</v>
      </c>
      <c r="U163" s="2" t="s">
        <v>269</v>
      </c>
      <c r="V163" s="4">
        <f>+VLOOKUP(U163,'FBCJ Jul-Des 2025'!$G$10:$P$1302,8,0)</f>
        <v>70009110</v>
      </c>
      <c r="W163" s="4" t="str">
        <f>+VLOOKUP(V163,Sheet1!$A$2:$B$27,2,0)</f>
        <v>Biaya Survey dan Analisa</v>
      </c>
      <c r="X163" s="4" t="str">
        <f>+VLOOKUP(U163,'FBCJ Jul-Des 2025'!$G$10:$P$1302,9,0)</f>
        <v>P206D1SLSS</v>
      </c>
      <c r="Y163" s="2" t="s">
        <v>43</v>
      </c>
      <c r="Z163" s="2">
        <v>1495275</v>
      </c>
      <c r="AA163" s="2">
        <v>20250716</v>
      </c>
      <c r="AB163" s="3">
        <v>50000</v>
      </c>
    </row>
    <row r="164" spans="3:28" x14ac:dyDescent="0.25">
      <c r="C164" s="2">
        <v>10000001</v>
      </c>
      <c r="D164" s="2" t="s">
        <v>251</v>
      </c>
      <c r="F164" s="2">
        <v>12005969</v>
      </c>
      <c r="H164" s="2" t="s">
        <v>251</v>
      </c>
      <c r="I164" s="2" t="str">
        <f t="shared" si="2"/>
        <v>07</v>
      </c>
      <c r="J164" s="2">
        <v>50</v>
      </c>
      <c r="K164" s="3">
        <v>-50000</v>
      </c>
      <c r="L164" s="2" t="s">
        <v>26</v>
      </c>
      <c r="M164" s="3">
        <v>-50000</v>
      </c>
      <c r="N164" s="2" t="s">
        <v>26</v>
      </c>
      <c r="R164" s="2" t="s">
        <v>27</v>
      </c>
      <c r="T164" s="2" t="s">
        <v>45</v>
      </c>
      <c r="U164" s="2" t="s">
        <v>270</v>
      </c>
      <c r="V164" s="4">
        <f>+VLOOKUP(U164,'FBCJ Jul-Des 2025'!$G$10:$P$1302,8,0)</f>
        <v>70009110</v>
      </c>
      <c r="W164" s="4" t="str">
        <f>+VLOOKUP(V164,Sheet1!$A$2:$B$27,2,0)</f>
        <v>Biaya Survey dan Analisa</v>
      </c>
      <c r="X164" s="4" t="str">
        <f>+VLOOKUP(U164,'FBCJ Jul-Des 2025'!$G$10:$P$1302,9,0)</f>
        <v>P206D1SLSS</v>
      </c>
      <c r="Y164" s="2" t="s">
        <v>43</v>
      </c>
      <c r="Z164" s="2">
        <v>1495275</v>
      </c>
      <c r="AA164" s="2">
        <v>20250716</v>
      </c>
      <c r="AB164" s="3">
        <v>50000</v>
      </c>
    </row>
    <row r="165" spans="3:28" x14ac:dyDescent="0.25">
      <c r="C165" s="2">
        <v>10000001</v>
      </c>
      <c r="D165" s="2" t="s">
        <v>251</v>
      </c>
      <c r="F165" s="2">
        <v>12005970</v>
      </c>
      <c r="H165" s="2" t="s">
        <v>251</v>
      </c>
      <c r="I165" s="2" t="str">
        <f t="shared" si="2"/>
        <v>07</v>
      </c>
      <c r="J165" s="2">
        <v>50</v>
      </c>
      <c r="K165" s="3">
        <v>-50000</v>
      </c>
      <c r="L165" s="2" t="s">
        <v>26</v>
      </c>
      <c r="M165" s="3">
        <v>-50000</v>
      </c>
      <c r="N165" s="2" t="s">
        <v>26</v>
      </c>
      <c r="R165" s="2" t="s">
        <v>27</v>
      </c>
      <c r="T165" s="2" t="s">
        <v>45</v>
      </c>
      <c r="U165" s="2" t="s">
        <v>271</v>
      </c>
      <c r="V165" s="4">
        <f>+VLOOKUP(U165,'FBCJ Jul-Des 2025'!$G$10:$P$1302,8,0)</f>
        <v>70009110</v>
      </c>
      <c r="W165" s="4" t="str">
        <f>+VLOOKUP(V165,Sheet1!$A$2:$B$27,2,0)</f>
        <v>Biaya Survey dan Analisa</v>
      </c>
      <c r="X165" s="4" t="str">
        <f>+VLOOKUP(U165,'FBCJ Jul-Des 2025'!$G$10:$P$1302,9,0)</f>
        <v>M204D1COMM</v>
      </c>
      <c r="Y165" s="2" t="s">
        <v>43</v>
      </c>
      <c r="Z165" s="2">
        <v>1495275</v>
      </c>
      <c r="AA165" s="2">
        <v>20250716</v>
      </c>
      <c r="AB165" s="3">
        <v>50000</v>
      </c>
    </row>
    <row r="166" spans="3:28" x14ac:dyDescent="0.25">
      <c r="C166" s="2">
        <v>10000001</v>
      </c>
      <c r="D166" s="2" t="s">
        <v>251</v>
      </c>
      <c r="F166" s="2">
        <v>12005971</v>
      </c>
      <c r="H166" s="2" t="s">
        <v>251</v>
      </c>
      <c r="I166" s="2" t="str">
        <f t="shared" si="2"/>
        <v>07</v>
      </c>
      <c r="J166" s="2">
        <v>50</v>
      </c>
      <c r="K166" s="3">
        <v>-50000</v>
      </c>
      <c r="L166" s="2" t="s">
        <v>26</v>
      </c>
      <c r="M166" s="3">
        <v>-50000</v>
      </c>
      <c r="N166" s="2" t="s">
        <v>26</v>
      </c>
      <c r="R166" s="2" t="s">
        <v>27</v>
      </c>
      <c r="T166" s="2" t="s">
        <v>45</v>
      </c>
      <c r="U166" s="2" t="s">
        <v>272</v>
      </c>
      <c r="V166" s="4">
        <f>+VLOOKUP(U166,'FBCJ Jul-Des 2025'!$G$10:$P$1302,8,0)</f>
        <v>70009110</v>
      </c>
      <c r="W166" s="4" t="str">
        <f>+VLOOKUP(V166,Sheet1!$A$2:$B$27,2,0)</f>
        <v>Biaya Survey dan Analisa</v>
      </c>
      <c r="X166" s="4" t="str">
        <f>+VLOOKUP(U166,'FBCJ Jul-Des 2025'!$G$10:$P$1302,9,0)</f>
        <v>P206D1SLSS</v>
      </c>
      <c r="Y166" s="2" t="s">
        <v>43</v>
      </c>
      <c r="Z166" s="2">
        <v>1495275</v>
      </c>
      <c r="AA166" s="2">
        <v>20250716</v>
      </c>
      <c r="AB166" s="3">
        <v>50000</v>
      </c>
    </row>
    <row r="167" spans="3:28" x14ac:dyDescent="0.25">
      <c r="C167" s="2">
        <v>10000001</v>
      </c>
      <c r="D167" s="2" t="s">
        <v>273</v>
      </c>
      <c r="F167" s="2">
        <v>12005972</v>
      </c>
      <c r="H167" s="2" t="s">
        <v>273</v>
      </c>
      <c r="I167" s="2" t="str">
        <f t="shared" si="2"/>
        <v>07</v>
      </c>
      <c r="J167" s="2">
        <v>50</v>
      </c>
      <c r="K167" s="3">
        <v>-962500</v>
      </c>
      <c r="L167" s="2" t="s">
        <v>26</v>
      </c>
      <c r="M167" s="3">
        <v>-962500</v>
      </c>
      <c r="N167" s="2" t="s">
        <v>26</v>
      </c>
      <c r="R167" s="2" t="s">
        <v>27</v>
      </c>
      <c r="T167" s="2" t="s">
        <v>274</v>
      </c>
      <c r="U167" s="2" t="s">
        <v>275</v>
      </c>
      <c r="V167" s="4">
        <f>+VLOOKUP(U167,'FBCJ Jul-Des 2025'!$G$10:$P$1302,8,0)</f>
        <v>70108100</v>
      </c>
      <c r="W167" s="4" t="str">
        <f>+VLOOKUP(V167,Sheet1!$A$2:$B$27,2,0)</f>
        <v>Biaya Peralatan Dan Perabot Kantor</v>
      </c>
      <c r="X167" s="4" t="str">
        <f>+VLOOKUP(U167,'FBCJ Jul-Des 2025'!$G$10:$P$1302,9,0)</f>
        <v>R124TCP</v>
      </c>
      <c r="Y167" s="2" t="s">
        <v>43</v>
      </c>
      <c r="Z167" s="2">
        <v>1495275</v>
      </c>
      <c r="AA167" s="2">
        <v>20250717</v>
      </c>
      <c r="AB167" s="3">
        <v>962500</v>
      </c>
    </row>
    <row r="168" spans="3:28" x14ac:dyDescent="0.25">
      <c r="C168" s="2">
        <v>10000001</v>
      </c>
      <c r="D168" s="2" t="s">
        <v>273</v>
      </c>
      <c r="F168" s="2">
        <v>12005973</v>
      </c>
      <c r="H168" s="2" t="s">
        <v>273</v>
      </c>
      <c r="I168" s="2" t="str">
        <f t="shared" si="2"/>
        <v>07</v>
      </c>
      <c r="J168" s="2">
        <v>50</v>
      </c>
      <c r="K168" s="3">
        <v>-590000</v>
      </c>
      <c r="L168" s="2" t="s">
        <v>26</v>
      </c>
      <c r="M168" s="3">
        <v>-590000</v>
      </c>
      <c r="N168" s="2" t="s">
        <v>26</v>
      </c>
      <c r="R168" s="2" t="s">
        <v>27</v>
      </c>
      <c r="T168" s="2" t="s">
        <v>96</v>
      </c>
      <c r="U168" s="2" t="s">
        <v>276</v>
      </c>
      <c r="V168" s="4">
        <f>+VLOOKUP(U168,'FBCJ Jul-Des 2025'!$G$10:$P$1302,8,0)</f>
        <v>70106400</v>
      </c>
      <c r="W168" s="4" t="str">
        <f>+VLOOKUP(V168,Sheet1!$A$2:$B$27,2,0)</f>
        <v>Biaya Bahan Bakar</v>
      </c>
      <c r="X168" s="4" t="str">
        <f>+VLOOKUP(U168,'FBCJ Jul-Des 2025'!$G$10:$P$1302,9,0)</f>
        <v>R124D1HRGA</v>
      </c>
      <c r="Y168" s="2" t="s">
        <v>43</v>
      </c>
      <c r="Z168" s="2">
        <v>1495275</v>
      </c>
      <c r="AA168" s="2">
        <v>20250717</v>
      </c>
      <c r="AB168" s="3">
        <v>590000</v>
      </c>
    </row>
    <row r="169" spans="3:28" x14ac:dyDescent="0.25">
      <c r="C169" s="2">
        <v>10000001</v>
      </c>
      <c r="D169" s="2" t="s">
        <v>273</v>
      </c>
      <c r="F169" s="2">
        <v>12005974</v>
      </c>
      <c r="H169" s="2" t="s">
        <v>273</v>
      </c>
      <c r="I169" s="2" t="str">
        <f t="shared" si="2"/>
        <v>07</v>
      </c>
      <c r="J169" s="2">
        <v>50</v>
      </c>
      <c r="K169" s="3">
        <v>-407500</v>
      </c>
      <c r="L169" s="2" t="s">
        <v>26</v>
      </c>
      <c r="M169" s="3">
        <v>-407500</v>
      </c>
      <c r="N169" s="2" t="s">
        <v>26</v>
      </c>
      <c r="R169" s="2" t="s">
        <v>27</v>
      </c>
      <c r="T169" s="2" t="s">
        <v>67</v>
      </c>
      <c r="U169" s="2" t="s">
        <v>98</v>
      </c>
      <c r="V169" s="4">
        <f>+VLOOKUP(U169,'FBCJ Jul-Des 2025'!$G$10:$P$1302,8,0)</f>
        <v>70106100</v>
      </c>
      <c r="W169" s="4" t="str">
        <f>+VLOOKUP(V169,Sheet1!$A$2:$B$27,2,0)</f>
        <v>Biaya Transportasi Lokal</v>
      </c>
      <c r="X169" s="4" t="str">
        <f>+VLOOKUP(U169,'FBCJ Jul-Des 2025'!$G$10:$P$1302,9,0)</f>
        <v>R124D1HRGA</v>
      </c>
      <c r="Y169" s="2" t="s">
        <v>43</v>
      </c>
      <c r="Z169" s="2">
        <v>1495275</v>
      </c>
      <c r="AA169" s="2">
        <v>20250717</v>
      </c>
      <c r="AB169" s="3">
        <v>407500</v>
      </c>
    </row>
    <row r="170" spans="3:28" x14ac:dyDescent="0.25">
      <c r="C170" s="2">
        <v>10000001</v>
      </c>
      <c r="D170" s="2" t="s">
        <v>273</v>
      </c>
      <c r="F170" s="2">
        <v>12005975</v>
      </c>
      <c r="H170" s="2" t="s">
        <v>273</v>
      </c>
      <c r="I170" s="2" t="str">
        <f t="shared" si="2"/>
        <v>07</v>
      </c>
      <c r="J170" s="2">
        <v>50</v>
      </c>
      <c r="K170" s="3">
        <v>-331727</v>
      </c>
      <c r="L170" s="2" t="s">
        <v>26</v>
      </c>
      <c r="M170" s="3">
        <v>-331727</v>
      </c>
      <c r="N170" s="2" t="s">
        <v>26</v>
      </c>
      <c r="R170" s="2" t="s">
        <v>27</v>
      </c>
      <c r="T170" s="2" t="s">
        <v>59</v>
      </c>
      <c r="U170" s="2" t="s">
        <v>277</v>
      </c>
      <c r="V170" s="4">
        <f>+VLOOKUP(U170,'FBCJ Jul-Des 2025'!$G$10:$P$1302,8,0)</f>
        <v>70101114</v>
      </c>
      <c r="W170" s="4" t="str">
        <f>+VLOOKUP(V170,Sheet1!$A$2:$B$27,2,0)</f>
        <v>By Perbaikan &amp; Perawatan Perabot Material Pihak3</v>
      </c>
      <c r="X170" s="4" t="str">
        <f>+VLOOKUP(U170,'FBCJ Jul-Des 2025'!$G$10:$P$1302,9,0)</f>
        <v>R124WHP</v>
      </c>
      <c r="Y170" s="2" t="s">
        <v>43</v>
      </c>
      <c r="Z170" s="2">
        <v>1495275</v>
      </c>
      <c r="AA170" s="2">
        <v>20250717</v>
      </c>
      <c r="AB170" s="3">
        <v>331727</v>
      </c>
    </row>
    <row r="171" spans="3:28" x14ac:dyDescent="0.25">
      <c r="C171" s="2">
        <v>10000001</v>
      </c>
      <c r="D171" s="2" t="s">
        <v>273</v>
      </c>
      <c r="F171" s="2">
        <v>12005976</v>
      </c>
      <c r="H171" s="2" t="s">
        <v>273</v>
      </c>
      <c r="I171" s="2" t="str">
        <f t="shared" si="2"/>
        <v>07</v>
      </c>
      <c r="J171" s="2">
        <v>50</v>
      </c>
      <c r="K171" s="3">
        <v>-963404</v>
      </c>
      <c r="L171" s="2" t="s">
        <v>26</v>
      </c>
      <c r="M171" s="3">
        <v>-963404</v>
      </c>
      <c r="N171" s="2" t="s">
        <v>26</v>
      </c>
      <c r="R171" s="2" t="s">
        <v>27</v>
      </c>
      <c r="T171" s="2" t="s">
        <v>59</v>
      </c>
      <c r="U171" s="2" t="s">
        <v>278</v>
      </c>
      <c r="V171" s="4">
        <f>+VLOOKUP(U171,'FBCJ Jul-Des 2025'!$G$10:$P$1302,8,0)</f>
        <v>70101114</v>
      </c>
      <c r="W171" s="4" t="str">
        <f>+VLOOKUP(V171,Sheet1!$A$2:$B$27,2,0)</f>
        <v>By Perbaikan &amp; Perawatan Perabot Material Pihak3</v>
      </c>
      <c r="X171" s="4" t="str">
        <f>+VLOOKUP(U171,'FBCJ Jul-Des 2025'!$G$10:$P$1302,9,0)</f>
        <v>R124QCA</v>
      </c>
      <c r="Y171" s="2" t="s">
        <v>43</v>
      </c>
      <c r="Z171" s="2">
        <v>1495275</v>
      </c>
      <c r="AA171" s="2">
        <v>20250717</v>
      </c>
      <c r="AB171" s="3">
        <v>963404</v>
      </c>
    </row>
    <row r="172" spans="3:28" x14ac:dyDescent="0.25">
      <c r="C172" s="2">
        <v>10000001</v>
      </c>
      <c r="D172" s="2" t="s">
        <v>273</v>
      </c>
      <c r="F172" s="2">
        <v>12005977</v>
      </c>
      <c r="H172" s="2" t="s">
        <v>273</v>
      </c>
      <c r="I172" s="2" t="str">
        <f t="shared" si="2"/>
        <v>07</v>
      </c>
      <c r="J172" s="2">
        <v>50</v>
      </c>
      <c r="K172" s="3">
        <v>-714500</v>
      </c>
      <c r="L172" s="2" t="s">
        <v>26</v>
      </c>
      <c r="M172" s="3">
        <v>-714500</v>
      </c>
      <c r="N172" s="2" t="s">
        <v>26</v>
      </c>
      <c r="R172" s="2" t="s">
        <v>27</v>
      </c>
      <c r="T172" s="2" t="s">
        <v>146</v>
      </c>
      <c r="U172" s="2" t="s">
        <v>279</v>
      </c>
      <c r="V172" s="4">
        <f>+VLOOKUP(U172,'FBCJ Jul-Des 2025'!$G$10:$P$1302,8,0)</f>
        <v>70115100</v>
      </c>
      <c r="W172" s="4" t="str">
        <f>+VLOOKUP(V172,Sheet1!$A$2:$B$27,2,0)</f>
        <v>Biaya Riset, Pengembangan, dan Laboratorium</v>
      </c>
      <c r="X172" s="4" t="str">
        <f>+VLOOKUP(U172,'FBCJ Jul-Des 2025'!$G$10:$P$1302,9,0)</f>
        <v>M204D1COMM</v>
      </c>
      <c r="Y172" s="2" t="s">
        <v>43</v>
      </c>
      <c r="Z172" s="2">
        <v>1495275</v>
      </c>
      <c r="AA172" s="2">
        <v>20250717</v>
      </c>
      <c r="AB172" s="3">
        <v>714500</v>
      </c>
    </row>
    <row r="173" spans="3:28" x14ac:dyDescent="0.25">
      <c r="C173" s="2">
        <v>10000001</v>
      </c>
      <c r="D173" s="2" t="s">
        <v>273</v>
      </c>
      <c r="F173" s="2">
        <v>12005978</v>
      </c>
      <c r="H173" s="2" t="s">
        <v>273</v>
      </c>
      <c r="I173" s="2" t="str">
        <f t="shared" si="2"/>
        <v>07</v>
      </c>
      <c r="J173" s="2">
        <v>50</v>
      </c>
      <c r="K173" s="3">
        <v>-830500</v>
      </c>
      <c r="L173" s="2" t="s">
        <v>26</v>
      </c>
      <c r="M173" s="3">
        <v>-830500</v>
      </c>
      <c r="N173" s="2" t="s">
        <v>26</v>
      </c>
      <c r="R173" s="2" t="s">
        <v>27</v>
      </c>
      <c r="T173" s="2" t="s">
        <v>162</v>
      </c>
      <c r="U173" s="2" t="s">
        <v>280</v>
      </c>
      <c r="V173" s="4">
        <f>+VLOOKUP(U173,'FBCJ Jul-Des 2025'!$G$10:$P$1302,8,0)</f>
        <v>70102300</v>
      </c>
      <c r="W173" s="4" t="str">
        <f>+VLOOKUP(V173,Sheet1!$A$2:$B$27,2,0)</f>
        <v>Biaya Poliklinik</v>
      </c>
      <c r="X173" s="4" t="str">
        <f>+VLOOKUP(U173,'FBCJ Jul-Des 2025'!$G$10:$P$1302,9,0)</f>
        <v>R124D1EHFS</v>
      </c>
      <c r="Y173" s="2" t="s">
        <v>43</v>
      </c>
      <c r="Z173" s="2">
        <v>1495275</v>
      </c>
      <c r="AA173" s="2">
        <v>20250717</v>
      </c>
      <c r="AB173" s="3">
        <v>830500</v>
      </c>
    </row>
    <row r="174" spans="3:28" x14ac:dyDescent="0.25">
      <c r="C174" s="2">
        <v>10000001</v>
      </c>
      <c r="D174" s="2" t="s">
        <v>273</v>
      </c>
      <c r="F174" s="2">
        <v>12005979</v>
      </c>
      <c r="H174" s="2" t="s">
        <v>273</v>
      </c>
      <c r="I174" s="2" t="str">
        <f t="shared" si="2"/>
        <v>07</v>
      </c>
      <c r="J174" s="2">
        <v>50</v>
      </c>
      <c r="K174" s="3">
        <v>-700000</v>
      </c>
      <c r="L174" s="2" t="s">
        <v>26</v>
      </c>
      <c r="M174" s="3">
        <v>-700000</v>
      </c>
      <c r="N174" s="2" t="s">
        <v>26</v>
      </c>
      <c r="R174" s="2" t="s">
        <v>27</v>
      </c>
      <c r="T174" s="2" t="s">
        <v>281</v>
      </c>
      <c r="U174" s="2" t="s">
        <v>282</v>
      </c>
      <c r="V174" s="4">
        <f>+VLOOKUP(U174,'FBCJ Jul-Des 2025'!$G$10:$P$1302,8,0)</f>
        <v>70110110</v>
      </c>
      <c r="W174" s="4" t="str">
        <f>+VLOOKUP(V174,Sheet1!$A$2:$B$27,2,0)</f>
        <v>Biaya Organisasi Professional Nasional</v>
      </c>
      <c r="X174" s="4" t="str">
        <f>+VLOOKUP(U174,'FBCJ Jul-Des 2025'!$G$10:$P$1302,9,0)</f>
        <v>R124D1HRDV</v>
      </c>
      <c r="Y174" s="2" t="s">
        <v>43</v>
      </c>
      <c r="Z174" s="2">
        <v>1495275</v>
      </c>
      <c r="AA174" s="2">
        <v>20250717</v>
      </c>
      <c r="AB174" s="3">
        <v>700000</v>
      </c>
    </row>
    <row r="175" spans="3:28" x14ac:dyDescent="0.25">
      <c r="C175" s="2">
        <v>10000001</v>
      </c>
      <c r="D175" s="2" t="s">
        <v>273</v>
      </c>
      <c r="F175" s="2">
        <v>12005980</v>
      </c>
      <c r="H175" s="2" t="s">
        <v>273</v>
      </c>
      <c r="I175" s="2" t="str">
        <f t="shared" si="2"/>
        <v>07</v>
      </c>
      <c r="J175" s="2">
        <v>50</v>
      </c>
      <c r="K175" s="3">
        <v>-500000</v>
      </c>
      <c r="L175" s="2" t="s">
        <v>26</v>
      </c>
      <c r="M175" s="3">
        <v>-500000</v>
      </c>
      <c r="N175" s="2" t="s">
        <v>26</v>
      </c>
      <c r="R175" s="2" t="s">
        <v>27</v>
      </c>
      <c r="T175" s="2" t="s">
        <v>126</v>
      </c>
      <c r="U175" s="2" t="s">
        <v>283</v>
      </c>
      <c r="V175" s="4">
        <f>+VLOOKUP(U175,'FBCJ Jul-Des 2025'!$G$10:$P$1302,8,0)</f>
        <v>70107600</v>
      </c>
      <c r="W175" s="4" t="str">
        <f>+VLOOKUP(V175,Sheet1!$A$2:$B$27,2,0)</f>
        <v>Biaya Konsumsi Kantor</v>
      </c>
      <c r="X175" s="4" t="str">
        <f>+VLOOKUP(U175,'FBCJ Jul-Des 2025'!$G$10:$P$1302,9,0)</f>
        <v>R124D1MGMT</v>
      </c>
      <c r="Y175" s="2" t="s">
        <v>43</v>
      </c>
      <c r="Z175" s="2">
        <v>1495275</v>
      </c>
      <c r="AA175" s="2">
        <v>20250717</v>
      </c>
      <c r="AB175" s="3">
        <v>500000</v>
      </c>
    </row>
    <row r="176" spans="3:28" x14ac:dyDescent="0.25">
      <c r="C176" s="2">
        <v>10000001</v>
      </c>
      <c r="D176" s="2" t="s">
        <v>284</v>
      </c>
      <c r="F176" s="2">
        <v>12005981</v>
      </c>
      <c r="H176" s="2" t="s">
        <v>284</v>
      </c>
      <c r="I176" s="2" t="str">
        <f t="shared" si="2"/>
        <v>07</v>
      </c>
      <c r="J176" s="2">
        <v>50</v>
      </c>
      <c r="K176" s="3">
        <v>-991000</v>
      </c>
      <c r="L176" s="2" t="s">
        <v>26</v>
      </c>
      <c r="M176" s="3">
        <v>-991000</v>
      </c>
      <c r="N176" s="2" t="s">
        <v>26</v>
      </c>
      <c r="R176" s="2" t="s">
        <v>27</v>
      </c>
      <c r="S176" s="2" t="s">
        <v>285</v>
      </c>
      <c r="T176" s="2" t="s">
        <v>57</v>
      </c>
      <c r="U176" s="2" t="s">
        <v>286</v>
      </c>
      <c r="V176" s="4">
        <f>+VLOOKUP(U176,'FBCJ Jul-Des 2025'!$G$10:$P$1302,8,0)</f>
        <v>70101202</v>
      </c>
      <c r="W176" s="4" t="str">
        <f>+VLOOKUP(V176,Sheet1!$A$2:$B$27,2,0)</f>
        <v>By Pemeliharaan Kend,ABerat,Mesin-Material Pihak3</v>
      </c>
      <c r="X176" s="4" t="str">
        <f>+VLOOKUP(U176,'FBCJ Jul-Des 2025'!$G$10:$P$1302,9,0)</f>
        <v>R124WTT</v>
      </c>
      <c r="Y176" s="2" t="s">
        <v>43</v>
      </c>
      <c r="Z176" s="2">
        <v>1495275</v>
      </c>
      <c r="AA176" s="2">
        <v>20250725</v>
      </c>
      <c r="AB176" s="3">
        <v>991000</v>
      </c>
    </row>
    <row r="177" spans="3:28" x14ac:dyDescent="0.25">
      <c r="C177" s="2">
        <v>10000001</v>
      </c>
      <c r="D177" s="2" t="s">
        <v>284</v>
      </c>
      <c r="F177" s="2">
        <v>12005982</v>
      </c>
      <c r="H177" s="2" t="s">
        <v>284</v>
      </c>
      <c r="I177" s="2" t="str">
        <f t="shared" si="2"/>
        <v>07</v>
      </c>
      <c r="J177" s="2">
        <v>50</v>
      </c>
      <c r="K177" s="3">
        <v>-904127</v>
      </c>
      <c r="L177" s="2" t="s">
        <v>26</v>
      </c>
      <c r="M177" s="3">
        <v>-904127</v>
      </c>
      <c r="N177" s="2" t="s">
        <v>26</v>
      </c>
      <c r="R177" s="2" t="s">
        <v>27</v>
      </c>
      <c r="S177" s="2" t="s">
        <v>287</v>
      </c>
      <c r="T177" s="2" t="s">
        <v>59</v>
      </c>
      <c r="U177" s="2" t="s">
        <v>288</v>
      </c>
      <c r="V177" s="4">
        <f>+VLOOKUP(U177,'FBCJ Jul-Des 2025'!$G$10:$P$1302,8,0)</f>
        <v>70101114</v>
      </c>
      <c r="W177" s="4" t="str">
        <f>+VLOOKUP(V177,Sheet1!$A$2:$B$27,2,0)</f>
        <v>By Perbaikan &amp; Perawatan Perabot Material Pihak3</v>
      </c>
      <c r="X177" s="4" t="str">
        <f>+VLOOKUP(U177,'FBCJ Jul-Des 2025'!$G$10:$P$1302,9,0)</f>
        <v>R124NSS</v>
      </c>
      <c r="Y177" s="2" t="s">
        <v>43</v>
      </c>
      <c r="Z177" s="2">
        <v>1495275</v>
      </c>
      <c r="AA177" s="2">
        <v>20250725</v>
      </c>
      <c r="AB177" s="3">
        <v>904127</v>
      </c>
    </row>
    <row r="178" spans="3:28" x14ac:dyDescent="0.25">
      <c r="C178" s="2">
        <v>10000001</v>
      </c>
      <c r="D178" s="2" t="s">
        <v>284</v>
      </c>
      <c r="F178" s="2">
        <v>12005983</v>
      </c>
      <c r="H178" s="2" t="s">
        <v>284</v>
      </c>
      <c r="I178" s="2" t="str">
        <f t="shared" si="2"/>
        <v>07</v>
      </c>
      <c r="J178" s="2">
        <v>50</v>
      </c>
      <c r="K178" s="3">
        <v>-50000</v>
      </c>
      <c r="L178" s="2" t="s">
        <v>26</v>
      </c>
      <c r="M178" s="3">
        <v>-50000</v>
      </c>
      <c r="N178" s="2" t="s">
        <v>26</v>
      </c>
      <c r="R178" s="2" t="s">
        <v>27</v>
      </c>
      <c r="S178" s="2" t="s">
        <v>289</v>
      </c>
      <c r="T178" s="2" t="s">
        <v>45</v>
      </c>
      <c r="U178" s="2" t="s">
        <v>290</v>
      </c>
      <c r="V178" s="4">
        <f>+VLOOKUP(U178,'FBCJ Jul-Des 2025'!$G$10:$P$1302,8,0)</f>
        <v>70009110</v>
      </c>
      <c r="W178" s="4" t="str">
        <f>+VLOOKUP(V178,Sheet1!$A$2:$B$27,2,0)</f>
        <v>Biaya Survey dan Analisa</v>
      </c>
      <c r="X178" s="4" t="str">
        <f>+VLOOKUP(U178,'FBCJ Jul-Des 2025'!$G$10:$P$1302,9,0)</f>
        <v>P206D1SLSS</v>
      </c>
      <c r="Y178" s="2" t="s">
        <v>43</v>
      </c>
      <c r="Z178" s="2">
        <v>1495275</v>
      </c>
      <c r="AA178" s="2">
        <v>20250725</v>
      </c>
      <c r="AB178" s="3">
        <v>50000</v>
      </c>
    </row>
    <row r="179" spans="3:28" x14ac:dyDescent="0.25">
      <c r="C179" s="2">
        <v>10000001</v>
      </c>
      <c r="D179" s="2" t="s">
        <v>284</v>
      </c>
      <c r="F179" s="2">
        <v>12005984</v>
      </c>
      <c r="H179" s="2" t="s">
        <v>284</v>
      </c>
      <c r="I179" s="2" t="str">
        <f t="shared" si="2"/>
        <v>07</v>
      </c>
      <c r="J179" s="2">
        <v>50</v>
      </c>
      <c r="K179" s="3">
        <v>-50000</v>
      </c>
      <c r="L179" s="2" t="s">
        <v>26</v>
      </c>
      <c r="M179" s="3">
        <v>-50000</v>
      </c>
      <c r="N179" s="2" t="s">
        <v>26</v>
      </c>
      <c r="R179" s="2" t="s">
        <v>27</v>
      </c>
      <c r="S179" s="2" t="s">
        <v>289</v>
      </c>
      <c r="T179" s="2" t="s">
        <v>45</v>
      </c>
      <c r="U179" s="2" t="s">
        <v>291</v>
      </c>
      <c r="V179" s="4">
        <f>+VLOOKUP(U179,'FBCJ Jul-Des 2025'!$G$10:$P$1302,8,0)</f>
        <v>70009110</v>
      </c>
      <c r="W179" s="4" t="str">
        <f>+VLOOKUP(V179,Sheet1!$A$2:$B$27,2,0)</f>
        <v>Biaya Survey dan Analisa</v>
      </c>
      <c r="X179" s="4" t="str">
        <f>+VLOOKUP(U179,'FBCJ Jul-Des 2025'!$G$10:$P$1302,9,0)</f>
        <v>P206D1SLSS</v>
      </c>
      <c r="Y179" s="2" t="s">
        <v>43</v>
      </c>
      <c r="Z179" s="2">
        <v>1495275</v>
      </c>
      <c r="AA179" s="2">
        <v>20250725</v>
      </c>
      <c r="AB179" s="3">
        <v>50000</v>
      </c>
    </row>
    <row r="180" spans="3:28" x14ac:dyDescent="0.25">
      <c r="C180" s="2">
        <v>10000001</v>
      </c>
      <c r="D180" s="2" t="s">
        <v>284</v>
      </c>
      <c r="F180" s="2">
        <v>12005985</v>
      </c>
      <c r="H180" s="2" t="s">
        <v>284</v>
      </c>
      <c r="I180" s="2" t="str">
        <f t="shared" si="2"/>
        <v>07</v>
      </c>
      <c r="J180" s="2">
        <v>50</v>
      </c>
      <c r="K180" s="3">
        <v>-50000</v>
      </c>
      <c r="L180" s="2" t="s">
        <v>26</v>
      </c>
      <c r="M180" s="3">
        <v>-50000</v>
      </c>
      <c r="N180" s="2" t="s">
        <v>26</v>
      </c>
      <c r="R180" s="2" t="s">
        <v>27</v>
      </c>
      <c r="S180" s="2" t="s">
        <v>289</v>
      </c>
      <c r="T180" s="2" t="s">
        <v>45</v>
      </c>
      <c r="U180" s="2" t="s">
        <v>292</v>
      </c>
      <c r="V180" s="4">
        <f>+VLOOKUP(U180,'FBCJ Jul-Des 2025'!$G$10:$P$1302,8,0)</f>
        <v>70009110</v>
      </c>
      <c r="W180" s="4" t="str">
        <f>+VLOOKUP(V180,Sheet1!$A$2:$B$27,2,0)</f>
        <v>Biaya Survey dan Analisa</v>
      </c>
      <c r="X180" s="4" t="str">
        <f>+VLOOKUP(U180,'FBCJ Jul-Des 2025'!$G$10:$P$1302,9,0)</f>
        <v>P206D1SLSS</v>
      </c>
      <c r="Y180" s="2" t="s">
        <v>43</v>
      </c>
      <c r="Z180" s="2">
        <v>1495275</v>
      </c>
      <c r="AA180" s="2">
        <v>20250725</v>
      </c>
      <c r="AB180" s="3">
        <v>50000</v>
      </c>
    </row>
    <row r="181" spans="3:28" x14ac:dyDescent="0.25">
      <c r="C181" s="2">
        <v>10000001</v>
      </c>
      <c r="D181" s="2" t="s">
        <v>284</v>
      </c>
      <c r="F181" s="2">
        <v>12005986</v>
      </c>
      <c r="H181" s="2" t="s">
        <v>284</v>
      </c>
      <c r="I181" s="2" t="str">
        <f t="shared" si="2"/>
        <v>07</v>
      </c>
      <c r="J181" s="2">
        <v>50</v>
      </c>
      <c r="K181" s="3">
        <v>-200000</v>
      </c>
      <c r="L181" s="2" t="s">
        <v>26</v>
      </c>
      <c r="M181" s="3">
        <v>-200000</v>
      </c>
      <c r="N181" s="2" t="s">
        <v>26</v>
      </c>
      <c r="R181" s="2" t="s">
        <v>27</v>
      </c>
      <c r="S181" s="2" t="s">
        <v>289</v>
      </c>
      <c r="T181" s="2" t="s">
        <v>45</v>
      </c>
      <c r="U181" s="2" t="s">
        <v>293</v>
      </c>
      <c r="V181" s="4">
        <f>+VLOOKUP(U181,'FBCJ Jul-Des 2025'!$G$10:$P$1302,8,0)</f>
        <v>70009110</v>
      </c>
      <c r="W181" s="4" t="str">
        <f>+VLOOKUP(V181,Sheet1!$A$2:$B$27,2,0)</f>
        <v>Biaya Survey dan Analisa</v>
      </c>
      <c r="X181" s="4" t="str">
        <f>+VLOOKUP(U181,'FBCJ Jul-Des 2025'!$G$10:$P$1302,9,0)</f>
        <v>P206D1SLSS</v>
      </c>
      <c r="Y181" s="2" t="s">
        <v>43</v>
      </c>
      <c r="Z181" s="2">
        <v>1495275</v>
      </c>
      <c r="AA181" s="2">
        <v>20250725</v>
      </c>
      <c r="AB181" s="3">
        <v>200000</v>
      </c>
    </row>
    <row r="182" spans="3:28" x14ac:dyDescent="0.25">
      <c r="C182" s="2">
        <v>10000001</v>
      </c>
      <c r="D182" s="2" t="s">
        <v>284</v>
      </c>
      <c r="F182" s="2">
        <v>12005987</v>
      </c>
      <c r="H182" s="2" t="s">
        <v>284</v>
      </c>
      <c r="I182" s="2" t="str">
        <f t="shared" si="2"/>
        <v>07</v>
      </c>
      <c r="J182" s="2">
        <v>50</v>
      </c>
      <c r="K182" s="3">
        <v>-301000</v>
      </c>
      <c r="L182" s="2" t="s">
        <v>26</v>
      </c>
      <c r="M182" s="3">
        <v>-301000</v>
      </c>
      <c r="N182" s="2" t="s">
        <v>26</v>
      </c>
      <c r="R182" s="2" t="s">
        <v>27</v>
      </c>
      <c r="S182" s="2" t="s">
        <v>294</v>
      </c>
      <c r="T182" s="2" t="s">
        <v>146</v>
      </c>
      <c r="U182" s="2" t="s">
        <v>295</v>
      </c>
      <c r="V182" s="4">
        <f>+VLOOKUP(U182,'FBCJ Jul-Des 2025'!$G$10:$P$1302,8,0)</f>
        <v>70115100</v>
      </c>
      <c r="W182" s="4" t="str">
        <f>+VLOOKUP(V182,Sheet1!$A$2:$B$27,2,0)</f>
        <v>Biaya Riset, Pengembangan, dan Laboratorium</v>
      </c>
      <c r="X182" s="4" t="str">
        <f>+VLOOKUP(U182,'FBCJ Jul-Des 2025'!$G$10:$P$1302,9,0)</f>
        <v>R124QCA</v>
      </c>
      <c r="Y182" s="2" t="s">
        <v>43</v>
      </c>
      <c r="Z182" s="2">
        <v>1495275</v>
      </c>
      <c r="AA182" s="2">
        <v>20250725</v>
      </c>
      <c r="AB182" s="3">
        <v>301000</v>
      </c>
    </row>
    <row r="183" spans="3:28" x14ac:dyDescent="0.25">
      <c r="C183" s="2">
        <v>10000001</v>
      </c>
      <c r="D183" s="2" t="s">
        <v>284</v>
      </c>
      <c r="F183" s="2">
        <v>12005988</v>
      </c>
      <c r="H183" s="2" t="s">
        <v>284</v>
      </c>
      <c r="I183" s="2" t="str">
        <f t="shared" si="2"/>
        <v>07</v>
      </c>
      <c r="J183" s="2">
        <v>50</v>
      </c>
      <c r="K183" s="3">
        <v>-264000</v>
      </c>
      <c r="L183" s="2" t="s">
        <v>26</v>
      </c>
      <c r="M183" s="3">
        <v>-264000</v>
      </c>
      <c r="N183" s="2" t="s">
        <v>26</v>
      </c>
      <c r="R183" s="2" t="s">
        <v>27</v>
      </c>
      <c r="S183" s="2" t="s">
        <v>294</v>
      </c>
      <c r="T183" s="2" t="s">
        <v>59</v>
      </c>
      <c r="U183" s="2" t="s">
        <v>296</v>
      </c>
      <c r="V183" s="4">
        <f>+VLOOKUP(U183,'FBCJ Jul-Des 2025'!$G$10:$P$1302,8,0)</f>
        <v>70101114</v>
      </c>
      <c r="W183" s="4" t="str">
        <f>+VLOOKUP(V183,Sheet1!$A$2:$B$27,2,0)</f>
        <v>By Perbaikan &amp; Perawatan Perabot Material Pihak3</v>
      </c>
      <c r="X183" s="4" t="str">
        <f>+VLOOKUP(U183,'FBCJ Jul-Des 2025'!$G$10:$P$1302,9,0)</f>
        <v>R124QCA</v>
      </c>
      <c r="Y183" s="2" t="s">
        <v>43</v>
      </c>
      <c r="Z183" s="2">
        <v>1495275</v>
      </c>
      <c r="AA183" s="2">
        <v>20250725</v>
      </c>
      <c r="AB183" s="3">
        <v>264000</v>
      </c>
    </row>
    <row r="184" spans="3:28" x14ac:dyDescent="0.25">
      <c r="C184" s="2">
        <v>10000001</v>
      </c>
      <c r="D184" s="2" t="s">
        <v>284</v>
      </c>
      <c r="F184" s="2">
        <v>12005989</v>
      </c>
      <c r="H184" s="2" t="s">
        <v>284</v>
      </c>
      <c r="I184" s="2" t="str">
        <f t="shared" si="2"/>
        <v>07</v>
      </c>
      <c r="J184" s="2">
        <v>50</v>
      </c>
      <c r="K184" s="3">
        <v>-44000</v>
      </c>
      <c r="L184" s="2" t="s">
        <v>26</v>
      </c>
      <c r="M184" s="3">
        <v>-44000</v>
      </c>
      <c r="N184" s="2" t="s">
        <v>26</v>
      </c>
      <c r="R184" s="2" t="s">
        <v>27</v>
      </c>
      <c r="S184" s="2" t="s">
        <v>294</v>
      </c>
      <c r="T184" s="2" t="s">
        <v>259</v>
      </c>
      <c r="U184" s="2" t="s">
        <v>297</v>
      </c>
      <c r="V184" s="4">
        <f>+VLOOKUP(U184,'FBCJ Jul-Des 2025'!$G$10:$P$1302,8,0)</f>
        <v>70119300</v>
      </c>
      <c r="W184" s="4" t="str">
        <f>+VLOOKUP(V184,Sheet1!$A$2:$B$27,2,0)</f>
        <v>Biaya Umum dan Administrasi</v>
      </c>
      <c r="X184" s="4" t="str">
        <f>+VLOOKUP(U184,'FBCJ Jul-Des 2025'!$G$10:$P$1302,9,0)</f>
        <v>R124QCA</v>
      </c>
      <c r="Y184" s="2" t="s">
        <v>43</v>
      </c>
      <c r="Z184" s="2">
        <v>1495275</v>
      </c>
      <c r="AA184" s="2">
        <v>20250725</v>
      </c>
      <c r="AB184" s="3">
        <v>44000</v>
      </c>
    </row>
    <row r="185" spans="3:28" x14ac:dyDescent="0.25">
      <c r="C185" s="2">
        <v>10000001</v>
      </c>
      <c r="D185" s="2" t="s">
        <v>284</v>
      </c>
      <c r="F185" s="2">
        <v>12005990</v>
      </c>
      <c r="H185" s="2" t="s">
        <v>284</v>
      </c>
      <c r="I185" s="2" t="str">
        <f t="shared" si="2"/>
        <v>07</v>
      </c>
      <c r="J185" s="2">
        <v>50</v>
      </c>
      <c r="K185" s="3">
        <v>-50000</v>
      </c>
      <c r="L185" s="2" t="s">
        <v>26</v>
      </c>
      <c r="M185" s="3">
        <v>-50000</v>
      </c>
      <c r="N185" s="2" t="s">
        <v>26</v>
      </c>
      <c r="R185" s="2" t="s">
        <v>27</v>
      </c>
      <c r="S185" s="2" t="s">
        <v>298</v>
      </c>
      <c r="T185" s="2" t="s">
        <v>45</v>
      </c>
      <c r="U185" s="2" t="s">
        <v>299</v>
      </c>
      <c r="V185" s="4">
        <f>+VLOOKUP(U185,'FBCJ Jul-Des 2025'!$G$10:$P$1302,8,0)</f>
        <v>70009110</v>
      </c>
      <c r="W185" s="4" t="str">
        <f>+VLOOKUP(V185,Sheet1!$A$2:$B$27,2,0)</f>
        <v>Biaya Survey dan Analisa</v>
      </c>
      <c r="X185" s="4" t="str">
        <f>+VLOOKUP(U185,'FBCJ Jul-Des 2025'!$G$10:$P$1302,9,0)</f>
        <v>P206D1SLSS</v>
      </c>
      <c r="Y185" s="2" t="s">
        <v>43</v>
      </c>
      <c r="Z185" s="2">
        <v>1495275</v>
      </c>
      <c r="AA185" s="2">
        <v>20250725</v>
      </c>
      <c r="AB185" s="3">
        <v>50000</v>
      </c>
    </row>
    <row r="186" spans="3:28" x14ac:dyDescent="0.25">
      <c r="C186" s="2">
        <v>10000001</v>
      </c>
      <c r="D186" s="2" t="s">
        <v>284</v>
      </c>
      <c r="F186" s="2">
        <v>12005991</v>
      </c>
      <c r="H186" s="2" t="s">
        <v>284</v>
      </c>
      <c r="I186" s="2" t="str">
        <f t="shared" si="2"/>
        <v>07</v>
      </c>
      <c r="J186" s="2">
        <v>50</v>
      </c>
      <c r="K186" s="3">
        <v>-50000</v>
      </c>
      <c r="L186" s="2" t="s">
        <v>26</v>
      </c>
      <c r="M186" s="3">
        <v>-50000</v>
      </c>
      <c r="N186" s="2" t="s">
        <v>26</v>
      </c>
      <c r="R186" s="2" t="s">
        <v>27</v>
      </c>
      <c r="S186" s="2" t="s">
        <v>298</v>
      </c>
      <c r="T186" s="2" t="s">
        <v>45</v>
      </c>
      <c r="U186" s="2" t="s">
        <v>300</v>
      </c>
      <c r="V186" s="4">
        <f>+VLOOKUP(U186,'FBCJ Jul-Des 2025'!$G$10:$P$1302,8,0)</f>
        <v>70009110</v>
      </c>
      <c r="W186" s="4" t="str">
        <f>+VLOOKUP(V186,Sheet1!$A$2:$B$27,2,0)</f>
        <v>Biaya Survey dan Analisa</v>
      </c>
      <c r="X186" s="4" t="str">
        <f>+VLOOKUP(U186,'FBCJ Jul-Des 2025'!$G$10:$P$1302,9,0)</f>
        <v>P206D1SLSS</v>
      </c>
      <c r="Y186" s="2" t="s">
        <v>43</v>
      </c>
      <c r="Z186" s="2">
        <v>1495275</v>
      </c>
      <c r="AA186" s="2">
        <v>20250725</v>
      </c>
      <c r="AB186" s="3">
        <v>50000</v>
      </c>
    </row>
    <row r="187" spans="3:28" x14ac:dyDescent="0.25">
      <c r="C187" s="2">
        <v>10000001</v>
      </c>
      <c r="D187" s="2" t="s">
        <v>284</v>
      </c>
      <c r="F187" s="2">
        <v>12005992</v>
      </c>
      <c r="H187" s="2" t="s">
        <v>284</v>
      </c>
      <c r="I187" s="2" t="str">
        <f t="shared" si="2"/>
        <v>07</v>
      </c>
      <c r="J187" s="2">
        <v>50</v>
      </c>
      <c r="K187" s="3">
        <v>-50000</v>
      </c>
      <c r="L187" s="2" t="s">
        <v>26</v>
      </c>
      <c r="M187" s="3">
        <v>-50000</v>
      </c>
      <c r="N187" s="2" t="s">
        <v>26</v>
      </c>
      <c r="R187" s="2" t="s">
        <v>27</v>
      </c>
      <c r="S187" s="2" t="s">
        <v>298</v>
      </c>
      <c r="T187" s="2" t="s">
        <v>45</v>
      </c>
      <c r="U187" s="2" t="s">
        <v>301</v>
      </c>
      <c r="V187" s="4">
        <f>+VLOOKUP(U187,'FBCJ Jul-Des 2025'!$G$10:$P$1302,8,0)</f>
        <v>70009110</v>
      </c>
      <c r="W187" s="4" t="str">
        <f>+VLOOKUP(V187,Sheet1!$A$2:$B$27,2,0)</f>
        <v>Biaya Survey dan Analisa</v>
      </c>
      <c r="X187" s="4" t="str">
        <f>+VLOOKUP(U187,'FBCJ Jul-Des 2025'!$G$10:$P$1302,9,0)</f>
        <v>P206D1SLSS</v>
      </c>
      <c r="Y187" s="2" t="s">
        <v>43</v>
      </c>
      <c r="Z187" s="2">
        <v>1495275</v>
      </c>
      <c r="AA187" s="2">
        <v>20250725</v>
      </c>
      <c r="AB187" s="3">
        <v>50000</v>
      </c>
    </row>
    <row r="188" spans="3:28" x14ac:dyDescent="0.25">
      <c r="C188" s="2">
        <v>10000001</v>
      </c>
      <c r="D188" s="2" t="s">
        <v>284</v>
      </c>
      <c r="F188" s="2">
        <v>12005993</v>
      </c>
      <c r="H188" s="2" t="s">
        <v>284</v>
      </c>
      <c r="I188" s="2" t="str">
        <f t="shared" si="2"/>
        <v>07</v>
      </c>
      <c r="J188" s="2">
        <v>50</v>
      </c>
      <c r="K188" s="3">
        <v>-727500</v>
      </c>
      <c r="L188" s="2" t="s">
        <v>26</v>
      </c>
      <c r="M188" s="3">
        <v>-727500</v>
      </c>
      <c r="N188" s="2" t="s">
        <v>26</v>
      </c>
      <c r="R188" s="2" t="s">
        <v>27</v>
      </c>
      <c r="S188" s="2" t="s">
        <v>302</v>
      </c>
      <c r="T188" s="2" t="s">
        <v>146</v>
      </c>
      <c r="U188" s="2" t="s">
        <v>303</v>
      </c>
      <c r="V188" s="4">
        <f>+VLOOKUP(U188,'FBCJ Jul-Des 2025'!$G$10:$P$1302,8,0)</f>
        <v>70115100</v>
      </c>
      <c r="W188" s="4" t="str">
        <f>+VLOOKUP(V188,Sheet1!$A$2:$B$27,2,0)</f>
        <v>Biaya Riset, Pengembangan, dan Laboratorium</v>
      </c>
      <c r="X188" s="4" t="str">
        <f>+VLOOKUP(U188,'FBCJ Jul-Des 2025'!$G$10:$P$1302,9,0)</f>
        <v>R124QCA</v>
      </c>
      <c r="Y188" s="2" t="s">
        <v>43</v>
      </c>
      <c r="Z188" s="2">
        <v>1495275</v>
      </c>
      <c r="AA188" s="2">
        <v>20250725</v>
      </c>
      <c r="AB188" s="3">
        <v>727500</v>
      </c>
    </row>
    <row r="189" spans="3:28" x14ac:dyDescent="0.25">
      <c r="C189" s="2">
        <v>10000001</v>
      </c>
      <c r="D189" s="2" t="s">
        <v>284</v>
      </c>
      <c r="F189" s="2">
        <v>12005994</v>
      </c>
      <c r="H189" s="2" t="s">
        <v>284</v>
      </c>
      <c r="I189" s="2" t="str">
        <f t="shared" si="2"/>
        <v>07</v>
      </c>
      <c r="J189" s="2">
        <v>50</v>
      </c>
      <c r="K189" s="3">
        <v>-43000</v>
      </c>
      <c r="L189" s="2" t="s">
        <v>26</v>
      </c>
      <c r="M189" s="3">
        <v>-43000</v>
      </c>
      <c r="N189" s="2" t="s">
        <v>26</v>
      </c>
      <c r="R189" s="2" t="s">
        <v>27</v>
      </c>
      <c r="S189" s="2" t="s">
        <v>302</v>
      </c>
      <c r="T189" s="2" t="s">
        <v>259</v>
      </c>
      <c r="U189" s="2" t="s">
        <v>304</v>
      </c>
      <c r="V189" s="4">
        <f>+VLOOKUP(U189,'FBCJ Jul-Des 2025'!$G$10:$P$1302,8,0)</f>
        <v>70119300</v>
      </c>
      <c r="W189" s="4" t="str">
        <f>+VLOOKUP(V189,Sheet1!$A$2:$B$27,2,0)</f>
        <v>Biaya Umum dan Administrasi</v>
      </c>
      <c r="X189" s="4" t="str">
        <f>+VLOOKUP(U189,'FBCJ Jul-Des 2025'!$G$10:$P$1302,9,0)</f>
        <v>R124QCA</v>
      </c>
      <c r="Y189" s="2" t="s">
        <v>43</v>
      </c>
      <c r="Z189" s="2">
        <v>1495275</v>
      </c>
      <c r="AA189" s="2">
        <v>20250725</v>
      </c>
      <c r="AB189" s="3">
        <v>43000</v>
      </c>
    </row>
    <row r="190" spans="3:28" x14ac:dyDescent="0.25">
      <c r="C190" s="2">
        <v>10000001</v>
      </c>
      <c r="D190" s="2" t="s">
        <v>284</v>
      </c>
      <c r="F190" s="2">
        <v>12005995</v>
      </c>
      <c r="H190" s="2" t="s">
        <v>284</v>
      </c>
      <c r="I190" s="2" t="str">
        <f t="shared" si="2"/>
        <v>07</v>
      </c>
      <c r="J190" s="2">
        <v>50</v>
      </c>
      <c r="K190" s="3">
        <v>-57000</v>
      </c>
      <c r="L190" s="2" t="s">
        <v>26</v>
      </c>
      <c r="M190" s="3">
        <v>-57000</v>
      </c>
      <c r="N190" s="2" t="s">
        <v>26</v>
      </c>
      <c r="R190" s="2" t="s">
        <v>27</v>
      </c>
      <c r="S190" s="2" t="s">
        <v>302</v>
      </c>
      <c r="T190" s="2" t="s">
        <v>59</v>
      </c>
      <c r="U190" s="2" t="s">
        <v>305</v>
      </c>
      <c r="V190" s="4">
        <f>+VLOOKUP(U190,'FBCJ Jul-Des 2025'!$G$10:$P$1302,8,0)</f>
        <v>70101114</v>
      </c>
      <c r="W190" s="4" t="str">
        <f>+VLOOKUP(V190,Sheet1!$A$2:$B$27,2,0)</f>
        <v>By Perbaikan &amp; Perawatan Perabot Material Pihak3</v>
      </c>
      <c r="X190" s="4" t="str">
        <f>+VLOOKUP(U190,'FBCJ Jul-Des 2025'!$G$10:$P$1302,9,0)</f>
        <v>R124QCA</v>
      </c>
      <c r="Y190" s="2" t="s">
        <v>43</v>
      </c>
      <c r="Z190" s="2">
        <v>1495275</v>
      </c>
      <c r="AA190" s="2">
        <v>20250725</v>
      </c>
      <c r="AB190" s="3">
        <v>57000</v>
      </c>
    </row>
    <row r="191" spans="3:28" x14ac:dyDescent="0.25">
      <c r="C191" s="2">
        <v>10000001</v>
      </c>
      <c r="D191" s="2" t="s">
        <v>284</v>
      </c>
      <c r="F191" s="2">
        <v>12005996</v>
      </c>
      <c r="H191" s="2" t="s">
        <v>284</v>
      </c>
      <c r="I191" s="2" t="str">
        <f t="shared" si="2"/>
        <v>07</v>
      </c>
      <c r="J191" s="2">
        <v>50</v>
      </c>
      <c r="K191" s="3">
        <v>-180000</v>
      </c>
      <c r="L191" s="2" t="s">
        <v>26</v>
      </c>
      <c r="M191" s="3">
        <v>-180000</v>
      </c>
      <c r="N191" s="2" t="s">
        <v>26</v>
      </c>
      <c r="R191" s="2" t="s">
        <v>27</v>
      </c>
      <c r="S191" s="2" t="s">
        <v>306</v>
      </c>
      <c r="T191" s="2" t="s">
        <v>126</v>
      </c>
      <c r="U191" s="2" t="s">
        <v>307</v>
      </c>
      <c r="V191" s="4">
        <f>+VLOOKUP(U191,'FBCJ Jul-Des 2025'!$G$10:$P$1302,8,0)</f>
        <v>70107600</v>
      </c>
      <c r="W191" s="4" t="str">
        <f>+VLOOKUP(V191,Sheet1!$A$2:$B$27,2,0)</f>
        <v>Biaya Konsumsi Kantor</v>
      </c>
      <c r="X191" s="4" t="str">
        <f>+VLOOKUP(U191,'FBCJ Jul-Des 2025'!$G$10:$P$1302,9,0)</f>
        <v>R124D1HRDV</v>
      </c>
      <c r="Y191" s="2" t="s">
        <v>43</v>
      </c>
      <c r="Z191" s="2">
        <v>1495275</v>
      </c>
      <c r="AA191" s="2">
        <v>20250725</v>
      </c>
      <c r="AB191" s="3">
        <v>180000</v>
      </c>
    </row>
    <row r="192" spans="3:28" x14ac:dyDescent="0.25">
      <c r="C192" s="2">
        <v>10000001</v>
      </c>
      <c r="D192" s="2" t="s">
        <v>284</v>
      </c>
      <c r="F192" s="2">
        <v>12005997</v>
      </c>
      <c r="H192" s="2" t="s">
        <v>284</v>
      </c>
      <c r="I192" s="2" t="str">
        <f t="shared" si="2"/>
        <v>07</v>
      </c>
      <c r="J192" s="2">
        <v>50</v>
      </c>
      <c r="K192" s="3">
        <v>-50000</v>
      </c>
      <c r="L192" s="2" t="s">
        <v>26</v>
      </c>
      <c r="M192" s="3">
        <v>-50000</v>
      </c>
      <c r="N192" s="2" t="s">
        <v>26</v>
      </c>
      <c r="R192" s="2" t="s">
        <v>27</v>
      </c>
      <c r="S192" s="2" t="s">
        <v>308</v>
      </c>
      <c r="T192" s="2" t="s">
        <v>45</v>
      </c>
      <c r="U192" s="2" t="s">
        <v>309</v>
      </c>
      <c r="V192" s="4">
        <f>+VLOOKUP(U192,'FBCJ Jul-Des 2025'!$G$10:$P$1302,8,0)</f>
        <v>70009110</v>
      </c>
      <c r="W192" s="4" t="str">
        <f>+VLOOKUP(V192,Sheet1!$A$2:$B$27,2,0)</f>
        <v>Biaya Survey dan Analisa</v>
      </c>
      <c r="X192" s="4" t="str">
        <f>+VLOOKUP(U192,'FBCJ Jul-Des 2025'!$G$10:$P$1302,9,0)</f>
        <v>P206D1SLSC</v>
      </c>
      <c r="Y192" s="2" t="s">
        <v>43</v>
      </c>
      <c r="Z192" s="2">
        <v>1495275</v>
      </c>
      <c r="AA192" s="2">
        <v>20250725</v>
      </c>
      <c r="AB192" s="3">
        <v>50000</v>
      </c>
    </row>
    <row r="193" spans="3:28" x14ac:dyDescent="0.25">
      <c r="C193" s="2">
        <v>10000001</v>
      </c>
      <c r="D193" s="2" t="s">
        <v>284</v>
      </c>
      <c r="F193" s="2">
        <v>12005998</v>
      </c>
      <c r="H193" s="2" t="s">
        <v>284</v>
      </c>
      <c r="I193" s="2" t="str">
        <f t="shared" si="2"/>
        <v>07</v>
      </c>
      <c r="J193" s="2">
        <v>50</v>
      </c>
      <c r="K193" s="3">
        <v>-50000</v>
      </c>
      <c r="L193" s="2" t="s">
        <v>26</v>
      </c>
      <c r="M193" s="3">
        <v>-50000</v>
      </c>
      <c r="N193" s="2" t="s">
        <v>26</v>
      </c>
      <c r="R193" s="2" t="s">
        <v>27</v>
      </c>
      <c r="S193" s="2" t="s">
        <v>308</v>
      </c>
      <c r="T193" s="2" t="s">
        <v>45</v>
      </c>
      <c r="U193" s="2" t="s">
        <v>310</v>
      </c>
      <c r="V193" s="4">
        <f>+VLOOKUP(U193,'FBCJ Jul-Des 2025'!$G$10:$P$1302,8,0)</f>
        <v>70009110</v>
      </c>
      <c r="W193" s="4" t="str">
        <f>+VLOOKUP(V193,Sheet1!$A$2:$B$27,2,0)</f>
        <v>Biaya Survey dan Analisa</v>
      </c>
      <c r="X193" s="4" t="str">
        <f>+VLOOKUP(U193,'FBCJ Jul-Des 2025'!$G$10:$P$1302,9,0)</f>
        <v>P206D1SLSC</v>
      </c>
      <c r="Y193" s="2" t="s">
        <v>43</v>
      </c>
      <c r="Z193" s="2">
        <v>1495275</v>
      </c>
      <c r="AA193" s="2">
        <v>20250725</v>
      </c>
      <c r="AB193" s="3">
        <v>50000</v>
      </c>
    </row>
    <row r="194" spans="3:28" x14ac:dyDescent="0.25">
      <c r="C194" s="2">
        <v>10000001</v>
      </c>
      <c r="D194" s="2" t="s">
        <v>284</v>
      </c>
      <c r="F194" s="2">
        <v>12005999</v>
      </c>
      <c r="H194" s="2" t="s">
        <v>284</v>
      </c>
      <c r="I194" s="2" t="str">
        <f t="shared" si="2"/>
        <v>07</v>
      </c>
      <c r="J194" s="2">
        <v>50</v>
      </c>
      <c r="K194" s="3">
        <v>-50000</v>
      </c>
      <c r="L194" s="2" t="s">
        <v>26</v>
      </c>
      <c r="M194" s="3">
        <v>-50000</v>
      </c>
      <c r="N194" s="2" t="s">
        <v>26</v>
      </c>
      <c r="R194" s="2" t="s">
        <v>27</v>
      </c>
      <c r="S194" s="2" t="s">
        <v>308</v>
      </c>
      <c r="T194" s="2" t="s">
        <v>45</v>
      </c>
      <c r="U194" s="2" t="s">
        <v>311</v>
      </c>
      <c r="V194" s="4">
        <f>+VLOOKUP(U194,'FBCJ Jul-Des 2025'!$G$10:$P$1302,8,0)</f>
        <v>70009110</v>
      </c>
      <c r="W194" s="4" t="str">
        <f>+VLOOKUP(V194,Sheet1!$A$2:$B$27,2,0)</f>
        <v>Biaya Survey dan Analisa</v>
      </c>
      <c r="X194" s="4" t="str">
        <f>+VLOOKUP(U194,'FBCJ Jul-Des 2025'!$G$10:$P$1302,9,0)</f>
        <v>P206D1SLSS</v>
      </c>
      <c r="Y194" s="2" t="s">
        <v>43</v>
      </c>
      <c r="Z194" s="2">
        <v>1495275</v>
      </c>
      <c r="AA194" s="2">
        <v>20250725</v>
      </c>
      <c r="AB194" s="3">
        <v>50000</v>
      </c>
    </row>
    <row r="195" spans="3:28" x14ac:dyDescent="0.25">
      <c r="C195" s="2">
        <v>10000001</v>
      </c>
      <c r="D195" s="2" t="s">
        <v>284</v>
      </c>
      <c r="F195" s="2">
        <v>12006000</v>
      </c>
      <c r="H195" s="2" t="s">
        <v>284</v>
      </c>
      <c r="I195" s="2" t="str">
        <f t="shared" si="2"/>
        <v>07</v>
      </c>
      <c r="J195" s="2">
        <v>50</v>
      </c>
      <c r="K195" s="3">
        <v>-50000</v>
      </c>
      <c r="L195" s="2" t="s">
        <v>26</v>
      </c>
      <c r="M195" s="3">
        <v>-50000</v>
      </c>
      <c r="N195" s="2" t="s">
        <v>26</v>
      </c>
      <c r="R195" s="2" t="s">
        <v>27</v>
      </c>
      <c r="S195" s="2" t="s">
        <v>308</v>
      </c>
      <c r="T195" s="2" t="s">
        <v>45</v>
      </c>
      <c r="U195" s="2" t="s">
        <v>312</v>
      </c>
      <c r="V195" s="4">
        <f>+VLOOKUP(U195,'FBCJ Jul-Des 2025'!$G$10:$P$1302,8,0)</f>
        <v>70009110</v>
      </c>
      <c r="W195" s="4" t="str">
        <f>+VLOOKUP(V195,Sheet1!$A$2:$B$27,2,0)</f>
        <v>Biaya Survey dan Analisa</v>
      </c>
      <c r="X195" s="4" t="str">
        <f>+VLOOKUP(U195,'FBCJ Jul-Des 2025'!$G$10:$P$1302,9,0)</f>
        <v>P206D1SLSC</v>
      </c>
      <c r="Y195" s="2" t="s">
        <v>43</v>
      </c>
      <c r="Z195" s="2">
        <v>1495275</v>
      </c>
      <c r="AA195" s="2">
        <v>20250725</v>
      </c>
      <c r="AB195" s="3">
        <v>50000</v>
      </c>
    </row>
    <row r="196" spans="3:28" x14ac:dyDescent="0.25">
      <c r="C196" s="2">
        <v>10000001</v>
      </c>
      <c r="D196" s="2" t="s">
        <v>284</v>
      </c>
      <c r="F196" s="2">
        <v>12006001</v>
      </c>
      <c r="H196" s="2" t="s">
        <v>284</v>
      </c>
      <c r="I196" s="2" t="str">
        <f t="shared" si="2"/>
        <v>07</v>
      </c>
      <c r="J196" s="2">
        <v>50</v>
      </c>
      <c r="K196" s="3">
        <v>-50000</v>
      </c>
      <c r="L196" s="2" t="s">
        <v>26</v>
      </c>
      <c r="M196" s="3">
        <v>-50000</v>
      </c>
      <c r="N196" s="2" t="s">
        <v>26</v>
      </c>
      <c r="R196" s="2" t="s">
        <v>27</v>
      </c>
      <c r="S196" s="2" t="s">
        <v>308</v>
      </c>
      <c r="T196" s="2" t="s">
        <v>45</v>
      </c>
      <c r="U196" s="2" t="s">
        <v>313</v>
      </c>
      <c r="V196" s="4">
        <f>+VLOOKUP(U196,'FBCJ Jul-Des 2025'!$G$10:$P$1302,8,0)</f>
        <v>70009110</v>
      </c>
      <c r="W196" s="4" t="str">
        <f>+VLOOKUP(V196,Sheet1!$A$2:$B$27,2,0)</f>
        <v>Biaya Survey dan Analisa</v>
      </c>
      <c r="X196" s="4" t="str">
        <f>+VLOOKUP(U196,'FBCJ Jul-Des 2025'!$G$10:$P$1302,9,0)</f>
        <v>P206D1SLSS</v>
      </c>
      <c r="Y196" s="2" t="s">
        <v>43</v>
      </c>
      <c r="Z196" s="2">
        <v>1495275</v>
      </c>
      <c r="AA196" s="2">
        <v>20250725</v>
      </c>
      <c r="AB196" s="3">
        <v>50000</v>
      </c>
    </row>
    <row r="197" spans="3:28" x14ac:dyDescent="0.25">
      <c r="C197" s="2">
        <v>10000001</v>
      </c>
      <c r="D197" s="2" t="s">
        <v>284</v>
      </c>
      <c r="F197" s="2">
        <v>12006002</v>
      </c>
      <c r="H197" s="2" t="s">
        <v>284</v>
      </c>
      <c r="I197" s="2" t="str">
        <f t="shared" si="2"/>
        <v>07</v>
      </c>
      <c r="J197" s="2">
        <v>50</v>
      </c>
      <c r="K197" s="3">
        <v>-500000</v>
      </c>
      <c r="L197" s="2" t="s">
        <v>26</v>
      </c>
      <c r="M197" s="3">
        <v>-500000</v>
      </c>
      <c r="N197" s="2" t="s">
        <v>26</v>
      </c>
      <c r="R197" s="2" t="s">
        <v>27</v>
      </c>
      <c r="S197" s="2" t="s">
        <v>314</v>
      </c>
      <c r="T197" s="2" t="s">
        <v>41</v>
      </c>
      <c r="U197" s="2" t="s">
        <v>315</v>
      </c>
      <c r="V197" s="4">
        <f>+VLOOKUP(U197,'FBCJ Jul-Des 2025'!$G$10:$P$1302,8,0)</f>
        <v>70107300</v>
      </c>
      <c r="W197" s="4" t="str">
        <f>+VLOOKUP(V197,Sheet1!$A$2:$B$27,2,0)</f>
        <v>Biaya Olahraga Dan Permainan</v>
      </c>
      <c r="X197" s="4" t="str">
        <f>+VLOOKUP(U197,'FBCJ Jul-Des 2025'!$G$10:$P$1302,9,0)</f>
        <v>R124D1HRDV</v>
      </c>
      <c r="Y197" s="2" t="s">
        <v>43</v>
      </c>
      <c r="Z197" s="2">
        <v>1495275</v>
      </c>
      <c r="AA197" s="2">
        <v>20250725</v>
      </c>
      <c r="AB197" s="3">
        <v>500000</v>
      </c>
    </row>
    <row r="198" spans="3:28" x14ac:dyDescent="0.25">
      <c r="C198" s="2">
        <v>10000001</v>
      </c>
      <c r="D198" s="2" t="s">
        <v>284</v>
      </c>
      <c r="F198" s="2">
        <v>12006003</v>
      </c>
      <c r="H198" s="2" t="s">
        <v>284</v>
      </c>
      <c r="I198" s="2" t="str">
        <f t="shared" si="2"/>
        <v>07</v>
      </c>
      <c r="J198" s="2">
        <v>50</v>
      </c>
      <c r="K198" s="3">
        <v>-710000</v>
      </c>
      <c r="L198" s="2" t="s">
        <v>26</v>
      </c>
      <c r="M198" s="3">
        <v>-710000</v>
      </c>
      <c r="N198" s="2" t="s">
        <v>26</v>
      </c>
      <c r="R198" s="2" t="s">
        <v>27</v>
      </c>
      <c r="S198" s="2" t="s">
        <v>316</v>
      </c>
      <c r="T198" s="2" t="s">
        <v>96</v>
      </c>
      <c r="U198" s="2" t="s">
        <v>317</v>
      </c>
      <c r="V198" s="4">
        <f>+VLOOKUP(U198,'FBCJ Jul-Des 2025'!$G$10:$P$1302,8,0)</f>
        <v>70106400</v>
      </c>
      <c r="W198" s="4" t="str">
        <f>+VLOOKUP(V198,Sheet1!$A$2:$B$27,2,0)</f>
        <v>Biaya Bahan Bakar</v>
      </c>
      <c r="X198" s="4" t="str">
        <f>+VLOOKUP(U198,'FBCJ Jul-Des 2025'!$G$10:$P$1302,9,0)</f>
        <v>R124D1HRGA</v>
      </c>
      <c r="Y198" s="2" t="s">
        <v>43</v>
      </c>
      <c r="Z198" s="2">
        <v>1495275</v>
      </c>
      <c r="AA198" s="2">
        <v>20250725</v>
      </c>
      <c r="AB198" s="3">
        <v>710000</v>
      </c>
    </row>
    <row r="199" spans="3:28" x14ac:dyDescent="0.25">
      <c r="C199" s="2">
        <v>10000001</v>
      </c>
      <c r="D199" s="2" t="s">
        <v>284</v>
      </c>
      <c r="F199" s="2">
        <v>12006004</v>
      </c>
      <c r="H199" s="2" t="s">
        <v>284</v>
      </c>
      <c r="I199" s="2" t="str">
        <f t="shared" si="2"/>
        <v>07</v>
      </c>
      <c r="J199" s="2">
        <v>50</v>
      </c>
      <c r="K199" s="3">
        <v>-290000</v>
      </c>
      <c r="L199" s="2" t="s">
        <v>26</v>
      </c>
      <c r="M199" s="3">
        <v>-290000</v>
      </c>
      <c r="N199" s="2" t="s">
        <v>26</v>
      </c>
      <c r="R199" s="2" t="s">
        <v>27</v>
      </c>
      <c r="S199" s="2" t="s">
        <v>316</v>
      </c>
      <c r="T199" s="2" t="s">
        <v>67</v>
      </c>
      <c r="U199" s="2" t="s">
        <v>98</v>
      </c>
      <c r="V199" s="4">
        <f>+VLOOKUP(U199,'FBCJ Jul-Des 2025'!$G$10:$P$1302,8,0)</f>
        <v>70106100</v>
      </c>
      <c r="W199" s="4" t="str">
        <f>+VLOOKUP(V199,Sheet1!$A$2:$B$27,2,0)</f>
        <v>Biaya Transportasi Lokal</v>
      </c>
      <c r="X199" s="4" t="str">
        <f>+VLOOKUP(U199,'FBCJ Jul-Des 2025'!$G$10:$P$1302,9,0)</f>
        <v>R124D1HRGA</v>
      </c>
      <c r="Y199" s="2" t="s">
        <v>43</v>
      </c>
      <c r="Z199" s="2">
        <v>1495275</v>
      </c>
      <c r="AA199" s="2">
        <v>20250725</v>
      </c>
      <c r="AB199" s="3">
        <v>290000</v>
      </c>
    </row>
    <row r="200" spans="3:28" x14ac:dyDescent="0.25">
      <c r="C200" s="2">
        <v>10000001</v>
      </c>
      <c r="D200" s="2" t="s">
        <v>284</v>
      </c>
      <c r="F200" s="2">
        <v>12006005</v>
      </c>
      <c r="H200" s="2" t="s">
        <v>284</v>
      </c>
      <c r="I200" s="2" t="str">
        <f t="shared" ref="I200:I263" si="3">+MID(H200,4,2)</f>
        <v>07</v>
      </c>
      <c r="J200" s="2">
        <v>50</v>
      </c>
      <c r="K200" s="3">
        <v>-212000</v>
      </c>
      <c r="L200" s="2" t="s">
        <v>26</v>
      </c>
      <c r="M200" s="3">
        <v>-212000</v>
      </c>
      <c r="N200" s="2" t="s">
        <v>26</v>
      </c>
      <c r="R200" s="2" t="s">
        <v>27</v>
      </c>
      <c r="S200" s="2" t="s">
        <v>318</v>
      </c>
      <c r="T200" s="2" t="s">
        <v>57</v>
      </c>
      <c r="U200" s="2" t="s">
        <v>319</v>
      </c>
      <c r="V200" s="4">
        <f>+VLOOKUP(U200,'FBCJ Jul-Des 2025'!$G$10:$P$1302,8,0)</f>
        <v>70101202</v>
      </c>
      <c r="W200" s="4" t="str">
        <f>+VLOOKUP(V200,Sheet1!$A$2:$B$27,2,0)</f>
        <v>By Pemeliharaan Kend,ABerat,Mesin-Material Pihak3</v>
      </c>
      <c r="X200" s="4" t="str">
        <f>+VLOOKUP(U200,'FBCJ Jul-Des 2025'!$G$10:$P$1302,9,0)</f>
        <v>R124MMP</v>
      </c>
      <c r="Y200" s="2" t="s">
        <v>43</v>
      </c>
      <c r="Z200" s="2">
        <v>1495275</v>
      </c>
      <c r="AA200" s="2">
        <v>20250725</v>
      </c>
      <c r="AB200" s="3">
        <v>212000</v>
      </c>
    </row>
    <row r="201" spans="3:28" x14ac:dyDescent="0.25">
      <c r="C201" s="2">
        <v>10000001</v>
      </c>
      <c r="D201" s="2" t="s">
        <v>284</v>
      </c>
      <c r="F201" s="2">
        <v>12006006</v>
      </c>
      <c r="H201" s="2" t="s">
        <v>284</v>
      </c>
      <c r="I201" s="2" t="str">
        <f t="shared" si="3"/>
        <v>07</v>
      </c>
      <c r="J201" s="2">
        <v>50</v>
      </c>
      <c r="K201" s="3">
        <v>-50000</v>
      </c>
      <c r="L201" s="2" t="s">
        <v>26</v>
      </c>
      <c r="M201" s="3">
        <v>-50000</v>
      </c>
      <c r="N201" s="2" t="s">
        <v>26</v>
      </c>
      <c r="R201" s="2" t="s">
        <v>27</v>
      </c>
      <c r="S201" s="2" t="s">
        <v>320</v>
      </c>
      <c r="T201" s="2" t="s">
        <v>45</v>
      </c>
      <c r="U201" s="2" t="s">
        <v>321</v>
      </c>
      <c r="V201" s="4">
        <f>+VLOOKUP(U201,'FBCJ Jul-Des 2025'!$G$10:$P$1302,8,0)</f>
        <v>70009110</v>
      </c>
      <c r="W201" s="4" t="str">
        <f>+VLOOKUP(V201,Sheet1!$A$2:$B$27,2,0)</f>
        <v>Biaya Survey dan Analisa</v>
      </c>
      <c r="X201" s="4" t="str">
        <f>+VLOOKUP(U201,'FBCJ Jul-Des 2025'!$G$10:$P$1302,9,0)</f>
        <v>P206D1SLSS</v>
      </c>
      <c r="Y201" s="2" t="s">
        <v>43</v>
      </c>
      <c r="Z201" s="2">
        <v>1495275</v>
      </c>
      <c r="AA201" s="2">
        <v>20250725</v>
      </c>
      <c r="AB201" s="3">
        <v>50000</v>
      </c>
    </row>
    <row r="202" spans="3:28" x14ac:dyDescent="0.25">
      <c r="C202" s="2">
        <v>10000001</v>
      </c>
      <c r="D202" s="2" t="s">
        <v>284</v>
      </c>
      <c r="F202" s="2">
        <v>12006007</v>
      </c>
      <c r="H202" s="2" t="s">
        <v>284</v>
      </c>
      <c r="I202" s="2" t="str">
        <f t="shared" si="3"/>
        <v>07</v>
      </c>
      <c r="J202" s="2">
        <v>50</v>
      </c>
      <c r="K202" s="3">
        <v>-50000</v>
      </c>
      <c r="L202" s="2" t="s">
        <v>26</v>
      </c>
      <c r="M202" s="3">
        <v>-50000</v>
      </c>
      <c r="N202" s="2" t="s">
        <v>26</v>
      </c>
      <c r="R202" s="2" t="s">
        <v>27</v>
      </c>
      <c r="S202" s="2" t="s">
        <v>320</v>
      </c>
      <c r="T202" s="2" t="s">
        <v>45</v>
      </c>
      <c r="U202" s="2" t="s">
        <v>322</v>
      </c>
      <c r="V202" s="4">
        <f>+VLOOKUP(U202,'FBCJ Jul-Des 2025'!$G$10:$P$1302,8,0)</f>
        <v>70009110</v>
      </c>
      <c r="W202" s="4" t="str">
        <f>+VLOOKUP(V202,Sheet1!$A$2:$B$27,2,0)</f>
        <v>Biaya Survey dan Analisa</v>
      </c>
      <c r="X202" s="4" t="str">
        <f>+VLOOKUP(U202,'FBCJ Jul-Des 2025'!$G$10:$P$1302,9,0)</f>
        <v>P206D1SLSS</v>
      </c>
      <c r="Y202" s="2" t="s">
        <v>43</v>
      </c>
      <c r="Z202" s="2">
        <v>1495275</v>
      </c>
      <c r="AA202" s="2">
        <v>20250725</v>
      </c>
      <c r="AB202" s="3">
        <v>50000</v>
      </c>
    </row>
    <row r="203" spans="3:28" x14ac:dyDescent="0.25">
      <c r="C203" s="2">
        <v>10000001</v>
      </c>
      <c r="D203" s="2" t="s">
        <v>284</v>
      </c>
      <c r="F203" s="2">
        <v>12006008</v>
      </c>
      <c r="H203" s="2" t="s">
        <v>284</v>
      </c>
      <c r="I203" s="2" t="str">
        <f t="shared" si="3"/>
        <v>07</v>
      </c>
      <c r="J203" s="2">
        <v>50</v>
      </c>
      <c r="K203" s="3">
        <v>-50000</v>
      </c>
      <c r="L203" s="2" t="s">
        <v>26</v>
      </c>
      <c r="M203" s="3">
        <v>-50000</v>
      </c>
      <c r="N203" s="2" t="s">
        <v>26</v>
      </c>
      <c r="R203" s="2" t="s">
        <v>27</v>
      </c>
      <c r="S203" s="2" t="s">
        <v>320</v>
      </c>
      <c r="T203" s="2" t="s">
        <v>45</v>
      </c>
      <c r="U203" s="2" t="s">
        <v>323</v>
      </c>
      <c r="V203" s="4">
        <f>+VLOOKUP(U203,'FBCJ Jul-Des 2025'!$G$10:$P$1302,8,0)</f>
        <v>70009110</v>
      </c>
      <c r="W203" s="4" t="str">
        <f>+VLOOKUP(V203,Sheet1!$A$2:$B$27,2,0)</f>
        <v>Biaya Survey dan Analisa</v>
      </c>
      <c r="X203" s="4" t="str">
        <f>+VLOOKUP(U203,'FBCJ Jul-Des 2025'!$G$10:$P$1302,9,0)</f>
        <v>P206D1SLSS</v>
      </c>
      <c r="Y203" s="2" t="s">
        <v>43</v>
      </c>
      <c r="Z203" s="2">
        <v>1495275</v>
      </c>
      <c r="AA203" s="2">
        <v>20250725</v>
      </c>
      <c r="AB203" s="3">
        <v>50000</v>
      </c>
    </row>
    <row r="204" spans="3:28" x14ac:dyDescent="0.25">
      <c r="C204" s="2">
        <v>10000001</v>
      </c>
      <c r="D204" s="2" t="s">
        <v>284</v>
      </c>
      <c r="F204" s="2">
        <v>12006009</v>
      </c>
      <c r="H204" s="2" t="s">
        <v>284</v>
      </c>
      <c r="I204" s="2" t="str">
        <f t="shared" si="3"/>
        <v>07</v>
      </c>
      <c r="J204" s="2">
        <v>50</v>
      </c>
      <c r="K204" s="3">
        <v>-50000</v>
      </c>
      <c r="L204" s="2" t="s">
        <v>26</v>
      </c>
      <c r="M204" s="3">
        <v>-50000</v>
      </c>
      <c r="N204" s="2" t="s">
        <v>26</v>
      </c>
      <c r="R204" s="2" t="s">
        <v>27</v>
      </c>
      <c r="S204" s="2" t="s">
        <v>320</v>
      </c>
      <c r="T204" s="2" t="s">
        <v>45</v>
      </c>
      <c r="U204" s="2" t="s">
        <v>324</v>
      </c>
      <c r="V204" s="4">
        <f>+VLOOKUP(U204,'FBCJ Jul-Des 2025'!$G$10:$P$1302,8,0)</f>
        <v>70009110</v>
      </c>
      <c r="W204" s="4" t="str">
        <f>+VLOOKUP(V204,Sheet1!$A$2:$B$27,2,0)</f>
        <v>Biaya Survey dan Analisa</v>
      </c>
      <c r="X204" s="4" t="str">
        <f>+VLOOKUP(U204,'FBCJ Jul-Des 2025'!$G$10:$P$1302,9,0)</f>
        <v>P206D1SLSS</v>
      </c>
      <c r="Y204" s="2" t="s">
        <v>43</v>
      </c>
      <c r="Z204" s="2">
        <v>1495275</v>
      </c>
      <c r="AA204" s="2">
        <v>20250725</v>
      </c>
      <c r="AB204" s="3">
        <v>50000</v>
      </c>
    </row>
    <row r="205" spans="3:28" x14ac:dyDescent="0.25">
      <c r="C205" s="2">
        <v>10000001</v>
      </c>
      <c r="D205" s="2" t="s">
        <v>284</v>
      </c>
      <c r="F205" s="2">
        <v>12006010</v>
      </c>
      <c r="H205" s="2" t="s">
        <v>284</v>
      </c>
      <c r="I205" s="2" t="str">
        <f t="shared" si="3"/>
        <v>07</v>
      </c>
      <c r="J205" s="2">
        <v>50</v>
      </c>
      <c r="K205" s="3">
        <v>-50000</v>
      </c>
      <c r="L205" s="2" t="s">
        <v>26</v>
      </c>
      <c r="M205" s="3">
        <v>-50000</v>
      </c>
      <c r="N205" s="2" t="s">
        <v>26</v>
      </c>
      <c r="R205" s="2" t="s">
        <v>27</v>
      </c>
      <c r="S205" s="2" t="s">
        <v>320</v>
      </c>
      <c r="T205" s="2" t="s">
        <v>45</v>
      </c>
      <c r="U205" s="2" t="s">
        <v>325</v>
      </c>
      <c r="V205" s="4">
        <f>+VLOOKUP(U205,'FBCJ Jul-Des 2025'!$G$10:$P$1302,8,0)</f>
        <v>70009110</v>
      </c>
      <c r="W205" s="4" t="str">
        <f>+VLOOKUP(V205,Sheet1!$A$2:$B$27,2,0)</f>
        <v>Biaya Survey dan Analisa</v>
      </c>
      <c r="X205" s="4" t="str">
        <f>+VLOOKUP(U205,'FBCJ Jul-Des 2025'!$G$10:$P$1302,9,0)</f>
        <v>P206D1SLSC</v>
      </c>
      <c r="Y205" s="2" t="s">
        <v>43</v>
      </c>
      <c r="Z205" s="2">
        <v>1495275</v>
      </c>
      <c r="AA205" s="2">
        <v>20250725</v>
      </c>
      <c r="AB205" s="3">
        <v>50000</v>
      </c>
    </row>
    <row r="206" spans="3:28" x14ac:dyDescent="0.25">
      <c r="C206" s="2">
        <v>10000001</v>
      </c>
      <c r="D206" s="2" t="s">
        <v>284</v>
      </c>
      <c r="F206" s="2">
        <v>12006011</v>
      </c>
      <c r="H206" s="2" t="s">
        <v>284</v>
      </c>
      <c r="I206" s="2" t="str">
        <f t="shared" si="3"/>
        <v>07</v>
      </c>
      <c r="J206" s="2">
        <v>50</v>
      </c>
      <c r="K206" s="3">
        <v>-50000</v>
      </c>
      <c r="L206" s="2" t="s">
        <v>26</v>
      </c>
      <c r="M206" s="3">
        <v>-50000</v>
      </c>
      <c r="N206" s="2" t="s">
        <v>26</v>
      </c>
      <c r="R206" s="2" t="s">
        <v>27</v>
      </c>
      <c r="S206" s="2" t="s">
        <v>320</v>
      </c>
      <c r="T206" s="2" t="s">
        <v>45</v>
      </c>
      <c r="U206" s="2" t="s">
        <v>326</v>
      </c>
      <c r="V206" s="4">
        <f>+VLOOKUP(U206,'FBCJ Jul-Des 2025'!$G$10:$P$1302,8,0)</f>
        <v>70009110</v>
      </c>
      <c r="W206" s="4" t="str">
        <f>+VLOOKUP(V206,Sheet1!$A$2:$B$27,2,0)</f>
        <v>Biaya Survey dan Analisa</v>
      </c>
      <c r="X206" s="4" t="str">
        <f>+VLOOKUP(U206,'FBCJ Jul-Des 2025'!$G$10:$P$1302,9,0)</f>
        <v>P206D1SLSS</v>
      </c>
      <c r="Y206" s="2" t="s">
        <v>43</v>
      </c>
      <c r="Z206" s="2">
        <v>1495275</v>
      </c>
      <c r="AA206" s="2">
        <v>20250725</v>
      </c>
      <c r="AB206" s="3">
        <v>50000</v>
      </c>
    </row>
    <row r="207" spans="3:28" x14ac:dyDescent="0.25">
      <c r="C207" s="2">
        <v>10000001</v>
      </c>
      <c r="D207" s="2" t="s">
        <v>284</v>
      </c>
      <c r="F207" s="2">
        <v>12006012</v>
      </c>
      <c r="H207" s="2" t="s">
        <v>284</v>
      </c>
      <c r="I207" s="2" t="str">
        <f t="shared" si="3"/>
        <v>07</v>
      </c>
      <c r="J207" s="2">
        <v>50</v>
      </c>
      <c r="K207" s="3">
        <v>-50000</v>
      </c>
      <c r="L207" s="2" t="s">
        <v>26</v>
      </c>
      <c r="M207" s="3">
        <v>-50000</v>
      </c>
      <c r="N207" s="2" t="s">
        <v>26</v>
      </c>
      <c r="R207" s="2" t="s">
        <v>27</v>
      </c>
      <c r="S207" s="2" t="s">
        <v>320</v>
      </c>
      <c r="T207" s="2" t="s">
        <v>45</v>
      </c>
      <c r="U207" s="2" t="s">
        <v>327</v>
      </c>
      <c r="V207" s="4">
        <f>+VLOOKUP(U207,'FBCJ Jul-Des 2025'!$G$10:$P$1302,8,0)</f>
        <v>70009110</v>
      </c>
      <c r="W207" s="4" t="str">
        <f>+VLOOKUP(V207,Sheet1!$A$2:$B$27,2,0)</f>
        <v>Biaya Survey dan Analisa</v>
      </c>
      <c r="X207" s="4" t="str">
        <f>+VLOOKUP(U207,'FBCJ Jul-Des 2025'!$G$10:$P$1302,9,0)</f>
        <v>P206D1SLSS</v>
      </c>
      <c r="Y207" s="2" t="s">
        <v>43</v>
      </c>
      <c r="Z207" s="2">
        <v>1495275</v>
      </c>
      <c r="AA207" s="2">
        <v>20250725</v>
      </c>
      <c r="AB207" s="3">
        <v>50000</v>
      </c>
    </row>
    <row r="208" spans="3:28" x14ac:dyDescent="0.25">
      <c r="C208" s="2">
        <v>10000001</v>
      </c>
      <c r="D208" s="2" t="s">
        <v>284</v>
      </c>
      <c r="F208" s="2">
        <v>12006013</v>
      </c>
      <c r="H208" s="2" t="s">
        <v>284</v>
      </c>
      <c r="I208" s="2" t="str">
        <f t="shared" si="3"/>
        <v>07</v>
      </c>
      <c r="J208" s="2">
        <v>50</v>
      </c>
      <c r="K208" s="3">
        <v>-50000</v>
      </c>
      <c r="L208" s="2" t="s">
        <v>26</v>
      </c>
      <c r="M208" s="3">
        <v>-50000</v>
      </c>
      <c r="N208" s="2" t="s">
        <v>26</v>
      </c>
      <c r="R208" s="2" t="s">
        <v>27</v>
      </c>
      <c r="S208" s="2" t="s">
        <v>320</v>
      </c>
      <c r="T208" s="2" t="s">
        <v>45</v>
      </c>
      <c r="U208" s="2" t="s">
        <v>328</v>
      </c>
      <c r="V208" s="4">
        <f>+VLOOKUP(U208,'FBCJ Jul-Des 2025'!$G$10:$P$1302,8,0)</f>
        <v>70009110</v>
      </c>
      <c r="W208" s="4" t="str">
        <f>+VLOOKUP(V208,Sheet1!$A$2:$B$27,2,0)</f>
        <v>Biaya Survey dan Analisa</v>
      </c>
      <c r="X208" s="4" t="str">
        <f>+VLOOKUP(U208,'FBCJ Jul-Des 2025'!$G$10:$P$1302,9,0)</f>
        <v>P206D1SLSS</v>
      </c>
      <c r="Y208" s="2" t="s">
        <v>43</v>
      </c>
      <c r="Z208" s="2">
        <v>1495275</v>
      </c>
      <c r="AA208" s="2">
        <v>20250725</v>
      </c>
      <c r="AB208" s="3">
        <v>50000</v>
      </c>
    </row>
    <row r="209" spans="3:28" x14ac:dyDescent="0.25">
      <c r="C209" s="2">
        <v>10000001</v>
      </c>
      <c r="D209" s="2" t="s">
        <v>284</v>
      </c>
      <c r="F209" s="2">
        <v>12006014</v>
      </c>
      <c r="H209" s="2" t="s">
        <v>284</v>
      </c>
      <c r="I209" s="2" t="str">
        <f t="shared" si="3"/>
        <v>07</v>
      </c>
      <c r="J209" s="2">
        <v>50</v>
      </c>
      <c r="K209" s="3">
        <v>-50000</v>
      </c>
      <c r="L209" s="2" t="s">
        <v>26</v>
      </c>
      <c r="M209" s="3">
        <v>-50000</v>
      </c>
      <c r="N209" s="2" t="s">
        <v>26</v>
      </c>
      <c r="R209" s="2" t="s">
        <v>27</v>
      </c>
      <c r="S209" s="2" t="s">
        <v>320</v>
      </c>
      <c r="T209" s="2" t="s">
        <v>45</v>
      </c>
      <c r="U209" s="2" t="s">
        <v>329</v>
      </c>
      <c r="V209" s="4">
        <f>+VLOOKUP(U209,'FBCJ Jul-Des 2025'!$G$10:$P$1302,8,0)</f>
        <v>70009110</v>
      </c>
      <c r="W209" s="4" t="str">
        <f>+VLOOKUP(V209,Sheet1!$A$2:$B$27,2,0)</f>
        <v>Biaya Survey dan Analisa</v>
      </c>
      <c r="X209" s="4" t="str">
        <f>+VLOOKUP(U209,'FBCJ Jul-Des 2025'!$G$10:$P$1302,9,0)</f>
        <v>P206D1SLSS</v>
      </c>
      <c r="Y209" s="2" t="s">
        <v>43</v>
      </c>
      <c r="Z209" s="2">
        <v>1495275</v>
      </c>
      <c r="AA209" s="2">
        <v>20250725</v>
      </c>
      <c r="AB209" s="3">
        <v>50000</v>
      </c>
    </row>
    <row r="210" spans="3:28" x14ac:dyDescent="0.25">
      <c r="C210" s="2">
        <v>10000001</v>
      </c>
      <c r="D210" s="2" t="s">
        <v>284</v>
      </c>
      <c r="F210" s="2">
        <v>12006015</v>
      </c>
      <c r="H210" s="2" t="s">
        <v>284</v>
      </c>
      <c r="I210" s="2" t="str">
        <f t="shared" si="3"/>
        <v>07</v>
      </c>
      <c r="J210" s="2">
        <v>50</v>
      </c>
      <c r="K210" s="3">
        <v>-50000</v>
      </c>
      <c r="L210" s="2" t="s">
        <v>26</v>
      </c>
      <c r="M210" s="3">
        <v>-50000</v>
      </c>
      <c r="N210" s="2" t="s">
        <v>26</v>
      </c>
      <c r="R210" s="2" t="s">
        <v>27</v>
      </c>
      <c r="S210" s="2" t="s">
        <v>330</v>
      </c>
      <c r="T210" s="2" t="s">
        <v>45</v>
      </c>
      <c r="U210" s="2" t="s">
        <v>331</v>
      </c>
      <c r="V210" s="4">
        <f>+VLOOKUP(U210,'FBCJ Jul-Des 2025'!$G$10:$P$1302,8,0)</f>
        <v>70009110</v>
      </c>
      <c r="W210" s="4" t="str">
        <f>+VLOOKUP(V210,Sheet1!$A$2:$B$27,2,0)</f>
        <v>Biaya Survey dan Analisa</v>
      </c>
      <c r="X210" s="4" t="str">
        <f>+VLOOKUP(U210,'FBCJ Jul-Des 2025'!$G$10:$P$1302,9,0)</f>
        <v>M204D1COMM</v>
      </c>
      <c r="Y210" s="2" t="s">
        <v>43</v>
      </c>
      <c r="Z210" s="2">
        <v>1495275</v>
      </c>
      <c r="AA210" s="2">
        <v>20250725</v>
      </c>
      <c r="AB210" s="3">
        <v>50000</v>
      </c>
    </row>
    <row r="211" spans="3:28" x14ac:dyDescent="0.25">
      <c r="C211" s="2">
        <v>10000001</v>
      </c>
      <c r="D211" s="2" t="s">
        <v>284</v>
      </c>
      <c r="F211" s="2">
        <v>12006016</v>
      </c>
      <c r="H211" s="2" t="s">
        <v>284</v>
      </c>
      <c r="I211" s="2" t="str">
        <f t="shared" si="3"/>
        <v>07</v>
      </c>
      <c r="J211" s="2">
        <v>50</v>
      </c>
      <c r="K211" s="3">
        <v>-50000</v>
      </c>
      <c r="L211" s="2" t="s">
        <v>26</v>
      </c>
      <c r="M211" s="3">
        <v>-50000</v>
      </c>
      <c r="N211" s="2" t="s">
        <v>26</v>
      </c>
      <c r="R211" s="2" t="s">
        <v>27</v>
      </c>
      <c r="S211" s="2" t="s">
        <v>330</v>
      </c>
      <c r="T211" s="2" t="s">
        <v>45</v>
      </c>
      <c r="U211" s="2" t="s">
        <v>332</v>
      </c>
      <c r="V211" s="4">
        <f>+VLOOKUP(U211,'FBCJ Jul-Des 2025'!$G$10:$P$1302,8,0)</f>
        <v>70009110</v>
      </c>
      <c r="W211" s="4" t="str">
        <f>+VLOOKUP(V211,Sheet1!$A$2:$B$27,2,0)</f>
        <v>Biaya Survey dan Analisa</v>
      </c>
      <c r="X211" s="4" t="str">
        <f>+VLOOKUP(U211,'FBCJ Jul-Des 2025'!$G$10:$P$1302,9,0)</f>
        <v>M204D1COMM</v>
      </c>
      <c r="Y211" s="2" t="s">
        <v>43</v>
      </c>
      <c r="Z211" s="2">
        <v>1495275</v>
      </c>
      <c r="AA211" s="2">
        <v>20250725</v>
      </c>
      <c r="AB211" s="3">
        <v>50000</v>
      </c>
    </row>
    <row r="212" spans="3:28" x14ac:dyDescent="0.25">
      <c r="C212" s="2">
        <v>10000001</v>
      </c>
      <c r="D212" s="2" t="s">
        <v>284</v>
      </c>
      <c r="F212" s="2">
        <v>12006017</v>
      </c>
      <c r="H212" s="2" t="s">
        <v>284</v>
      </c>
      <c r="I212" s="2" t="str">
        <f t="shared" si="3"/>
        <v>07</v>
      </c>
      <c r="J212" s="2">
        <v>50</v>
      </c>
      <c r="K212" s="3">
        <v>-50000</v>
      </c>
      <c r="L212" s="2" t="s">
        <v>26</v>
      </c>
      <c r="M212" s="3">
        <v>-50000</v>
      </c>
      <c r="N212" s="2" t="s">
        <v>26</v>
      </c>
      <c r="R212" s="2" t="s">
        <v>27</v>
      </c>
      <c r="S212" s="2" t="s">
        <v>330</v>
      </c>
      <c r="T212" s="2" t="s">
        <v>45</v>
      </c>
      <c r="U212" s="2" t="s">
        <v>333</v>
      </c>
      <c r="V212" s="4">
        <f>+VLOOKUP(U212,'FBCJ Jul-Des 2025'!$G$10:$P$1302,8,0)</f>
        <v>70009110</v>
      </c>
      <c r="W212" s="4" t="str">
        <f>+VLOOKUP(V212,Sheet1!$A$2:$B$27,2,0)</f>
        <v>Biaya Survey dan Analisa</v>
      </c>
      <c r="X212" s="4" t="str">
        <f>+VLOOKUP(U212,'FBCJ Jul-Des 2025'!$G$10:$P$1302,9,0)</f>
        <v>M204D1COMM</v>
      </c>
      <c r="Y212" s="2" t="s">
        <v>43</v>
      </c>
      <c r="Z212" s="2">
        <v>1495275</v>
      </c>
      <c r="AA212" s="2">
        <v>20250725</v>
      </c>
      <c r="AB212" s="3">
        <v>50000</v>
      </c>
    </row>
    <row r="213" spans="3:28" x14ac:dyDescent="0.25">
      <c r="C213" s="2">
        <v>10000001</v>
      </c>
      <c r="D213" s="2" t="s">
        <v>284</v>
      </c>
      <c r="F213" s="2">
        <v>12006018</v>
      </c>
      <c r="H213" s="2" t="s">
        <v>284</v>
      </c>
      <c r="I213" s="2" t="str">
        <f t="shared" si="3"/>
        <v>07</v>
      </c>
      <c r="J213" s="2">
        <v>50</v>
      </c>
      <c r="K213" s="3">
        <v>-3000</v>
      </c>
      <c r="L213" s="2" t="s">
        <v>26</v>
      </c>
      <c r="M213" s="3">
        <v>-3000</v>
      </c>
      <c r="N213" s="2" t="s">
        <v>26</v>
      </c>
      <c r="R213" s="2" t="s">
        <v>27</v>
      </c>
      <c r="S213" s="2" t="s">
        <v>330</v>
      </c>
      <c r="T213" s="2" t="s">
        <v>334</v>
      </c>
      <c r="U213" s="2" t="s">
        <v>335</v>
      </c>
      <c r="V213" s="4">
        <f>+VLOOKUP(U213,'FBCJ Jul-Des 2025'!$G$10:$P$1302,8,0)</f>
        <v>70001110</v>
      </c>
      <c r="W213" s="4" t="str">
        <f>+VLOOKUP(V213,Sheet1!$A$2:$B$27,2,0)</f>
        <v>Biaya Ekspor lainnya</v>
      </c>
      <c r="X213" s="4" t="str">
        <f>+VLOOKUP(U213,'FBCJ Jul-Des 2025'!$G$10:$P$1302,9,0)</f>
        <v>M204D1COMM</v>
      </c>
      <c r="Y213" s="2" t="s">
        <v>43</v>
      </c>
      <c r="Z213" s="2">
        <v>1495275</v>
      </c>
      <c r="AA213" s="2">
        <v>20250725</v>
      </c>
      <c r="AB213" s="3">
        <v>3000</v>
      </c>
    </row>
    <row r="214" spans="3:28" x14ac:dyDescent="0.25">
      <c r="C214" s="2">
        <v>10000001</v>
      </c>
      <c r="D214" s="2" t="s">
        <v>284</v>
      </c>
      <c r="F214" s="2">
        <v>12006019</v>
      </c>
      <c r="H214" s="2" t="s">
        <v>284</v>
      </c>
      <c r="I214" s="2" t="str">
        <f t="shared" si="3"/>
        <v>07</v>
      </c>
      <c r="J214" s="2">
        <v>50</v>
      </c>
      <c r="K214" s="3">
        <v>-286200</v>
      </c>
      <c r="L214" s="2" t="s">
        <v>26</v>
      </c>
      <c r="M214" s="3">
        <v>-286200</v>
      </c>
      <c r="N214" s="2" t="s">
        <v>26</v>
      </c>
      <c r="R214" s="2" t="s">
        <v>27</v>
      </c>
      <c r="S214" s="2" t="s">
        <v>336</v>
      </c>
      <c r="T214" s="2" t="s">
        <v>274</v>
      </c>
      <c r="U214" s="2" t="s">
        <v>337</v>
      </c>
      <c r="V214" s="4">
        <f>+VLOOKUP(U214,'FBCJ Jul-Des 2025'!$G$10:$P$1302,8,0)</f>
        <v>70108100</v>
      </c>
      <c r="W214" s="4" t="str">
        <f>+VLOOKUP(V214,Sheet1!$A$2:$B$27,2,0)</f>
        <v>Biaya Peralatan Dan Perabot Kantor</v>
      </c>
      <c r="X214" s="4" t="str">
        <f>+VLOOKUP(U214,'FBCJ Jul-Des 2025'!$G$10:$P$1302,9,0)</f>
        <v>R124D1HRGA</v>
      </c>
      <c r="Y214" s="2" t="s">
        <v>43</v>
      </c>
      <c r="Z214" s="2">
        <v>1495275</v>
      </c>
      <c r="AA214" s="2">
        <v>20250725</v>
      </c>
      <c r="AB214" s="3">
        <v>286200</v>
      </c>
    </row>
    <row r="215" spans="3:28" x14ac:dyDescent="0.25">
      <c r="C215" s="2">
        <v>10000001</v>
      </c>
      <c r="D215" s="2" t="s">
        <v>284</v>
      </c>
      <c r="F215" s="2">
        <v>12006020</v>
      </c>
      <c r="H215" s="2" t="s">
        <v>284</v>
      </c>
      <c r="I215" s="2" t="str">
        <f t="shared" si="3"/>
        <v>07</v>
      </c>
      <c r="J215" s="2">
        <v>50</v>
      </c>
      <c r="K215" s="3">
        <v>-183680</v>
      </c>
      <c r="L215" s="2" t="s">
        <v>26</v>
      </c>
      <c r="M215" s="3">
        <v>-183680</v>
      </c>
      <c r="N215" s="2" t="s">
        <v>26</v>
      </c>
      <c r="R215" s="2" t="s">
        <v>27</v>
      </c>
      <c r="S215" s="2" t="s">
        <v>336</v>
      </c>
      <c r="T215" s="2" t="s">
        <v>59</v>
      </c>
      <c r="U215" s="2" t="s">
        <v>338</v>
      </c>
      <c r="V215" s="4">
        <f>+VLOOKUP(U215,'FBCJ Jul-Des 2025'!$G$10:$P$1302,8,0)</f>
        <v>70101114</v>
      </c>
      <c r="W215" s="4" t="str">
        <f>+VLOOKUP(V215,Sheet1!$A$2:$B$27,2,0)</f>
        <v>By Perbaikan &amp; Perawatan Perabot Material Pihak3</v>
      </c>
      <c r="X215" s="4" t="str">
        <f>+VLOOKUP(U215,'FBCJ Jul-Des 2025'!$G$10:$P$1302,9,0)</f>
        <v>R124D1HRGA</v>
      </c>
      <c r="Y215" s="2" t="s">
        <v>43</v>
      </c>
      <c r="Z215" s="2">
        <v>1495275</v>
      </c>
      <c r="AA215" s="2">
        <v>20250725</v>
      </c>
      <c r="AB215" s="3">
        <v>183680</v>
      </c>
    </row>
    <row r="216" spans="3:28" x14ac:dyDescent="0.25">
      <c r="C216" s="2">
        <v>10000001</v>
      </c>
      <c r="D216" s="2" t="s">
        <v>284</v>
      </c>
      <c r="F216" s="2">
        <v>12006021</v>
      </c>
      <c r="H216" s="2" t="s">
        <v>284</v>
      </c>
      <c r="I216" s="2" t="str">
        <f t="shared" si="3"/>
        <v>07</v>
      </c>
      <c r="J216" s="2">
        <v>50</v>
      </c>
      <c r="K216" s="3">
        <v>-50000</v>
      </c>
      <c r="L216" s="2" t="s">
        <v>26</v>
      </c>
      <c r="M216" s="3">
        <v>-50000</v>
      </c>
      <c r="N216" s="2" t="s">
        <v>26</v>
      </c>
      <c r="R216" s="2" t="s">
        <v>27</v>
      </c>
      <c r="S216" s="2" t="s">
        <v>339</v>
      </c>
      <c r="T216" s="2" t="s">
        <v>45</v>
      </c>
      <c r="U216" s="2" t="s">
        <v>340</v>
      </c>
      <c r="V216" s="4">
        <f>+VLOOKUP(U216,'FBCJ Jul-Des 2025'!$G$10:$P$1302,8,0)</f>
        <v>70009110</v>
      </c>
      <c r="W216" s="4" t="str">
        <f>+VLOOKUP(V216,Sheet1!$A$2:$B$27,2,0)</f>
        <v>Biaya Survey dan Analisa</v>
      </c>
      <c r="X216" s="4" t="str">
        <f>+VLOOKUP(U216,'FBCJ Jul-Des 2025'!$G$10:$P$1302,9,0)</f>
        <v>P206D1SLSS</v>
      </c>
      <c r="Y216" s="2" t="s">
        <v>43</v>
      </c>
      <c r="Z216" s="2">
        <v>1495275</v>
      </c>
      <c r="AA216" s="2">
        <v>20250725</v>
      </c>
      <c r="AB216" s="3">
        <v>50000</v>
      </c>
    </row>
    <row r="217" spans="3:28" x14ac:dyDescent="0.25">
      <c r="C217" s="2">
        <v>10000001</v>
      </c>
      <c r="D217" s="2" t="s">
        <v>284</v>
      </c>
      <c r="F217" s="2">
        <v>12006022</v>
      </c>
      <c r="H217" s="2" t="s">
        <v>284</v>
      </c>
      <c r="I217" s="2" t="str">
        <f t="shared" si="3"/>
        <v>07</v>
      </c>
      <c r="J217" s="2">
        <v>50</v>
      </c>
      <c r="K217" s="3">
        <v>-100000</v>
      </c>
      <c r="L217" s="2" t="s">
        <v>26</v>
      </c>
      <c r="M217" s="3">
        <v>-100000</v>
      </c>
      <c r="N217" s="2" t="s">
        <v>26</v>
      </c>
      <c r="R217" s="2" t="s">
        <v>27</v>
      </c>
      <c r="S217" s="2" t="s">
        <v>341</v>
      </c>
      <c r="T217" s="2" t="s">
        <v>45</v>
      </c>
      <c r="U217" s="2" t="s">
        <v>342</v>
      </c>
      <c r="V217" s="4">
        <f>+VLOOKUP(U217,'FBCJ Jul-Des 2025'!$G$10:$P$1302,8,0)</f>
        <v>70009110</v>
      </c>
      <c r="W217" s="4" t="str">
        <f>+VLOOKUP(V217,Sheet1!$A$2:$B$27,2,0)</f>
        <v>Biaya Survey dan Analisa</v>
      </c>
      <c r="X217" s="4" t="str">
        <f>+VLOOKUP(U217,'FBCJ Jul-Des 2025'!$G$10:$P$1302,9,0)</f>
        <v>M204D1COMM</v>
      </c>
      <c r="Y217" s="2" t="s">
        <v>43</v>
      </c>
      <c r="Z217" s="2">
        <v>1495275</v>
      </c>
      <c r="AA217" s="2">
        <v>20250725</v>
      </c>
      <c r="AB217" s="3">
        <v>100000</v>
      </c>
    </row>
    <row r="218" spans="3:28" x14ac:dyDescent="0.25">
      <c r="C218" s="2">
        <v>10000001</v>
      </c>
      <c r="D218" s="2" t="s">
        <v>284</v>
      </c>
      <c r="F218" s="2">
        <v>12006023</v>
      </c>
      <c r="H218" s="2" t="s">
        <v>284</v>
      </c>
      <c r="I218" s="2" t="str">
        <f t="shared" si="3"/>
        <v>07</v>
      </c>
      <c r="J218" s="2">
        <v>50</v>
      </c>
      <c r="K218" s="3">
        <v>-50000</v>
      </c>
      <c r="L218" s="2" t="s">
        <v>26</v>
      </c>
      <c r="M218" s="3">
        <v>-50000</v>
      </c>
      <c r="N218" s="2" t="s">
        <v>26</v>
      </c>
      <c r="R218" s="2" t="s">
        <v>27</v>
      </c>
      <c r="S218" s="2" t="s">
        <v>343</v>
      </c>
      <c r="T218" s="2" t="s">
        <v>45</v>
      </c>
      <c r="U218" s="2" t="s">
        <v>344</v>
      </c>
      <c r="V218" s="4">
        <f>+VLOOKUP(U218,'FBCJ Jul-Des 2025'!$G$10:$P$1302,8,0)</f>
        <v>70009110</v>
      </c>
      <c r="W218" s="4" t="str">
        <f>+VLOOKUP(V218,Sheet1!$A$2:$B$27,2,0)</f>
        <v>Biaya Survey dan Analisa</v>
      </c>
      <c r="X218" s="4" t="str">
        <f>+VLOOKUP(U218,'FBCJ Jul-Des 2025'!$G$10:$P$1302,9,0)</f>
        <v>P206D1SLSS</v>
      </c>
      <c r="Y218" s="2" t="s">
        <v>43</v>
      </c>
      <c r="Z218" s="2">
        <v>1495275</v>
      </c>
      <c r="AA218" s="2">
        <v>20250725</v>
      </c>
      <c r="AB218" s="3">
        <v>50000</v>
      </c>
    </row>
    <row r="219" spans="3:28" x14ac:dyDescent="0.25">
      <c r="C219" s="2">
        <v>10000001</v>
      </c>
      <c r="D219" s="2" t="s">
        <v>284</v>
      </c>
      <c r="F219" s="2">
        <v>12006024</v>
      </c>
      <c r="H219" s="2" t="s">
        <v>284</v>
      </c>
      <c r="I219" s="2" t="str">
        <f t="shared" si="3"/>
        <v>07</v>
      </c>
      <c r="J219" s="2">
        <v>50</v>
      </c>
      <c r="K219" s="3">
        <v>-50000</v>
      </c>
      <c r="L219" s="2" t="s">
        <v>26</v>
      </c>
      <c r="M219" s="3">
        <v>-50000</v>
      </c>
      <c r="N219" s="2" t="s">
        <v>26</v>
      </c>
      <c r="R219" s="2" t="s">
        <v>27</v>
      </c>
      <c r="S219" s="2" t="s">
        <v>343</v>
      </c>
      <c r="T219" s="2" t="s">
        <v>45</v>
      </c>
      <c r="U219" s="2" t="s">
        <v>345</v>
      </c>
      <c r="V219" s="4">
        <f>+VLOOKUP(U219,'FBCJ Jul-Des 2025'!$G$10:$P$1302,8,0)</f>
        <v>70009110</v>
      </c>
      <c r="W219" s="4" t="str">
        <f>+VLOOKUP(V219,Sheet1!$A$2:$B$27,2,0)</f>
        <v>Biaya Survey dan Analisa</v>
      </c>
      <c r="X219" s="4" t="str">
        <f>+VLOOKUP(U219,'FBCJ Jul-Des 2025'!$G$10:$P$1302,9,0)</f>
        <v>P206D1SLSS</v>
      </c>
      <c r="Y219" s="2" t="s">
        <v>43</v>
      </c>
      <c r="Z219" s="2">
        <v>1495275</v>
      </c>
      <c r="AA219" s="2">
        <v>20250725</v>
      </c>
      <c r="AB219" s="3">
        <v>50000</v>
      </c>
    </row>
    <row r="220" spans="3:28" x14ac:dyDescent="0.25">
      <c r="C220" s="2">
        <v>10000001</v>
      </c>
      <c r="D220" s="2" t="s">
        <v>284</v>
      </c>
      <c r="F220" s="2">
        <v>12006025</v>
      </c>
      <c r="H220" s="2" t="s">
        <v>284</v>
      </c>
      <c r="I220" s="2" t="str">
        <f t="shared" si="3"/>
        <v>07</v>
      </c>
      <c r="J220" s="2">
        <v>50</v>
      </c>
      <c r="K220" s="3">
        <v>-50000</v>
      </c>
      <c r="L220" s="2" t="s">
        <v>26</v>
      </c>
      <c r="M220" s="3">
        <v>-50000</v>
      </c>
      <c r="N220" s="2" t="s">
        <v>26</v>
      </c>
      <c r="R220" s="2" t="s">
        <v>27</v>
      </c>
      <c r="S220" s="2" t="s">
        <v>343</v>
      </c>
      <c r="T220" s="2" t="s">
        <v>45</v>
      </c>
      <c r="U220" s="2" t="s">
        <v>346</v>
      </c>
      <c r="V220" s="4">
        <f>+VLOOKUP(U220,'FBCJ Jul-Des 2025'!$G$10:$P$1302,8,0)</f>
        <v>70009110</v>
      </c>
      <c r="W220" s="4" t="str">
        <f>+VLOOKUP(V220,Sheet1!$A$2:$B$27,2,0)</f>
        <v>Biaya Survey dan Analisa</v>
      </c>
      <c r="X220" s="4" t="str">
        <f>+VLOOKUP(U220,'FBCJ Jul-Des 2025'!$G$10:$P$1302,9,0)</f>
        <v>P206D1SLSS</v>
      </c>
      <c r="Y220" s="2" t="s">
        <v>43</v>
      </c>
      <c r="Z220" s="2">
        <v>1495275</v>
      </c>
      <c r="AA220" s="2">
        <v>20250725</v>
      </c>
      <c r="AB220" s="3">
        <v>50000</v>
      </c>
    </row>
    <row r="221" spans="3:28" x14ac:dyDescent="0.25">
      <c r="C221" s="2">
        <v>10000001</v>
      </c>
      <c r="D221" s="2" t="s">
        <v>284</v>
      </c>
      <c r="F221" s="2">
        <v>12006026</v>
      </c>
      <c r="H221" s="2" t="s">
        <v>284</v>
      </c>
      <c r="I221" s="2" t="str">
        <f t="shared" si="3"/>
        <v>07</v>
      </c>
      <c r="J221" s="2">
        <v>50</v>
      </c>
      <c r="K221" s="3">
        <v>-831000</v>
      </c>
      <c r="L221" s="2" t="s">
        <v>26</v>
      </c>
      <c r="M221" s="3">
        <v>-831000</v>
      </c>
      <c r="N221" s="2" t="s">
        <v>26</v>
      </c>
      <c r="R221" s="2" t="s">
        <v>27</v>
      </c>
      <c r="S221" s="2" t="s">
        <v>347</v>
      </c>
      <c r="T221" s="2" t="s">
        <v>57</v>
      </c>
      <c r="U221" s="2" t="s">
        <v>348</v>
      </c>
      <c r="V221" s="4">
        <f>+VLOOKUP(U221,'FBCJ Jul-Des 2025'!$G$10:$P$1302,8,0)</f>
        <v>70101202</v>
      </c>
      <c r="W221" s="4" t="str">
        <f>+VLOOKUP(V221,Sheet1!$A$2:$B$27,2,0)</f>
        <v>By Pemeliharaan Kend,ABerat,Mesin-Material Pihak3</v>
      </c>
      <c r="X221" s="4" t="str">
        <f>+VLOOKUP(U221,'FBCJ Jul-Des 2025'!$G$10:$P$1302,9,0)</f>
        <v>R124MIN</v>
      </c>
      <c r="Y221" s="2" t="s">
        <v>43</v>
      </c>
      <c r="Z221" s="2">
        <v>1495275</v>
      </c>
      <c r="AA221" s="2">
        <v>20250725</v>
      </c>
      <c r="AB221" s="3">
        <v>831000</v>
      </c>
    </row>
    <row r="222" spans="3:28" x14ac:dyDescent="0.25">
      <c r="C222" s="2">
        <v>10000001</v>
      </c>
      <c r="D222" s="2" t="s">
        <v>284</v>
      </c>
      <c r="F222" s="2">
        <v>12006027</v>
      </c>
      <c r="H222" s="2" t="s">
        <v>284</v>
      </c>
      <c r="I222" s="2" t="str">
        <f t="shared" si="3"/>
        <v>07</v>
      </c>
      <c r="J222" s="2">
        <v>50</v>
      </c>
      <c r="K222" s="3">
        <v>-790000</v>
      </c>
      <c r="L222" s="2" t="s">
        <v>26</v>
      </c>
      <c r="M222" s="3">
        <v>-790000</v>
      </c>
      <c r="N222" s="2" t="s">
        <v>26</v>
      </c>
      <c r="R222" s="2" t="s">
        <v>27</v>
      </c>
      <c r="S222" s="2" t="s">
        <v>349</v>
      </c>
      <c r="T222" s="2" t="s">
        <v>96</v>
      </c>
      <c r="U222" s="2" t="s">
        <v>350</v>
      </c>
      <c r="V222" s="4">
        <f>+VLOOKUP(U222,'FBCJ Jul-Des 2025'!$G$10:$P$1302,8,0)</f>
        <v>70106400</v>
      </c>
      <c r="W222" s="4" t="str">
        <f>+VLOOKUP(V222,Sheet1!$A$2:$B$27,2,0)</f>
        <v>Biaya Bahan Bakar</v>
      </c>
      <c r="X222" s="4" t="str">
        <f>+VLOOKUP(U222,'FBCJ Jul-Des 2025'!$G$10:$P$1302,9,0)</f>
        <v>R124D1HRGA</v>
      </c>
      <c r="Y222" s="2" t="s">
        <v>43</v>
      </c>
      <c r="Z222" s="2">
        <v>1495275</v>
      </c>
      <c r="AA222" s="2">
        <v>20250725</v>
      </c>
      <c r="AB222" s="3">
        <v>790000</v>
      </c>
    </row>
    <row r="223" spans="3:28" x14ac:dyDescent="0.25">
      <c r="C223" s="2">
        <v>10000001</v>
      </c>
      <c r="D223" s="2" t="s">
        <v>284</v>
      </c>
      <c r="F223" s="2">
        <v>12006028</v>
      </c>
      <c r="H223" s="2" t="s">
        <v>284</v>
      </c>
      <c r="I223" s="2" t="str">
        <f t="shared" si="3"/>
        <v>07</v>
      </c>
      <c r="J223" s="2">
        <v>50</v>
      </c>
      <c r="K223" s="3">
        <v>-209500</v>
      </c>
      <c r="L223" s="2" t="s">
        <v>26</v>
      </c>
      <c r="M223" s="3">
        <v>-209500</v>
      </c>
      <c r="N223" s="2" t="s">
        <v>26</v>
      </c>
      <c r="R223" s="2" t="s">
        <v>27</v>
      </c>
      <c r="S223" s="2" t="s">
        <v>349</v>
      </c>
      <c r="T223" s="2" t="s">
        <v>67</v>
      </c>
      <c r="U223" s="2" t="s">
        <v>98</v>
      </c>
      <c r="V223" s="4">
        <f>+VLOOKUP(U223,'FBCJ Jul-Des 2025'!$G$10:$P$1302,8,0)</f>
        <v>70106100</v>
      </c>
      <c r="W223" s="4" t="str">
        <f>+VLOOKUP(V223,Sheet1!$A$2:$B$27,2,0)</f>
        <v>Biaya Transportasi Lokal</v>
      </c>
      <c r="X223" s="4" t="str">
        <f>+VLOOKUP(U223,'FBCJ Jul-Des 2025'!$G$10:$P$1302,9,0)</f>
        <v>R124D1HRGA</v>
      </c>
      <c r="Y223" s="2" t="s">
        <v>43</v>
      </c>
      <c r="Z223" s="2">
        <v>1495275</v>
      </c>
      <c r="AA223" s="2">
        <v>20250725</v>
      </c>
      <c r="AB223" s="3">
        <v>209500</v>
      </c>
    </row>
    <row r="224" spans="3:28" x14ac:dyDescent="0.25">
      <c r="C224" s="2">
        <v>10000001</v>
      </c>
      <c r="D224" s="2" t="s">
        <v>284</v>
      </c>
      <c r="F224" s="2">
        <v>12006029</v>
      </c>
      <c r="H224" s="2" t="s">
        <v>284</v>
      </c>
      <c r="I224" s="2" t="str">
        <f t="shared" si="3"/>
        <v>07</v>
      </c>
      <c r="J224" s="2">
        <v>50</v>
      </c>
      <c r="K224" s="3">
        <v>-383350</v>
      </c>
      <c r="L224" s="2" t="s">
        <v>26</v>
      </c>
      <c r="M224" s="3">
        <v>-383350</v>
      </c>
      <c r="N224" s="2" t="s">
        <v>26</v>
      </c>
      <c r="R224" s="2" t="s">
        <v>27</v>
      </c>
      <c r="S224" s="2" t="s">
        <v>351</v>
      </c>
      <c r="T224" s="2" t="s">
        <v>274</v>
      </c>
      <c r="U224" s="2" t="s">
        <v>352</v>
      </c>
      <c r="V224" s="4">
        <f>+VLOOKUP(U224,'FBCJ Jul-Des 2025'!$G$10:$P$1302,8,0)</f>
        <v>70108100</v>
      </c>
      <c r="W224" s="4" t="str">
        <f>+VLOOKUP(V224,Sheet1!$A$2:$B$27,2,0)</f>
        <v>Biaya Peralatan Dan Perabot Kantor</v>
      </c>
      <c r="X224" s="4" t="str">
        <f>+VLOOKUP(U224,'FBCJ Jul-Des 2025'!$G$10:$P$1302,9,0)</f>
        <v>R124D1FRCO</v>
      </c>
      <c r="Y224" s="2" t="s">
        <v>43</v>
      </c>
      <c r="Z224" s="2">
        <v>1495275</v>
      </c>
      <c r="AA224" s="2">
        <v>20250725</v>
      </c>
      <c r="AB224" s="3">
        <v>383350</v>
      </c>
    </row>
    <row r="225" spans="3:28" x14ac:dyDescent="0.25">
      <c r="C225" s="2">
        <v>10000001</v>
      </c>
      <c r="D225" s="2" t="s">
        <v>284</v>
      </c>
      <c r="F225" s="2">
        <v>12006030</v>
      </c>
      <c r="H225" s="2" t="s">
        <v>284</v>
      </c>
      <c r="I225" s="2" t="str">
        <f t="shared" si="3"/>
        <v>07</v>
      </c>
      <c r="J225" s="2">
        <v>50</v>
      </c>
      <c r="K225" s="3">
        <v>-889800</v>
      </c>
      <c r="L225" s="2" t="s">
        <v>26</v>
      </c>
      <c r="M225" s="3">
        <v>-889800</v>
      </c>
      <c r="N225" s="2" t="s">
        <v>26</v>
      </c>
      <c r="R225" s="2" t="s">
        <v>27</v>
      </c>
      <c r="S225" s="2" t="s">
        <v>353</v>
      </c>
      <c r="T225" s="2" t="s">
        <v>126</v>
      </c>
      <c r="U225" s="2" t="s">
        <v>354</v>
      </c>
      <c r="V225" s="4">
        <f>+VLOOKUP(U225,'FBCJ Jul-Des 2025'!$G$10:$P$1302,8,0)</f>
        <v>70107600</v>
      </c>
      <c r="W225" s="4" t="str">
        <f>+VLOOKUP(V225,Sheet1!$A$2:$B$27,2,0)</f>
        <v>Biaya Konsumsi Kantor</v>
      </c>
      <c r="X225" s="4" t="str">
        <f>+VLOOKUP(U225,'FBCJ Jul-Des 2025'!$G$10:$P$1302,9,0)</f>
        <v>R124D1MGMT</v>
      </c>
      <c r="Y225" s="2" t="s">
        <v>43</v>
      </c>
      <c r="Z225" s="2">
        <v>1495275</v>
      </c>
      <c r="AA225" s="2">
        <v>20250725</v>
      </c>
      <c r="AB225" s="3">
        <v>889800</v>
      </c>
    </row>
    <row r="226" spans="3:28" x14ac:dyDescent="0.25">
      <c r="C226" s="2">
        <v>10000001</v>
      </c>
      <c r="D226" s="2" t="s">
        <v>284</v>
      </c>
      <c r="F226" s="2">
        <v>12006031</v>
      </c>
      <c r="H226" s="2" t="s">
        <v>284</v>
      </c>
      <c r="I226" s="2" t="str">
        <f t="shared" si="3"/>
        <v>07</v>
      </c>
      <c r="J226" s="2">
        <v>50</v>
      </c>
      <c r="K226" s="3">
        <v>-275000</v>
      </c>
      <c r="L226" s="2" t="s">
        <v>26</v>
      </c>
      <c r="M226" s="3">
        <v>-275000</v>
      </c>
      <c r="N226" s="2" t="s">
        <v>26</v>
      </c>
      <c r="R226" s="2" t="s">
        <v>27</v>
      </c>
      <c r="S226" s="2" t="s">
        <v>355</v>
      </c>
      <c r="T226" s="2" t="s">
        <v>57</v>
      </c>
      <c r="U226" s="2" t="s">
        <v>356</v>
      </c>
      <c r="V226" s="4">
        <f>+VLOOKUP(U226,'FBCJ Jul-Des 2025'!$G$10:$P$1302,8,0)</f>
        <v>70101202</v>
      </c>
      <c r="W226" s="4" t="str">
        <f>+VLOOKUP(V226,Sheet1!$A$2:$B$27,2,0)</f>
        <v>By Pemeliharaan Kend,ABerat,Mesin-Material Pihak3</v>
      </c>
      <c r="X226" s="4" t="str">
        <f>+VLOOKUP(U226,'FBCJ Jul-Des 2025'!$G$10:$P$1302,9,0)</f>
        <v>R124D1HRGA</v>
      </c>
      <c r="Y226" s="2" t="s">
        <v>43</v>
      </c>
      <c r="Z226" s="2">
        <v>1495275</v>
      </c>
      <c r="AA226" s="2">
        <v>20250725</v>
      </c>
      <c r="AB226" s="3">
        <v>275000</v>
      </c>
    </row>
    <row r="227" spans="3:28" x14ac:dyDescent="0.25">
      <c r="C227" s="2">
        <v>10000001</v>
      </c>
      <c r="D227" s="2" t="s">
        <v>357</v>
      </c>
      <c r="F227" s="2">
        <v>12006032</v>
      </c>
      <c r="H227" s="2" t="s">
        <v>357</v>
      </c>
      <c r="I227" s="2" t="str">
        <f t="shared" si="3"/>
        <v>07</v>
      </c>
      <c r="J227" s="2">
        <v>50</v>
      </c>
      <c r="K227" s="3">
        <v>-362500</v>
      </c>
      <c r="L227" s="2" t="s">
        <v>26</v>
      </c>
      <c r="M227" s="3">
        <v>-362500</v>
      </c>
      <c r="N227" s="2" t="s">
        <v>26</v>
      </c>
      <c r="R227" s="2" t="s">
        <v>27</v>
      </c>
      <c r="S227" s="2" t="s">
        <v>358</v>
      </c>
      <c r="T227" s="2" t="s">
        <v>126</v>
      </c>
      <c r="U227" s="2" t="s">
        <v>359</v>
      </c>
      <c r="V227" s="4">
        <f>+VLOOKUP(U227,'FBCJ Jul-Des 2025'!$G$10:$P$1302,8,0)</f>
        <v>70107600</v>
      </c>
      <c r="W227" s="4" t="str">
        <f>+VLOOKUP(V227,Sheet1!$A$2:$B$27,2,0)</f>
        <v>Biaya Konsumsi Kantor</v>
      </c>
      <c r="X227" s="4" t="str">
        <f>+VLOOKUP(U227,'FBCJ Jul-Des 2025'!$G$10:$P$1302,9,0)</f>
        <v>R124LOG</v>
      </c>
      <c r="Y227" s="2" t="s">
        <v>43</v>
      </c>
      <c r="Z227" s="2">
        <v>1495275</v>
      </c>
      <c r="AA227" s="2">
        <v>20250728</v>
      </c>
      <c r="AB227" s="3">
        <v>362500</v>
      </c>
    </row>
    <row r="228" spans="3:28" x14ac:dyDescent="0.25">
      <c r="C228" s="2">
        <v>10000001</v>
      </c>
      <c r="D228" s="2" t="s">
        <v>357</v>
      </c>
      <c r="F228" s="2">
        <v>12006033</v>
      </c>
      <c r="H228" s="2" t="s">
        <v>357</v>
      </c>
      <c r="I228" s="2" t="str">
        <f t="shared" si="3"/>
        <v>07</v>
      </c>
      <c r="J228" s="2">
        <v>50</v>
      </c>
      <c r="K228" s="3">
        <v>-420000</v>
      </c>
      <c r="L228" s="2" t="s">
        <v>26</v>
      </c>
      <c r="M228" s="3">
        <v>-420000</v>
      </c>
      <c r="N228" s="2" t="s">
        <v>26</v>
      </c>
      <c r="R228" s="2" t="s">
        <v>27</v>
      </c>
      <c r="S228" s="2" t="s">
        <v>360</v>
      </c>
      <c r="T228" s="2" t="s">
        <v>96</v>
      </c>
      <c r="U228" s="2" t="s">
        <v>361</v>
      </c>
      <c r="V228" s="4">
        <f>+VLOOKUP(U228,'FBCJ Jul-Des 2025'!$G$10:$P$1302,8,0)</f>
        <v>70106400</v>
      </c>
      <c r="W228" s="4" t="str">
        <f>+VLOOKUP(V228,Sheet1!$A$2:$B$27,2,0)</f>
        <v>Biaya Bahan Bakar</v>
      </c>
      <c r="X228" s="4" t="str">
        <f>+VLOOKUP(U228,'FBCJ Jul-Des 2025'!$G$10:$P$1302,9,0)</f>
        <v>R124D1HRGA</v>
      </c>
      <c r="Y228" s="2" t="s">
        <v>43</v>
      </c>
      <c r="Z228" s="2">
        <v>1495275</v>
      </c>
      <c r="AA228" s="2">
        <v>20250728</v>
      </c>
      <c r="AB228" s="3">
        <v>420000</v>
      </c>
    </row>
    <row r="229" spans="3:28" x14ac:dyDescent="0.25">
      <c r="C229" s="2">
        <v>10000001</v>
      </c>
      <c r="D229" s="2" t="s">
        <v>357</v>
      </c>
      <c r="F229" s="2">
        <v>12006034</v>
      </c>
      <c r="H229" s="2" t="s">
        <v>357</v>
      </c>
      <c r="I229" s="2" t="str">
        <f t="shared" si="3"/>
        <v>07</v>
      </c>
      <c r="J229" s="2">
        <v>50</v>
      </c>
      <c r="K229" s="3">
        <v>-579500</v>
      </c>
      <c r="L229" s="2" t="s">
        <v>26</v>
      </c>
      <c r="M229" s="3">
        <v>-579500</v>
      </c>
      <c r="N229" s="2" t="s">
        <v>26</v>
      </c>
      <c r="R229" s="2" t="s">
        <v>27</v>
      </c>
      <c r="S229" s="2" t="s">
        <v>362</v>
      </c>
      <c r="T229" s="2" t="s">
        <v>67</v>
      </c>
      <c r="U229" s="2" t="s">
        <v>98</v>
      </c>
      <c r="V229" s="4">
        <f>+VLOOKUP(U229,'FBCJ Jul-Des 2025'!$G$10:$P$1302,8,0)</f>
        <v>70106100</v>
      </c>
      <c r="W229" s="4" t="str">
        <f>+VLOOKUP(V229,Sheet1!$A$2:$B$27,2,0)</f>
        <v>Biaya Transportasi Lokal</v>
      </c>
      <c r="X229" s="4" t="str">
        <f>+VLOOKUP(U229,'FBCJ Jul-Des 2025'!$G$10:$P$1302,9,0)</f>
        <v>R124D1HRGA</v>
      </c>
      <c r="Y229" s="2" t="s">
        <v>43</v>
      </c>
      <c r="Z229" s="2">
        <v>1495275</v>
      </c>
      <c r="AA229" s="2">
        <v>20250728</v>
      </c>
      <c r="AB229" s="3">
        <v>579500</v>
      </c>
    </row>
    <row r="230" spans="3:28" x14ac:dyDescent="0.25">
      <c r="C230" s="2">
        <v>10000001</v>
      </c>
      <c r="D230" s="2" t="s">
        <v>357</v>
      </c>
      <c r="F230" s="2">
        <v>12006035</v>
      </c>
      <c r="H230" s="2" t="s">
        <v>357</v>
      </c>
      <c r="I230" s="2" t="str">
        <f t="shared" si="3"/>
        <v>07</v>
      </c>
      <c r="J230" s="2">
        <v>50</v>
      </c>
      <c r="K230" s="3">
        <v>-600000</v>
      </c>
      <c r="L230" s="2" t="s">
        <v>26</v>
      </c>
      <c r="M230" s="3">
        <v>-600000</v>
      </c>
      <c r="N230" s="2" t="s">
        <v>26</v>
      </c>
      <c r="R230" s="2" t="s">
        <v>27</v>
      </c>
      <c r="S230" s="2" t="s">
        <v>363</v>
      </c>
      <c r="T230" s="2" t="s">
        <v>41</v>
      </c>
      <c r="U230" s="2" t="s">
        <v>364</v>
      </c>
      <c r="V230" s="4">
        <f>+VLOOKUP(U230,'FBCJ Jul-Des 2025'!$G$10:$P$1302,8,0)</f>
        <v>70107300</v>
      </c>
      <c r="W230" s="4" t="str">
        <f>+VLOOKUP(V230,Sheet1!$A$2:$B$27,2,0)</f>
        <v>Biaya Olahraga Dan Permainan</v>
      </c>
      <c r="X230" s="4" t="str">
        <f>+VLOOKUP(U230,'FBCJ Jul-Des 2025'!$G$10:$P$1302,9,0)</f>
        <v>R124D1HRDV</v>
      </c>
      <c r="Y230" s="2" t="s">
        <v>43</v>
      </c>
      <c r="Z230" s="2">
        <v>1495275</v>
      </c>
      <c r="AA230" s="2">
        <v>20250728</v>
      </c>
      <c r="AB230" s="3">
        <v>600000</v>
      </c>
    </row>
    <row r="231" spans="3:28" x14ac:dyDescent="0.25">
      <c r="C231" s="2">
        <v>10000001</v>
      </c>
      <c r="D231" s="2" t="s">
        <v>357</v>
      </c>
      <c r="F231" s="2">
        <v>12006036</v>
      </c>
      <c r="H231" s="2" t="s">
        <v>357</v>
      </c>
      <c r="I231" s="2" t="str">
        <f t="shared" si="3"/>
        <v>07</v>
      </c>
      <c r="J231" s="2">
        <v>50</v>
      </c>
      <c r="K231" s="3">
        <v>-900300</v>
      </c>
      <c r="L231" s="2" t="s">
        <v>26</v>
      </c>
      <c r="M231" s="3">
        <v>-900300</v>
      </c>
      <c r="N231" s="2" t="s">
        <v>26</v>
      </c>
      <c r="R231" s="2" t="s">
        <v>27</v>
      </c>
      <c r="S231" s="2" t="s">
        <v>362</v>
      </c>
      <c r="T231" s="2" t="s">
        <v>126</v>
      </c>
      <c r="U231" s="2" t="s">
        <v>365</v>
      </c>
      <c r="V231" s="4">
        <f>+VLOOKUP(U231,'FBCJ Jul-Des 2025'!$G$10:$P$1302,8,0)</f>
        <v>70107600</v>
      </c>
      <c r="W231" s="4" t="str">
        <f>+VLOOKUP(V231,Sheet1!$A$2:$B$27,2,0)</f>
        <v>Biaya Konsumsi Kantor</v>
      </c>
      <c r="X231" s="4" t="str">
        <f>+VLOOKUP(U231,'FBCJ Jul-Des 2025'!$G$10:$P$1302,9,0)</f>
        <v>R124D1HRGA</v>
      </c>
      <c r="Y231" s="2" t="s">
        <v>43</v>
      </c>
      <c r="Z231" s="2">
        <v>1495275</v>
      </c>
      <c r="AA231" s="2">
        <v>20250728</v>
      </c>
      <c r="AB231" s="3">
        <v>900300</v>
      </c>
    </row>
    <row r="232" spans="3:28" x14ac:dyDescent="0.25">
      <c r="C232" s="2">
        <v>10000001</v>
      </c>
      <c r="D232" s="2" t="s">
        <v>357</v>
      </c>
      <c r="F232" s="2">
        <v>12006037</v>
      </c>
      <c r="H232" s="2" t="s">
        <v>357</v>
      </c>
      <c r="I232" s="2" t="str">
        <f t="shared" si="3"/>
        <v>07</v>
      </c>
      <c r="J232" s="2">
        <v>50</v>
      </c>
      <c r="K232" s="3">
        <v>-1000000</v>
      </c>
      <c r="L232" s="2" t="s">
        <v>26</v>
      </c>
      <c r="M232" s="3">
        <v>-1000000</v>
      </c>
      <c r="N232" s="2" t="s">
        <v>26</v>
      </c>
      <c r="R232" s="2" t="s">
        <v>27</v>
      </c>
      <c r="S232" s="2" t="s">
        <v>366</v>
      </c>
      <c r="T232" s="2" t="s">
        <v>259</v>
      </c>
      <c r="U232" s="2" t="s">
        <v>367</v>
      </c>
      <c r="V232" s="4">
        <f>+VLOOKUP(U232,'FBCJ Jul-Des 2025'!$G$10:$P$1302,8,0)</f>
        <v>70119300</v>
      </c>
      <c r="W232" s="4" t="str">
        <f>+VLOOKUP(V232,Sheet1!$A$2:$B$27,2,0)</f>
        <v>Biaya Umum dan Administrasi</v>
      </c>
      <c r="X232" s="4" t="str">
        <f>+VLOOKUP(U232,'FBCJ Jul-Des 2025'!$G$10:$P$1302,9,0)</f>
        <v>P206D1SLSS</v>
      </c>
      <c r="Y232" s="2" t="s">
        <v>43</v>
      </c>
      <c r="Z232" s="2">
        <v>1495275</v>
      </c>
      <c r="AA232" s="2">
        <v>20250728</v>
      </c>
      <c r="AB232" s="3">
        <v>1000000</v>
      </c>
    </row>
    <row r="233" spans="3:28" x14ac:dyDescent="0.25">
      <c r="C233" s="2">
        <v>10000001</v>
      </c>
      <c r="D233" s="2" t="s">
        <v>357</v>
      </c>
      <c r="F233" s="2">
        <v>12006038</v>
      </c>
      <c r="H233" s="2" t="s">
        <v>357</v>
      </c>
      <c r="I233" s="2" t="str">
        <f t="shared" si="3"/>
        <v>07</v>
      </c>
      <c r="J233" s="2">
        <v>50</v>
      </c>
      <c r="K233" s="3">
        <v>-26000</v>
      </c>
      <c r="L233" s="2" t="s">
        <v>26</v>
      </c>
      <c r="M233" s="3">
        <v>-26000</v>
      </c>
      <c r="N233" s="2" t="s">
        <v>26</v>
      </c>
      <c r="R233" s="2" t="s">
        <v>27</v>
      </c>
      <c r="S233" s="2" t="s">
        <v>368</v>
      </c>
      <c r="T233" s="2" t="s">
        <v>334</v>
      </c>
      <c r="U233" s="2" t="s">
        <v>369</v>
      </c>
      <c r="V233" s="4">
        <f>+VLOOKUP(U233,'FBCJ Jul-Des 2025'!$G$10:$P$1302,8,0)</f>
        <v>70001110</v>
      </c>
      <c r="W233" s="4" t="str">
        <f>+VLOOKUP(V233,Sheet1!$A$2:$B$27,2,0)</f>
        <v>Biaya Ekspor lainnya</v>
      </c>
      <c r="X233" s="4" t="str">
        <f>+VLOOKUP(U233,'FBCJ Jul-Des 2025'!$G$10:$P$1302,9,0)</f>
        <v>M204D1COMM</v>
      </c>
      <c r="Y233" s="2" t="s">
        <v>43</v>
      </c>
      <c r="Z233" s="2">
        <v>1495275</v>
      </c>
      <c r="AA233" s="2">
        <v>20250728</v>
      </c>
      <c r="AB233" s="3">
        <v>26000</v>
      </c>
    </row>
    <row r="234" spans="3:28" x14ac:dyDescent="0.25">
      <c r="C234" s="2">
        <v>10000001</v>
      </c>
      <c r="D234" s="2" t="s">
        <v>370</v>
      </c>
      <c r="F234" s="2">
        <v>12006039</v>
      </c>
      <c r="H234" s="2" t="s">
        <v>370</v>
      </c>
      <c r="I234" s="2" t="str">
        <f t="shared" si="3"/>
        <v>07</v>
      </c>
      <c r="J234" s="2">
        <v>50</v>
      </c>
      <c r="K234" s="3">
        <v>-421000</v>
      </c>
      <c r="L234" s="2" t="s">
        <v>26</v>
      </c>
      <c r="M234" s="3">
        <v>-421000</v>
      </c>
      <c r="N234" s="2" t="s">
        <v>26</v>
      </c>
      <c r="R234" s="2" t="s">
        <v>27</v>
      </c>
      <c r="S234" s="2" t="s">
        <v>371</v>
      </c>
      <c r="T234" s="2" t="s">
        <v>59</v>
      </c>
      <c r="U234" s="2" t="s">
        <v>372</v>
      </c>
      <c r="V234" s="4">
        <f>+VLOOKUP(U234,'FBCJ Jul-Des 2025'!$G$10:$P$1302,8,0)</f>
        <v>70101114</v>
      </c>
      <c r="W234" s="4" t="str">
        <f>+VLOOKUP(V234,Sheet1!$A$2:$B$27,2,0)</f>
        <v>By Perbaikan &amp; Perawatan Perabot Material Pihak3</v>
      </c>
      <c r="X234" s="4" t="str">
        <f>+VLOOKUP(U234,'FBCJ Jul-Des 2025'!$G$10:$P$1302,9,0)</f>
        <v>R124D1HRGA</v>
      </c>
      <c r="Y234" s="2" t="s">
        <v>43</v>
      </c>
      <c r="Z234" s="2">
        <v>1495275</v>
      </c>
      <c r="AA234" s="2">
        <v>20250729</v>
      </c>
      <c r="AB234" s="3">
        <v>421000</v>
      </c>
    </row>
    <row r="235" spans="3:28" x14ac:dyDescent="0.25">
      <c r="C235" s="2">
        <v>10000001</v>
      </c>
      <c r="D235" s="2" t="s">
        <v>370</v>
      </c>
      <c r="F235" s="2">
        <v>12006040</v>
      </c>
      <c r="H235" s="2" t="s">
        <v>370</v>
      </c>
      <c r="I235" s="2" t="str">
        <f t="shared" si="3"/>
        <v>07</v>
      </c>
      <c r="J235" s="2">
        <v>50</v>
      </c>
      <c r="K235" s="3">
        <v>-345000</v>
      </c>
      <c r="L235" s="2" t="s">
        <v>26</v>
      </c>
      <c r="M235" s="3">
        <v>-345000</v>
      </c>
      <c r="N235" s="2" t="s">
        <v>26</v>
      </c>
      <c r="R235" s="2" t="s">
        <v>27</v>
      </c>
      <c r="S235" s="2" t="s">
        <v>373</v>
      </c>
      <c r="T235" s="2" t="s">
        <v>57</v>
      </c>
      <c r="U235" s="2" t="s">
        <v>374</v>
      </c>
      <c r="V235" s="4">
        <f>+VLOOKUP(U235,'FBCJ Jul-Des 2025'!$G$10:$P$1302,8,0)</f>
        <v>70101202</v>
      </c>
      <c r="W235" s="4" t="str">
        <f>+VLOOKUP(V235,Sheet1!$A$2:$B$27,2,0)</f>
        <v>By Pemeliharaan Kend,ABerat,Mesin-Material Pihak3</v>
      </c>
      <c r="X235" s="4" t="str">
        <f>+VLOOKUP(U235,'FBCJ Jul-Des 2025'!$G$10:$P$1302,9,0)</f>
        <v>R124REF3</v>
      </c>
      <c r="Y235" s="2" t="s">
        <v>43</v>
      </c>
      <c r="Z235" s="2">
        <v>1495275</v>
      </c>
      <c r="AA235" s="2">
        <v>20250729</v>
      </c>
      <c r="AB235" s="3">
        <v>345000</v>
      </c>
    </row>
    <row r="236" spans="3:28" x14ac:dyDescent="0.25">
      <c r="C236" s="2">
        <v>10000001</v>
      </c>
      <c r="D236" s="2" t="s">
        <v>370</v>
      </c>
      <c r="F236" s="2">
        <v>12006041</v>
      </c>
      <c r="H236" s="2" t="s">
        <v>370</v>
      </c>
      <c r="I236" s="2" t="str">
        <f t="shared" si="3"/>
        <v>07</v>
      </c>
      <c r="J236" s="2">
        <v>50</v>
      </c>
      <c r="K236" s="3">
        <v>-131000</v>
      </c>
      <c r="L236" s="2" t="s">
        <v>26</v>
      </c>
      <c r="M236" s="3">
        <v>-131000</v>
      </c>
      <c r="N236" s="2" t="s">
        <v>26</v>
      </c>
      <c r="R236" s="2" t="s">
        <v>27</v>
      </c>
      <c r="S236" s="2" t="s">
        <v>373</v>
      </c>
      <c r="T236" s="2" t="s">
        <v>375</v>
      </c>
      <c r="U236" s="2" t="s">
        <v>376</v>
      </c>
      <c r="V236" s="4">
        <v>15000900</v>
      </c>
      <c r="W236" s="4" t="str">
        <f>+VLOOKUP(V236,Sheet1!$A$2:$B$27,2,0)</f>
        <v>Biaya Lainnya Yang Dibayar Di Muka</v>
      </c>
      <c r="X236" s="4" t="s">
        <v>1913</v>
      </c>
      <c r="Y236" s="2" t="s">
        <v>43</v>
      </c>
      <c r="Z236" s="2">
        <v>1495275</v>
      </c>
      <c r="AA236" s="2">
        <v>20250729</v>
      </c>
      <c r="AB236" s="3">
        <v>131000</v>
      </c>
    </row>
    <row r="237" spans="3:28" x14ac:dyDescent="0.25">
      <c r="C237" s="2">
        <v>10000001</v>
      </c>
      <c r="D237" s="2" t="s">
        <v>370</v>
      </c>
      <c r="F237" s="2">
        <v>12006042</v>
      </c>
      <c r="H237" s="2" t="s">
        <v>370</v>
      </c>
      <c r="I237" s="2" t="str">
        <f t="shared" si="3"/>
        <v>07</v>
      </c>
      <c r="J237" s="2">
        <v>40</v>
      </c>
      <c r="K237" s="3">
        <v>26532388</v>
      </c>
      <c r="L237" s="2" t="s">
        <v>26</v>
      </c>
      <c r="M237" s="3">
        <v>26532388</v>
      </c>
      <c r="N237" s="2" t="s">
        <v>26</v>
      </c>
      <c r="R237" s="2" t="s">
        <v>27</v>
      </c>
      <c r="T237" s="2" t="s">
        <v>249</v>
      </c>
      <c r="U237" s="2" t="s">
        <v>377</v>
      </c>
      <c r="Y237" s="2" t="s">
        <v>43</v>
      </c>
      <c r="Z237" s="2">
        <v>1495275</v>
      </c>
      <c r="AA237" s="2">
        <v>20250729</v>
      </c>
      <c r="AB237" s="3">
        <v>26532388</v>
      </c>
    </row>
    <row r="238" spans="3:28" x14ac:dyDescent="0.25">
      <c r="C238" s="2">
        <v>10000001</v>
      </c>
      <c r="D238" s="2" t="s">
        <v>383</v>
      </c>
      <c r="F238" s="2">
        <v>12006510</v>
      </c>
      <c r="H238" s="2" t="s">
        <v>383</v>
      </c>
      <c r="I238" s="2" t="str">
        <f t="shared" si="3"/>
        <v>08</v>
      </c>
      <c r="J238" s="2">
        <v>50</v>
      </c>
      <c r="K238" s="3">
        <v>-800000</v>
      </c>
      <c r="L238" s="2" t="s">
        <v>26</v>
      </c>
      <c r="M238" s="3">
        <v>-800000</v>
      </c>
      <c r="N238" s="2" t="s">
        <v>26</v>
      </c>
      <c r="R238" s="2" t="s">
        <v>27</v>
      </c>
      <c r="S238" s="2" t="s">
        <v>384</v>
      </c>
      <c r="T238" s="2" t="s">
        <v>254</v>
      </c>
      <c r="U238" s="2" t="s">
        <v>385</v>
      </c>
      <c r="V238" s="4">
        <f>+VLOOKUP(U238,'FBCJ Jul-Des 2025'!$G$10:$P$1302,8,0)</f>
        <v>70107100</v>
      </c>
      <c r="W238" s="4" t="str">
        <f>+VLOOKUP(V238,Sheet1!$A$2:$B$27,2,0)</f>
        <v>Biaya Mess</v>
      </c>
      <c r="X238" s="4" t="str">
        <f>+VLOOKUP(U238,'FBCJ Jul-Des 2025'!$G$10:$P$1302,9,0)</f>
        <v>R124D1HRGA</v>
      </c>
      <c r="Y238" s="2" t="s">
        <v>43</v>
      </c>
      <c r="Z238" s="2">
        <v>1557224</v>
      </c>
      <c r="AA238" s="2">
        <v>20250804</v>
      </c>
      <c r="AB238" s="3">
        <v>800000</v>
      </c>
    </row>
    <row r="239" spans="3:28" x14ac:dyDescent="0.25">
      <c r="C239" s="2">
        <v>10000001</v>
      </c>
      <c r="D239" s="2" t="s">
        <v>383</v>
      </c>
      <c r="F239" s="2">
        <v>12006511</v>
      </c>
      <c r="H239" s="2" t="s">
        <v>383</v>
      </c>
      <c r="I239" s="2" t="str">
        <f t="shared" si="3"/>
        <v>08</v>
      </c>
      <c r="J239" s="2">
        <v>50</v>
      </c>
      <c r="K239" s="3">
        <v>-50000</v>
      </c>
      <c r="L239" s="2" t="s">
        <v>26</v>
      </c>
      <c r="M239" s="3">
        <v>-50000</v>
      </c>
      <c r="N239" s="2" t="s">
        <v>26</v>
      </c>
      <c r="R239" s="2" t="s">
        <v>27</v>
      </c>
      <c r="S239" s="2" t="s">
        <v>386</v>
      </c>
      <c r="T239" s="2" t="s">
        <v>45</v>
      </c>
      <c r="U239" s="2" t="s">
        <v>387</v>
      </c>
      <c r="V239" s="4">
        <f>+VLOOKUP(U239,'FBCJ Jul-Des 2025'!$G$10:$P$1302,8,0)</f>
        <v>70009110</v>
      </c>
      <c r="W239" s="4" t="str">
        <f>+VLOOKUP(V239,Sheet1!$A$2:$B$27,2,0)</f>
        <v>Biaya Survey dan Analisa</v>
      </c>
      <c r="X239" s="4" t="str">
        <f>+VLOOKUP(U239,'FBCJ Jul-Des 2025'!$G$10:$P$1302,9,0)</f>
        <v>P206D1SLSS</v>
      </c>
      <c r="Y239" s="2" t="s">
        <v>43</v>
      </c>
      <c r="Z239" s="2">
        <v>1557224</v>
      </c>
      <c r="AA239" s="2">
        <v>20250804</v>
      </c>
      <c r="AB239" s="3">
        <v>50000</v>
      </c>
    </row>
    <row r="240" spans="3:28" x14ac:dyDescent="0.25">
      <c r="C240" s="2">
        <v>10000001</v>
      </c>
      <c r="D240" s="2" t="s">
        <v>383</v>
      </c>
      <c r="F240" s="2">
        <v>12006512</v>
      </c>
      <c r="H240" s="2" t="s">
        <v>383</v>
      </c>
      <c r="I240" s="2" t="str">
        <f t="shared" si="3"/>
        <v>08</v>
      </c>
      <c r="J240" s="2">
        <v>50</v>
      </c>
      <c r="K240" s="3">
        <v>-50000</v>
      </c>
      <c r="L240" s="2" t="s">
        <v>26</v>
      </c>
      <c r="M240" s="3">
        <v>-50000</v>
      </c>
      <c r="N240" s="2" t="s">
        <v>26</v>
      </c>
      <c r="R240" s="2" t="s">
        <v>27</v>
      </c>
      <c r="S240" s="2" t="s">
        <v>386</v>
      </c>
      <c r="T240" s="2" t="s">
        <v>45</v>
      </c>
      <c r="U240" s="2" t="s">
        <v>388</v>
      </c>
      <c r="V240" s="4">
        <f>+VLOOKUP(U240,'FBCJ Jul-Des 2025'!$G$10:$P$1302,8,0)</f>
        <v>70009110</v>
      </c>
      <c r="W240" s="4" t="str">
        <f>+VLOOKUP(V240,Sheet1!$A$2:$B$27,2,0)</f>
        <v>Biaya Survey dan Analisa</v>
      </c>
      <c r="X240" s="4" t="str">
        <f>+VLOOKUP(U240,'FBCJ Jul-Des 2025'!$G$10:$P$1302,9,0)</f>
        <v>P206D1SLSS</v>
      </c>
      <c r="Y240" s="2" t="s">
        <v>43</v>
      </c>
      <c r="Z240" s="2">
        <v>1557224</v>
      </c>
      <c r="AA240" s="2">
        <v>20250804</v>
      </c>
      <c r="AB240" s="3">
        <v>50000</v>
      </c>
    </row>
    <row r="241" spans="3:28" x14ac:dyDescent="0.25">
      <c r="C241" s="2">
        <v>10000001</v>
      </c>
      <c r="D241" s="2" t="s">
        <v>383</v>
      </c>
      <c r="F241" s="2">
        <v>12006513</v>
      </c>
      <c r="H241" s="2" t="s">
        <v>383</v>
      </c>
      <c r="I241" s="2" t="str">
        <f t="shared" si="3"/>
        <v>08</v>
      </c>
      <c r="J241" s="2">
        <v>50</v>
      </c>
      <c r="K241" s="3">
        <v>-50000</v>
      </c>
      <c r="L241" s="2" t="s">
        <v>26</v>
      </c>
      <c r="M241" s="3">
        <v>-50000</v>
      </c>
      <c r="N241" s="2" t="s">
        <v>26</v>
      </c>
      <c r="R241" s="2" t="s">
        <v>27</v>
      </c>
      <c r="S241" s="2" t="s">
        <v>386</v>
      </c>
      <c r="T241" s="2" t="s">
        <v>45</v>
      </c>
      <c r="U241" s="2" t="s">
        <v>389</v>
      </c>
      <c r="V241" s="4">
        <f>+VLOOKUP(U241,'FBCJ Jul-Des 2025'!$G$10:$P$1302,8,0)</f>
        <v>70009110</v>
      </c>
      <c r="W241" s="4" t="str">
        <f>+VLOOKUP(V241,Sheet1!$A$2:$B$27,2,0)</f>
        <v>Biaya Survey dan Analisa</v>
      </c>
      <c r="X241" s="4" t="str">
        <f>+VLOOKUP(U241,'FBCJ Jul-Des 2025'!$G$10:$P$1302,9,0)</f>
        <v>M204D1COMM</v>
      </c>
      <c r="Y241" s="2" t="s">
        <v>43</v>
      </c>
      <c r="Z241" s="2">
        <v>1557224</v>
      </c>
      <c r="AA241" s="2">
        <v>20250804</v>
      </c>
      <c r="AB241" s="3">
        <v>50000</v>
      </c>
    </row>
    <row r="242" spans="3:28" x14ac:dyDescent="0.25">
      <c r="C242" s="2">
        <v>10000001</v>
      </c>
      <c r="D242" s="2" t="s">
        <v>383</v>
      </c>
      <c r="F242" s="2">
        <v>12006514</v>
      </c>
      <c r="H242" s="2" t="s">
        <v>383</v>
      </c>
      <c r="I242" s="2" t="str">
        <f t="shared" si="3"/>
        <v>08</v>
      </c>
      <c r="J242" s="2">
        <v>50</v>
      </c>
      <c r="K242" s="3">
        <v>-50000</v>
      </c>
      <c r="L242" s="2" t="s">
        <v>26</v>
      </c>
      <c r="M242" s="3">
        <v>-50000</v>
      </c>
      <c r="N242" s="2" t="s">
        <v>26</v>
      </c>
      <c r="R242" s="2" t="s">
        <v>27</v>
      </c>
      <c r="S242" s="2" t="s">
        <v>386</v>
      </c>
      <c r="T242" s="2" t="s">
        <v>45</v>
      </c>
      <c r="U242" s="2" t="s">
        <v>390</v>
      </c>
      <c r="V242" s="4">
        <f>+VLOOKUP(U242,'FBCJ Jul-Des 2025'!$G$10:$P$1302,8,0)</f>
        <v>70009110</v>
      </c>
      <c r="W242" s="4" t="str">
        <f>+VLOOKUP(V242,Sheet1!$A$2:$B$27,2,0)</f>
        <v>Biaya Survey dan Analisa</v>
      </c>
      <c r="X242" s="4" t="str">
        <f>+VLOOKUP(U242,'FBCJ Jul-Des 2025'!$G$10:$P$1302,9,0)</f>
        <v>M204D1COMM</v>
      </c>
      <c r="Y242" s="2" t="s">
        <v>43</v>
      </c>
      <c r="Z242" s="2">
        <v>1557224</v>
      </c>
      <c r="AA242" s="2">
        <v>20250804</v>
      </c>
      <c r="AB242" s="3">
        <v>50000</v>
      </c>
    </row>
    <row r="243" spans="3:28" x14ac:dyDescent="0.25">
      <c r="C243" s="2">
        <v>10000001</v>
      </c>
      <c r="D243" s="2" t="s">
        <v>383</v>
      </c>
      <c r="F243" s="2">
        <v>12006515</v>
      </c>
      <c r="H243" s="2" t="s">
        <v>383</v>
      </c>
      <c r="I243" s="2" t="str">
        <f t="shared" si="3"/>
        <v>08</v>
      </c>
      <c r="J243" s="2">
        <v>50</v>
      </c>
      <c r="K243" s="3">
        <v>-50000</v>
      </c>
      <c r="L243" s="2" t="s">
        <v>26</v>
      </c>
      <c r="M243" s="3">
        <v>-50000</v>
      </c>
      <c r="N243" s="2" t="s">
        <v>26</v>
      </c>
      <c r="R243" s="2" t="s">
        <v>27</v>
      </c>
      <c r="S243" s="2" t="s">
        <v>386</v>
      </c>
      <c r="T243" s="2" t="s">
        <v>45</v>
      </c>
      <c r="U243" s="2" t="s">
        <v>391</v>
      </c>
      <c r="V243" s="4">
        <f>+VLOOKUP(U243,'FBCJ Jul-Des 2025'!$G$10:$P$1302,8,0)</f>
        <v>70009110</v>
      </c>
      <c r="W243" s="4" t="str">
        <f>+VLOOKUP(V243,Sheet1!$A$2:$B$27,2,0)</f>
        <v>Biaya Survey dan Analisa</v>
      </c>
      <c r="X243" s="4" t="str">
        <f>+VLOOKUP(U243,'FBCJ Jul-Des 2025'!$G$10:$P$1302,9,0)</f>
        <v>P206D1SLSS</v>
      </c>
      <c r="Y243" s="2" t="s">
        <v>43</v>
      </c>
      <c r="Z243" s="2">
        <v>1557224</v>
      </c>
      <c r="AA243" s="2">
        <v>20250804</v>
      </c>
      <c r="AB243" s="3">
        <v>50000</v>
      </c>
    </row>
    <row r="244" spans="3:28" x14ac:dyDescent="0.25">
      <c r="C244" s="2">
        <v>10000001</v>
      </c>
      <c r="D244" s="2" t="s">
        <v>383</v>
      </c>
      <c r="F244" s="2">
        <v>12006516</v>
      </c>
      <c r="H244" s="2" t="s">
        <v>383</v>
      </c>
      <c r="I244" s="2" t="str">
        <f t="shared" si="3"/>
        <v>08</v>
      </c>
      <c r="J244" s="2">
        <v>50</v>
      </c>
      <c r="K244" s="3">
        <v>-50000</v>
      </c>
      <c r="L244" s="2" t="s">
        <v>26</v>
      </c>
      <c r="M244" s="3">
        <v>-50000</v>
      </c>
      <c r="N244" s="2" t="s">
        <v>26</v>
      </c>
      <c r="R244" s="2" t="s">
        <v>27</v>
      </c>
      <c r="S244" s="2" t="s">
        <v>386</v>
      </c>
      <c r="T244" s="2" t="s">
        <v>45</v>
      </c>
      <c r="U244" s="2" t="s">
        <v>392</v>
      </c>
      <c r="V244" s="4">
        <f>+VLOOKUP(U244,'FBCJ Jul-Des 2025'!$G$10:$P$1302,8,0)</f>
        <v>70009110</v>
      </c>
      <c r="W244" s="4" t="str">
        <f>+VLOOKUP(V244,Sheet1!$A$2:$B$27,2,0)</f>
        <v>Biaya Survey dan Analisa</v>
      </c>
      <c r="X244" s="4" t="str">
        <f>+VLOOKUP(U244,'FBCJ Jul-Des 2025'!$G$10:$P$1302,9,0)</f>
        <v>P206D1SLSS</v>
      </c>
      <c r="Y244" s="2" t="s">
        <v>43</v>
      </c>
      <c r="Z244" s="2">
        <v>1557224</v>
      </c>
      <c r="AA244" s="2">
        <v>20250804</v>
      </c>
      <c r="AB244" s="3">
        <v>50000</v>
      </c>
    </row>
    <row r="245" spans="3:28" x14ac:dyDescent="0.25">
      <c r="C245" s="2">
        <v>10000001</v>
      </c>
      <c r="D245" s="2" t="s">
        <v>383</v>
      </c>
      <c r="F245" s="2">
        <v>12006517</v>
      </c>
      <c r="H245" s="2" t="s">
        <v>383</v>
      </c>
      <c r="I245" s="2" t="str">
        <f t="shared" si="3"/>
        <v>08</v>
      </c>
      <c r="J245" s="2">
        <v>50</v>
      </c>
      <c r="K245" s="3">
        <v>-50000</v>
      </c>
      <c r="L245" s="2" t="s">
        <v>26</v>
      </c>
      <c r="M245" s="3">
        <v>-50000</v>
      </c>
      <c r="N245" s="2" t="s">
        <v>26</v>
      </c>
      <c r="R245" s="2" t="s">
        <v>27</v>
      </c>
      <c r="S245" s="2" t="s">
        <v>386</v>
      </c>
      <c r="T245" s="2" t="s">
        <v>45</v>
      </c>
      <c r="U245" s="2" t="s">
        <v>393</v>
      </c>
      <c r="V245" s="4">
        <f>+VLOOKUP(U245,'FBCJ Jul-Des 2025'!$G$10:$P$1302,8,0)</f>
        <v>70009110</v>
      </c>
      <c r="W245" s="4" t="str">
        <f>+VLOOKUP(V245,Sheet1!$A$2:$B$27,2,0)</f>
        <v>Biaya Survey dan Analisa</v>
      </c>
      <c r="X245" s="4" t="str">
        <f>+VLOOKUP(U245,'FBCJ Jul-Des 2025'!$G$10:$P$1302,9,0)</f>
        <v>C206D1SLSS</v>
      </c>
      <c r="Y245" s="2" t="s">
        <v>43</v>
      </c>
      <c r="Z245" s="2">
        <v>1557224</v>
      </c>
      <c r="AA245" s="2">
        <v>20250804</v>
      </c>
      <c r="AB245" s="3">
        <v>50000</v>
      </c>
    </row>
    <row r="246" spans="3:28" x14ac:dyDescent="0.25">
      <c r="C246" s="2">
        <v>10000001</v>
      </c>
      <c r="D246" s="2" t="s">
        <v>383</v>
      </c>
      <c r="F246" s="2">
        <v>12006518</v>
      </c>
      <c r="H246" s="2" t="s">
        <v>383</v>
      </c>
      <c r="I246" s="2" t="str">
        <f t="shared" si="3"/>
        <v>08</v>
      </c>
      <c r="J246" s="2">
        <v>50</v>
      </c>
      <c r="K246" s="3">
        <v>-50000</v>
      </c>
      <c r="L246" s="2" t="s">
        <v>26</v>
      </c>
      <c r="M246" s="3">
        <v>-50000</v>
      </c>
      <c r="N246" s="2" t="s">
        <v>26</v>
      </c>
      <c r="R246" s="2" t="s">
        <v>27</v>
      </c>
      <c r="S246" s="2" t="s">
        <v>386</v>
      </c>
      <c r="T246" s="2" t="s">
        <v>45</v>
      </c>
      <c r="U246" s="2" t="s">
        <v>394</v>
      </c>
      <c r="V246" s="4">
        <f>+VLOOKUP(U246,'FBCJ Jul-Des 2025'!$G$10:$P$1302,8,0)</f>
        <v>70009110</v>
      </c>
      <c r="W246" s="4" t="str">
        <f>+VLOOKUP(V246,Sheet1!$A$2:$B$27,2,0)</f>
        <v>Biaya Survey dan Analisa</v>
      </c>
      <c r="X246" s="4" t="str">
        <f>+VLOOKUP(U246,'FBCJ Jul-Des 2025'!$G$10:$P$1302,9,0)</f>
        <v>C206D1SLSS</v>
      </c>
      <c r="Y246" s="2" t="s">
        <v>43</v>
      </c>
      <c r="Z246" s="2">
        <v>1557224</v>
      </c>
      <c r="AA246" s="2">
        <v>20250804</v>
      </c>
      <c r="AB246" s="3">
        <v>50000</v>
      </c>
    </row>
    <row r="247" spans="3:28" x14ac:dyDescent="0.25">
      <c r="C247" s="2">
        <v>10000001</v>
      </c>
      <c r="D247" s="2" t="s">
        <v>383</v>
      </c>
      <c r="F247" s="2">
        <v>12006519</v>
      </c>
      <c r="H247" s="2" t="s">
        <v>383</v>
      </c>
      <c r="I247" s="2" t="str">
        <f t="shared" si="3"/>
        <v>08</v>
      </c>
      <c r="J247" s="2">
        <v>50</v>
      </c>
      <c r="K247" s="3">
        <v>-50000</v>
      </c>
      <c r="L247" s="2" t="s">
        <v>26</v>
      </c>
      <c r="M247" s="3">
        <v>-50000</v>
      </c>
      <c r="N247" s="2" t="s">
        <v>26</v>
      </c>
      <c r="R247" s="2" t="s">
        <v>27</v>
      </c>
      <c r="S247" s="2" t="s">
        <v>386</v>
      </c>
      <c r="T247" s="2" t="s">
        <v>45</v>
      </c>
      <c r="U247" s="2" t="s">
        <v>395</v>
      </c>
      <c r="V247" s="4">
        <f>+VLOOKUP(U247,'FBCJ Jul-Des 2025'!$G$10:$P$1302,8,0)</f>
        <v>70009110</v>
      </c>
      <c r="W247" s="4" t="str">
        <f>+VLOOKUP(V247,Sheet1!$A$2:$B$27,2,0)</f>
        <v>Biaya Survey dan Analisa</v>
      </c>
      <c r="X247" s="4" t="str">
        <f>+VLOOKUP(U247,'FBCJ Jul-Des 2025'!$G$10:$P$1302,9,0)</f>
        <v>P206D1SLSS</v>
      </c>
      <c r="Y247" s="2" t="s">
        <v>43</v>
      </c>
      <c r="Z247" s="2">
        <v>1557224</v>
      </c>
      <c r="AA247" s="2">
        <v>20250804</v>
      </c>
      <c r="AB247" s="3">
        <v>50000</v>
      </c>
    </row>
    <row r="248" spans="3:28" x14ac:dyDescent="0.25">
      <c r="C248" s="2">
        <v>10000001</v>
      </c>
      <c r="D248" s="2" t="s">
        <v>383</v>
      </c>
      <c r="F248" s="2">
        <v>12006520</v>
      </c>
      <c r="H248" s="2" t="s">
        <v>383</v>
      </c>
      <c r="I248" s="2" t="str">
        <f t="shared" si="3"/>
        <v>08</v>
      </c>
      <c r="J248" s="2">
        <v>50</v>
      </c>
      <c r="K248" s="3">
        <v>-50000</v>
      </c>
      <c r="L248" s="2" t="s">
        <v>26</v>
      </c>
      <c r="M248" s="3">
        <v>-50000</v>
      </c>
      <c r="N248" s="2" t="s">
        <v>26</v>
      </c>
      <c r="R248" s="2" t="s">
        <v>27</v>
      </c>
      <c r="S248" s="2" t="s">
        <v>386</v>
      </c>
      <c r="T248" s="2" t="s">
        <v>45</v>
      </c>
      <c r="U248" s="2" t="s">
        <v>396</v>
      </c>
      <c r="V248" s="4">
        <f>+VLOOKUP(U248,'FBCJ Jul-Des 2025'!$G$10:$P$1302,8,0)</f>
        <v>70009110</v>
      </c>
      <c r="W248" s="4" t="str">
        <f>+VLOOKUP(V248,Sheet1!$A$2:$B$27,2,0)</f>
        <v>Biaya Survey dan Analisa</v>
      </c>
      <c r="X248" s="4" t="str">
        <f>+VLOOKUP(U248,'FBCJ Jul-Des 2025'!$G$10:$P$1302,9,0)</f>
        <v>P206D1SLSS</v>
      </c>
      <c r="Y248" s="2" t="s">
        <v>43</v>
      </c>
      <c r="Z248" s="2">
        <v>1557224</v>
      </c>
      <c r="AA248" s="2">
        <v>20250804</v>
      </c>
      <c r="AB248" s="3">
        <v>50000</v>
      </c>
    </row>
    <row r="249" spans="3:28" x14ac:dyDescent="0.25">
      <c r="C249" s="2">
        <v>10000001</v>
      </c>
      <c r="D249" s="2" t="s">
        <v>383</v>
      </c>
      <c r="F249" s="2">
        <v>12006521</v>
      </c>
      <c r="H249" s="2" t="s">
        <v>383</v>
      </c>
      <c r="I249" s="2" t="str">
        <f t="shared" si="3"/>
        <v>08</v>
      </c>
      <c r="J249" s="2">
        <v>50</v>
      </c>
      <c r="K249" s="3">
        <v>-369000</v>
      </c>
      <c r="L249" s="2" t="s">
        <v>26</v>
      </c>
      <c r="M249" s="3">
        <v>-369000</v>
      </c>
      <c r="N249" s="2" t="s">
        <v>26</v>
      </c>
      <c r="R249" s="2" t="s">
        <v>27</v>
      </c>
      <c r="S249" s="2" t="s">
        <v>397</v>
      </c>
      <c r="T249" s="2" t="s">
        <v>67</v>
      </c>
      <c r="U249" s="2" t="s">
        <v>398</v>
      </c>
      <c r="V249" s="4">
        <f>+VLOOKUP(U249,'FBCJ Jul-Des 2025'!$G$10:$P$1302,8,0)</f>
        <v>70106100</v>
      </c>
      <c r="W249" s="4" t="str">
        <f>+VLOOKUP(V249,Sheet1!$A$2:$B$27,2,0)</f>
        <v>Biaya Transportasi Lokal</v>
      </c>
      <c r="X249" s="4" t="str">
        <f>+VLOOKUP(U249,'FBCJ Jul-Des 2025'!$G$10:$P$1302,9,0)</f>
        <v>R124D1HRGA</v>
      </c>
      <c r="Y249" s="2" t="s">
        <v>43</v>
      </c>
      <c r="Z249" s="2">
        <v>1557224</v>
      </c>
      <c r="AA249" s="2">
        <v>20250804</v>
      </c>
      <c r="AB249" s="3">
        <v>369000</v>
      </c>
    </row>
    <row r="250" spans="3:28" x14ac:dyDescent="0.25">
      <c r="C250" s="2">
        <v>10000001</v>
      </c>
      <c r="D250" s="2" t="s">
        <v>383</v>
      </c>
      <c r="F250" s="2">
        <v>12006522</v>
      </c>
      <c r="H250" s="2" t="s">
        <v>383</v>
      </c>
      <c r="I250" s="2" t="str">
        <f t="shared" si="3"/>
        <v>08</v>
      </c>
      <c r="J250" s="2">
        <v>50</v>
      </c>
      <c r="K250" s="3">
        <v>-630000</v>
      </c>
      <c r="L250" s="2" t="s">
        <v>26</v>
      </c>
      <c r="M250" s="3">
        <v>-630000</v>
      </c>
      <c r="N250" s="2" t="s">
        <v>26</v>
      </c>
      <c r="R250" s="2" t="s">
        <v>27</v>
      </c>
      <c r="S250" s="2" t="s">
        <v>397</v>
      </c>
      <c r="T250" s="2" t="s">
        <v>96</v>
      </c>
      <c r="U250" s="2" t="s">
        <v>399</v>
      </c>
      <c r="V250" s="4">
        <f>+VLOOKUP(U250,'FBCJ Jul-Des 2025'!$G$10:$P$1302,8,0)</f>
        <v>70106400</v>
      </c>
      <c r="W250" s="4" t="str">
        <f>+VLOOKUP(V250,Sheet1!$A$2:$B$27,2,0)</f>
        <v>Biaya Bahan Bakar</v>
      </c>
      <c r="X250" s="4" t="str">
        <f>+VLOOKUP(U250,'FBCJ Jul-Des 2025'!$G$10:$P$1302,9,0)</f>
        <v>R124D1HRGA</v>
      </c>
      <c r="Y250" s="2" t="s">
        <v>43</v>
      </c>
      <c r="Z250" s="2">
        <v>1557224</v>
      </c>
      <c r="AA250" s="2">
        <v>20250804</v>
      </c>
      <c r="AB250" s="3">
        <v>630000</v>
      </c>
    </row>
    <row r="251" spans="3:28" x14ac:dyDescent="0.25">
      <c r="C251" s="2">
        <v>10000001</v>
      </c>
      <c r="D251" s="2" t="s">
        <v>383</v>
      </c>
      <c r="F251" s="2">
        <v>12006523</v>
      </c>
      <c r="H251" s="2" t="s">
        <v>383</v>
      </c>
      <c r="I251" s="2" t="str">
        <f t="shared" si="3"/>
        <v>08</v>
      </c>
      <c r="J251" s="2">
        <v>50</v>
      </c>
      <c r="K251" s="3">
        <v>-75000</v>
      </c>
      <c r="L251" s="2" t="s">
        <v>26</v>
      </c>
      <c r="M251" s="3">
        <v>-75000</v>
      </c>
      <c r="N251" s="2" t="s">
        <v>26</v>
      </c>
      <c r="R251" s="2" t="s">
        <v>27</v>
      </c>
      <c r="S251" s="2" t="s">
        <v>400</v>
      </c>
      <c r="T251" s="2" t="s">
        <v>126</v>
      </c>
      <c r="U251" s="2" t="s">
        <v>401</v>
      </c>
      <c r="V251" s="4">
        <f>+VLOOKUP(U251,'FBCJ Jul-Des 2025'!$G$10:$P$1302,8,0)</f>
        <v>70107600</v>
      </c>
      <c r="W251" s="4" t="str">
        <f>+VLOOKUP(V251,Sheet1!$A$2:$B$27,2,0)</f>
        <v>Biaya Konsumsi Kantor</v>
      </c>
      <c r="X251" s="4" t="str">
        <f>+VLOOKUP(U251,'FBCJ Jul-Des 2025'!$G$10:$P$1302,9,0)</f>
        <v>R124D1FRCO</v>
      </c>
      <c r="Y251" s="2" t="s">
        <v>43</v>
      </c>
      <c r="Z251" s="2">
        <v>1557224</v>
      </c>
      <c r="AA251" s="2">
        <v>20250804</v>
      </c>
      <c r="AB251" s="3">
        <v>75000</v>
      </c>
    </row>
    <row r="252" spans="3:28" x14ac:dyDescent="0.25">
      <c r="C252" s="2">
        <v>10000001</v>
      </c>
      <c r="D252" s="2" t="s">
        <v>383</v>
      </c>
      <c r="F252" s="2">
        <v>12006524</v>
      </c>
      <c r="H252" s="2" t="s">
        <v>383</v>
      </c>
      <c r="I252" s="2" t="str">
        <f t="shared" si="3"/>
        <v>08</v>
      </c>
      <c r="J252" s="2">
        <v>50</v>
      </c>
      <c r="K252" s="3">
        <v>-202000</v>
      </c>
      <c r="L252" s="2" t="s">
        <v>26</v>
      </c>
      <c r="M252" s="3">
        <v>-202000</v>
      </c>
      <c r="N252" s="2" t="s">
        <v>26</v>
      </c>
      <c r="R252" s="2" t="s">
        <v>27</v>
      </c>
      <c r="S252" s="2" t="s">
        <v>402</v>
      </c>
      <c r="T252" s="2" t="s">
        <v>67</v>
      </c>
      <c r="U252" s="2" t="s">
        <v>403</v>
      </c>
      <c r="V252" s="4">
        <f>+VLOOKUP(U252,'FBCJ Jul-Des 2025'!$G$10:$P$1302,8,0)</f>
        <v>70106100</v>
      </c>
      <c r="W252" s="4" t="str">
        <f>+VLOOKUP(V252,Sheet1!$A$2:$B$27,2,0)</f>
        <v>Biaya Transportasi Lokal</v>
      </c>
      <c r="X252" s="4" t="str">
        <f>+VLOOKUP(U252,'FBCJ Jul-Des 2025'!$G$10:$P$1302,9,0)</f>
        <v>P206D1SLSS</v>
      </c>
      <c r="Y252" s="2" t="s">
        <v>43</v>
      </c>
      <c r="Z252" s="2">
        <v>1557224</v>
      </c>
      <c r="AA252" s="2">
        <v>20250804</v>
      </c>
      <c r="AB252" s="3">
        <v>202000</v>
      </c>
    </row>
    <row r="253" spans="3:28" x14ac:dyDescent="0.25">
      <c r="C253" s="2">
        <v>10000001</v>
      </c>
      <c r="D253" s="2" t="s">
        <v>383</v>
      </c>
      <c r="F253" s="2">
        <v>12006525</v>
      </c>
      <c r="H253" s="2" t="s">
        <v>383</v>
      </c>
      <c r="I253" s="2" t="str">
        <f t="shared" si="3"/>
        <v>08</v>
      </c>
      <c r="J253" s="2">
        <v>50</v>
      </c>
      <c r="K253" s="3">
        <v>-23000</v>
      </c>
      <c r="L253" s="2" t="s">
        <v>26</v>
      </c>
      <c r="M253" s="3">
        <v>-23000</v>
      </c>
      <c r="N253" s="2" t="s">
        <v>26</v>
      </c>
      <c r="R253" s="2" t="s">
        <v>27</v>
      </c>
      <c r="S253" s="2" t="s">
        <v>402</v>
      </c>
      <c r="T253" s="2" t="s">
        <v>64</v>
      </c>
      <c r="U253" s="2" t="s">
        <v>404</v>
      </c>
      <c r="V253" s="4">
        <f>+VLOOKUP(U253,'FBCJ Jul-Des 2025'!$G$10:$P$1302,8,0)</f>
        <v>70108110</v>
      </c>
      <c r="W253" s="4" t="str">
        <f>+VLOOKUP(V253,Sheet1!$A$2:$B$27,2,0)</f>
        <v>Biaya  Fotocopy</v>
      </c>
      <c r="X253" s="4" t="str">
        <f>+VLOOKUP(U253,'FBCJ Jul-Des 2025'!$G$10:$P$1302,9,0)</f>
        <v>P206D1SLSS</v>
      </c>
      <c r="Y253" s="2" t="s">
        <v>43</v>
      </c>
      <c r="Z253" s="2">
        <v>1557224</v>
      </c>
      <c r="AA253" s="2">
        <v>20250804</v>
      </c>
      <c r="AB253" s="3">
        <v>23000</v>
      </c>
    </row>
    <row r="254" spans="3:28" x14ac:dyDescent="0.25">
      <c r="C254" s="2">
        <v>10000001</v>
      </c>
      <c r="D254" s="2" t="s">
        <v>383</v>
      </c>
      <c r="F254" s="2">
        <v>12006526</v>
      </c>
      <c r="H254" s="2" t="s">
        <v>383</v>
      </c>
      <c r="I254" s="2" t="str">
        <f t="shared" si="3"/>
        <v>08</v>
      </c>
      <c r="J254" s="2">
        <v>50</v>
      </c>
      <c r="K254" s="3">
        <v>-180000</v>
      </c>
      <c r="L254" s="2" t="s">
        <v>26</v>
      </c>
      <c r="M254" s="3">
        <v>-180000</v>
      </c>
      <c r="N254" s="2" t="s">
        <v>26</v>
      </c>
      <c r="R254" s="2" t="s">
        <v>27</v>
      </c>
      <c r="S254" s="2" t="s">
        <v>405</v>
      </c>
      <c r="T254" s="2" t="s">
        <v>67</v>
      </c>
      <c r="U254" s="2" t="s">
        <v>406</v>
      </c>
      <c r="V254" s="4">
        <f>+VLOOKUP(U254,'FBCJ Jul-Des 2025'!$G$10:$P$1302,8,0)</f>
        <v>70106100</v>
      </c>
      <c r="W254" s="4" t="str">
        <f>+VLOOKUP(V254,Sheet1!$A$2:$B$27,2,0)</f>
        <v>Biaya Transportasi Lokal</v>
      </c>
      <c r="X254" s="4" t="str">
        <f>+VLOOKUP(U254,'FBCJ Jul-Des 2025'!$G$10:$P$1302,9,0)</f>
        <v>P206D1SLSS</v>
      </c>
      <c r="Y254" s="2" t="s">
        <v>43</v>
      </c>
      <c r="Z254" s="2">
        <v>1557224</v>
      </c>
      <c r="AA254" s="2">
        <v>20250804</v>
      </c>
      <c r="AB254" s="3">
        <v>180000</v>
      </c>
    </row>
    <row r="255" spans="3:28" x14ac:dyDescent="0.25">
      <c r="C255" s="2">
        <v>10000001</v>
      </c>
      <c r="D255" s="2" t="s">
        <v>383</v>
      </c>
      <c r="F255" s="2">
        <v>12006527</v>
      </c>
      <c r="H255" s="2" t="s">
        <v>383</v>
      </c>
      <c r="I255" s="2" t="str">
        <f t="shared" si="3"/>
        <v>08</v>
      </c>
      <c r="J255" s="2">
        <v>50</v>
      </c>
      <c r="K255" s="3">
        <v>-961000</v>
      </c>
      <c r="L255" s="2" t="s">
        <v>26</v>
      </c>
      <c r="M255" s="3">
        <v>-961000</v>
      </c>
      <c r="N255" s="2" t="s">
        <v>26</v>
      </c>
      <c r="R255" s="2" t="s">
        <v>27</v>
      </c>
      <c r="S255" s="2" t="s">
        <v>407</v>
      </c>
      <c r="T255" s="2" t="s">
        <v>274</v>
      </c>
      <c r="U255" s="2" t="s">
        <v>408</v>
      </c>
      <c r="V255" s="4">
        <f>+VLOOKUP(U255,'FBCJ Jul-Des 2025'!$G$10:$P$1302,8,0)</f>
        <v>70108100</v>
      </c>
      <c r="W255" s="4" t="str">
        <f>+VLOOKUP(V255,Sheet1!$A$2:$B$27,2,0)</f>
        <v>Biaya Peralatan Dan Perabot Kantor</v>
      </c>
      <c r="X255" s="4" t="str">
        <f>+VLOOKUP(U255,'FBCJ Jul-Des 2025'!$G$10:$P$1302,9,0)</f>
        <v>R124D1HRGA</v>
      </c>
      <c r="Y255" s="2" t="s">
        <v>43</v>
      </c>
      <c r="Z255" s="2">
        <v>1557224</v>
      </c>
      <c r="AA255" s="2">
        <v>20250804</v>
      </c>
      <c r="AB255" s="3">
        <v>961000</v>
      </c>
    </row>
    <row r="256" spans="3:28" x14ac:dyDescent="0.25">
      <c r="C256" s="2">
        <v>10000001</v>
      </c>
      <c r="D256" s="2" t="s">
        <v>383</v>
      </c>
      <c r="F256" s="2">
        <v>12006528</v>
      </c>
      <c r="H256" s="2" t="s">
        <v>383</v>
      </c>
      <c r="I256" s="2" t="str">
        <f t="shared" si="3"/>
        <v>08</v>
      </c>
      <c r="J256" s="2">
        <v>50</v>
      </c>
      <c r="K256" s="3">
        <v>-150000</v>
      </c>
      <c r="L256" s="2" t="s">
        <v>26</v>
      </c>
      <c r="M256" s="3">
        <v>-150000</v>
      </c>
      <c r="N256" s="2" t="s">
        <v>26</v>
      </c>
      <c r="R256" s="2" t="s">
        <v>27</v>
      </c>
      <c r="S256" s="2" t="s">
        <v>409</v>
      </c>
      <c r="T256" s="2" t="s">
        <v>45</v>
      </c>
      <c r="U256" s="2" t="s">
        <v>410</v>
      </c>
      <c r="V256" s="4">
        <f>+VLOOKUP(U256,'FBCJ Jul-Des 2025'!$G$10:$P$1302,8,0)</f>
        <v>70009110</v>
      </c>
      <c r="W256" s="4" t="str">
        <f>+VLOOKUP(V256,Sheet1!$A$2:$B$27,2,0)</f>
        <v>Biaya Survey dan Analisa</v>
      </c>
      <c r="X256" s="4" t="str">
        <f>+VLOOKUP(U256,'FBCJ Jul-Des 2025'!$G$10:$P$1302,9,0)</f>
        <v>C206D1SLSS</v>
      </c>
      <c r="Y256" s="2" t="s">
        <v>43</v>
      </c>
      <c r="Z256" s="2">
        <v>1557224</v>
      </c>
      <c r="AA256" s="2">
        <v>20250804</v>
      </c>
      <c r="AB256" s="3">
        <v>150000</v>
      </c>
    </row>
    <row r="257" spans="3:28" x14ac:dyDescent="0.25">
      <c r="C257" s="2">
        <v>10000001</v>
      </c>
      <c r="D257" s="2" t="s">
        <v>383</v>
      </c>
      <c r="F257" s="2">
        <v>12006529</v>
      </c>
      <c r="H257" s="2" t="s">
        <v>383</v>
      </c>
      <c r="I257" s="2" t="str">
        <f t="shared" si="3"/>
        <v>08</v>
      </c>
      <c r="J257" s="2">
        <v>50</v>
      </c>
      <c r="K257" s="3">
        <v>-100000</v>
      </c>
      <c r="L257" s="2" t="s">
        <v>26</v>
      </c>
      <c r="M257" s="3">
        <v>-100000</v>
      </c>
      <c r="N257" s="2" t="s">
        <v>26</v>
      </c>
      <c r="R257" s="2" t="s">
        <v>27</v>
      </c>
      <c r="S257" s="2" t="s">
        <v>409</v>
      </c>
      <c r="T257" s="2" t="s">
        <v>45</v>
      </c>
      <c r="U257" s="2" t="s">
        <v>411</v>
      </c>
      <c r="V257" s="4">
        <f>+VLOOKUP(U257,'FBCJ Jul-Des 2025'!$G$10:$P$1302,8,0)</f>
        <v>70009110</v>
      </c>
      <c r="W257" s="4" t="str">
        <f>+VLOOKUP(V257,Sheet1!$A$2:$B$27,2,0)</f>
        <v>Biaya Survey dan Analisa</v>
      </c>
      <c r="X257" s="4" t="str">
        <f>+VLOOKUP(U257,'FBCJ Jul-Des 2025'!$G$10:$P$1302,9,0)</f>
        <v>P206D1SLSS</v>
      </c>
      <c r="Y257" s="2" t="s">
        <v>43</v>
      </c>
      <c r="Z257" s="2">
        <v>1557224</v>
      </c>
      <c r="AA257" s="2">
        <v>20250804</v>
      </c>
      <c r="AB257" s="3">
        <v>100000</v>
      </c>
    </row>
    <row r="258" spans="3:28" x14ac:dyDescent="0.25">
      <c r="C258" s="2">
        <v>10000001</v>
      </c>
      <c r="D258" s="2" t="s">
        <v>383</v>
      </c>
      <c r="F258" s="2">
        <v>12006530</v>
      </c>
      <c r="H258" s="2" t="s">
        <v>383</v>
      </c>
      <c r="I258" s="2" t="str">
        <f t="shared" si="3"/>
        <v>08</v>
      </c>
      <c r="J258" s="2">
        <v>50</v>
      </c>
      <c r="K258" s="3">
        <v>-100000</v>
      </c>
      <c r="L258" s="2" t="s">
        <v>26</v>
      </c>
      <c r="M258" s="3">
        <v>-100000</v>
      </c>
      <c r="N258" s="2" t="s">
        <v>26</v>
      </c>
      <c r="R258" s="2" t="s">
        <v>27</v>
      </c>
      <c r="S258" s="2" t="s">
        <v>409</v>
      </c>
      <c r="T258" s="2" t="s">
        <v>45</v>
      </c>
      <c r="U258" s="2" t="s">
        <v>412</v>
      </c>
      <c r="V258" s="4">
        <f>+VLOOKUP(U258,'FBCJ Jul-Des 2025'!$G$10:$P$1302,8,0)</f>
        <v>70009110</v>
      </c>
      <c r="W258" s="4" t="str">
        <f>+VLOOKUP(V258,Sheet1!$A$2:$B$27,2,0)</f>
        <v>Biaya Survey dan Analisa</v>
      </c>
      <c r="X258" s="4" t="str">
        <f>+VLOOKUP(U258,'FBCJ Jul-Des 2025'!$G$10:$P$1302,9,0)</f>
        <v>P206D1SLSS</v>
      </c>
      <c r="Y258" s="2" t="s">
        <v>43</v>
      </c>
      <c r="Z258" s="2">
        <v>1557224</v>
      </c>
      <c r="AA258" s="2">
        <v>20250804</v>
      </c>
      <c r="AB258" s="3">
        <v>100000</v>
      </c>
    </row>
    <row r="259" spans="3:28" x14ac:dyDescent="0.25">
      <c r="C259" s="2">
        <v>10000001</v>
      </c>
      <c r="D259" s="2" t="s">
        <v>383</v>
      </c>
      <c r="F259" s="2">
        <v>12006531</v>
      </c>
      <c r="H259" s="2" t="s">
        <v>383</v>
      </c>
      <c r="I259" s="2" t="str">
        <f t="shared" si="3"/>
        <v>08</v>
      </c>
      <c r="J259" s="2">
        <v>50</v>
      </c>
      <c r="K259" s="3">
        <v>-150000</v>
      </c>
      <c r="L259" s="2" t="s">
        <v>26</v>
      </c>
      <c r="M259" s="3">
        <v>-150000</v>
      </c>
      <c r="N259" s="2" t="s">
        <v>26</v>
      </c>
      <c r="R259" s="2" t="s">
        <v>27</v>
      </c>
      <c r="S259" s="2" t="s">
        <v>409</v>
      </c>
      <c r="T259" s="2" t="s">
        <v>45</v>
      </c>
      <c r="U259" s="2" t="s">
        <v>413</v>
      </c>
      <c r="V259" s="4">
        <f>+VLOOKUP(U259,'FBCJ Jul-Des 2025'!$G$10:$P$1302,8,0)</f>
        <v>70009110</v>
      </c>
      <c r="W259" s="4" t="str">
        <f>+VLOOKUP(V259,Sheet1!$A$2:$B$27,2,0)</f>
        <v>Biaya Survey dan Analisa</v>
      </c>
      <c r="X259" s="4" t="str">
        <f>+VLOOKUP(U259,'FBCJ Jul-Des 2025'!$G$10:$P$1302,9,0)</f>
        <v>C206D1SLSS</v>
      </c>
      <c r="Y259" s="2" t="s">
        <v>43</v>
      </c>
      <c r="Z259" s="2">
        <v>1557224</v>
      </c>
      <c r="AA259" s="2">
        <v>20250804</v>
      </c>
      <c r="AB259" s="3">
        <v>150000</v>
      </c>
    </row>
    <row r="260" spans="3:28" x14ac:dyDescent="0.25">
      <c r="C260" s="2">
        <v>10000001</v>
      </c>
      <c r="D260" s="2" t="s">
        <v>383</v>
      </c>
      <c r="F260" s="2">
        <v>12006532</v>
      </c>
      <c r="H260" s="2" t="s">
        <v>383</v>
      </c>
      <c r="I260" s="2" t="str">
        <f t="shared" si="3"/>
        <v>08</v>
      </c>
      <c r="J260" s="2">
        <v>50</v>
      </c>
      <c r="K260" s="3">
        <v>-100000</v>
      </c>
      <c r="L260" s="2" t="s">
        <v>26</v>
      </c>
      <c r="M260" s="3">
        <v>-100000</v>
      </c>
      <c r="N260" s="2" t="s">
        <v>26</v>
      </c>
      <c r="R260" s="2" t="s">
        <v>27</v>
      </c>
      <c r="S260" s="2" t="s">
        <v>409</v>
      </c>
      <c r="T260" s="2" t="s">
        <v>45</v>
      </c>
      <c r="U260" s="2" t="s">
        <v>414</v>
      </c>
      <c r="V260" s="4">
        <f>+VLOOKUP(U260,'FBCJ Jul-Des 2025'!$G$10:$P$1302,8,0)</f>
        <v>70009110</v>
      </c>
      <c r="W260" s="4" t="str">
        <f>+VLOOKUP(V260,Sheet1!$A$2:$B$27,2,0)</f>
        <v>Biaya Survey dan Analisa</v>
      </c>
      <c r="X260" s="4" t="str">
        <f>+VLOOKUP(U260,'FBCJ Jul-Des 2025'!$G$10:$P$1302,9,0)</f>
        <v>P206D1SLSS</v>
      </c>
      <c r="Y260" s="2" t="s">
        <v>43</v>
      </c>
      <c r="Z260" s="2">
        <v>1557224</v>
      </c>
      <c r="AA260" s="2">
        <v>20250804</v>
      </c>
      <c r="AB260" s="3">
        <v>100000</v>
      </c>
    </row>
    <row r="261" spans="3:28" x14ac:dyDescent="0.25">
      <c r="C261" s="2">
        <v>10000001</v>
      </c>
      <c r="D261" s="2" t="s">
        <v>383</v>
      </c>
      <c r="F261" s="2">
        <v>12006533</v>
      </c>
      <c r="H261" s="2" t="s">
        <v>383</v>
      </c>
      <c r="I261" s="2" t="str">
        <f t="shared" si="3"/>
        <v>08</v>
      </c>
      <c r="J261" s="2">
        <v>50</v>
      </c>
      <c r="K261" s="3">
        <v>-100000</v>
      </c>
      <c r="L261" s="2" t="s">
        <v>26</v>
      </c>
      <c r="M261" s="3">
        <v>-100000</v>
      </c>
      <c r="N261" s="2" t="s">
        <v>26</v>
      </c>
      <c r="R261" s="2" t="s">
        <v>27</v>
      </c>
      <c r="S261" s="2" t="s">
        <v>409</v>
      </c>
      <c r="T261" s="2" t="s">
        <v>45</v>
      </c>
      <c r="U261" s="2" t="s">
        <v>415</v>
      </c>
      <c r="V261" s="4">
        <f>+VLOOKUP(U261,'FBCJ Jul-Des 2025'!$G$10:$P$1302,8,0)</f>
        <v>70009110</v>
      </c>
      <c r="W261" s="4" t="str">
        <f>+VLOOKUP(V261,Sheet1!$A$2:$B$27,2,0)</f>
        <v>Biaya Survey dan Analisa</v>
      </c>
      <c r="X261" s="4" t="str">
        <f>+VLOOKUP(U261,'FBCJ Jul-Des 2025'!$G$10:$P$1302,9,0)</f>
        <v>P206D1SLSS</v>
      </c>
      <c r="Y261" s="2" t="s">
        <v>43</v>
      </c>
      <c r="Z261" s="2">
        <v>1557224</v>
      </c>
      <c r="AA261" s="2">
        <v>20250804</v>
      </c>
      <c r="AB261" s="3">
        <v>100000</v>
      </c>
    </row>
    <row r="262" spans="3:28" x14ac:dyDescent="0.25">
      <c r="C262" s="2">
        <v>10000001</v>
      </c>
      <c r="D262" s="2" t="s">
        <v>383</v>
      </c>
      <c r="F262" s="2">
        <v>12006534</v>
      </c>
      <c r="H262" s="2" t="s">
        <v>383</v>
      </c>
      <c r="I262" s="2" t="str">
        <f t="shared" si="3"/>
        <v>08</v>
      </c>
      <c r="J262" s="2">
        <v>50</v>
      </c>
      <c r="K262" s="3">
        <v>-50000</v>
      </c>
      <c r="L262" s="2" t="s">
        <v>26</v>
      </c>
      <c r="M262" s="3">
        <v>-50000</v>
      </c>
      <c r="N262" s="2" t="s">
        <v>26</v>
      </c>
      <c r="R262" s="2" t="s">
        <v>27</v>
      </c>
      <c r="S262" s="2" t="s">
        <v>409</v>
      </c>
      <c r="T262" s="2" t="s">
        <v>45</v>
      </c>
      <c r="U262" s="2" t="s">
        <v>416</v>
      </c>
      <c r="V262" s="4">
        <f>+VLOOKUP(U262,'FBCJ Jul-Des 2025'!$G$10:$P$1302,8,0)</f>
        <v>70009110</v>
      </c>
      <c r="W262" s="4" t="str">
        <f>+VLOOKUP(V262,Sheet1!$A$2:$B$27,2,0)</f>
        <v>Biaya Survey dan Analisa</v>
      </c>
      <c r="X262" s="4" t="str">
        <f>+VLOOKUP(U262,'FBCJ Jul-Des 2025'!$G$10:$P$1302,9,0)</f>
        <v>C206D1SLSS</v>
      </c>
      <c r="Y262" s="2" t="s">
        <v>43</v>
      </c>
      <c r="Z262" s="2">
        <v>1557224</v>
      </c>
      <c r="AA262" s="2">
        <v>20250804</v>
      </c>
      <c r="AB262" s="3">
        <v>50000</v>
      </c>
    </row>
    <row r="263" spans="3:28" x14ac:dyDescent="0.25">
      <c r="C263" s="2">
        <v>10000001</v>
      </c>
      <c r="D263" s="2" t="s">
        <v>383</v>
      </c>
      <c r="F263" s="2">
        <v>12006535</v>
      </c>
      <c r="H263" s="2" t="s">
        <v>383</v>
      </c>
      <c r="I263" s="2" t="str">
        <f t="shared" si="3"/>
        <v>08</v>
      </c>
      <c r="J263" s="2">
        <v>50</v>
      </c>
      <c r="K263" s="3">
        <v>-50000</v>
      </c>
      <c r="L263" s="2" t="s">
        <v>26</v>
      </c>
      <c r="M263" s="3">
        <v>-50000</v>
      </c>
      <c r="N263" s="2" t="s">
        <v>26</v>
      </c>
      <c r="R263" s="2" t="s">
        <v>27</v>
      </c>
      <c r="S263" s="2" t="s">
        <v>409</v>
      </c>
      <c r="T263" s="2" t="s">
        <v>45</v>
      </c>
      <c r="U263" s="2" t="s">
        <v>417</v>
      </c>
      <c r="V263" s="4">
        <f>+VLOOKUP(U263,'FBCJ Jul-Des 2025'!$G$10:$P$1302,8,0)</f>
        <v>70009110</v>
      </c>
      <c r="W263" s="4" t="str">
        <f>+VLOOKUP(V263,Sheet1!$A$2:$B$27,2,0)</f>
        <v>Biaya Survey dan Analisa</v>
      </c>
      <c r="X263" s="4" t="str">
        <f>+VLOOKUP(U263,'FBCJ Jul-Des 2025'!$G$10:$P$1302,9,0)</f>
        <v>P206D1SLSS</v>
      </c>
      <c r="Y263" s="2" t="s">
        <v>43</v>
      </c>
      <c r="Z263" s="2">
        <v>1557224</v>
      </c>
      <c r="AA263" s="2">
        <v>20250804</v>
      </c>
      <c r="AB263" s="3">
        <v>50000</v>
      </c>
    </row>
    <row r="264" spans="3:28" x14ac:dyDescent="0.25">
      <c r="C264" s="2">
        <v>10000001</v>
      </c>
      <c r="D264" s="2" t="s">
        <v>383</v>
      </c>
      <c r="F264" s="2">
        <v>12006536</v>
      </c>
      <c r="H264" s="2" t="s">
        <v>383</v>
      </c>
      <c r="I264" s="2" t="str">
        <f t="shared" ref="I264:I327" si="4">+MID(H264,4,2)</f>
        <v>08</v>
      </c>
      <c r="J264" s="2">
        <v>50</v>
      </c>
      <c r="K264" s="3">
        <v>-50000</v>
      </c>
      <c r="L264" s="2" t="s">
        <v>26</v>
      </c>
      <c r="M264" s="3">
        <v>-50000</v>
      </c>
      <c r="N264" s="2" t="s">
        <v>26</v>
      </c>
      <c r="R264" s="2" t="s">
        <v>27</v>
      </c>
      <c r="S264" s="2" t="s">
        <v>409</v>
      </c>
      <c r="T264" s="2" t="s">
        <v>45</v>
      </c>
      <c r="U264" s="2" t="s">
        <v>418</v>
      </c>
      <c r="V264" s="4">
        <f>+VLOOKUP(U264,'FBCJ Jul-Des 2025'!$G$10:$P$1302,8,0)</f>
        <v>70009110</v>
      </c>
      <c r="W264" s="4" t="str">
        <f>+VLOOKUP(V264,Sheet1!$A$2:$B$27,2,0)</f>
        <v>Biaya Survey dan Analisa</v>
      </c>
      <c r="X264" s="4" t="str">
        <f>+VLOOKUP(U264,'FBCJ Jul-Des 2025'!$G$10:$P$1302,9,0)</f>
        <v>P206D1SLSS</v>
      </c>
      <c r="Y264" s="2" t="s">
        <v>43</v>
      </c>
      <c r="Z264" s="2">
        <v>1557224</v>
      </c>
      <c r="AA264" s="2">
        <v>20250804</v>
      </c>
      <c r="AB264" s="3">
        <v>50000</v>
      </c>
    </row>
    <row r="265" spans="3:28" x14ac:dyDescent="0.25">
      <c r="C265" s="2">
        <v>10000001</v>
      </c>
      <c r="D265" s="2" t="s">
        <v>383</v>
      </c>
      <c r="F265" s="2">
        <v>12006537</v>
      </c>
      <c r="H265" s="2" t="s">
        <v>383</v>
      </c>
      <c r="I265" s="2" t="str">
        <f t="shared" si="4"/>
        <v>08</v>
      </c>
      <c r="J265" s="2">
        <v>50</v>
      </c>
      <c r="K265" s="3">
        <v>-50000</v>
      </c>
      <c r="L265" s="2" t="s">
        <v>26</v>
      </c>
      <c r="M265" s="3">
        <v>-50000</v>
      </c>
      <c r="N265" s="2" t="s">
        <v>26</v>
      </c>
      <c r="R265" s="2" t="s">
        <v>27</v>
      </c>
      <c r="S265" s="2" t="s">
        <v>409</v>
      </c>
      <c r="T265" s="2" t="s">
        <v>45</v>
      </c>
      <c r="U265" s="2" t="s">
        <v>419</v>
      </c>
      <c r="V265" s="4">
        <f>+VLOOKUP(U265,'FBCJ Jul-Des 2025'!$G$10:$P$1302,8,0)</f>
        <v>70009110</v>
      </c>
      <c r="W265" s="4" t="str">
        <f>+VLOOKUP(V265,Sheet1!$A$2:$B$27,2,0)</f>
        <v>Biaya Survey dan Analisa</v>
      </c>
      <c r="X265" s="4" t="str">
        <f>+VLOOKUP(U265,'FBCJ Jul-Des 2025'!$G$10:$P$1302,9,0)</f>
        <v>C206D1SLSS</v>
      </c>
      <c r="Y265" s="2" t="s">
        <v>43</v>
      </c>
      <c r="Z265" s="2">
        <v>1557224</v>
      </c>
      <c r="AA265" s="2">
        <v>20250804</v>
      </c>
      <c r="AB265" s="3">
        <v>50000</v>
      </c>
    </row>
    <row r="266" spans="3:28" x14ac:dyDescent="0.25">
      <c r="C266" s="2">
        <v>10000001</v>
      </c>
      <c r="D266" s="2" t="s">
        <v>383</v>
      </c>
      <c r="F266" s="2">
        <v>12006538</v>
      </c>
      <c r="H266" s="2" t="s">
        <v>383</v>
      </c>
      <c r="I266" s="2" t="str">
        <f t="shared" si="4"/>
        <v>08</v>
      </c>
      <c r="J266" s="2">
        <v>50</v>
      </c>
      <c r="K266" s="3">
        <v>-50000</v>
      </c>
      <c r="L266" s="2" t="s">
        <v>26</v>
      </c>
      <c r="M266" s="3">
        <v>-50000</v>
      </c>
      <c r="N266" s="2" t="s">
        <v>26</v>
      </c>
      <c r="R266" s="2" t="s">
        <v>27</v>
      </c>
      <c r="S266" s="2" t="s">
        <v>409</v>
      </c>
      <c r="T266" s="2" t="s">
        <v>45</v>
      </c>
      <c r="U266" s="2" t="s">
        <v>420</v>
      </c>
      <c r="V266" s="4">
        <f>+VLOOKUP(U266,'FBCJ Jul-Des 2025'!$G$10:$P$1302,8,0)</f>
        <v>70009110</v>
      </c>
      <c r="W266" s="4" t="str">
        <f>+VLOOKUP(V266,Sheet1!$A$2:$B$27,2,0)</f>
        <v>Biaya Survey dan Analisa</v>
      </c>
      <c r="X266" s="4" t="str">
        <f>+VLOOKUP(U266,'FBCJ Jul-Des 2025'!$G$10:$P$1302,9,0)</f>
        <v>P206D1SLSS</v>
      </c>
      <c r="Y266" s="2" t="s">
        <v>43</v>
      </c>
      <c r="Z266" s="2">
        <v>1557224</v>
      </c>
      <c r="AA266" s="2">
        <v>20250804</v>
      </c>
      <c r="AB266" s="3">
        <v>50000</v>
      </c>
    </row>
    <row r="267" spans="3:28" x14ac:dyDescent="0.25">
      <c r="C267" s="2">
        <v>10000001</v>
      </c>
      <c r="D267" s="2" t="s">
        <v>383</v>
      </c>
      <c r="F267" s="2">
        <v>12006539</v>
      </c>
      <c r="H267" s="2" t="s">
        <v>383</v>
      </c>
      <c r="I267" s="2" t="str">
        <f t="shared" si="4"/>
        <v>08</v>
      </c>
      <c r="J267" s="2">
        <v>50</v>
      </c>
      <c r="K267" s="3">
        <v>-50000</v>
      </c>
      <c r="L267" s="2" t="s">
        <v>26</v>
      </c>
      <c r="M267" s="3">
        <v>-50000</v>
      </c>
      <c r="N267" s="2" t="s">
        <v>26</v>
      </c>
      <c r="R267" s="2" t="s">
        <v>27</v>
      </c>
      <c r="S267" s="2" t="s">
        <v>409</v>
      </c>
      <c r="T267" s="2" t="s">
        <v>45</v>
      </c>
      <c r="U267" s="2" t="s">
        <v>421</v>
      </c>
      <c r="V267" s="4">
        <f>+VLOOKUP(U267,'FBCJ Jul-Des 2025'!$G$10:$P$1302,8,0)</f>
        <v>70009110</v>
      </c>
      <c r="W267" s="4" t="str">
        <f>+VLOOKUP(V267,Sheet1!$A$2:$B$27,2,0)</f>
        <v>Biaya Survey dan Analisa</v>
      </c>
      <c r="X267" s="4" t="str">
        <f>+VLOOKUP(U267,'FBCJ Jul-Des 2025'!$G$10:$P$1302,9,0)</f>
        <v>P206D1SLSS</v>
      </c>
      <c r="Y267" s="2" t="s">
        <v>43</v>
      </c>
      <c r="Z267" s="2">
        <v>1557224</v>
      </c>
      <c r="AA267" s="2">
        <v>20250804</v>
      </c>
      <c r="AB267" s="3">
        <v>50000</v>
      </c>
    </row>
    <row r="268" spans="3:28" x14ac:dyDescent="0.25">
      <c r="C268" s="2">
        <v>10000001</v>
      </c>
      <c r="D268" s="2" t="s">
        <v>383</v>
      </c>
      <c r="F268" s="2">
        <v>12006540</v>
      </c>
      <c r="H268" s="2" t="s">
        <v>383</v>
      </c>
      <c r="I268" s="2" t="str">
        <f t="shared" si="4"/>
        <v>08</v>
      </c>
      <c r="J268" s="2">
        <v>50</v>
      </c>
      <c r="K268" s="3">
        <v>-50000</v>
      </c>
      <c r="L268" s="2" t="s">
        <v>26</v>
      </c>
      <c r="M268" s="3">
        <v>-50000</v>
      </c>
      <c r="N268" s="2" t="s">
        <v>26</v>
      </c>
      <c r="R268" s="2" t="s">
        <v>27</v>
      </c>
      <c r="S268" s="2" t="s">
        <v>386</v>
      </c>
      <c r="T268" s="2" t="s">
        <v>45</v>
      </c>
      <c r="U268" s="2" t="s">
        <v>422</v>
      </c>
      <c r="V268" s="4">
        <f>+VLOOKUP(U268,'FBCJ Jul-Des 2025'!$G$10:$P$1302,8,0)</f>
        <v>70009110</v>
      </c>
      <c r="W268" s="4" t="str">
        <f>+VLOOKUP(V268,Sheet1!$A$2:$B$27,2,0)</f>
        <v>Biaya Survey dan Analisa</v>
      </c>
      <c r="X268" s="4" t="str">
        <f>+VLOOKUP(U268,'FBCJ Jul-Des 2025'!$G$10:$P$1302,9,0)</f>
        <v>P206D1SLSS</v>
      </c>
      <c r="Y268" s="2" t="s">
        <v>43</v>
      </c>
      <c r="Z268" s="2">
        <v>1557224</v>
      </c>
      <c r="AA268" s="2">
        <v>20250804</v>
      </c>
      <c r="AB268" s="3">
        <v>50000</v>
      </c>
    </row>
    <row r="269" spans="3:28" x14ac:dyDescent="0.25">
      <c r="C269" s="2">
        <v>10000001</v>
      </c>
      <c r="D269" s="2" t="s">
        <v>383</v>
      </c>
      <c r="F269" s="2">
        <v>12006541</v>
      </c>
      <c r="H269" s="2" t="s">
        <v>383</v>
      </c>
      <c r="I269" s="2" t="str">
        <f t="shared" si="4"/>
        <v>08</v>
      </c>
      <c r="J269" s="2">
        <v>50</v>
      </c>
      <c r="K269" s="3">
        <v>-50000</v>
      </c>
      <c r="L269" s="2" t="s">
        <v>26</v>
      </c>
      <c r="M269" s="3">
        <v>-50000</v>
      </c>
      <c r="N269" s="2" t="s">
        <v>26</v>
      </c>
      <c r="R269" s="2" t="s">
        <v>27</v>
      </c>
      <c r="S269" s="2" t="s">
        <v>386</v>
      </c>
      <c r="T269" s="2" t="s">
        <v>45</v>
      </c>
      <c r="U269" s="2" t="s">
        <v>422</v>
      </c>
      <c r="V269" s="4">
        <f>+VLOOKUP(U269,'FBCJ Jul-Des 2025'!$G$10:$P$1302,8,0)</f>
        <v>70009110</v>
      </c>
      <c r="W269" s="4" t="str">
        <f>+VLOOKUP(V269,Sheet1!$A$2:$B$27,2,0)</f>
        <v>Biaya Survey dan Analisa</v>
      </c>
      <c r="X269" s="4" t="str">
        <f>+VLOOKUP(U269,'FBCJ Jul-Des 2025'!$G$10:$P$1302,9,0)</f>
        <v>P206D1SLSS</v>
      </c>
      <c r="Y269" s="2" t="s">
        <v>43</v>
      </c>
      <c r="Z269" s="2">
        <v>1557224</v>
      </c>
      <c r="AA269" s="2">
        <v>20250804</v>
      </c>
      <c r="AB269" s="3">
        <v>50000</v>
      </c>
    </row>
    <row r="270" spans="3:28" x14ac:dyDescent="0.25">
      <c r="C270" s="2">
        <v>10000001</v>
      </c>
      <c r="D270" s="2" t="s">
        <v>383</v>
      </c>
      <c r="F270" s="2">
        <v>12006542</v>
      </c>
      <c r="H270" s="2" t="s">
        <v>383</v>
      </c>
      <c r="I270" s="2" t="str">
        <f t="shared" si="4"/>
        <v>08</v>
      </c>
      <c r="J270" s="2">
        <v>50</v>
      </c>
      <c r="K270" s="3">
        <v>-50000</v>
      </c>
      <c r="L270" s="2" t="s">
        <v>26</v>
      </c>
      <c r="M270" s="3">
        <v>-50000</v>
      </c>
      <c r="N270" s="2" t="s">
        <v>26</v>
      </c>
      <c r="R270" s="2" t="s">
        <v>27</v>
      </c>
      <c r="S270" s="2" t="s">
        <v>423</v>
      </c>
      <c r="T270" s="2" t="s">
        <v>45</v>
      </c>
      <c r="U270" s="2" t="s">
        <v>424</v>
      </c>
      <c r="V270" s="4">
        <f>+VLOOKUP(U270,'FBCJ Jul-Des 2025'!$G$10:$P$1302,8,0)</f>
        <v>70009110</v>
      </c>
      <c r="W270" s="4" t="str">
        <f>+VLOOKUP(V270,Sheet1!$A$2:$B$27,2,0)</f>
        <v>Biaya Survey dan Analisa</v>
      </c>
      <c r="X270" s="4" t="str">
        <f>+VLOOKUP(U270,'FBCJ Jul-Des 2025'!$G$10:$P$1302,9,0)</f>
        <v>P206D1SLSS</v>
      </c>
      <c r="Y270" s="2" t="s">
        <v>43</v>
      </c>
      <c r="Z270" s="2">
        <v>1557224</v>
      </c>
      <c r="AA270" s="2">
        <v>20250804</v>
      </c>
      <c r="AB270" s="3">
        <v>50000</v>
      </c>
    </row>
    <row r="271" spans="3:28" x14ac:dyDescent="0.25">
      <c r="C271" s="2">
        <v>10000001</v>
      </c>
      <c r="D271" s="2" t="s">
        <v>383</v>
      </c>
      <c r="F271" s="2">
        <v>12006543</v>
      </c>
      <c r="H271" s="2" t="s">
        <v>383</v>
      </c>
      <c r="I271" s="2" t="str">
        <f t="shared" si="4"/>
        <v>08</v>
      </c>
      <c r="J271" s="2">
        <v>50</v>
      </c>
      <c r="K271" s="3">
        <v>-50000</v>
      </c>
      <c r="L271" s="2" t="s">
        <v>26</v>
      </c>
      <c r="M271" s="3">
        <v>-50000</v>
      </c>
      <c r="N271" s="2" t="s">
        <v>26</v>
      </c>
      <c r="R271" s="2" t="s">
        <v>27</v>
      </c>
      <c r="S271" s="2" t="s">
        <v>423</v>
      </c>
      <c r="T271" s="2" t="s">
        <v>45</v>
      </c>
      <c r="U271" s="2" t="s">
        <v>425</v>
      </c>
      <c r="V271" s="4">
        <f>+VLOOKUP(U271,'FBCJ Jul-Des 2025'!$G$10:$P$1302,8,0)</f>
        <v>70009110</v>
      </c>
      <c r="W271" s="4" t="str">
        <f>+VLOOKUP(V271,Sheet1!$A$2:$B$27,2,0)</f>
        <v>Biaya Survey dan Analisa</v>
      </c>
      <c r="X271" s="4" t="str">
        <f>+VLOOKUP(U271,'FBCJ Jul-Des 2025'!$G$10:$P$1302,9,0)</f>
        <v>P206D1SLSC</v>
      </c>
      <c r="Y271" s="2" t="s">
        <v>43</v>
      </c>
      <c r="Z271" s="2">
        <v>1557224</v>
      </c>
      <c r="AA271" s="2">
        <v>20250804</v>
      </c>
      <c r="AB271" s="3">
        <v>50000</v>
      </c>
    </row>
    <row r="272" spans="3:28" x14ac:dyDescent="0.25">
      <c r="C272" s="2">
        <v>10000001</v>
      </c>
      <c r="D272" s="2" t="s">
        <v>383</v>
      </c>
      <c r="F272" s="2">
        <v>12006544</v>
      </c>
      <c r="H272" s="2" t="s">
        <v>383</v>
      </c>
      <c r="I272" s="2" t="str">
        <f t="shared" si="4"/>
        <v>08</v>
      </c>
      <c r="J272" s="2">
        <v>50</v>
      </c>
      <c r="K272" s="3">
        <v>-50000</v>
      </c>
      <c r="L272" s="2" t="s">
        <v>26</v>
      </c>
      <c r="M272" s="3">
        <v>-50000</v>
      </c>
      <c r="N272" s="2" t="s">
        <v>26</v>
      </c>
      <c r="R272" s="2" t="s">
        <v>27</v>
      </c>
      <c r="S272" s="2" t="s">
        <v>423</v>
      </c>
      <c r="T272" s="2" t="s">
        <v>45</v>
      </c>
      <c r="U272" s="2" t="s">
        <v>426</v>
      </c>
      <c r="V272" s="4">
        <f>+VLOOKUP(U272,'FBCJ Jul-Des 2025'!$G$10:$P$1302,8,0)</f>
        <v>70009110</v>
      </c>
      <c r="W272" s="4" t="str">
        <f>+VLOOKUP(V272,Sheet1!$A$2:$B$27,2,0)</f>
        <v>Biaya Survey dan Analisa</v>
      </c>
      <c r="X272" s="4" t="str">
        <f>+VLOOKUP(U272,'FBCJ Jul-Des 2025'!$G$10:$P$1302,9,0)</f>
        <v>P206D1SLSS</v>
      </c>
      <c r="Y272" s="2" t="s">
        <v>43</v>
      </c>
      <c r="Z272" s="2">
        <v>1557224</v>
      </c>
      <c r="AA272" s="2">
        <v>20250804</v>
      </c>
      <c r="AB272" s="3">
        <v>50000</v>
      </c>
    </row>
    <row r="273" spans="3:28" x14ac:dyDescent="0.25">
      <c r="C273" s="2">
        <v>10000001</v>
      </c>
      <c r="D273" s="2" t="s">
        <v>383</v>
      </c>
      <c r="F273" s="2">
        <v>12006545</v>
      </c>
      <c r="H273" s="2" t="s">
        <v>383</v>
      </c>
      <c r="I273" s="2" t="str">
        <f t="shared" si="4"/>
        <v>08</v>
      </c>
      <c r="J273" s="2">
        <v>50</v>
      </c>
      <c r="K273" s="3">
        <v>-50000</v>
      </c>
      <c r="L273" s="2" t="s">
        <v>26</v>
      </c>
      <c r="M273" s="3">
        <v>-50000</v>
      </c>
      <c r="N273" s="2" t="s">
        <v>26</v>
      </c>
      <c r="R273" s="2" t="s">
        <v>27</v>
      </c>
      <c r="S273" s="2" t="s">
        <v>423</v>
      </c>
      <c r="T273" s="2" t="s">
        <v>45</v>
      </c>
      <c r="U273" s="2" t="s">
        <v>427</v>
      </c>
      <c r="V273" s="4">
        <f>+VLOOKUP(U273,'FBCJ Jul-Des 2025'!$G$10:$P$1302,8,0)</f>
        <v>70009110</v>
      </c>
      <c r="W273" s="4" t="str">
        <f>+VLOOKUP(V273,Sheet1!$A$2:$B$27,2,0)</f>
        <v>Biaya Survey dan Analisa</v>
      </c>
      <c r="X273" s="4" t="str">
        <f>+VLOOKUP(U273,'FBCJ Jul-Des 2025'!$G$10:$P$1302,9,0)</f>
        <v>P206D1SLSS</v>
      </c>
      <c r="Y273" s="2" t="s">
        <v>43</v>
      </c>
      <c r="Z273" s="2">
        <v>1557224</v>
      </c>
      <c r="AA273" s="2">
        <v>20250804</v>
      </c>
      <c r="AB273" s="3">
        <v>50000</v>
      </c>
    </row>
    <row r="274" spans="3:28" x14ac:dyDescent="0.25">
      <c r="C274" s="2">
        <v>10000001</v>
      </c>
      <c r="D274" s="2" t="s">
        <v>383</v>
      </c>
      <c r="F274" s="2">
        <v>12006546</v>
      </c>
      <c r="H274" s="2" t="s">
        <v>383</v>
      </c>
      <c r="I274" s="2" t="str">
        <f t="shared" si="4"/>
        <v>08</v>
      </c>
      <c r="J274" s="2">
        <v>50</v>
      </c>
      <c r="K274" s="3">
        <v>-50000</v>
      </c>
      <c r="L274" s="2" t="s">
        <v>26</v>
      </c>
      <c r="M274" s="3">
        <v>-50000</v>
      </c>
      <c r="N274" s="2" t="s">
        <v>26</v>
      </c>
      <c r="R274" s="2" t="s">
        <v>27</v>
      </c>
      <c r="S274" s="2" t="s">
        <v>428</v>
      </c>
      <c r="T274" s="2" t="s">
        <v>45</v>
      </c>
      <c r="U274" s="2" t="s">
        <v>429</v>
      </c>
      <c r="V274" s="4">
        <f>+VLOOKUP(U274,'FBCJ Jul-Des 2025'!$G$10:$P$1302,8,0)</f>
        <v>70009110</v>
      </c>
      <c r="W274" s="4" t="str">
        <f>+VLOOKUP(V274,Sheet1!$A$2:$B$27,2,0)</f>
        <v>Biaya Survey dan Analisa</v>
      </c>
      <c r="X274" s="4" t="str">
        <f>+VLOOKUP(U274,'FBCJ Jul-Des 2025'!$G$10:$P$1302,9,0)</f>
        <v>P206D1SLSS</v>
      </c>
      <c r="Y274" s="2" t="s">
        <v>43</v>
      </c>
      <c r="Z274" s="2">
        <v>1557224</v>
      </c>
      <c r="AA274" s="2">
        <v>20250804</v>
      </c>
      <c r="AB274" s="3">
        <v>50000</v>
      </c>
    </row>
    <row r="275" spans="3:28" x14ac:dyDescent="0.25">
      <c r="C275" s="2">
        <v>10000001</v>
      </c>
      <c r="D275" s="2" t="s">
        <v>383</v>
      </c>
      <c r="F275" s="2">
        <v>12006547</v>
      </c>
      <c r="H275" s="2" t="s">
        <v>383</v>
      </c>
      <c r="I275" s="2" t="str">
        <f t="shared" si="4"/>
        <v>08</v>
      </c>
      <c r="J275" s="2">
        <v>50</v>
      </c>
      <c r="K275" s="3">
        <v>-50000</v>
      </c>
      <c r="L275" s="2" t="s">
        <v>26</v>
      </c>
      <c r="M275" s="3">
        <v>-50000</v>
      </c>
      <c r="N275" s="2" t="s">
        <v>26</v>
      </c>
      <c r="R275" s="2" t="s">
        <v>27</v>
      </c>
      <c r="S275" s="2" t="s">
        <v>428</v>
      </c>
      <c r="T275" s="2" t="s">
        <v>45</v>
      </c>
      <c r="U275" s="2" t="s">
        <v>430</v>
      </c>
      <c r="V275" s="4">
        <f>+VLOOKUP(U275,'FBCJ Jul-Des 2025'!$G$10:$P$1302,8,0)</f>
        <v>70009110</v>
      </c>
      <c r="W275" s="4" t="str">
        <f>+VLOOKUP(V275,Sheet1!$A$2:$B$27,2,0)</f>
        <v>Biaya Survey dan Analisa</v>
      </c>
      <c r="X275" s="4" t="str">
        <f>+VLOOKUP(U275,'FBCJ Jul-Des 2025'!$G$10:$P$1302,9,0)</f>
        <v>P206D1SLSS</v>
      </c>
      <c r="Y275" s="2" t="s">
        <v>43</v>
      </c>
      <c r="Z275" s="2">
        <v>1557224</v>
      </c>
      <c r="AA275" s="2">
        <v>20250804</v>
      </c>
      <c r="AB275" s="3">
        <v>50000</v>
      </c>
    </row>
    <row r="276" spans="3:28" x14ac:dyDescent="0.25">
      <c r="C276" s="2">
        <v>10000001</v>
      </c>
      <c r="D276" s="2" t="s">
        <v>383</v>
      </c>
      <c r="F276" s="2">
        <v>12006548</v>
      </c>
      <c r="H276" s="2" t="s">
        <v>383</v>
      </c>
      <c r="I276" s="2" t="str">
        <f t="shared" si="4"/>
        <v>08</v>
      </c>
      <c r="J276" s="2">
        <v>50</v>
      </c>
      <c r="K276" s="3">
        <v>-50000</v>
      </c>
      <c r="L276" s="2" t="s">
        <v>26</v>
      </c>
      <c r="M276" s="3">
        <v>-50000</v>
      </c>
      <c r="N276" s="2" t="s">
        <v>26</v>
      </c>
      <c r="R276" s="2" t="s">
        <v>27</v>
      </c>
      <c r="S276" s="2" t="s">
        <v>431</v>
      </c>
      <c r="T276" s="2" t="s">
        <v>45</v>
      </c>
      <c r="U276" s="2" t="s">
        <v>432</v>
      </c>
      <c r="V276" s="4">
        <f>+VLOOKUP(U276,'FBCJ Jul-Des 2025'!$G$10:$P$1302,8,0)</f>
        <v>70009110</v>
      </c>
      <c r="W276" s="4" t="str">
        <f>+VLOOKUP(V276,Sheet1!$A$2:$B$27,2,0)</f>
        <v>Biaya Survey dan Analisa</v>
      </c>
      <c r="X276" s="4" t="str">
        <f>+VLOOKUP(U276,'FBCJ Jul-Des 2025'!$G$10:$P$1302,9,0)</f>
        <v>M204D1COMM</v>
      </c>
      <c r="Y276" s="2" t="s">
        <v>43</v>
      </c>
      <c r="Z276" s="2">
        <v>1557224</v>
      </c>
      <c r="AA276" s="2">
        <v>20250804</v>
      </c>
      <c r="AB276" s="3">
        <v>50000</v>
      </c>
    </row>
    <row r="277" spans="3:28" x14ac:dyDescent="0.25">
      <c r="C277" s="2">
        <v>10000001</v>
      </c>
      <c r="D277" s="2" t="s">
        <v>383</v>
      </c>
      <c r="F277" s="2">
        <v>12006549</v>
      </c>
      <c r="H277" s="2" t="s">
        <v>383</v>
      </c>
      <c r="I277" s="2" t="str">
        <f t="shared" si="4"/>
        <v>08</v>
      </c>
      <c r="J277" s="2">
        <v>50</v>
      </c>
      <c r="K277" s="3">
        <v>-50000</v>
      </c>
      <c r="L277" s="2" t="s">
        <v>26</v>
      </c>
      <c r="M277" s="3">
        <v>-50000</v>
      </c>
      <c r="N277" s="2" t="s">
        <v>26</v>
      </c>
      <c r="R277" s="2" t="s">
        <v>27</v>
      </c>
      <c r="S277" s="2" t="s">
        <v>431</v>
      </c>
      <c r="T277" s="2" t="s">
        <v>45</v>
      </c>
      <c r="U277" s="2" t="s">
        <v>433</v>
      </c>
      <c r="V277" s="4">
        <f>+VLOOKUP(U277,'FBCJ Jul-Des 2025'!$G$10:$P$1302,8,0)</f>
        <v>70009110</v>
      </c>
      <c r="W277" s="4" t="str">
        <f>+VLOOKUP(V277,Sheet1!$A$2:$B$27,2,0)</f>
        <v>Biaya Survey dan Analisa</v>
      </c>
      <c r="X277" s="4" t="str">
        <f>+VLOOKUP(U277,'FBCJ Jul-Des 2025'!$G$10:$P$1302,9,0)</f>
        <v>P206D1SLSS</v>
      </c>
      <c r="Y277" s="2" t="s">
        <v>43</v>
      </c>
      <c r="Z277" s="2">
        <v>1557224</v>
      </c>
      <c r="AA277" s="2">
        <v>20250804</v>
      </c>
      <c r="AB277" s="3">
        <v>50000</v>
      </c>
    </row>
    <row r="278" spans="3:28" x14ac:dyDescent="0.25">
      <c r="C278" s="2">
        <v>10000001</v>
      </c>
      <c r="D278" s="2" t="s">
        <v>383</v>
      </c>
      <c r="F278" s="2">
        <v>12006550</v>
      </c>
      <c r="H278" s="2" t="s">
        <v>383</v>
      </c>
      <c r="I278" s="2" t="str">
        <f t="shared" si="4"/>
        <v>08</v>
      </c>
      <c r="J278" s="2">
        <v>50</v>
      </c>
      <c r="K278" s="3">
        <v>-150000</v>
      </c>
      <c r="L278" s="2" t="s">
        <v>26</v>
      </c>
      <c r="M278" s="3">
        <v>-150000</v>
      </c>
      <c r="N278" s="2" t="s">
        <v>26</v>
      </c>
      <c r="R278" s="2" t="s">
        <v>27</v>
      </c>
      <c r="S278" s="2" t="s">
        <v>434</v>
      </c>
      <c r="T278" s="2" t="s">
        <v>126</v>
      </c>
      <c r="U278" s="2" t="s">
        <v>435</v>
      </c>
      <c r="V278" s="4">
        <f>+VLOOKUP(U278,'FBCJ Jul-Des 2025'!$G$10:$P$1302,8,0)</f>
        <v>70107600</v>
      </c>
      <c r="W278" s="4" t="str">
        <f>+VLOOKUP(V278,Sheet1!$A$2:$B$27,2,0)</f>
        <v>Biaya Konsumsi Kantor</v>
      </c>
      <c r="X278" s="4" t="str">
        <f>+VLOOKUP(U278,'FBCJ Jul-Des 2025'!$G$10:$P$1302,9,0)</f>
        <v>R124LOG</v>
      </c>
      <c r="Y278" s="2" t="s">
        <v>43</v>
      </c>
      <c r="Z278" s="2">
        <v>1557224</v>
      </c>
      <c r="AA278" s="2">
        <v>20250804</v>
      </c>
      <c r="AB278" s="3">
        <v>150000</v>
      </c>
    </row>
    <row r="279" spans="3:28" x14ac:dyDescent="0.25">
      <c r="C279" s="2">
        <v>10000001</v>
      </c>
      <c r="D279" s="2" t="s">
        <v>383</v>
      </c>
      <c r="F279" s="2">
        <v>12006551</v>
      </c>
      <c r="H279" s="2" t="s">
        <v>383</v>
      </c>
      <c r="I279" s="2" t="str">
        <f t="shared" si="4"/>
        <v>08</v>
      </c>
      <c r="J279" s="2">
        <v>50</v>
      </c>
      <c r="K279" s="3">
        <v>-45000</v>
      </c>
      <c r="L279" s="2" t="s">
        <v>26</v>
      </c>
      <c r="M279" s="3">
        <v>-45000</v>
      </c>
      <c r="N279" s="2" t="s">
        <v>26</v>
      </c>
      <c r="R279" s="2" t="s">
        <v>27</v>
      </c>
      <c r="S279" s="2" t="s">
        <v>436</v>
      </c>
      <c r="T279" s="2" t="s">
        <v>59</v>
      </c>
      <c r="U279" s="2" t="s">
        <v>437</v>
      </c>
      <c r="V279" s="4">
        <f>+VLOOKUP(U279,'FBCJ Jul-Des 2025'!$G$10:$P$1302,8,0)</f>
        <v>70101114</v>
      </c>
      <c r="W279" s="4" t="str">
        <f>+VLOOKUP(V279,Sheet1!$A$2:$B$27,2,0)</f>
        <v>By Perbaikan &amp; Perawatan Perabot Material Pihak3</v>
      </c>
      <c r="X279" s="4" t="str">
        <f>+VLOOKUP(U279,'FBCJ Jul-Des 2025'!$G$10:$P$1302,9,0)</f>
        <v>R124MNT</v>
      </c>
      <c r="Y279" s="2" t="s">
        <v>43</v>
      </c>
      <c r="Z279" s="2">
        <v>1557224</v>
      </c>
      <c r="AA279" s="2">
        <v>20250804</v>
      </c>
      <c r="AB279" s="3">
        <v>45000</v>
      </c>
    </row>
    <row r="280" spans="3:28" x14ac:dyDescent="0.25">
      <c r="C280" s="2">
        <v>10000001</v>
      </c>
      <c r="D280" s="2" t="s">
        <v>383</v>
      </c>
      <c r="F280" s="2">
        <v>12006552</v>
      </c>
      <c r="H280" s="2" t="s">
        <v>383</v>
      </c>
      <c r="I280" s="2" t="str">
        <f t="shared" si="4"/>
        <v>08</v>
      </c>
      <c r="J280" s="2">
        <v>50</v>
      </c>
      <c r="K280" s="3">
        <v>-600000</v>
      </c>
      <c r="L280" s="2" t="s">
        <v>26</v>
      </c>
      <c r="M280" s="3">
        <v>-600000</v>
      </c>
      <c r="N280" s="2" t="s">
        <v>26</v>
      </c>
      <c r="R280" s="2" t="s">
        <v>27</v>
      </c>
      <c r="S280" s="2" t="s">
        <v>438</v>
      </c>
      <c r="T280" s="2" t="s">
        <v>439</v>
      </c>
      <c r="U280" s="2" t="s">
        <v>440</v>
      </c>
      <c r="V280" s="4">
        <f>+VLOOKUP(U280,'FBCJ Jul-Des 2025'!$G$10:$P$1302,8,0)</f>
        <v>70107500</v>
      </c>
      <c r="W280" s="4" t="str">
        <f>+VLOOKUP(V280,Sheet1!$A$2:$B$27,2,0)</f>
        <v>Biaya Sumbangan Sosial</v>
      </c>
      <c r="X280" s="4" t="str">
        <f>+VLOOKUP(U280,'FBCJ Jul-Des 2025'!$G$10:$P$1302,9,0)</f>
        <v>R124D1PRCN</v>
      </c>
      <c r="Y280" s="2" t="s">
        <v>43</v>
      </c>
      <c r="Z280" s="2">
        <v>1557224</v>
      </c>
      <c r="AA280" s="2">
        <v>20250804</v>
      </c>
      <c r="AB280" s="3">
        <v>600000</v>
      </c>
    </row>
    <row r="281" spans="3:28" x14ac:dyDescent="0.25">
      <c r="C281" s="2">
        <v>10000001</v>
      </c>
      <c r="D281" s="2" t="s">
        <v>383</v>
      </c>
      <c r="F281" s="2">
        <v>12006553</v>
      </c>
      <c r="H281" s="2" t="s">
        <v>383</v>
      </c>
      <c r="I281" s="2" t="str">
        <f t="shared" si="4"/>
        <v>08</v>
      </c>
      <c r="J281" s="2">
        <v>50</v>
      </c>
      <c r="K281" s="3">
        <v>-600000</v>
      </c>
      <c r="L281" s="2" t="s">
        <v>26</v>
      </c>
      <c r="M281" s="3">
        <v>-600000</v>
      </c>
      <c r="N281" s="2" t="s">
        <v>26</v>
      </c>
      <c r="R281" s="2" t="s">
        <v>27</v>
      </c>
      <c r="S281" s="2" t="s">
        <v>441</v>
      </c>
      <c r="T281" s="2" t="s">
        <v>96</v>
      </c>
      <c r="U281" s="2" t="s">
        <v>442</v>
      </c>
      <c r="V281" s="4">
        <f>+VLOOKUP(U281,'FBCJ Jul-Des 2025'!$G$10:$P$1302,8,0)</f>
        <v>70106400</v>
      </c>
      <c r="W281" s="4" t="str">
        <f>+VLOOKUP(V281,Sheet1!$A$2:$B$27,2,0)</f>
        <v>Biaya Bahan Bakar</v>
      </c>
      <c r="X281" s="4" t="str">
        <f>+VLOOKUP(U281,'FBCJ Jul-Des 2025'!$G$10:$P$1302,9,0)</f>
        <v>R124D1HRGA</v>
      </c>
      <c r="Y281" s="2" t="s">
        <v>43</v>
      </c>
      <c r="Z281" s="2">
        <v>1557224</v>
      </c>
      <c r="AA281" s="2">
        <v>20250804</v>
      </c>
      <c r="AB281" s="3">
        <v>600000</v>
      </c>
    </row>
    <row r="282" spans="3:28" x14ac:dyDescent="0.25">
      <c r="C282" s="2">
        <v>10000001</v>
      </c>
      <c r="D282" s="2" t="s">
        <v>383</v>
      </c>
      <c r="F282" s="2">
        <v>12006554</v>
      </c>
      <c r="H282" s="2" t="s">
        <v>383</v>
      </c>
      <c r="I282" s="2" t="str">
        <f t="shared" si="4"/>
        <v>08</v>
      </c>
      <c r="J282" s="2">
        <v>50</v>
      </c>
      <c r="K282" s="3">
        <v>-399000</v>
      </c>
      <c r="L282" s="2" t="s">
        <v>26</v>
      </c>
      <c r="M282" s="3">
        <v>-399000</v>
      </c>
      <c r="N282" s="2" t="s">
        <v>26</v>
      </c>
      <c r="R282" s="2" t="s">
        <v>27</v>
      </c>
      <c r="S282" s="2" t="s">
        <v>441</v>
      </c>
      <c r="T282" s="2" t="s">
        <v>67</v>
      </c>
      <c r="U282" s="2" t="s">
        <v>443</v>
      </c>
      <c r="V282" s="4">
        <f>+VLOOKUP(U282,'FBCJ Jul-Des 2025'!$G$10:$P$1302,8,0)</f>
        <v>70106100</v>
      </c>
      <c r="W282" s="4" t="str">
        <f>+VLOOKUP(V282,Sheet1!$A$2:$B$27,2,0)</f>
        <v>Biaya Transportasi Lokal</v>
      </c>
      <c r="X282" s="4" t="str">
        <f>+VLOOKUP(U282,'FBCJ Jul-Des 2025'!$G$10:$P$1302,9,0)</f>
        <v>R124D1HRGA</v>
      </c>
      <c r="Y282" s="2" t="s">
        <v>43</v>
      </c>
      <c r="Z282" s="2">
        <v>1557224</v>
      </c>
      <c r="AA282" s="2">
        <v>20250804</v>
      </c>
      <c r="AB282" s="3">
        <v>399000</v>
      </c>
    </row>
    <row r="283" spans="3:28" x14ac:dyDescent="0.25">
      <c r="C283" s="2">
        <v>10000001</v>
      </c>
      <c r="D283" s="2" t="s">
        <v>383</v>
      </c>
      <c r="F283" s="2">
        <v>12006555</v>
      </c>
      <c r="H283" s="2" t="s">
        <v>383</v>
      </c>
      <c r="I283" s="2" t="str">
        <f t="shared" si="4"/>
        <v>08</v>
      </c>
      <c r="J283" s="2">
        <v>50</v>
      </c>
      <c r="K283" s="3">
        <v>-269000</v>
      </c>
      <c r="L283" s="2" t="s">
        <v>26</v>
      </c>
      <c r="M283" s="3">
        <v>-269000</v>
      </c>
      <c r="N283" s="2" t="s">
        <v>26</v>
      </c>
      <c r="R283" s="2" t="s">
        <v>27</v>
      </c>
      <c r="S283" s="2" t="s">
        <v>444</v>
      </c>
      <c r="T283" s="2" t="s">
        <v>57</v>
      </c>
      <c r="U283" s="2" t="s">
        <v>445</v>
      </c>
      <c r="V283" s="4">
        <f>+VLOOKUP(U283,'FBCJ Jul-Des 2025'!$G$10:$P$1302,8,0)</f>
        <v>70101202</v>
      </c>
      <c r="W283" s="4" t="str">
        <f>+VLOOKUP(V283,Sheet1!$A$2:$B$27,2,0)</f>
        <v>By Pemeliharaan Kend,ABerat,Mesin-Material Pihak3</v>
      </c>
      <c r="X283" s="4" t="str">
        <f>+VLOOKUP(U283,'FBCJ Jul-Des 2025'!$G$10:$P$1302,9,0)</f>
        <v>R124D1FRCO</v>
      </c>
      <c r="Y283" s="2" t="s">
        <v>43</v>
      </c>
      <c r="Z283" s="2">
        <v>1557224</v>
      </c>
      <c r="AA283" s="2">
        <v>20250804</v>
      </c>
      <c r="AB283" s="3">
        <v>269000</v>
      </c>
    </row>
    <row r="284" spans="3:28" x14ac:dyDescent="0.25">
      <c r="C284" s="2">
        <v>10000001</v>
      </c>
      <c r="D284" s="2" t="s">
        <v>383</v>
      </c>
      <c r="F284" s="2">
        <v>12006556</v>
      </c>
      <c r="H284" s="2" t="s">
        <v>383</v>
      </c>
      <c r="I284" s="2" t="str">
        <f t="shared" si="4"/>
        <v>08</v>
      </c>
      <c r="J284" s="2">
        <v>50</v>
      </c>
      <c r="K284" s="3">
        <v>-25000</v>
      </c>
      <c r="L284" s="2" t="s">
        <v>26</v>
      </c>
      <c r="M284" s="3">
        <v>-25000</v>
      </c>
      <c r="N284" s="2" t="s">
        <v>26</v>
      </c>
      <c r="R284" s="2" t="s">
        <v>27</v>
      </c>
      <c r="S284" s="2" t="s">
        <v>446</v>
      </c>
      <c r="T284" s="2" t="s">
        <v>126</v>
      </c>
      <c r="U284" s="2" t="s">
        <v>447</v>
      </c>
      <c r="V284" s="4">
        <f>+VLOOKUP(U284,'FBCJ Jul-Des 2025'!$G$10:$P$1302,8,0)</f>
        <v>70107600</v>
      </c>
      <c r="W284" s="4" t="str">
        <f>+VLOOKUP(V284,Sheet1!$A$2:$B$27,2,0)</f>
        <v>Biaya Konsumsi Kantor</v>
      </c>
      <c r="X284" s="4" t="str">
        <f>+VLOOKUP(U284,'FBCJ Jul-Des 2025'!$G$10:$P$1302,9,0)</f>
        <v>R124MNT</v>
      </c>
      <c r="Y284" s="2" t="s">
        <v>43</v>
      </c>
      <c r="Z284" s="2">
        <v>1557224</v>
      </c>
      <c r="AA284" s="2">
        <v>20250804</v>
      </c>
      <c r="AB284" s="3">
        <v>25000</v>
      </c>
    </row>
    <row r="285" spans="3:28" x14ac:dyDescent="0.25">
      <c r="C285" s="2">
        <v>10000001</v>
      </c>
      <c r="D285" s="2" t="s">
        <v>383</v>
      </c>
      <c r="F285" s="2">
        <v>12006557</v>
      </c>
      <c r="H285" s="2" t="s">
        <v>383</v>
      </c>
      <c r="I285" s="2" t="str">
        <f t="shared" si="4"/>
        <v>08</v>
      </c>
      <c r="J285" s="2">
        <v>50</v>
      </c>
      <c r="K285" s="3">
        <v>-988500</v>
      </c>
      <c r="L285" s="2" t="s">
        <v>26</v>
      </c>
      <c r="M285" s="3">
        <v>-988500</v>
      </c>
      <c r="N285" s="2" t="s">
        <v>26</v>
      </c>
      <c r="R285" s="2" t="s">
        <v>27</v>
      </c>
      <c r="S285" s="2" t="s">
        <v>448</v>
      </c>
      <c r="T285" s="2" t="s">
        <v>59</v>
      </c>
      <c r="U285" s="2" t="s">
        <v>449</v>
      </c>
      <c r="V285" s="4">
        <f>+VLOOKUP(U285,'FBCJ Jul-Des 2025'!$G$10:$P$1302,8,0)</f>
        <v>70101114</v>
      </c>
      <c r="W285" s="4" t="str">
        <f>+VLOOKUP(V285,Sheet1!$A$2:$B$27,2,0)</f>
        <v>By Perbaikan &amp; Perawatan Perabot Material Pihak3</v>
      </c>
      <c r="X285" s="4" t="str">
        <f>+VLOOKUP(U285,'FBCJ Jul-Des 2025'!$G$10:$P$1302,9,0)</f>
        <v>R124D1HRGA</v>
      </c>
      <c r="Y285" s="2" t="s">
        <v>43</v>
      </c>
      <c r="Z285" s="2">
        <v>1557224</v>
      </c>
      <c r="AA285" s="2">
        <v>20250804</v>
      </c>
      <c r="AB285" s="3">
        <v>988500</v>
      </c>
    </row>
    <row r="286" spans="3:28" x14ac:dyDescent="0.25">
      <c r="C286" s="2">
        <v>10000001</v>
      </c>
      <c r="D286" s="2" t="s">
        <v>382</v>
      </c>
      <c r="F286" s="2">
        <v>12006558</v>
      </c>
      <c r="H286" s="2" t="s">
        <v>382</v>
      </c>
      <c r="I286" s="2" t="str">
        <f t="shared" si="4"/>
        <v>08</v>
      </c>
      <c r="J286" s="2">
        <v>50</v>
      </c>
      <c r="K286" s="3">
        <v>-166300</v>
      </c>
      <c r="L286" s="2" t="s">
        <v>26</v>
      </c>
      <c r="M286" s="3">
        <v>-166300</v>
      </c>
      <c r="N286" s="2" t="s">
        <v>26</v>
      </c>
      <c r="R286" s="2" t="s">
        <v>27</v>
      </c>
      <c r="S286" s="2" t="s">
        <v>450</v>
      </c>
      <c r="T286" s="2" t="s">
        <v>129</v>
      </c>
      <c r="U286" s="2" t="s">
        <v>451</v>
      </c>
      <c r="V286" s="4">
        <f>+VLOOKUP(U286,'FBCJ Jul-Des 2025'!$G$10:$P$1302,8,0)</f>
        <v>70101102</v>
      </c>
      <c r="W286" s="4" t="str">
        <f>+VLOOKUP(V286,Sheet1!$A$2:$B$27,2,0)</f>
        <v>By Pemeliharaan BgnanPrasarana Material Pihak3</v>
      </c>
      <c r="X286" s="4" t="str">
        <f>+VLOOKUP(U286,'FBCJ Jul-Des 2025'!$G$10:$P$1302,9,0)</f>
        <v>R124WHFSB</v>
      </c>
      <c r="Y286" s="2" t="s">
        <v>43</v>
      </c>
      <c r="Z286" s="2">
        <v>1557224</v>
      </c>
      <c r="AA286" s="2">
        <v>20250805</v>
      </c>
      <c r="AB286" s="3">
        <v>166300</v>
      </c>
    </row>
    <row r="287" spans="3:28" x14ac:dyDescent="0.25">
      <c r="C287" s="2">
        <v>10000001</v>
      </c>
      <c r="D287" s="2" t="s">
        <v>382</v>
      </c>
      <c r="F287" s="2">
        <v>12006559</v>
      </c>
      <c r="H287" s="2" t="s">
        <v>382</v>
      </c>
      <c r="I287" s="2" t="str">
        <f t="shared" si="4"/>
        <v>08</v>
      </c>
      <c r="J287" s="2">
        <v>50</v>
      </c>
      <c r="K287" s="3">
        <v>-220000</v>
      </c>
      <c r="L287" s="2" t="s">
        <v>26</v>
      </c>
      <c r="M287" s="3">
        <v>-220000</v>
      </c>
      <c r="N287" s="2" t="s">
        <v>26</v>
      </c>
      <c r="R287" s="2" t="s">
        <v>27</v>
      </c>
      <c r="S287" s="2" t="s">
        <v>450</v>
      </c>
      <c r="T287" s="2" t="s">
        <v>59</v>
      </c>
      <c r="U287" s="2" t="s">
        <v>452</v>
      </c>
      <c r="V287" s="4">
        <f>+VLOOKUP(U287,'FBCJ Jul-Des 2025'!$G$10:$P$1302,8,0)</f>
        <v>70101114</v>
      </c>
      <c r="W287" s="4" t="str">
        <f>+VLOOKUP(V287,Sheet1!$A$2:$B$27,2,0)</f>
        <v>By Perbaikan &amp; Perawatan Perabot Material Pihak3</v>
      </c>
      <c r="X287" s="4" t="str">
        <f>+VLOOKUP(U287,'FBCJ Jul-Des 2025'!$G$10:$P$1302,9,0)</f>
        <v>R124WHFSB</v>
      </c>
      <c r="Y287" s="2" t="s">
        <v>43</v>
      </c>
      <c r="Z287" s="2">
        <v>1557224</v>
      </c>
      <c r="AA287" s="2">
        <v>20250805</v>
      </c>
      <c r="AB287" s="3">
        <v>220000</v>
      </c>
    </row>
    <row r="288" spans="3:28" x14ac:dyDescent="0.25">
      <c r="C288" s="2">
        <v>10000001</v>
      </c>
      <c r="D288" s="2" t="s">
        <v>453</v>
      </c>
      <c r="F288" s="2">
        <v>12006560</v>
      </c>
      <c r="H288" s="2" t="s">
        <v>453</v>
      </c>
      <c r="I288" s="2" t="str">
        <f t="shared" si="4"/>
        <v>08</v>
      </c>
      <c r="J288" s="2">
        <v>50</v>
      </c>
      <c r="K288" s="3">
        <v>-50000</v>
      </c>
      <c r="L288" s="2" t="s">
        <v>26</v>
      </c>
      <c r="M288" s="3">
        <v>-50000</v>
      </c>
      <c r="N288" s="2" t="s">
        <v>26</v>
      </c>
      <c r="R288" s="2" t="s">
        <v>27</v>
      </c>
      <c r="S288" s="2" t="s">
        <v>454</v>
      </c>
      <c r="T288" s="2" t="s">
        <v>45</v>
      </c>
      <c r="U288" s="2" t="s">
        <v>455</v>
      </c>
      <c r="V288" s="4">
        <f>+VLOOKUP(U288,'FBCJ Jul-Des 2025'!$G$10:$P$1302,8,0)</f>
        <v>70009110</v>
      </c>
      <c r="W288" s="4" t="str">
        <f>+VLOOKUP(V288,Sheet1!$A$2:$B$27,2,0)</f>
        <v>Biaya Survey dan Analisa</v>
      </c>
      <c r="X288" s="4" t="str">
        <f>+VLOOKUP(U288,'FBCJ Jul-Des 2025'!$G$10:$P$1302,9,0)</f>
        <v>M204D1COMM</v>
      </c>
      <c r="Y288" s="2" t="s">
        <v>43</v>
      </c>
      <c r="Z288" s="2">
        <v>1557224</v>
      </c>
      <c r="AA288" s="2">
        <v>20250806</v>
      </c>
      <c r="AB288" s="3">
        <v>50000</v>
      </c>
    </row>
    <row r="289" spans="3:28" x14ac:dyDescent="0.25">
      <c r="C289" s="2">
        <v>10000001</v>
      </c>
      <c r="D289" s="2" t="s">
        <v>453</v>
      </c>
      <c r="F289" s="2">
        <v>12006561</v>
      </c>
      <c r="H289" s="2" t="s">
        <v>453</v>
      </c>
      <c r="I289" s="2" t="str">
        <f t="shared" si="4"/>
        <v>08</v>
      </c>
      <c r="J289" s="2">
        <v>50</v>
      </c>
      <c r="K289" s="3">
        <v>-50000</v>
      </c>
      <c r="L289" s="2" t="s">
        <v>26</v>
      </c>
      <c r="M289" s="3">
        <v>-50000</v>
      </c>
      <c r="N289" s="2" t="s">
        <v>26</v>
      </c>
      <c r="R289" s="2" t="s">
        <v>27</v>
      </c>
      <c r="S289" s="2" t="s">
        <v>454</v>
      </c>
      <c r="T289" s="2" t="s">
        <v>45</v>
      </c>
      <c r="U289" s="2" t="s">
        <v>456</v>
      </c>
      <c r="V289" s="4">
        <f>+VLOOKUP(U289,'FBCJ Jul-Des 2025'!$G$10:$P$1302,8,0)</f>
        <v>70009110</v>
      </c>
      <c r="W289" s="4" t="str">
        <f>+VLOOKUP(V289,Sheet1!$A$2:$B$27,2,0)</f>
        <v>Biaya Survey dan Analisa</v>
      </c>
      <c r="X289" s="4" t="str">
        <f>+VLOOKUP(U289,'FBCJ Jul-Des 2025'!$G$10:$P$1302,9,0)</f>
        <v>M204D1COMM</v>
      </c>
      <c r="Y289" s="2" t="s">
        <v>43</v>
      </c>
      <c r="Z289" s="2">
        <v>1557224</v>
      </c>
      <c r="AA289" s="2">
        <v>20250806</v>
      </c>
      <c r="AB289" s="3">
        <v>50000</v>
      </c>
    </row>
    <row r="290" spans="3:28" x14ac:dyDescent="0.25">
      <c r="C290" s="2">
        <v>10000001</v>
      </c>
      <c r="D290" s="2" t="s">
        <v>453</v>
      </c>
      <c r="F290" s="2">
        <v>12006562</v>
      </c>
      <c r="H290" s="2" t="s">
        <v>453</v>
      </c>
      <c r="I290" s="2" t="str">
        <f t="shared" si="4"/>
        <v>08</v>
      </c>
      <c r="J290" s="2">
        <v>50</v>
      </c>
      <c r="K290" s="3">
        <v>-2000</v>
      </c>
      <c r="L290" s="2" t="s">
        <v>26</v>
      </c>
      <c r="M290" s="3">
        <v>-2000</v>
      </c>
      <c r="N290" s="2" t="s">
        <v>26</v>
      </c>
      <c r="R290" s="2" t="s">
        <v>27</v>
      </c>
      <c r="S290" s="2" t="s">
        <v>454</v>
      </c>
      <c r="T290" s="2" t="s">
        <v>334</v>
      </c>
      <c r="U290" s="2" t="s">
        <v>457</v>
      </c>
      <c r="V290" s="4">
        <f>+VLOOKUP(U290,'FBCJ Jul-Des 2025'!$G$10:$P$1302,8,0)</f>
        <v>70001110</v>
      </c>
      <c r="W290" s="4" t="str">
        <f>+VLOOKUP(V290,Sheet1!$A$2:$B$27,2,0)</f>
        <v>Biaya Ekspor lainnya</v>
      </c>
      <c r="X290" s="4" t="str">
        <f>+VLOOKUP(U290,'FBCJ Jul-Des 2025'!$G$10:$P$1302,9,0)</f>
        <v>M204D1COMM</v>
      </c>
      <c r="Y290" s="2" t="s">
        <v>43</v>
      </c>
      <c r="Z290" s="2">
        <v>1557224</v>
      </c>
      <c r="AA290" s="2">
        <v>20250806</v>
      </c>
      <c r="AB290" s="3">
        <v>2000</v>
      </c>
    </row>
    <row r="291" spans="3:28" x14ac:dyDescent="0.25">
      <c r="C291" s="2">
        <v>10000001</v>
      </c>
      <c r="D291" s="2" t="s">
        <v>453</v>
      </c>
      <c r="F291" s="2">
        <v>12006563</v>
      </c>
      <c r="H291" s="2" t="s">
        <v>453</v>
      </c>
      <c r="I291" s="2" t="str">
        <f t="shared" si="4"/>
        <v>08</v>
      </c>
      <c r="J291" s="2">
        <v>50</v>
      </c>
      <c r="K291" s="3">
        <v>-3000</v>
      </c>
      <c r="L291" s="2" t="s">
        <v>26</v>
      </c>
      <c r="M291" s="3">
        <v>-3000</v>
      </c>
      <c r="N291" s="2" t="s">
        <v>26</v>
      </c>
      <c r="R291" s="2" t="s">
        <v>27</v>
      </c>
      <c r="S291" s="2" t="s">
        <v>454</v>
      </c>
      <c r="T291" s="2" t="s">
        <v>334</v>
      </c>
      <c r="U291" s="2" t="s">
        <v>458</v>
      </c>
      <c r="V291" s="4">
        <f>+VLOOKUP(U291,'FBCJ Jul-Des 2025'!$G$10:$P$1302,8,0)</f>
        <v>70001110</v>
      </c>
      <c r="W291" s="4" t="str">
        <f>+VLOOKUP(V291,Sheet1!$A$2:$B$27,2,0)</f>
        <v>Biaya Ekspor lainnya</v>
      </c>
      <c r="X291" s="4" t="str">
        <f>+VLOOKUP(U291,'FBCJ Jul-Des 2025'!$G$10:$P$1302,9,0)</f>
        <v>M204D1COMM</v>
      </c>
      <c r="Y291" s="2" t="s">
        <v>43</v>
      </c>
      <c r="Z291" s="2">
        <v>1557224</v>
      </c>
      <c r="AA291" s="2">
        <v>20250806</v>
      </c>
      <c r="AB291" s="3">
        <v>3000</v>
      </c>
    </row>
    <row r="292" spans="3:28" x14ac:dyDescent="0.25">
      <c r="C292" s="2">
        <v>10000001</v>
      </c>
      <c r="D292" s="2" t="s">
        <v>453</v>
      </c>
      <c r="F292" s="2">
        <v>12006564</v>
      </c>
      <c r="H292" s="2" t="s">
        <v>453</v>
      </c>
      <c r="I292" s="2" t="str">
        <f t="shared" si="4"/>
        <v>08</v>
      </c>
      <c r="J292" s="2">
        <v>50</v>
      </c>
      <c r="K292" s="3">
        <v>-500000</v>
      </c>
      <c r="L292" s="2" t="s">
        <v>26</v>
      </c>
      <c r="M292" s="3">
        <v>-500000</v>
      </c>
      <c r="N292" s="2" t="s">
        <v>26</v>
      </c>
      <c r="R292" s="2" t="s">
        <v>27</v>
      </c>
      <c r="S292" s="2" t="s">
        <v>459</v>
      </c>
      <c r="T292" s="2" t="s">
        <v>41</v>
      </c>
      <c r="U292" s="2" t="s">
        <v>460</v>
      </c>
      <c r="V292" s="4">
        <f>+VLOOKUP(U292,'FBCJ Jul-Des 2025'!$G$10:$P$1302,8,0)</f>
        <v>70107300</v>
      </c>
      <c r="W292" s="4" t="str">
        <f>+VLOOKUP(V292,Sheet1!$A$2:$B$27,2,0)</f>
        <v>Biaya Olahraga Dan Permainan</v>
      </c>
      <c r="X292" s="4" t="str">
        <f>+VLOOKUP(U292,'FBCJ Jul-Des 2025'!$G$10:$P$1302,9,0)</f>
        <v>R124D1HRDV</v>
      </c>
      <c r="Y292" s="2" t="s">
        <v>43</v>
      </c>
      <c r="Z292" s="2">
        <v>1557224</v>
      </c>
      <c r="AA292" s="2">
        <v>20250806</v>
      </c>
      <c r="AB292" s="3">
        <v>500000</v>
      </c>
    </row>
    <row r="293" spans="3:28" x14ac:dyDescent="0.25">
      <c r="C293" s="2">
        <v>10000001</v>
      </c>
      <c r="D293" s="2" t="s">
        <v>453</v>
      </c>
      <c r="F293" s="2">
        <v>12006565</v>
      </c>
      <c r="H293" s="2" t="s">
        <v>453</v>
      </c>
      <c r="I293" s="2" t="str">
        <f t="shared" si="4"/>
        <v>08</v>
      </c>
      <c r="J293" s="2">
        <v>50</v>
      </c>
      <c r="K293" s="3">
        <v>-50000</v>
      </c>
      <c r="L293" s="2" t="s">
        <v>26</v>
      </c>
      <c r="M293" s="3">
        <v>-50000</v>
      </c>
      <c r="N293" s="2" t="s">
        <v>26</v>
      </c>
      <c r="R293" s="2" t="s">
        <v>27</v>
      </c>
      <c r="S293" s="2" t="s">
        <v>461</v>
      </c>
      <c r="T293" s="2" t="s">
        <v>45</v>
      </c>
      <c r="U293" s="2" t="s">
        <v>462</v>
      </c>
      <c r="V293" s="4">
        <f>+VLOOKUP(U293,'FBCJ Jul-Des 2025'!$G$10:$P$1302,8,0)</f>
        <v>70009110</v>
      </c>
      <c r="W293" s="4" t="str">
        <f>+VLOOKUP(V293,Sheet1!$A$2:$B$27,2,0)</f>
        <v>Biaya Survey dan Analisa</v>
      </c>
      <c r="X293" s="4" t="str">
        <f>+VLOOKUP(U293,'FBCJ Jul-Des 2025'!$G$10:$P$1302,9,0)</f>
        <v>P206D1SLSS</v>
      </c>
      <c r="Y293" s="2" t="s">
        <v>43</v>
      </c>
      <c r="Z293" s="2">
        <v>1557224</v>
      </c>
      <c r="AA293" s="2">
        <v>20250806</v>
      </c>
      <c r="AB293" s="3">
        <v>50000</v>
      </c>
    </row>
    <row r="294" spans="3:28" x14ac:dyDescent="0.25">
      <c r="C294" s="2">
        <v>10000001</v>
      </c>
      <c r="D294" s="2" t="s">
        <v>453</v>
      </c>
      <c r="F294" s="2">
        <v>12006566</v>
      </c>
      <c r="H294" s="2" t="s">
        <v>453</v>
      </c>
      <c r="I294" s="2" t="str">
        <f t="shared" si="4"/>
        <v>08</v>
      </c>
      <c r="J294" s="2">
        <v>50</v>
      </c>
      <c r="K294" s="3">
        <v>-50000</v>
      </c>
      <c r="L294" s="2" t="s">
        <v>26</v>
      </c>
      <c r="M294" s="3">
        <v>-50000</v>
      </c>
      <c r="N294" s="2" t="s">
        <v>26</v>
      </c>
      <c r="R294" s="2" t="s">
        <v>27</v>
      </c>
      <c r="S294" s="2" t="s">
        <v>461</v>
      </c>
      <c r="T294" s="2" t="s">
        <v>45</v>
      </c>
      <c r="U294" s="2" t="s">
        <v>463</v>
      </c>
      <c r="V294" s="4">
        <f>+VLOOKUP(U294,'FBCJ Jul-Des 2025'!$G$10:$P$1302,8,0)</f>
        <v>70009110</v>
      </c>
      <c r="W294" s="4" t="str">
        <f>+VLOOKUP(V294,Sheet1!$A$2:$B$27,2,0)</f>
        <v>Biaya Survey dan Analisa</v>
      </c>
      <c r="X294" s="4" t="str">
        <f>+VLOOKUP(U294,'FBCJ Jul-Des 2025'!$G$10:$P$1302,9,0)</f>
        <v>P206D1SLSS</v>
      </c>
      <c r="Y294" s="2" t="s">
        <v>43</v>
      </c>
      <c r="Z294" s="2">
        <v>1557224</v>
      </c>
      <c r="AA294" s="2">
        <v>20250806</v>
      </c>
      <c r="AB294" s="3">
        <v>50000</v>
      </c>
    </row>
    <row r="295" spans="3:28" x14ac:dyDescent="0.25">
      <c r="C295" s="2">
        <v>10000001</v>
      </c>
      <c r="D295" s="2" t="s">
        <v>453</v>
      </c>
      <c r="F295" s="2">
        <v>12006567</v>
      </c>
      <c r="H295" s="2" t="s">
        <v>453</v>
      </c>
      <c r="I295" s="2" t="str">
        <f t="shared" si="4"/>
        <v>08</v>
      </c>
      <c r="J295" s="2">
        <v>50</v>
      </c>
      <c r="K295" s="3">
        <v>-50000</v>
      </c>
      <c r="L295" s="2" t="s">
        <v>26</v>
      </c>
      <c r="M295" s="3">
        <v>-50000</v>
      </c>
      <c r="N295" s="2" t="s">
        <v>26</v>
      </c>
      <c r="R295" s="2" t="s">
        <v>27</v>
      </c>
      <c r="S295" s="2" t="s">
        <v>461</v>
      </c>
      <c r="T295" s="2" t="s">
        <v>45</v>
      </c>
      <c r="U295" s="2" t="s">
        <v>464</v>
      </c>
      <c r="V295" s="4">
        <f>+VLOOKUP(U295,'FBCJ Jul-Des 2025'!$G$10:$P$1302,8,0)</f>
        <v>70009110</v>
      </c>
      <c r="W295" s="4" t="str">
        <f>+VLOOKUP(V295,Sheet1!$A$2:$B$27,2,0)</f>
        <v>Biaya Survey dan Analisa</v>
      </c>
      <c r="X295" s="4" t="str">
        <f>+VLOOKUP(U295,'FBCJ Jul-Des 2025'!$G$10:$P$1302,9,0)</f>
        <v>P206D1SLSS</v>
      </c>
      <c r="Y295" s="2" t="s">
        <v>43</v>
      </c>
      <c r="Z295" s="2">
        <v>1557224</v>
      </c>
      <c r="AA295" s="2">
        <v>20250806</v>
      </c>
      <c r="AB295" s="3">
        <v>50000</v>
      </c>
    </row>
    <row r="296" spans="3:28" x14ac:dyDescent="0.25">
      <c r="C296" s="2">
        <v>10000001</v>
      </c>
      <c r="D296" s="2" t="s">
        <v>453</v>
      </c>
      <c r="F296" s="2">
        <v>12006568</v>
      </c>
      <c r="H296" s="2" t="s">
        <v>453</v>
      </c>
      <c r="I296" s="2" t="str">
        <f t="shared" si="4"/>
        <v>08</v>
      </c>
      <c r="J296" s="2">
        <v>50</v>
      </c>
      <c r="K296" s="3">
        <v>-50000</v>
      </c>
      <c r="L296" s="2" t="s">
        <v>26</v>
      </c>
      <c r="M296" s="3">
        <v>-50000</v>
      </c>
      <c r="N296" s="2" t="s">
        <v>26</v>
      </c>
      <c r="R296" s="2" t="s">
        <v>27</v>
      </c>
      <c r="S296" s="2" t="s">
        <v>461</v>
      </c>
      <c r="T296" s="2" t="s">
        <v>45</v>
      </c>
      <c r="U296" s="2" t="s">
        <v>465</v>
      </c>
      <c r="V296" s="4">
        <f>+VLOOKUP(U296,'FBCJ Jul-Des 2025'!$G$10:$P$1302,8,0)</f>
        <v>70009110</v>
      </c>
      <c r="W296" s="4" t="str">
        <f>+VLOOKUP(V296,Sheet1!$A$2:$B$27,2,0)</f>
        <v>Biaya Survey dan Analisa</v>
      </c>
      <c r="X296" s="4" t="str">
        <f>+VLOOKUP(U296,'FBCJ Jul-Des 2025'!$G$10:$P$1302,9,0)</f>
        <v>C206D1SLSS</v>
      </c>
      <c r="Y296" s="2" t="s">
        <v>43</v>
      </c>
      <c r="Z296" s="2">
        <v>1557224</v>
      </c>
      <c r="AA296" s="2">
        <v>20250806</v>
      </c>
      <c r="AB296" s="3">
        <v>50000</v>
      </c>
    </row>
    <row r="297" spans="3:28" x14ac:dyDescent="0.25">
      <c r="C297" s="2">
        <v>10000001</v>
      </c>
      <c r="D297" s="2" t="s">
        <v>453</v>
      </c>
      <c r="F297" s="2">
        <v>12006569</v>
      </c>
      <c r="H297" s="2" t="s">
        <v>453</v>
      </c>
      <c r="I297" s="2" t="str">
        <f t="shared" si="4"/>
        <v>08</v>
      </c>
      <c r="J297" s="2">
        <v>50</v>
      </c>
      <c r="K297" s="3">
        <v>-50000</v>
      </c>
      <c r="L297" s="2" t="s">
        <v>26</v>
      </c>
      <c r="M297" s="3">
        <v>-50000</v>
      </c>
      <c r="N297" s="2" t="s">
        <v>26</v>
      </c>
      <c r="R297" s="2" t="s">
        <v>27</v>
      </c>
      <c r="S297" s="2" t="s">
        <v>461</v>
      </c>
      <c r="T297" s="2" t="s">
        <v>45</v>
      </c>
      <c r="U297" s="2" t="s">
        <v>466</v>
      </c>
      <c r="V297" s="4">
        <f>+VLOOKUP(U297,'FBCJ Jul-Des 2025'!$G$10:$P$1302,8,0)</f>
        <v>70009110</v>
      </c>
      <c r="W297" s="4" t="str">
        <f>+VLOOKUP(V297,Sheet1!$A$2:$B$27,2,0)</f>
        <v>Biaya Survey dan Analisa</v>
      </c>
      <c r="X297" s="4" t="str">
        <f>+VLOOKUP(U297,'FBCJ Jul-Des 2025'!$G$10:$P$1302,9,0)</f>
        <v>C206D1SLSS</v>
      </c>
      <c r="Y297" s="2" t="s">
        <v>43</v>
      </c>
      <c r="Z297" s="2">
        <v>1557224</v>
      </c>
      <c r="AA297" s="2">
        <v>20250806</v>
      </c>
      <c r="AB297" s="3">
        <v>50000</v>
      </c>
    </row>
    <row r="298" spans="3:28" x14ac:dyDescent="0.25">
      <c r="C298" s="2">
        <v>10000001</v>
      </c>
      <c r="D298" s="2" t="s">
        <v>453</v>
      </c>
      <c r="F298" s="2">
        <v>12006570</v>
      </c>
      <c r="H298" s="2" t="s">
        <v>453</v>
      </c>
      <c r="I298" s="2" t="str">
        <f t="shared" si="4"/>
        <v>08</v>
      </c>
      <c r="J298" s="2">
        <v>50</v>
      </c>
      <c r="K298" s="3">
        <v>-50000</v>
      </c>
      <c r="L298" s="2" t="s">
        <v>26</v>
      </c>
      <c r="M298" s="3">
        <v>-50000</v>
      </c>
      <c r="N298" s="2" t="s">
        <v>26</v>
      </c>
      <c r="R298" s="2" t="s">
        <v>27</v>
      </c>
      <c r="S298" s="2" t="s">
        <v>461</v>
      </c>
      <c r="T298" s="2" t="s">
        <v>45</v>
      </c>
      <c r="U298" s="2" t="s">
        <v>467</v>
      </c>
      <c r="V298" s="4">
        <f>+VLOOKUP(U298,'FBCJ Jul-Des 2025'!$G$10:$P$1302,8,0)</f>
        <v>70009110</v>
      </c>
      <c r="W298" s="4" t="str">
        <f>+VLOOKUP(V298,Sheet1!$A$2:$B$27,2,0)</f>
        <v>Biaya Survey dan Analisa</v>
      </c>
      <c r="X298" s="4" t="str">
        <f>+VLOOKUP(U298,'FBCJ Jul-Des 2025'!$G$10:$P$1302,9,0)</f>
        <v>P206D1SLSS</v>
      </c>
      <c r="Y298" s="2" t="s">
        <v>43</v>
      </c>
      <c r="Z298" s="2">
        <v>1557224</v>
      </c>
      <c r="AA298" s="2">
        <v>20250806</v>
      </c>
      <c r="AB298" s="3">
        <v>50000</v>
      </c>
    </row>
    <row r="299" spans="3:28" x14ac:dyDescent="0.25">
      <c r="C299" s="2">
        <v>10000001</v>
      </c>
      <c r="D299" s="2" t="s">
        <v>453</v>
      </c>
      <c r="F299" s="2">
        <v>12006571</v>
      </c>
      <c r="H299" s="2" t="s">
        <v>453</v>
      </c>
      <c r="I299" s="2" t="str">
        <f t="shared" si="4"/>
        <v>08</v>
      </c>
      <c r="J299" s="2">
        <v>50</v>
      </c>
      <c r="K299" s="3">
        <v>-50000</v>
      </c>
      <c r="L299" s="2" t="s">
        <v>26</v>
      </c>
      <c r="M299" s="3">
        <v>-50000</v>
      </c>
      <c r="N299" s="2" t="s">
        <v>26</v>
      </c>
      <c r="R299" s="2" t="s">
        <v>27</v>
      </c>
      <c r="S299" s="2" t="s">
        <v>461</v>
      </c>
      <c r="T299" s="2" t="s">
        <v>45</v>
      </c>
      <c r="U299" s="2" t="s">
        <v>468</v>
      </c>
      <c r="V299" s="4">
        <f>+VLOOKUP(U299,'FBCJ Jul-Des 2025'!$G$10:$P$1302,8,0)</f>
        <v>70009110</v>
      </c>
      <c r="W299" s="4" t="str">
        <f>+VLOOKUP(V299,Sheet1!$A$2:$B$27,2,0)</f>
        <v>Biaya Survey dan Analisa</v>
      </c>
      <c r="X299" s="4" t="str">
        <f>+VLOOKUP(U299,'FBCJ Jul-Des 2025'!$G$10:$P$1302,9,0)</f>
        <v>P206D1SLSS</v>
      </c>
      <c r="Y299" s="2" t="s">
        <v>43</v>
      </c>
      <c r="Z299" s="2">
        <v>1557224</v>
      </c>
      <c r="AA299" s="2">
        <v>20250806</v>
      </c>
      <c r="AB299" s="3">
        <v>50000</v>
      </c>
    </row>
    <row r="300" spans="3:28" x14ac:dyDescent="0.25">
      <c r="C300" s="2">
        <v>10000001</v>
      </c>
      <c r="D300" s="2" t="s">
        <v>453</v>
      </c>
      <c r="F300" s="2">
        <v>12006572</v>
      </c>
      <c r="H300" s="2" t="s">
        <v>453</v>
      </c>
      <c r="I300" s="2" t="str">
        <f t="shared" si="4"/>
        <v>08</v>
      </c>
      <c r="J300" s="2">
        <v>50</v>
      </c>
      <c r="K300" s="3">
        <v>-890000</v>
      </c>
      <c r="L300" s="2" t="s">
        <v>26</v>
      </c>
      <c r="M300" s="3">
        <v>-890000</v>
      </c>
      <c r="N300" s="2" t="s">
        <v>26</v>
      </c>
      <c r="R300" s="2" t="s">
        <v>27</v>
      </c>
      <c r="S300" s="2" t="s">
        <v>469</v>
      </c>
      <c r="T300" s="2" t="s">
        <v>59</v>
      </c>
      <c r="U300" s="2" t="s">
        <v>470</v>
      </c>
      <c r="V300" s="4">
        <f>+VLOOKUP(U300,'FBCJ Jul-Des 2025'!$G$10:$P$1302,8,0)</f>
        <v>70101114</v>
      </c>
      <c r="W300" s="4" t="str">
        <f>+VLOOKUP(V300,Sheet1!$A$2:$B$27,2,0)</f>
        <v>By Perbaikan &amp; Perawatan Perabot Material Pihak3</v>
      </c>
      <c r="X300" s="4" t="str">
        <f>+VLOOKUP(U300,'FBCJ Jul-Des 2025'!$G$10:$P$1302,9,0)</f>
        <v>R124D1HRGA</v>
      </c>
      <c r="Y300" s="2" t="s">
        <v>43</v>
      </c>
      <c r="Z300" s="2">
        <v>1557224</v>
      </c>
      <c r="AA300" s="2">
        <v>20250806</v>
      </c>
      <c r="AB300" s="3">
        <v>890000</v>
      </c>
    </row>
    <row r="301" spans="3:28" x14ac:dyDescent="0.25">
      <c r="C301" s="2">
        <v>10000001</v>
      </c>
      <c r="D301" s="2" t="s">
        <v>453</v>
      </c>
      <c r="F301" s="2">
        <v>12006573</v>
      </c>
      <c r="H301" s="2" t="s">
        <v>453</v>
      </c>
      <c r="I301" s="2" t="str">
        <f t="shared" si="4"/>
        <v>08</v>
      </c>
      <c r="J301" s="2">
        <v>50</v>
      </c>
      <c r="K301" s="3">
        <v>-580000</v>
      </c>
      <c r="L301" s="2" t="s">
        <v>26</v>
      </c>
      <c r="M301" s="3">
        <v>-580000</v>
      </c>
      <c r="N301" s="2" t="s">
        <v>26</v>
      </c>
      <c r="R301" s="2" t="s">
        <v>27</v>
      </c>
      <c r="S301" s="2" t="s">
        <v>471</v>
      </c>
      <c r="T301" s="2" t="s">
        <v>96</v>
      </c>
      <c r="U301" s="2" t="s">
        <v>472</v>
      </c>
      <c r="V301" s="4">
        <f>+VLOOKUP(U301,'FBCJ Jul-Des 2025'!$G$10:$P$1302,8,0)</f>
        <v>70106400</v>
      </c>
      <c r="W301" s="4" t="str">
        <f>+VLOOKUP(V301,Sheet1!$A$2:$B$27,2,0)</f>
        <v>Biaya Bahan Bakar</v>
      </c>
      <c r="X301" s="4" t="str">
        <f>+VLOOKUP(U301,'FBCJ Jul-Des 2025'!$G$10:$P$1302,9,0)</f>
        <v>R124D1HRGA</v>
      </c>
      <c r="Y301" s="2" t="s">
        <v>43</v>
      </c>
      <c r="Z301" s="2">
        <v>1557224</v>
      </c>
      <c r="AA301" s="2">
        <v>20250806</v>
      </c>
      <c r="AB301" s="3">
        <v>580000</v>
      </c>
    </row>
    <row r="302" spans="3:28" x14ac:dyDescent="0.25">
      <c r="C302" s="2">
        <v>10000001</v>
      </c>
      <c r="D302" s="2" t="s">
        <v>453</v>
      </c>
      <c r="F302" s="2">
        <v>12006574</v>
      </c>
      <c r="H302" s="2" t="s">
        <v>453</v>
      </c>
      <c r="I302" s="2" t="str">
        <f t="shared" si="4"/>
        <v>08</v>
      </c>
      <c r="J302" s="2">
        <v>50</v>
      </c>
      <c r="K302" s="3">
        <v>-415000</v>
      </c>
      <c r="L302" s="2" t="s">
        <v>26</v>
      </c>
      <c r="M302" s="3">
        <v>-415000</v>
      </c>
      <c r="N302" s="2" t="s">
        <v>26</v>
      </c>
      <c r="R302" s="2" t="s">
        <v>27</v>
      </c>
      <c r="S302" s="2" t="s">
        <v>471</v>
      </c>
      <c r="T302" s="2" t="s">
        <v>67</v>
      </c>
      <c r="U302" s="2" t="s">
        <v>473</v>
      </c>
      <c r="V302" s="4">
        <f>+VLOOKUP(U302,'FBCJ Jul-Des 2025'!$G$10:$P$1302,8,0)</f>
        <v>70106100</v>
      </c>
      <c r="W302" s="4" t="str">
        <f>+VLOOKUP(V302,Sheet1!$A$2:$B$27,2,0)</f>
        <v>Biaya Transportasi Lokal</v>
      </c>
      <c r="X302" s="4" t="str">
        <f>+VLOOKUP(U302,'FBCJ Jul-Des 2025'!$G$10:$P$1302,9,0)</f>
        <v>R124D1HRGA</v>
      </c>
      <c r="Y302" s="2" t="s">
        <v>43</v>
      </c>
      <c r="Z302" s="2">
        <v>1557224</v>
      </c>
      <c r="AA302" s="2">
        <v>20250806</v>
      </c>
      <c r="AB302" s="3">
        <v>415000</v>
      </c>
    </row>
    <row r="303" spans="3:28" x14ac:dyDescent="0.25">
      <c r="C303" s="2">
        <v>10000001</v>
      </c>
      <c r="D303" s="2" t="s">
        <v>453</v>
      </c>
      <c r="F303" s="2">
        <v>12006575</v>
      </c>
      <c r="H303" s="2" t="s">
        <v>453</v>
      </c>
      <c r="I303" s="2" t="str">
        <f t="shared" si="4"/>
        <v>08</v>
      </c>
      <c r="J303" s="2">
        <v>50</v>
      </c>
      <c r="K303" s="3">
        <v>-57800</v>
      </c>
      <c r="L303" s="2" t="s">
        <v>26</v>
      </c>
      <c r="M303" s="3">
        <v>-57800</v>
      </c>
      <c r="N303" s="2" t="s">
        <v>26</v>
      </c>
      <c r="R303" s="2" t="s">
        <v>27</v>
      </c>
      <c r="S303" s="2" t="s">
        <v>474</v>
      </c>
      <c r="T303" s="2" t="s">
        <v>193</v>
      </c>
      <c r="U303" s="2" t="s">
        <v>475</v>
      </c>
      <c r="V303" s="4">
        <f>+VLOOKUP(U303,'FBCJ Jul-Des 2025'!$G$10:$P$1302,8,0)</f>
        <v>70105300</v>
      </c>
      <c r="W303" s="4" t="str">
        <f>+VLOOKUP(V303,Sheet1!$A$2:$B$27,2,0)</f>
        <v>Biaya Perizinan Pemerintah</v>
      </c>
      <c r="X303" s="4" t="str">
        <f>+VLOOKUP(U303,'FBCJ Jul-Des 2025'!$G$10:$P$1302,9,0)</f>
        <v>R124D1HRGA</v>
      </c>
      <c r="Y303" s="2" t="s">
        <v>43</v>
      </c>
      <c r="Z303" s="2">
        <v>1557224</v>
      </c>
      <c r="AA303" s="2">
        <v>20250806</v>
      </c>
      <c r="AB303" s="3">
        <v>57800</v>
      </c>
    </row>
    <row r="304" spans="3:28" x14ac:dyDescent="0.25">
      <c r="C304" s="2">
        <v>10000001</v>
      </c>
      <c r="D304" s="2" t="s">
        <v>476</v>
      </c>
      <c r="F304" s="2">
        <v>12006576</v>
      </c>
      <c r="H304" s="2" t="s">
        <v>476</v>
      </c>
      <c r="I304" s="2" t="str">
        <f t="shared" si="4"/>
        <v>08</v>
      </c>
      <c r="J304" s="2">
        <v>50</v>
      </c>
      <c r="K304" s="3">
        <v>-50000</v>
      </c>
      <c r="L304" s="2" t="s">
        <v>26</v>
      </c>
      <c r="M304" s="3">
        <v>-50000</v>
      </c>
      <c r="N304" s="2" t="s">
        <v>26</v>
      </c>
      <c r="R304" s="2" t="s">
        <v>27</v>
      </c>
      <c r="S304" s="2" t="s">
        <v>477</v>
      </c>
      <c r="T304" s="2" t="s">
        <v>45</v>
      </c>
      <c r="U304" s="2" t="s">
        <v>478</v>
      </c>
      <c r="V304" s="4">
        <f>+VLOOKUP(U304,'FBCJ Jul-Des 2025'!$G$10:$P$1302,8,0)</f>
        <v>70009110</v>
      </c>
      <c r="W304" s="4" t="str">
        <f>+VLOOKUP(V304,Sheet1!$A$2:$B$27,2,0)</f>
        <v>Biaya Survey dan Analisa</v>
      </c>
      <c r="X304" s="4" t="str">
        <f>+VLOOKUP(U304,'FBCJ Jul-Des 2025'!$G$10:$P$1302,9,0)</f>
        <v>P206D1SLSS</v>
      </c>
      <c r="Y304" s="2" t="s">
        <v>43</v>
      </c>
      <c r="Z304" s="2">
        <v>1557224</v>
      </c>
      <c r="AA304" s="2">
        <v>20250813</v>
      </c>
      <c r="AB304" s="3">
        <v>50000</v>
      </c>
    </row>
    <row r="305" spans="3:28" x14ac:dyDescent="0.25">
      <c r="C305" s="2">
        <v>10000001</v>
      </c>
      <c r="D305" s="2" t="s">
        <v>476</v>
      </c>
      <c r="F305" s="2">
        <v>12006577</v>
      </c>
      <c r="H305" s="2" t="s">
        <v>476</v>
      </c>
      <c r="I305" s="2" t="str">
        <f t="shared" si="4"/>
        <v>08</v>
      </c>
      <c r="J305" s="2">
        <v>50</v>
      </c>
      <c r="K305" s="3">
        <v>-50000</v>
      </c>
      <c r="L305" s="2" t="s">
        <v>26</v>
      </c>
      <c r="M305" s="3">
        <v>-50000</v>
      </c>
      <c r="N305" s="2" t="s">
        <v>26</v>
      </c>
      <c r="R305" s="2" t="s">
        <v>27</v>
      </c>
      <c r="S305" s="2" t="s">
        <v>477</v>
      </c>
      <c r="T305" s="2" t="s">
        <v>45</v>
      </c>
      <c r="U305" s="2" t="s">
        <v>479</v>
      </c>
      <c r="V305" s="4">
        <f>+VLOOKUP(U305,'FBCJ Jul-Des 2025'!$G$10:$P$1302,8,0)</f>
        <v>70009110</v>
      </c>
      <c r="W305" s="4" t="str">
        <f>+VLOOKUP(V305,Sheet1!$A$2:$B$27,2,0)</f>
        <v>Biaya Survey dan Analisa</v>
      </c>
      <c r="X305" s="4" t="str">
        <f>+VLOOKUP(U305,'FBCJ Jul-Des 2025'!$G$10:$P$1302,9,0)</f>
        <v>P206D1SLSS</v>
      </c>
      <c r="Y305" s="2" t="s">
        <v>43</v>
      </c>
      <c r="Z305" s="2">
        <v>1557224</v>
      </c>
      <c r="AA305" s="2">
        <v>20250813</v>
      </c>
      <c r="AB305" s="3">
        <v>50000</v>
      </c>
    </row>
    <row r="306" spans="3:28" x14ac:dyDescent="0.25">
      <c r="C306" s="2">
        <v>10000001</v>
      </c>
      <c r="D306" s="2" t="s">
        <v>476</v>
      </c>
      <c r="F306" s="2">
        <v>12006578</v>
      </c>
      <c r="H306" s="2" t="s">
        <v>476</v>
      </c>
      <c r="I306" s="2" t="str">
        <f t="shared" si="4"/>
        <v>08</v>
      </c>
      <c r="J306" s="2">
        <v>50</v>
      </c>
      <c r="K306" s="3">
        <v>-50000</v>
      </c>
      <c r="L306" s="2" t="s">
        <v>26</v>
      </c>
      <c r="M306" s="3">
        <v>-50000</v>
      </c>
      <c r="N306" s="2" t="s">
        <v>26</v>
      </c>
      <c r="R306" s="2" t="s">
        <v>27</v>
      </c>
      <c r="S306" s="2" t="s">
        <v>477</v>
      </c>
      <c r="T306" s="2" t="s">
        <v>45</v>
      </c>
      <c r="U306" s="2" t="s">
        <v>480</v>
      </c>
      <c r="V306" s="4">
        <f>+VLOOKUP(U306,'FBCJ Jul-Des 2025'!$G$10:$P$1302,8,0)</f>
        <v>70009110</v>
      </c>
      <c r="W306" s="4" t="str">
        <f>+VLOOKUP(V306,Sheet1!$A$2:$B$27,2,0)</f>
        <v>Biaya Survey dan Analisa</v>
      </c>
      <c r="X306" s="4" t="str">
        <f>+VLOOKUP(U306,'FBCJ Jul-Des 2025'!$G$10:$P$1302,9,0)</f>
        <v>C206D1SLSS</v>
      </c>
      <c r="Y306" s="2" t="s">
        <v>43</v>
      </c>
      <c r="Z306" s="2">
        <v>1557224</v>
      </c>
      <c r="AA306" s="2">
        <v>20250813</v>
      </c>
      <c r="AB306" s="3">
        <v>50000</v>
      </c>
    </row>
    <row r="307" spans="3:28" x14ac:dyDescent="0.25">
      <c r="C307" s="2">
        <v>10000001</v>
      </c>
      <c r="D307" s="2" t="s">
        <v>476</v>
      </c>
      <c r="F307" s="2">
        <v>12006579</v>
      </c>
      <c r="H307" s="2" t="s">
        <v>476</v>
      </c>
      <c r="I307" s="2" t="str">
        <f t="shared" si="4"/>
        <v>08</v>
      </c>
      <c r="J307" s="2">
        <v>50</v>
      </c>
      <c r="K307" s="3">
        <v>-50000</v>
      </c>
      <c r="L307" s="2" t="s">
        <v>26</v>
      </c>
      <c r="M307" s="3">
        <v>-50000</v>
      </c>
      <c r="N307" s="2" t="s">
        <v>26</v>
      </c>
      <c r="R307" s="2" t="s">
        <v>27</v>
      </c>
      <c r="S307" s="2" t="s">
        <v>477</v>
      </c>
      <c r="T307" s="2" t="s">
        <v>45</v>
      </c>
      <c r="U307" s="2" t="s">
        <v>481</v>
      </c>
      <c r="V307" s="4">
        <f>+VLOOKUP(U307,'FBCJ Jul-Des 2025'!$G$10:$P$1302,8,0)</f>
        <v>70009110</v>
      </c>
      <c r="W307" s="4" t="str">
        <f>+VLOOKUP(V307,Sheet1!$A$2:$B$27,2,0)</f>
        <v>Biaya Survey dan Analisa</v>
      </c>
      <c r="X307" s="4" t="str">
        <f>+VLOOKUP(U307,'FBCJ Jul-Des 2025'!$G$10:$P$1302,9,0)</f>
        <v>P206D1SLSS</v>
      </c>
      <c r="Y307" s="2" t="s">
        <v>43</v>
      </c>
      <c r="Z307" s="2">
        <v>1557224</v>
      </c>
      <c r="AA307" s="2">
        <v>20250813</v>
      </c>
      <c r="AB307" s="3">
        <v>50000</v>
      </c>
    </row>
    <row r="308" spans="3:28" x14ac:dyDescent="0.25">
      <c r="C308" s="2">
        <v>10000001</v>
      </c>
      <c r="D308" s="2" t="s">
        <v>476</v>
      </c>
      <c r="F308" s="2">
        <v>12006580</v>
      </c>
      <c r="H308" s="2" t="s">
        <v>476</v>
      </c>
      <c r="I308" s="2" t="str">
        <f t="shared" si="4"/>
        <v>08</v>
      </c>
      <c r="J308" s="2">
        <v>50</v>
      </c>
      <c r="K308" s="3">
        <v>-50000</v>
      </c>
      <c r="L308" s="2" t="s">
        <v>26</v>
      </c>
      <c r="M308" s="3">
        <v>-50000</v>
      </c>
      <c r="N308" s="2" t="s">
        <v>26</v>
      </c>
      <c r="R308" s="2" t="s">
        <v>27</v>
      </c>
      <c r="S308" s="2" t="s">
        <v>477</v>
      </c>
      <c r="T308" s="2" t="s">
        <v>45</v>
      </c>
      <c r="U308" s="2" t="s">
        <v>482</v>
      </c>
      <c r="V308" s="4">
        <f>+VLOOKUP(U308,'FBCJ Jul-Des 2025'!$G$10:$P$1302,8,0)</f>
        <v>70009110</v>
      </c>
      <c r="W308" s="4" t="str">
        <f>+VLOOKUP(V308,Sheet1!$A$2:$B$27,2,0)</f>
        <v>Biaya Survey dan Analisa</v>
      </c>
      <c r="X308" s="4" t="str">
        <f>+VLOOKUP(U308,'FBCJ Jul-Des 2025'!$G$10:$P$1302,9,0)</f>
        <v>P206D1SLSS</v>
      </c>
      <c r="Y308" s="2" t="s">
        <v>43</v>
      </c>
      <c r="Z308" s="2">
        <v>1557224</v>
      </c>
      <c r="AA308" s="2">
        <v>20250813</v>
      </c>
      <c r="AB308" s="3">
        <v>50000</v>
      </c>
    </row>
    <row r="309" spans="3:28" x14ac:dyDescent="0.25">
      <c r="C309" s="2">
        <v>10000001</v>
      </c>
      <c r="D309" s="2" t="s">
        <v>476</v>
      </c>
      <c r="F309" s="2">
        <v>12006581</v>
      </c>
      <c r="H309" s="2" t="s">
        <v>476</v>
      </c>
      <c r="I309" s="2" t="str">
        <f t="shared" si="4"/>
        <v>08</v>
      </c>
      <c r="J309" s="2">
        <v>50</v>
      </c>
      <c r="K309" s="3">
        <v>-50000</v>
      </c>
      <c r="L309" s="2" t="s">
        <v>26</v>
      </c>
      <c r="M309" s="3">
        <v>-50000</v>
      </c>
      <c r="N309" s="2" t="s">
        <v>26</v>
      </c>
      <c r="R309" s="2" t="s">
        <v>27</v>
      </c>
      <c r="S309" s="2" t="s">
        <v>477</v>
      </c>
      <c r="T309" s="2" t="s">
        <v>45</v>
      </c>
      <c r="U309" s="2" t="s">
        <v>483</v>
      </c>
      <c r="V309" s="4">
        <f>+VLOOKUP(U309,'FBCJ Jul-Des 2025'!$G$10:$P$1302,8,0)</f>
        <v>70009110</v>
      </c>
      <c r="W309" s="4" t="str">
        <f>+VLOOKUP(V309,Sheet1!$A$2:$B$27,2,0)</f>
        <v>Biaya Survey dan Analisa</v>
      </c>
      <c r="X309" s="4" t="str">
        <f>+VLOOKUP(U309,'FBCJ Jul-Des 2025'!$G$10:$P$1302,9,0)</f>
        <v>P206D1SLSS</v>
      </c>
      <c r="Y309" s="2" t="s">
        <v>43</v>
      </c>
      <c r="Z309" s="2">
        <v>1557224</v>
      </c>
      <c r="AA309" s="2">
        <v>20250813</v>
      </c>
      <c r="AB309" s="3">
        <v>50000</v>
      </c>
    </row>
    <row r="310" spans="3:28" x14ac:dyDescent="0.25">
      <c r="C310" s="2">
        <v>10000001</v>
      </c>
      <c r="D310" s="2" t="s">
        <v>476</v>
      </c>
      <c r="F310" s="2">
        <v>12006582</v>
      </c>
      <c r="H310" s="2" t="s">
        <v>476</v>
      </c>
      <c r="I310" s="2" t="str">
        <f t="shared" si="4"/>
        <v>08</v>
      </c>
      <c r="J310" s="2">
        <v>50</v>
      </c>
      <c r="K310" s="3">
        <v>-50000</v>
      </c>
      <c r="L310" s="2" t="s">
        <v>26</v>
      </c>
      <c r="M310" s="3">
        <v>-50000</v>
      </c>
      <c r="N310" s="2" t="s">
        <v>26</v>
      </c>
      <c r="R310" s="2" t="s">
        <v>27</v>
      </c>
      <c r="S310" s="2" t="s">
        <v>477</v>
      </c>
      <c r="T310" s="2" t="s">
        <v>45</v>
      </c>
      <c r="U310" s="2" t="s">
        <v>484</v>
      </c>
      <c r="V310" s="4">
        <f>+VLOOKUP(U310,'FBCJ Jul-Des 2025'!$G$10:$P$1302,8,0)</f>
        <v>70009110</v>
      </c>
      <c r="W310" s="4" t="str">
        <f>+VLOOKUP(V310,Sheet1!$A$2:$B$27,2,0)</f>
        <v>Biaya Survey dan Analisa</v>
      </c>
      <c r="X310" s="4" t="str">
        <f>+VLOOKUP(U310,'FBCJ Jul-Des 2025'!$G$10:$P$1302,9,0)</f>
        <v>P206D1SLSS</v>
      </c>
      <c r="Y310" s="2" t="s">
        <v>43</v>
      </c>
      <c r="Z310" s="2">
        <v>1557224</v>
      </c>
      <c r="AA310" s="2">
        <v>20250813</v>
      </c>
      <c r="AB310" s="3">
        <v>50000</v>
      </c>
    </row>
    <row r="311" spans="3:28" x14ac:dyDescent="0.25">
      <c r="C311" s="2">
        <v>10000001</v>
      </c>
      <c r="D311" s="2" t="s">
        <v>476</v>
      </c>
      <c r="F311" s="2">
        <v>12006583</v>
      </c>
      <c r="H311" s="2" t="s">
        <v>476</v>
      </c>
      <c r="I311" s="2" t="str">
        <f t="shared" si="4"/>
        <v>08</v>
      </c>
      <c r="J311" s="2">
        <v>50</v>
      </c>
      <c r="K311" s="3">
        <v>-520000</v>
      </c>
      <c r="L311" s="2" t="s">
        <v>26</v>
      </c>
      <c r="M311" s="3">
        <v>-520000</v>
      </c>
      <c r="N311" s="2" t="s">
        <v>26</v>
      </c>
      <c r="R311" s="2" t="s">
        <v>27</v>
      </c>
      <c r="S311" s="2" t="s">
        <v>485</v>
      </c>
      <c r="T311" s="2" t="s">
        <v>57</v>
      </c>
      <c r="U311" s="2" t="s">
        <v>179</v>
      </c>
      <c r="V311" s="4">
        <f>+VLOOKUP(U311,'FBCJ Jul-Des 2025'!$G$10:$P$1302,8,0)</f>
        <v>70101202</v>
      </c>
      <c r="W311" s="4" t="str">
        <f>+VLOOKUP(V311,Sheet1!$A$2:$B$27,2,0)</f>
        <v>By Pemeliharaan Kend,ABerat,Mesin-Material Pihak3</v>
      </c>
      <c r="X311" s="4" t="str">
        <f>+VLOOKUP(U311,'FBCJ Jul-Des 2025'!$G$10:$P$1302,9,0)</f>
        <v>C206D1SLSS</v>
      </c>
      <c r="Y311" s="2" t="s">
        <v>43</v>
      </c>
      <c r="Z311" s="2">
        <v>1557224</v>
      </c>
      <c r="AA311" s="2">
        <v>20250813</v>
      </c>
      <c r="AB311" s="3">
        <v>520000</v>
      </c>
    </row>
    <row r="312" spans="3:28" x14ac:dyDescent="0.25">
      <c r="C312" s="2">
        <v>10000001</v>
      </c>
      <c r="D312" s="2" t="s">
        <v>476</v>
      </c>
      <c r="F312" s="2">
        <v>12006584</v>
      </c>
      <c r="H312" s="2" t="s">
        <v>476</v>
      </c>
      <c r="I312" s="2" t="str">
        <f t="shared" si="4"/>
        <v>08</v>
      </c>
      <c r="J312" s="2">
        <v>50</v>
      </c>
      <c r="K312" s="3">
        <v>-321000</v>
      </c>
      <c r="L312" s="2" t="s">
        <v>26</v>
      </c>
      <c r="M312" s="3">
        <v>-321000</v>
      </c>
      <c r="N312" s="2" t="s">
        <v>26</v>
      </c>
      <c r="R312" s="2" t="s">
        <v>27</v>
      </c>
      <c r="S312" s="2" t="s">
        <v>486</v>
      </c>
      <c r="T312" s="2" t="s">
        <v>57</v>
      </c>
      <c r="U312" s="2" t="s">
        <v>181</v>
      </c>
      <c r="V312" s="4">
        <f>+VLOOKUP(U312,'FBCJ Jul-Des 2025'!$G$10:$P$1302,8,0)</f>
        <v>70101202</v>
      </c>
      <c r="W312" s="4" t="str">
        <f>+VLOOKUP(V312,Sheet1!$A$2:$B$27,2,0)</f>
        <v>By Pemeliharaan Kend,ABerat,Mesin-Material Pihak3</v>
      </c>
      <c r="X312" s="4" t="str">
        <f>+VLOOKUP(U312,'FBCJ Jul-Des 2025'!$G$10:$P$1302,9,0)</f>
        <v>P206D1SLSS</v>
      </c>
      <c r="Y312" s="2" t="s">
        <v>43</v>
      </c>
      <c r="Z312" s="2">
        <v>1557224</v>
      </c>
      <c r="AA312" s="2">
        <v>20250813</v>
      </c>
      <c r="AB312" s="3">
        <v>321000</v>
      </c>
    </row>
    <row r="313" spans="3:28" x14ac:dyDescent="0.25">
      <c r="C313" s="2">
        <v>10000001</v>
      </c>
      <c r="D313" s="2" t="s">
        <v>476</v>
      </c>
      <c r="F313" s="2">
        <v>12006585</v>
      </c>
      <c r="H313" s="2" t="s">
        <v>476</v>
      </c>
      <c r="I313" s="2" t="str">
        <f t="shared" si="4"/>
        <v>08</v>
      </c>
      <c r="J313" s="2">
        <v>50</v>
      </c>
      <c r="K313" s="3">
        <v>-50000</v>
      </c>
      <c r="L313" s="2" t="s">
        <v>26</v>
      </c>
      <c r="M313" s="3">
        <v>-50000</v>
      </c>
      <c r="N313" s="2" t="s">
        <v>26</v>
      </c>
      <c r="R313" s="2" t="s">
        <v>27</v>
      </c>
      <c r="S313" s="2" t="s">
        <v>487</v>
      </c>
      <c r="T313" s="2" t="s">
        <v>45</v>
      </c>
      <c r="U313" s="2" t="s">
        <v>488</v>
      </c>
      <c r="V313" s="4">
        <f>+VLOOKUP(U313,'FBCJ Jul-Des 2025'!$G$10:$P$1302,8,0)</f>
        <v>70009110</v>
      </c>
      <c r="W313" s="4" t="str">
        <f>+VLOOKUP(V313,Sheet1!$A$2:$B$27,2,0)</f>
        <v>Biaya Survey dan Analisa</v>
      </c>
      <c r="X313" s="4" t="str">
        <f>+VLOOKUP(U313,'FBCJ Jul-Des 2025'!$G$10:$P$1302,9,0)</f>
        <v>M204D1COMM</v>
      </c>
      <c r="Y313" s="2" t="s">
        <v>43</v>
      </c>
      <c r="Z313" s="2">
        <v>1557224</v>
      </c>
      <c r="AA313" s="2">
        <v>20250813</v>
      </c>
      <c r="AB313" s="3">
        <v>50000</v>
      </c>
    </row>
    <row r="314" spans="3:28" x14ac:dyDescent="0.25">
      <c r="C314" s="2">
        <v>10000001</v>
      </c>
      <c r="D314" s="2" t="s">
        <v>476</v>
      </c>
      <c r="F314" s="2">
        <v>12006586</v>
      </c>
      <c r="H314" s="2" t="s">
        <v>476</v>
      </c>
      <c r="I314" s="2" t="str">
        <f t="shared" si="4"/>
        <v>08</v>
      </c>
      <c r="J314" s="2">
        <v>50</v>
      </c>
      <c r="K314" s="3">
        <v>-50000</v>
      </c>
      <c r="L314" s="2" t="s">
        <v>26</v>
      </c>
      <c r="M314" s="3">
        <v>-50000</v>
      </c>
      <c r="N314" s="2" t="s">
        <v>26</v>
      </c>
      <c r="R314" s="2" t="s">
        <v>27</v>
      </c>
      <c r="S314" s="2" t="s">
        <v>487</v>
      </c>
      <c r="T314" s="2" t="s">
        <v>45</v>
      </c>
      <c r="U314" s="2" t="s">
        <v>489</v>
      </c>
      <c r="V314" s="4">
        <f>+VLOOKUP(U314,'FBCJ Jul-Des 2025'!$G$10:$P$1302,8,0)</f>
        <v>70009110</v>
      </c>
      <c r="W314" s="4" t="str">
        <f>+VLOOKUP(V314,Sheet1!$A$2:$B$27,2,0)</f>
        <v>Biaya Survey dan Analisa</v>
      </c>
      <c r="X314" s="4" t="str">
        <f>+VLOOKUP(U314,'FBCJ Jul-Des 2025'!$G$10:$P$1302,9,0)</f>
        <v>M204D1COMM</v>
      </c>
      <c r="Y314" s="2" t="s">
        <v>43</v>
      </c>
      <c r="Z314" s="2">
        <v>1557224</v>
      </c>
      <c r="AA314" s="2">
        <v>20250813</v>
      </c>
      <c r="AB314" s="3">
        <v>50000</v>
      </c>
    </row>
    <row r="315" spans="3:28" x14ac:dyDescent="0.25">
      <c r="C315" s="2">
        <v>10000001</v>
      </c>
      <c r="D315" s="2" t="s">
        <v>476</v>
      </c>
      <c r="F315" s="2">
        <v>12006587</v>
      </c>
      <c r="H315" s="2" t="s">
        <v>476</v>
      </c>
      <c r="I315" s="2" t="str">
        <f t="shared" si="4"/>
        <v>08</v>
      </c>
      <c r="J315" s="2">
        <v>50</v>
      </c>
      <c r="K315" s="3">
        <v>-50000</v>
      </c>
      <c r="L315" s="2" t="s">
        <v>26</v>
      </c>
      <c r="M315" s="3">
        <v>-50000</v>
      </c>
      <c r="N315" s="2" t="s">
        <v>26</v>
      </c>
      <c r="R315" s="2" t="s">
        <v>27</v>
      </c>
      <c r="S315" s="2" t="s">
        <v>487</v>
      </c>
      <c r="T315" s="2" t="s">
        <v>45</v>
      </c>
      <c r="U315" s="2" t="s">
        <v>490</v>
      </c>
      <c r="V315" s="4">
        <f>+VLOOKUP(U315,'FBCJ Jul-Des 2025'!$G$10:$P$1302,8,0)</f>
        <v>70009110</v>
      </c>
      <c r="W315" s="4" t="str">
        <f>+VLOOKUP(V315,Sheet1!$A$2:$B$27,2,0)</f>
        <v>Biaya Survey dan Analisa</v>
      </c>
      <c r="X315" s="4" t="str">
        <f>+VLOOKUP(U315,'FBCJ Jul-Des 2025'!$G$10:$P$1302,9,0)</f>
        <v>M204D1COMM</v>
      </c>
      <c r="Y315" s="2" t="s">
        <v>43</v>
      </c>
      <c r="Z315" s="2">
        <v>1557224</v>
      </c>
      <c r="AA315" s="2">
        <v>20250813</v>
      </c>
      <c r="AB315" s="3">
        <v>50000</v>
      </c>
    </row>
    <row r="316" spans="3:28" x14ac:dyDescent="0.25">
      <c r="C316" s="2">
        <v>10000001</v>
      </c>
      <c r="D316" s="2" t="s">
        <v>476</v>
      </c>
      <c r="F316" s="2">
        <v>12006588</v>
      </c>
      <c r="H316" s="2" t="s">
        <v>476</v>
      </c>
      <c r="I316" s="2" t="str">
        <f t="shared" si="4"/>
        <v>08</v>
      </c>
      <c r="J316" s="2">
        <v>50</v>
      </c>
      <c r="K316" s="3">
        <v>-601500</v>
      </c>
      <c r="L316" s="2" t="s">
        <v>26</v>
      </c>
      <c r="M316" s="3">
        <v>-601500</v>
      </c>
      <c r="N316" s="2" t="s">
        <v>26</v>
      </c>
      <c r="R316" s="2" t="s">
        <v>27</v>
      </c>
      <c r="S316" s="2" t="s">
        <v>491</v>
      </c>
      <c r="T316" s="2" t="s">
        <v>126</v>
      </c>
      <c r="U316" s="2" t="s">
        <v>492</v>
      </c>
      <c r="V316" s="4">
        <f>+VLOOKUP(U316,'FBCJ Jul-Des 2025'!$G$10:$P$1302,8,0)</f>
        <v>70107600</v>
      </c>
      <c r="W316" s="4" t="str">
        <f>+VLOOKUP(V316,Sheet1!$A$2:$B$27,2,0)</f>
        <v>Biaya Konsumsi Kantor</v>
      </c>
      <c r="X316" s="4" t="str">
        <f>+VLOOKUP(U316,'FBCJ Jul-Des 2025'!$G$10:$P$1302,9,0)</f>
        <v>R124D1EHFS</v>
      </c>
      <c r="Y316" s="2" t="s">
        <v>43</v>
      </c>
      <c r="Z316" s="2">
        <v>1557224</v>
      </c>
      <c r="AA316" s="2">
        <v>20250813</v>
      </c>
      <c r="AB316" s="3">
        <v>601500</v>
      </c>
    </row>
    <row r="317" spans="3:28" x14ac:dyDescent="0.25">
      <c r="C317" s="2">
        <v>10000001</v>
      </c>
      <c r="D317" s="2" t="s">
        <v>476</v>
      </c>
      <c r="F317" s="2">
        <v>12006589</v>
      </c>
      <c r="H317" s="2" t="s">
        <v>476</v>
      </c>
      <c r="I317" s="2" t="str">
        <f t="shared" si="4"/>
        <v>08</v>
      </c>
      <c r="J317" s="2">
        <v>50</v>
      </c>
      <c r="K317" s="3">
        <v>-347000</v>
      </c>
      <c r="L317" s="2" t="s">
        <v>26</v>
      </c>
      <c r="M317" s="3">
        <v>-347000</v>
      </c>
      <c r="N317" s="2" t="s">
        <v>26</v>
      </c>
      <c r="R317" s="2" t="s">
        <v>27</v>
      </c>
      <c r="S317" s="2" t="s">
        <v>493</v>
      </c>
      <c r="T317" s="2" t="s">
        <v>64</v>
      </c>
      <c r="U317" s="2" t="s">
        <v>494</v>
      </c>
      <c r="V317" s="4">
        <f>+VLOOKUP(U317,'FBCJ Jul-Des 2025'!$G$10:$P$1302,8,0)</f>
        <v>70108110</v>
      </c>
      <c r="W317" s="4" t="str">
        <f>+VLOOKUP(V317,Sheet1!$A$2:$B$27,2,0)</f>
        <v>Biaya  Fotocopy</v>
      </c>
      <c r="X317" s="4" t="str">
        <f>+VLOOKUP(U317,'FBCJ Jul-Des 2025'!$G$10:$P$1302,9,0)</f>
        <v>R124D1EHFS</v>
      </c>
      <c r="Y317" s="2" t="s">
        <v>43</v>
      </c>
      <c r="Z317" s="2">
        <v>1557224</v>
      </c>
      <c r="AA317" s="2">
        <v>20250813</v>
      </c>
      <c r="AB317" s="3">
        <v>347000</v>
      </c>
    </row>
    <row r="318" spans="3:28" x14ac:dyDescent="0.25">
      <c r="C318" s="2">
        <v>10000001</v>
      </c>
      <c r="D318" s="2" t="s">
        <v>476</v>
      </c>
      <c r="F318" s="2">
        <v>12006590</v>
      </c>
      <c r="H318" s="2" t="s">
        <v>476</v>
      </c>
      <c r="I318" s="2" t="str">
        <f t="shared" si="4"/>
        <v>08</v>
      </c>
      <c r="J318" s="2">
        <v>50</v>
      </c>
      <c r="K318" s="3">
        <v>-165000</v>
      </c>
      <c r="L318" s="2" t="s">
        <v>26</v>
      </c>
      <c r="M318" s="3">
        <v>-165000</v>
      </c>
      <c r="N318" s="2" t="s">
        <v>26</v>
      </c>
      <c r="R318" s="2" t="s">
        <v>27</v>
      </c>
      <c r="S318" s="2" t="s">
        <v>493</v>
      </c>
      <c r="T318" s="2" t="s">
        <v>126</v>
      </c>
      <c r="U318" s="2" t="s">
        <v>164</v>
      </c>
      <c r="V318" s="4">
        <f>+VLOOKUP(U318,'FBCJ Jul-Des 2025'!$G$10:$P$1302,8,0)</f>
        <v>70107600</v>
      </c>
      <c r="W318" s="4" t="str">
        <f>+VLOOKUP(V318,Sheet1!$A$2:$B$27,2,0)</f>
        <v>Biaya Konsumsi Kantor</v>
      </c>
      <c r="X318" s="4" t="str">
        <f>+VLOOKUP(U318,'FBCJ Jul-Des 2025'!$G$10:$P$1302,9,0)</f>
        <v>R124D1EHFS</v>
      </c>
      <c r="Y318" s="2" t="s">
        <v>43</v>
      </c>
      <c r="Z318" s="2">
        <v>1557224</v>
      </c>
      <c r="AA318" s="2">
        <v>20250813</v>
      </c>
      <c r="AB318" s="3">
        <v>165000</v>
      </c>
    </row>
    <row r="319" spans="3:28" x14ac:dyDescent="0.25">
      <c r="C319" s="2">
        <v>10000001</v>
      </c>
      <c r="D319" s="2" t="s">
        <v>476</v>
      </c>
      <c r="F319" s="2">
        <v>12006591</v>
      </c>
      <c r="H319" s="2" t="s">
        <v>476</v>
      </c>
      <c r="I319" s="2" t="str">
        <f t="shared" si="4"/>
        <v>08</v>
      </c>
      <c r="J319" s="2">
        <v>50</v>
      </c>
      <c r="K319" s="3">
        <v>-50000</v>
      </c>
      <c r="L319" s="2" t="s">
        <v>26</v>
      </c>
      <c r="M319" s="3">
        <v>-50000</v>
      </c>
      <c r="N319" s="2" t="s">
        <v>26</v>
      </c>
      <c r="R319" s="2" t="s">
        <v>27</v>
      </c>
      <c r="S319" s="2" t="s">
        <v>495</v>
      </c>
      <c r="T319" s="2" t="s">
        <v>45</v>
      </c>
      <c r="U319" s="2" t="s">
        <v>496</v>
      </c>
      <c r="V319" s="4">
        <f>+VLOOKUP(U319,'FBCJ Jul-Des 2025'!$G$10:$P$1302,8,0)</f>
        <v>70009110</v>
      </c>
      <c r="W319" s="4" t="str">
        <f>+VLOOKUP(V319,Sheet1!$A$2:$B$27,2,0)</f>
        <v>Biaya Survey dan Analisa</v>
      </c>
      <c r="X319" s="4" t="str">
        <f>+VLOOKUP(U319,'FBCJ Jul-Des 2025'!$G$10:$P$1302,9,0)</f>
        <v>P206D1SLSS</v>
      </c>
      <c r="Y319" s="2" t="s">
        <v>43</v>
      </c>
      <c r="Z319" s="2">
        <v>1557224</v>
      </c>
      <c r="AA319" s="2">
        <v>20250813</v>
      </c>
      <c r="AB319" s="3">
        <v>50000</v>
      </c>
    </row>
    <row r="320" spans="3:28" x14ac:dyDescent="0.25">
      <c r="C320" s="2">
        <v>10000001</v>
      </c>
      <c r="D320" s="2" t="s">
        <v>476</v>
      </c>
      <c r="F320" s="2">
        <v>12006592</v>
      </c>
      <c r="H320" s="2" t="s">
        <v>476</v>
      </c>
      <c r="I320" s="2" t="str">
        <f t="shared" si="4"/>
        <v>08</v>
      </c>
      <c r="J320" s="2">
        <v>50</v>
      </c>
      <c r="K320" s="3">
        <v>-50000</v>
      </c>
      <c r="L320" s="2" t="s">
        <v>26</v>
      </c>
      <c r="M320" s="3">
        <v>-50000</v>
      </c>
      <c r="N320" s="2" t="s">
        <v>26</v>
      </c>
      <c r="R320" s="2" t="s">
        <v>27</v>
      </c>
      <c r="S320" s="2" t="s">
        <v>495</v>
      </c>
      <c r="T320" s="2" t="s">
        <v>45</v>
      </c>
      <c r="U320" s="2" t="s">
        <v>497</v>
      </c>
      <c r="V320" s="4">
        <f>+VLOOKUP(U320,'FBCJ Jul-Des 2025'!$G$10:$P$1302,8,0)</f>
        <v>70009110</v>
      </c>
      <c r="W320" s="4" t="str">
        <f>+VLOOKUP(V320,Sheet1!$A$2:$B$27,2,0)</f>
        <v>Biaya Survey dan Analisa</v>
      </c>
      <c r="X320" s="4" t="str">
        <f>+VLOOKUP(U320,'FBCJ Jul-Des 2025'!$G$10:$P$1302,9,0)</f>
        <v>P206D1SLSS</v>
      </c>
      <c r="Y320" s="2" t="s">
        <v>43</v>
      </c>
      <c r="Z320" s="2">
        <v>1557224</v>
      </c>
      <c r="AA320" s="2">
        <v>20250813</v>
      </c>
      <c r="AB320" s="3">
        <v>50000</v>
      </c>
    </row>
    <row r="321" spans="3:28" x14ac:dyDescent="0.25">
      <c r="C321" s="2">
        <v>10000001</v>
      </c>
      <c r="D321" s="2" t="s">
        <v>476</v>
      </c>
      <c r="F321" s="2">
        <v>12006593</v>
      </c>
      <c r="H321" s="2" t="s">
        <v>476</v>
      </c>
      <c r="I321" s="2" t="str">
        <f t="shared" si="4"/>
        <v>08</v>
      </c>
      <c r="J321" s="2">
        <v>50</v>
      </c>
      <c r="K321" s="3">
        <v>-145000</v>
      </c>
      <c r="L321" s="2" t="s">
        <v>26</v>
      </c>
      <c r="M321" s="3">
        <v>-145000</v>
      </c>
      <c r="N321" s="2" t="s">
        <v>26</v>
      </c>
      <c r="R321" s="2" t="s">
        <v>27</v>
      </c>
      <c r="S321" s="2" t="s">
        <v>498</v>
      </c>
      <c r="T321" s="2" t="s">
        <v>59</v>
      </c>
      <c r="U321" s="2" t="s">
        <v>499</v>
      </c>
      <c r="V321" s="4">
        <f>+VLOOKUP(U321,'FBCJ Jul-Des 2025'!$G$10:$P$1302,8,0)</f>
        <v>70101114</v>
      </c>
      <c r="W321" s="4" t="str">
        <f>+VLOOKUP(V321,Sheet1!$A$2:$B$27,2,0)</f>
        <v>By Perbaikan &amp; Perawatan Perabot Material Pihak3</v>
      </c>
      <c r="X321" s="4" t="str">
        <f>+VLOOKUP(U321,'FBCJ Jul-Des 2025'!$G$10:$P$1302,9,0)</f>
        <v>R124FPO</v>
      </c>
      <c r="Y321" s="2" t="s">
        <v>43</v>
      </c>
      <c r="Z321" s="2">
        <v>1557224</v>
      </c>
      <c r="AA321" s="2">
        <v>20250813</v>
      </c>
      <c r="AB321" s="3">
        <v>145000</v>
      </c>
    </row>
    <row r="322" spans="3:28" x14ac:dyDescent="0.25">
      <c r="C322" s="2">
        <v>10000001</v>
      </c>
      <c r="D322" s="2" t="s">
        <v>476</v>
      </c>
      <c r="F322" s="2">
        <v>12006594</v>
      </c>
      <c r="H322" s="2" t="s">
        <v>476</v>
      </c>
      <c r="I322" s="2" t="str">
        <f t="shared" si="4"/>
        <v>08</v>
      </c>
      <c r="J322" s="2">
        <v>50</v>
      </c>
      <c r="K322" s="3">
        <v>-560000</v>
      </c>
      <c r="L322" s="2" t="s">
        <v>26</v>
      </c>
      <c r="M322" s="3">
        <v>-560000</v>
      </c>
      <c r="N322" s="2" t="s">
        <v>26</v>
      </c>
      <c r="R322" s="2" t="s">
        <v>27</v>
      </c>
      <c r="S322" s="2" t="s">
        <v>500</v>
      </c>
      <c r="T322" s="2" t="s">
        <v>96</v>
      </c>
      <c r="U322" s="2" t="s">
        <v>501</v>
      </c>
      <c r="V322" s="4">
        <f>+VLOOKUP(U322,'FBCJ Jul-Des 2025'!$G$10:$P$1302,8,0)</f>
        <v>70106400</v>
      </c>
      <c r="W322" s="4" t="str">
        <f>+VLOOKUP(V322,Sheet1!$A$2:$B$27,2,0)</f>
        <v>Biaya Bahan Bakar</v>
      </c>
      <c r="X322" s="4" t="str">
        <f>+VLOOKUP(U322,'FBCJ Jul-Des 2025'!$G$10:$P$1302,9,0)</f>
        <v>R124D1HRGA</v>
      </c>
      <c r="Y322" s="2" t="s">
        <v>43</v>
      </c>
      <c r="Z322" s="2">
        <v>1557224</v>
      </c>
      <c r="AA322" s="2">
        <v>20250813</v>
      </c>
      <c r="AB322" s="3">
        <v>560000</v>
      </c>
    </row>
    <row r="323" spans="3:28" x14ac:dyDescent="0.25">
      <c r="C323" s="2">
        <v>10000001</v>
      </c>
      <c r="D323" s="2" t="s">
        <v>476</v>
      </c>
      <c r="F323" s="2">
        <v>12006595</v>
      </c>
      <c r="H323" s="2" t="s">
        <v>476</v>
      </c>
      <c r="I323" s="2" t="str">
        <f t="shared" si="4"/>
        <v>08</v>
      </c>
      <c r="J323" s="2">
        <v>50</v>
      </c>
      <c r="K323" s="3">
        <v>-440000</v>
      </c>
      <c r="L323" s="2" t="s">
        <v>26</v>
      </c>
      <c r="M323" s="3">
        <v>-440000</v>
      </c>
      <c r="N323" s="2" t="s">
        <v>26</v>
      </c>
      <c r="R323" s="2" t="s">
        <v>27</v>
      </c>
      <c r="S323" s="2" t="s">
        <v>500</v>
      </c>
      <c r="T323" s="2" t="s">
        <v>67</v>
      </c>
      <c r="U323" s="2" t="s">
        <v>98</v>
      </c>
      <c r="V323" s="4">
        <f>+VLOOKUP(U323,'FBCJ Jul-Des 2025'!$G$10:$P$1302,8,0)</f>
        <v>70106100</v>
      </c>
      <c r="W323" s="4" t="str">
        <f>+VLOOKUP(V323,Sheet1!$A$2:$B$27,2,0)</f>
        <v>Biaya Transportasi Lokal</v>
      </c>
      <c r="X323" s="4" t="str">
        <f>+VLOOKUP(U323,'FBCJ Jul-Des 2025'!$G$10:$P$1302,9,0)</f>
        <v>R124D1HRGA</v>
      </c>
      <c r="Y323" s="2" t="s">
        <v>43</v>
      </c>
      <c r="Z323" s="2">
        <v>1557224</v>
      </c>
      <c r="AA323" s="2">
        <v>20250813</v>
      </c>
      <c r="AB323" s="3">
        <v>440000</v>
      </c>
    </row>
    <row r="324" spans="3:28" x14ac:dyDescent="0.25">
      <c r="C324" s="2">
        <v>10000001</v>
      </c>
      <c r="D324" s="2" t="s">
        <v>476</v>
      </c>
      <c r="F324" s="2">
        <v>12006596</v>
      </c>
      <c r="H324" s="2" t="s">
        <v>476</v>
      </c>
      <c r="I324" s="2" t="str">
        <f t="shared" si="4"/>
        <v>08</v>
      </c>
      <c r="J324" s="2">
        <v>50</v>
      </c>
      <c r="K324" s="3">
        <v>-50000</v>
      </c>
      <c r="L324" s="2" t="s">
        <v>26</v>
      </c>
      <c r="M324" s="3">
        <v>-50000</v>
      </c>
      <c r="N324" s="2" t="s">
        <v>26</v>
      </c>
      <c r="R324" s="2" t="s">
        <v>27</v>
      </c>
      <c r="S324" s="2" t="s">
        <v>502</v>
      </c>
      <c r="T324" s="2" t="s">
        <v>45</v>
      </c>
      <c r="U324" s="2" t="s">
        <v>503</v>
      </c>
      <c r="V324" s="4">
        <f>+VLOOKUP(U324,'FBCJ Jul-Des 2025'!$G$10:$P$1302,8,0)</f>
        <v>70009110</v>
      </c>
      <c r="W324" s="4" t="str">
        <f>+VLOOKUP(V324,Sheet1!$A$2:$B$27,2,0)</f>
        <v>Biaya Survey dan Analisa</v>
      </c>
      <c r="X324" s="4" t="str">
        <f>+VLOOKUP(U324,'FBCJ Jul-Des 2025'!$G$10:$P$1302,9,0)</f>
        <v>M204D1COMM</v>
      </c>
      <c r="Y324" s="2" t="s">
        <v>43</v>
      </c>
      <c r="Z324" s="2">
        <v>1557224</v>
      </c>
      <c r="AA324" s="2">
        <v>20250813</v>
      </c>
      <c r="AB324" s="3">
        <v>50000</v>
      </c>
    </row>
    <row r="325" spans="3:28" x14ac:dyDescent="0.25">
      <c r="C325" s="2">
        <v>10000001</v>
      </c>
      <c r="D325" s="2" t="s">
        <v>476</v>
      </c>
      <c r="F325" s="2">
        <v>12006597</v>
      </c>
      <c r="H325" s="2" t="s">
        <v>476</v>
      </c>
      <c r="I325" s="2" t="str">
        <f t="shared" si="4"/>
        <v>08</v>
      </c>
      <c r="J325" s="2">
        <v>50</v>
      </c>
      <c r="K325" s="3">
        <v>-50000</v>
      </c>
      <c r="L325" s="2" t="s">
        <v>26</v>
      </c>
      <c r="M325" s="3">
        <v>-50000</v>
      </c>
      <c r="N325" s="2" t="s">
        <v>26</v>
      </c>
      <c r="R325" s="2" t="s">
        <v>27</v>
      </c>
      <c r="S325" s="2" t="s">
        <v>502</v>
      </c>
      <c r="T325" s="2" t="s">
        <v>45</v>
      </c>
      <c r="U325" s="2" t="s">
        <v>504</v>
      </c>
      <c r="V325" s="4">
        <f>+VLOOKUP(U325,'FBCJ Jul-Des 2025'!$G$10:$P$1302,8,0)</f>
        <v>70009110</v>
      </c>
      <c r="W325" s="4" t="str">
        <f>+VLOOKUP(V325,Sheet1!$A$2:$B$27,2,0)</f>
        <v>Biaya Survey dan Analisa</v>
      </c>
      <c r="X325" s="4" t="str">
        <f>+VLOOKUP(U325,'FBCJ Jul-Des 2025'!$G$10:$P$1302,9,0)</f>
        <v>C206D1SLSS</v>
      </c>
      <c r="Y325" s="2" t="s">
        <v>43</v>
      </c>
      <c r="Z325" s="2">
        <v>1557224</v>
      </c>
      <c r="AA325" s="2">
        <v>20250813</v>
      </c>
      <c r="AB325" s="3">
        <v>50000</v>
      </c>
    </row>
    <row r="326" spans="3:28" x14ac:dyDescent="0.25">
      <c r="C326" s="2">
        <v>10000001</v>
      </c>
      <c r="D326" s="2" t="s">
        <v>476</v>
      </c>
      <c r="F326" s="2">
        <v>12006598</v>
      </c>
      <c r="H326" s="2" t="s">
        <v>476</v>
      </c>
      <c r="I326" s="2" t="str">
        <f t="shared" si="4"/>
        <v>08</v>
      </c>
      <c r="J326" s="2">
        <v>50</v>
      </c>
      <c r="K326" s="3">
        <v>-50000</v>
      </c>
      <c r="L326" s="2" t="s">
        <v>26</v>
      </c>
      <c r="M326" s="3">
        <v>-50000</v>
      </c>
      <c r="N326" s="2" t="s">
        <v>26</v>
      </c>
      <c r="R326" s="2" t="s">
        <v>27</v>
      </c>
      <c r="S326" s="2" t="s">
        <v>502</v>
      </c>
      <c r="T326" s="2" t="s">
        <v>45</v>
      </c>
      <c r="U326" s="2" t="s">
        <v>505</v>
      </c>
      <c r="V326" s="4">
        <f>+VLOOKUP(U326,'FBCJ Jul-Des 2025'!$G$10:$P$1302,8,0)</f>
        <v>70009110</v>
      </c>
      <c r="W326" s="4" t="str">
        <f>+VLOOKUP(V326,Sheet1!$A$2:$B$27,2,0)</f>
        <v>Biaya Survey dan Analisa</v>
      </c>
      <c r="X326" s="4" t="str">
        <f>+VLOOKUP(U326,'FBCJ Jul-Des 2025'!$G$10:$P$1302,9,0)</f>
        <v>C206D1SLSS</v>
      </c>
      <c r="Y326" s="2" t="s">
        <v>43</v>
      </c>
      <c r="Z326" s="2">
        <v>1557224</v>
      </c>
      <c r="AA326" s="2">
        <v>20250813</v>
      </c>
      <c r="AB326" s="3">
        <v>50000</v>
      </c>
    </row>
    <row r="327" spans="3:28" x14ac:dyDescent="0.25">
      <c r="C327" s="2">
        <v>10000001</v>
      </c>
      <c r="D327" s="2" t="s">
        <v>476</v>
      </c>
      <c r="F327" s="2">
        <v>12006599</v>
      </c>
      <c r="H327" s="2" t="s">
        <v>476</v>
      </c>
      <c r="I327" s="2" t="str">
        <f t="shared" si="4"/>
        <v>08</v>
      </c>
      <c r="J327" s="2">
        <v>50</v>
      </c>
      <c r="K327" s="3">
        <v>-500000</v>
      </c>
      <c r="L327" s="2" t="s">
        <v>26</v>
      </c>
      <c r="M327" s="3">
        <v>-500000</v>
      </c>
      <c r="N327" s="2" t="s">
        <v>26</v>
      </c>
      <c r="R327" s="2" t="s">
        <v>27</v>
      </c>
      <c r="S327" s="2" t="s">
        <v>506</v>
      </c>
      <c r="T327" s="2" t="s">
        <v>41</v>
      </c>
      <c r="U327" s="2" t="s">
        <v>507</v>
      </c>
      <c r="V327" s="4">
        <f>+VLOOKUP(U327,'FBCJ Jul-Des 2025'!$G$10:$P$1302,8,0)</f>
        <v>70107300</v>
      </c>
      <c r="W327" s="4" t="str">
        <f>+VLOOKUP(V327,Sheet1!$A$2:$B$27,2,0)</f>
        <v>Biaya Olahraga Dan Permainan</v>
      </c>
      <c r="X327" s="4" t="str">
        <f>+VLOOKUP(U327,'FBCJ Jul-Des 2025'!$G$10:$P$1302,9,0)</f>
        <v>R124D1HRDV</v>
      </c>
      <c r="Y327" s="2" t="s">
        <v>43</v>
      </c>
      <c r="Z327" s="2">
        <v>1557224</v>
      </c>
      <c r="AA327" s="2">
        <v>20250813</v>
      </c>
      <c r="AB327" s="3">
        <v>500000</v>
      </c>
    </row>
    <row r="328" spans="3:28" x14ac:dyDescent="0.25">
      <c r="C328" s="2">
        <v>10000001</v>
      </c>
      <c r="D328" s="2" t="s">
        <v>476</v>
      </c>
      <c r="F328" s="2">
        <v>12006600</v>
      </c>
      <c r="H328" s="2" t="s">
        <v>476</v>
      </c>
      <c r="I328" s="2" t="str">
        <f t="shared" ref="I328:I391" si="5">+MID(H328,4,2)</f>
        <v>08</v>
      </c>
      <c r="J328" s="2">
        <v>50</v>
      </c>
      <c r="K328" s="3">
        <v>-50000</v>
      </c>
      <c r="L328" s="2" t="s">
        <v>26</v>
      </c>
      <c r="M328" s="3">
        <v>-50000</v>
      </c>
      <c r="N328" s="2" t="s">
        <v>26</v>
      </c>
      <c r="R328" s="2" t="s">
        <v>27</v>
      </c>
      <c r="S328" s="2" t="s">
        <v>508</v>
      </c>
      <c r="T328" s="2" t="s">
        <v>45</v>
      </c>
      <c r="U328" s="2" t="s">
        <v>509</v>
      </c>
      <c r="V328" s="4">
        <f>+VLOOKUP(U328,'FBCJ Jul-Des 2025'!$G$10:$P$1302,8,0)</f>
        <v>70009110</v>
      </c>
      <c r="W328" s="4" t="str">
        <f>+VLOOKUP(V328,Sheet1!$A$2:$B$27,2,0)</f>
        <v>Biaya Survey dan Analisa</v>
      </c>
      <c r="X328" s="4" t="str">
        <f>+VLOOKUP(U328,'FBCJ Jul-Des 2025'!$G$10:$P$1302,9,0)</f>
        <v>P206D1SLSS</v>
      </c>
      <c r="Y328" s="2" t="s">
        <v>43</v>
      </c>
      <c r="Z328" s="2">
        <v>1557224</v>
      </c>
      <c r="AA328" s="2">
        <v>20250813</v>
      </c>
      <c r="AB328" s="3">
        <v>50000</v>
      </c>
    </row>
    <row r="329" spans="3:28" x14ac:dyDescent="0.25">
      <c r="C329" s="2">
        <v>10000001</v>
      </c>
      <c r="D329" s="2" t="s">
        <v>476</v>
      </c>
      <c r="F329" s="2">
        <v>12006601</v>
      </c>
      <c r="H329" s="2" t="s">
        <v>476</v>
      </c>
      <c r="I329" s="2" t="str">
        <f t="shared" si="5"/>
        <v>08</v>
      </c>
      <c r="J329" s="2">
        <v>50</v>
      </c>
      <c r="K329" s="3">
        <v>-50000</v>
      </c>
      <c r="L329" s="2" t="s">
        <v>26</v>
      </c>
      <c r="M329" s="3">
        <v>-50000</v>
      </c>
      <c r="N329" s="2" t="s">
        <v>26</v>
      </c>
      <c r="R329" s="2" t="s">
        <v>27</v>
      </c>
      <c r="S329" s="2" t="s">
        <v>508</v>
      </c>
      <c r="T329" s="2" t="s">
        <v>45</v>
      </c>
      <c r="U329" s="2" t="s">
        <v>509</v>
      </c>
      <c r="V329" s="4">
        <f>+VLOOKUP(U329,'FBCJ Jul-Des 2025'!$G$10:$P$1302,8,0)</f>
        <v>70009110</v>
      </c>
      <c r="W329" s="4" t="str">
        <f>+VLOOKUP(V329,Sheet1!$A$2:$B$27,2,0)</f>
        <v>Biaya Survey dan Analisa</v>
      </c>
      <c r="X329" s="4" t="str">
        <f>+VLOOKUP(U329,'FBCJ Jul-Des 2025'!$G$10:$P$1302,9,0)</f>
        <v>P206D1SLSS</v>
      </c>
      <c r="Y329" s="2" t="s">
        <v>43</v>
      </c>
      <c r="Z329" s="2">
        <v>1557224</v>
      </c>
      <c r="AA329" s="2">
        <v>20250813</v>
      </c>
      <c r="AB329" s="3">
        <v>50000</v>
      </c>
    </row>
    <row r="330" spans="3:28" x14ac:dyDescent="0.25">
      <c r="C330" s="2">
        <v>10000001</v>
      </c>
      <c r="D330" s="2" t="s">
        <v>476</v>
      </c>
      <c r="F330" s="2">
        <v>12006602</v>
      </c>
      <c r="H330" s="2" t="s">
        <v>476</v>
      </c>
      <c r="I330" s="2" t="str">
        <f t="shared" si="5"/>
        <v>08</v>
      </c>
      <c r="J330" s="2">
        <v>50</v>
      </c>
      <c r="K330" s="3">
        <v>-50000</v>
      </c>
      <c r="L330" s="2" t="s">
        <v>26</v>
      </c>
      <c r="M330" s="3">
        <v>-50000</v>
      </c>
      <c r="N330" s="2" t="s">
        <v>26</v>
      </c>
      <c r="R330" s="2" t="s">
        <v>27</v>
      </c>
      <c r="S330" s="2" t="s">
        <v>508</v>
      </c>
      <c r="T330" s="2" t="s">
        <v>45</v>
      </c>
      <c r="U330" s="2" t="s">
        <v>510</v>
      </c>
      <c r="V330" s="4">
        <f>+VLOOKUP(U330,'FBCJ Jul-Des 2025'!$G$10:$P$1302,8,0)</f>
        <v>70009110</v>
      </c>
      <c r="W330" s="4" t="str">
        <f>+VLOOKUP(V330,Sheet1!$A$2:$B$27,2,0)</f>
        <v>Biaya Survey dan Analisa</v>
      </c>
      <c r="X330" s="4" t="str">
        <f>+VLOOKUP(U330,'FBCJ Jul-Des 2025'!$G$10:$P$1302,9,0)</f>
        <v>C206D1SLSS</v>
      </c>
      <c r="Y330" s="2" t="s">
        <v>43</v>
      </c>
      <c r="Z330" s="2">
        <v>1557224</v>
      </c>
      <c r="AA330" s="2">
        <v>20250813</v>
      </c>
      <c r="AB330" s="3">
        <v>50000</v>
      </c>
    </row>
    <row r="331" spans="3:28" x14ac:dyDescent="0.25">
      <c r="C331" s="2">
        <v>10000001</v>
      </c>
      <c r="D331" s="2" t="s">
        <v>476</v>
      </c>
      <c r="F331" s="2">
        <v>12006603</v>
      </c>
      <c r="H331" s="2" t="s">
        <v>476</v>
      </c>
      <c r="I331" s="2" t="str">
        <f t="shared" si="5"/>
        <v>08</v>
      </c>
      <c r="J331" s="2">
        <v>50</v>
      </c>
      <c r="K331" s="3">
        <v>-860000</v>
      </c>
      <c r="L331" s="2" t="s">
        <v>26</v>
      </c>
      <c r="M331" s="3">
        <v>-860000</v>
      </c>
      <c r="N331" s="2" t="s">
        <v>26</v>
      </c>
      <c r="R331" s="2" t="s">
        <v>27</v>
      </c>
      <c r="S331" s="2" t="s">
        <v>511</v>
      </c>
      <c r="T331" s="2" t="s">
        <v>146</v>
      </c>
      <c r="U331" s="2" t="s">
        <v>512</v>
      </c>
      <c r="V331" s="4">
        <f>+VLOOKUP(U331,'FBCJ Jul-Des 2025'!$G$10:$P$1302,8,0)</f>
        <v>70115100</v>
      </c>
      <c r="W331" s="4" t="str">
        <f>+VLOOKUP(V331,Sheet1!$A$2:$B$27,2,0)</f>
        <v>Biaya Riset, Pengembangan, dan Laboratorium</v>
      </c>
      <c r="X331" s="4" t="str">
        <f>+VLOOKUP(U331,'FBCJ Jul-Des 2025'!$G$10:$P$1302,9,0)</f>
        <v>M204D1COMM</v>
      </c>
      <c r="Y331" s="2" t="s">
        <v>43</v>
      </c>
      <c r="Z331" s="2">
        <v>1557224</v>
      </c>
      <c r="AA331" s="2">
        <v>20250813</v>
      </c>
      <c r="AB331" s="3">
        <v>860000</v>
      </c>
    </row>
    <row r="332" spans="3:28" x14ac:dyDescent="0.25">
      <c r="C332" s="2">
        <v>10000001</v>
      </c>
      <c r="D332" s="2" t="s">
        <v>476</v>
      </c>
      <c r="F332" s="2">
        <v>12006604</v>
      </c>
      <c r="H332" s="2" t="s">
        <v>476</v>
      </c>
      <c r="I332" s="2" t="str">
        <f t="shared" si="5"/>
        <v>08</v>
      </c>
      <c r="J332" s="2">
        <v>50</v>
      </c>
      <c r="K332" s="3">
        <v>-789000</v>
      </c>
      <c r="L332" s="2" t="s">
        <v>26</v>
      </c>
      <c r="M332" s="3">
        <v>-789000</v>
      </c>
      <c r="N332" s="2" t="s">
        <v>26</v>
      </c>
      <c r="R332" s="2" t="s">
        <v>27</v>
      </c>
      <c r="S332" s="2" t="s">
        <v>513</v>
      </c>
      <c r="T332" s="2" t="s">
        <v>146</v>
      </c>
      <c r="U332" s="2" t="s">
        <v>514</v>
      </c>
      <c r="V332" s="4">
        <f>+VLOOKUP(U332,'FBCJ Jul-Des 2025'!$G$10:$P$1302,8,0)</f>
        <v>70115100</v>
      </c>
      <c r="W332" s="4" t="str">
        <f>+VLOOKUP(V332,Sheet1!$A$2:$B$27,2,0)</f>
        <v>Biaya Riset, Pengembangan, dan Laboratorium</v>
      </c>
      <c r="X332" s="4" t="str">
        <f>+VLOOKUP(U332,'FBCJ Jul-Des 2025'!$G$10:$P$1302,9,0)</f>
        <v>M204D1COMM</v>
      </c>
      <c r="Y332" s="2" t="s">
        <v>43</v>
      </c>
      <c r="Z332" s="2">
        <v>1557224</v>
      </c>
      <c r="AA332" s="2">
        <v>20250813</v>
      </c>
      <c r="AB332" s="3">
        <v>789000</v>
      </c>
    </row>
    <row r="333" spans="3:28" x14ac:dyDescent="0.25">
      <c r="C333" s="2">
        <v>10000001</v>
      </c>
      <c r="D333" s="2" t="s">
        <v>476</v>
      </c>
      <c r="F333" s="2">
        <v>12006605</v>
      </c>
      <c r="H333" s="2" t="s">
        <v>476</v>
      </c>
      <c r="I333" s="2" t="str">
        <f t="shared" si="5"/>
        <v>08</v>
      </c>
      <c r="J333" s="2">
        <v>50</v>
      </c>
      <c r="K333" s="3">
        <v>-800000</v>
      </c>
      <c r="L333" s="2" t="s">
        <v>26</v>
      </c>
      <c r="M333" s="3">
        <v>-800000</v>
      </c>
      <c r="N333" s="2" t="s">
        <v>26</v>
      </c>
      <c r="R333" s="2" t="s">
        <v>27</v>
      </c>
      <c r="S333" s="2" t="s">
        <v>515</v>
      </c>
      <c r="T333" s="2" t="s">
        <v>146</v>
      </c>
      <c r="U333" s="2" t="s">
        <v>516</v>
      </c>
      <c r="V333" s="4">
        <f>+VLOOKUP(U333,'FBCJ Jul-Des 2025'!$G$10:$P$1302,8,0)</f>
        <v>70115100</v>
      </c>
      <c r="W333" s="4" t="str">
        <f>+VLOOKUP(V333,Sheet1!$A$2:$B$27,2,0)</f>
        <v>Biaya Riset, Pengembangan, dan Laboratorium</v>
      </c>
      <c r="X333" s="4" t="str">
        <f>+VLOOKUP(U333,'FBCJ Jul-Des 2025'!$G$10:$P$1302,9,0)</f>
        <v>M204D1COMM</v>
      </c>
      <c r="Y333" s="2" t="s">
        <v>43</v>
      </c>
      <c r="Z333" s="2">
        <v>1557224</v>
      </c>
      <c r="AA333" s="2">
        <v>20250813</v>
      </c>
      <c r="AB333" s="3">
        <v>800000</v>
      </c>
    </row>
    <row r="334" spans="3:28" x14ac:dyDescent="0.25">
      <c r="C334" s="2">
        <v>10000001</v>
      </c>
      <c r="D334" s="2" t="s">
        <v>476</v>
      </c>
      <c r="F334" s="2">
        <v>12006606</v>
      </c>
      <c r="H334" s="2" t="s">
        <v>476</v>
      </c>
      <c r="I334" s="2" t="str">
        <f t="shared" si="5"/>
        <v>08</v>
      </c>
      <c r="J334" s="2">
        <v>50</v>
      </c>
      <c r="K334" s="3">
        <v>-525000</v>
      </c>
      <c r="L334" s="2" t="s">
        <v>26</v>
      </c>
      <c r="M334" s="3">
        <v>-525000</v>
      </c>
      <c r="N334" s="2" t="s">
        <v>26</v>
      </c>
      <c r="R334" s="2" t="s">
        <v>27</v>
      </c>
      <c r="S334" s="2" t="s">
        <v>517</v>
      </c>
      <c r="T334" s="2" t="s">
        <v>146</v>
      </c>
      <c r="U334" s="2" t="s">
        <v>295</v>
      </c>
      <c r="V334" s="4">
        <f>+VLOOKUP(U334,'FBCJ Jul-Des 2025'!$G$10:$P$1302,8,0)</f>
        <v>70115100</v>
      </c>
      <c r="W334" s="4" t="str">
        <f>+VLOOKUP(V334,Sheet1!$A$2:$B$27,2,0)</f>
        <v>Biaya Riset, Pengembangan, dan Laboratorium</v>
      </c>
      <c r="X334" s="4" t="str">
        <f>+VLOOKUP(U334,'FBCJ Jul-Des 2025'!$G$10:$P$1302,9,0)</f>
        <v>R124QCA</v>
      </c>
      <c r="Y334" s="2" t="s">
        <v>43</v>
      </c>
      <c r="Z334" s="2">
        <v>1557224</v>
      </c>
      <c r="AA334" s="2">
        <v>20250813</v>
      </c>
      <c r="AB334" s="3">
        <v>525000</v>
      </c>
    </row>
    <row r="335" spans="3:28" x14ac:dyDescent="0.25">
      <c r="C335" s="2">
        <v>10000001</v>
      </c>
      <c r="D335" s="2" t="s">
        <v>476</v>
      </c>
      <c r="F335" s="2">
        <v>12006607</v>
      </c>
      <c r="H335" s="2" t="s">
        <v>476</v>
      </c>
      <c r="I335" s="2" t="str">
        <f t="shared" si="5"/>
        <v>08</v>
      </c>
      <c r="J335" s="2">
        <v>50</v>
      </c>
      <c r="K335" s="3">
        <v>-90900</v>
      </c>
      <c r="L335" s="2" t="s">
        <v>26</v>
      </c>
      <c r="M335" s="3">
        <v>-90900</v>
      </c>
      <c r="N335" s="2" t="s">
        <v>26</v>
      </c>
      <c r="R335" s="2" t="s">
        <v>27</v>
      </c>
      <c r="S335" s="2" t="s">
        <v>517</v>
      </c>
      <c r="T335" s="2" t="s">
        <v>518</v>
      </c>
      <c r="U335" s="2" t="s">
        <v>519</v>
      </c>
      <c r="V335" s="4">
        <f>+VLOOKUP(U335,'FBCJ Jul-Des 2025'!$G$10:$P$1302,8,0)</f>
        <v>70119300</v>
      </c>
      <c r="W335" s="4" t="str">
        <f>+VLOOKUP(V335,Sheet1!$A$2:$B$27,2,0)</f>
        <v>Biaya Umum dan Administrasi</v>
      </c>
      <c r="X335" s="4" t="str">
        <f>+VLOOKUP(U335,'FBCJ Jul-Des 2025'!$G$10:$P$1302,9,0)</f>
        <v>R124QCA</v>
      </c>
      <c r="Y335" s="2" t="s">
        <v>43</v>
      </c>
      <c r="Z335" s="2">
        <v>1557224</v>
      </c>
      <c r="AA335" s="2">
        <v>20250813</v>
      </c>
      <c r="AB335" s="3">
        <v>90900</v>
      </c>
    </row>
    <row r="336" spans="3:28" x14ac:dyDescent="0.25">
      <c r="C336" s="2">
        <v>10000001</v>
      </c>
      <c r="D336" s="2" t="s">
        <v>476</v>
      </c>
      <c r="F336" s="2">
        <v>12006608</v>
      </c>
      <c r="H336" s="2" t="s">
        <v>476</v>
      </c>
      <c r="I336" s="2" t="str">
        <f t="shared" si="5"/>
        <v>08</v>
      </c>
      <c r="J336" s="2">
        <v>50</v>
      </c>
      <c r="K336" s="3">
        <v>-120000</v>
      </c>
      <c r="L336" s="2" t="s">
        <v>26</v>
      </c>
      <c r="M336" s="3">
        <v>-120000</v>
      </c>
      <c r="N336" s="2" t="s">
        <v>26</v>
      </c>
      <c r="R336" s="2" t="s">
        <v>27</v>
      </c>
      <c r="S336" s="2" t="s">
        <v>517</v>
      </c>
      <c r="T336" s="2" t="s">
        <v>126</v>
      </c>
      <c r="U336" s="2" t="s">
        <v>520</v>
      </c>
      <c r="V336" s="4">
        <f>+VLOOKUP(U336,'FBCJ Jul-Des 2025'!$G$10:$P$1302,8,0)</f>
        <v>70107600</v>
      </c>
      <c r="W336" s="4" t="str">
        <f>+VLOOKUP(V336,Sheet1!$A$2:$B$27,2,0)</f>
        <v>Biaya Konsumsi Kantor</v>
      </c>
      <c r="X336" s="4" t="str">
        <f>+VLOOKUP(U336,'FBCJ Jul-Des 2025'!$G$10:$P$1302,9,0)</f>
        <v>R124QCA</v>
      </c>
      <c r="Y336" s="2" t="s">
        <v>43</v>
      </c>
      <c r="Z336" s="2">
        <v>1557224</v>
      </c>
      <c r="AA336" s="2">
        <v>20250813</v>
      </c>
      <c r="AB336" s="3">
        <v>120000</v>
      </c>
    </row>
    <row r="337" spans="3:28" x14ac:dyDescent="0.25">
      <c r="C337" s="2">
        <v>10000001</v>
      </c>
      <c r="D337" s="2" t="s">
        <v>476</v>
      </c>
      <c r="F337" s="2">
        <v>12006609</v>
      </c>
      <c r="H337" s="2" t="s">
        <v>476</v>
      </c>
      <c r="I337" s="2" t="str">
        <f t="shared" si="5"/>
        <v>08</v>
      </c>
      <c r="J337" s="2">
        <v>50</v>
      </c>
      <c r="K337" s="3">
        <v>-87976</v>
      </c>
      <c r="L337" s="2" t="s">
        <v>26</v>
      </c>
      <c r="M337" s="3">
        <v>-87976</v>
      </c>
      <c r="N337" s="2" t="s">
        <v>26</v>
      </c>
      <c r="R337" s="2" t="s">
        <v>27</v>
      </c>
      <c r="S337" s="2" t="s">
        <v>517</v>
      </c>
      <c r="T337" s="2" t="s">
        <v>59</v>
      </c>
      <c r="U337" s="2" t="s">
        <v>521</v>
      </c>
      <c r="V337" s="4">
        <f>+VLOOKUP(U337,'FBCJ Jul-Des 2025'!$G$10:$P$1302,8,0)</f>
        <v>70101114</v>
      </c>
      <c r="W337" s="4" t="str">
        <f>+VLOOKUP(V337,Sheet1!$A$2:$B$27,2,0)</f>
        <v>By Perbaikan &amp; Perawatan Perabot Material Pihak3</v>
      </c>
      <c r="X337" s="4" t="str">
        <f>+VLOOKUP(U337,'FBCJ Jul-Des 2025'!$G$10:$P$1302,9,0)</f>
        <v>R124QCA</v>
      </c>
      <c r="Y337" s="2" t="s">
        <v>43</v>
      </c>
      <c r="Z337" s="2">
        <v>1557224</v>
      </c>
      <c r="AA337" s="2">
        <v>20250813</v>
      </c>
      <c r="AB337" s="3">
        <v>87976</v>
      </c>
    </row>
    <row r="338" spans="3:28" x14ac:dyDescent="0.25">
      <c r="C338" s="2">
        <v>10000001</v>
      </c>
      <c r="D338" s="2" t="s">
        <v>476</v>
      </c>
      <c r="F338" s="2">
        <v>12006610</v>
      </c>
      <c r="H338" s="2" t="s">
        <v>476</v>
      </c>
      <c r="I338" s="2" t="str">
        <f t="shared" si="5"/>
        <v>08</v>
      </c>
      <c r="J338" s="2">
        <v>50</v>
      </c>
      <c r="K338" s="3">
        <v>-800000</v>
      </c>
      <c r="L338" s="2" t="s">
        <v>26</v>
      </c>
      <c r="M338" s="3">
        <v>-800000</v>
      </c>
      <c r="N338" s="2" t="s">
        <v>26</v>
      </c>
      <c r="R338" s="2" t="s">
        <v>27</v>
      </c>
      <c r="S338" s="2" t="s">
        <v>522</v>
      </c>
      <c r="T338" s="2" t="s">
        <v>146</v>
      </c>
      <c r="U338" s="2" t="s">
        <v>516</v>
      </c>
      <c r="V338" s="4">
        <f>+VLOOKUP(U338,'FBCJ Jul-Des 2025'!$G$10:$P$1302,8,0)</f>
        <v>70115100</v>
      </c>
      <c r="W338" s="4" t="str">
        <f>+VLOOKUP(V338,Sheet1!$A$2:$B$27,2,0)</f>
        <v>Biaya Riset, Pengembangan, dan Laboratorium</v>
      </c>
      <c r="X338" s="4" t="str">
        <f>+VLOOKUP(U338,'FBCJ Jul-Des 2025'!$G$10:$P$1302,9,0)</f>
        <v>M204D1COMM</v>
      </c>
      <c r="Y338" s="2" t="s">
        <v>43</v>
      </c>
      <c r="Z338" s="2">
        <v>1557224</v>
      </c>
      <c r="AA338" s="2">
        <v>20250813</v>
      </c>
      <c r="AB338" s="3">
        <v>800000</v>
      </c>
    </row>
    <row r="339" spans="3:28" x14ac:dyDescent="0.25">
      <c r="C339" s="2">
        <v>10000001</v>
      </c>
      <c r="D339" s="2" t="s">
        <v>476</v>
      </c>
      <c r="F339" s="2">
        <v>12006611</v>
      </c>
      <c r="H339" s="2" t="s">
        <v>476</v>
      </c>
      <c r="I339" s="2" t="str">
        <f t="shared" si="5"/>
        <v>08</v>
      </c>
      <c r="J339" s="2">
        <v>50</v>
      </c>
      <c r="K339" s="3">
        <v>-960000</v>
      </c>
      <c r="L339" s="2" t="s">
        <v>26</v>
      </c>
      <c r="M339" s="3">
        <v>-960000</v>
      </c>
      <c r="N339" s="2" t="s">
        <v>26</v>
      </c>
      <c r="R339" s="2" t="s">
        <v>27</v>
      </c>
      <c r="S339" s="2" t="s">
        <v>523</v>
      </c>
      <c r="T339" s="2" t="s">
        <v>146</v>
      </c>
      <c r="U339" s="2" t="s">
        <v>516</v>
      </c>
      <c r="V339" s="4">
        <f>+VLOOKUP(U339,'FBCJ Jul-Des 2025'!$G$10:$P$1302,8,0)</f>
        <v>70115100</v>
      </c>
      <c r="W339" s="4" t="str">
        <f>+VLOOKUP(V339,Sheet1!$A$2:$B$27,2,0)</f>
        <v>Biaya Riset, Pengembangan, dan Laboratorium</v>
      </c>
      <c r="X339" s="4" t="str">
        <f>+VLOOKUP(U339,'FBCJ Jul-Des 2025'!$G$10:$P$1302,9,0)</f>
        <v>M204D1COMM</v>
      </c>
      <c r="Y339" s="2" t="s">
        <v>43</v>
      </c>
      <c r="Z339" s="2">
        <v>1557224</v>
      </c>
      <c r="AA339" s="2">
        <v>20250813</v>
      </c>
      <c r="AB339" s="3">
        <v>960000</v>
      </c>
    </row>
    <row r="340" spans="3:28" x14ac:dyDescent="0.25">
      <c r="C340" s="2">
        <v>10000001</v>
      </c>
      <c r="D340" s="2" t="s">
        <v>476</v>
      </c>
      <c r="F340" s="2">
        <v>12006612</v>
      </c>
      <c r="H340" s="2" t="s">
        <v>476</v>
      </c>
      <c r="I340" s="2" t="str">
        <f t="shared" si="5"/>
        <v>08</v>
      </c>
      <c r="J340" s="2">
        <v>50</v>
      </c>
      <c r="K340" s="3">
        <v>-513514</v>
      </c>
      <c r="L340" s="2" t="s">
        <v>26</v>
      </c>
      <c r="M340" s="3">
        <v>-513514</v>
      </c>
      <c r="N340" s="2" t="s">
        <v>26</v>
      </c>
      <c r="R340" s="2" t="s">
        <v>27</v>
      </c>
      <c r="S340" s="2" t="s">
        <v>524</v>
      </c>
      <c r="T340" s="2" t="s">
        <v>59</v>
      </c>
      <c r="U340" s="2" t="s">
        <v>525</v>
      </c>
      <c r="V340" s="4">
        <f>+VLOOKUP(U340,'FBCJ Jul-Des 2025'!$G$10:$P$1302,8,0)</f>
        <v>70101114</v>
      </c>
      <c r="W340" s="4" t="str">
        <f>+VLOOKUP(V340,Sheet1!$A$2:$B$27,2,0)</f>
        <v>By Perbaikan &amp; Perawatan Perabot Material Pihak3</v>
      </c>
      <c r="X340" s="4" t="str">
        <f>+VLOOKUP(U340,'FBCJ Jul-Des 2025'!$G$10:$P$1302,9,0)</f>
        <v>R124D1HRGA</v>
      </c>
      <c r="Y340" s="2" t="s">
        <v>43</v>
      </c>
      <c r="Z340" s="2">
        <v>1557224</v>
      </c>
      <c r="AA340" s="2">
        <v>20250813</v>
      </c>
      <c r="AB340" s="3">
        <v>513514</v>
      </c>
    </row>
    <row r="341" spans="3:28" x14ac:dyDescent="0.25">
      <c r="C341" s="2">
        <v>10000001</v>
      </c>
      <c r="D341" s="2" t="s">
        <v>476</v>
      </c>
      <c r="F341" s="2">
        <v>12006613</v>
      </c>
      <c r="H341" s="2" t="s">
        <v>476</v>
      </c>
      <c r="I341" s="2" t="str">
        <f t="shared" si="5"/>
        <v>08</v>
      </c>
      <c r="J341" s="2">
        <v>50</v>
      </c>
      <c r="K341" s="3">
        <v>-850000</v>
      </c>
      <c r="L341" s="2" t="s">
        <v>26</v>
      </c>
      <c r="M341" s="3">
        <v>-850000</v>
      </c>
      <c r="N341" s="2" t="s">
        <v>26</v>
      </c>
      <c r="R341" s="2" t="s">
        <v>27</v>
      </c>
      <c r="S341" s="2" t="s">
        <v>526</v>
      </c>
      <c r="T341" s="2" t="s">
        <v>96</v>
      </c>
      <c r="U341" s="2" t="s">
        <v>527</v>
      </c>
      <c r="V341" s="4">
        <f>+VLOOKUP(U341,'FBCJ Jul-Des 2025'!$G$10:$P$1302,8,0)</f>
        <v>70106400</v>
      </c>
      <c r="W341" s="4" t="str">
        <f>+VLOOKUP(V341,Sheet1!$A$2:$B$27,2,0)</f>
        <v>Biaya Bahan Bakar</v>
      </c>
      <c r="X341" s="4" t="str">
        <f>+VLOOKUP(U341,'FBCJ Jul-Des 2025'!$G$10:$P$1302,9,0)</f>
        <v>R124D1HRGA</v>
      </c>
      <c r="Y341" s="2" t="s">
        <v>43</v>
      </c>
      <c r="Z341" s="2">
        <v>1557224</v>
      </c>
      <c r="AA341" s="2">
        <v>20250813</v>
      </c>
      <c r="AB341" s="3">
        <v>850000</v>
      </c>
    </row>
    <row r="342" spans="3:28" x14ac:dyDescent="0.25">
      <c r="C342" s="2">
        <v>10000001</v>
      </c>
      <c r="D342" s="2" t="s">
        <v>476</v>
      </c>
      <c r="F342" s="2">
        <v>12006614</v>
      </c>
      <c r="H342" s="2" t="s">
        <v>476</v>
      </c>
      <c r="I342" s="2" t="str">
        <f t="shared" si="5"/>
        <v>08</v>
      </c>
      <c r="J342" s="2">
        <v>50</v>
      </c>
      <c r="K342" s="3">
        <v>-148500</v>
      </c>
      <c r="L342" s="2" t="s">
        <v>26</v>
      </c>
      <c r="M342" s="3">
        <v>-148500</v>
      </c>
      <c r="N342" s="2" t="s">
        <v>26</v>
      </c>
      <c r="R342" s="2" t="s">
        <v>27</v>
      </c>
      <c r="S342" s="2" t="s">
        <v>526</v>
      </c>
      <c r="T342" s="2" t="s">
        <v>67</v>
      </c>
      <c r="U342" s="2" t="s">
        <v>98</v>
      </c>
      <c r="V342" s="4">
        <f>+VLOOKUP(U342,'FBCJ Jul-Des 2025'!$G$10:$P$1302,8,0)</f>
        <v>70106100</v>
      </c>
      <c r="W342" s="4" t="str">
        <f>+VLOOKUP(V342,Sheet1!$A$2:$B$27,2,0)</f>
        <v>Biaya Transportasi Lokal</v>
      </c>
      <c r="X342" s="4" t="str">
        <f>+VLOOKUP(U342,'FBCJ Jul-Des 2025'!$G$10:$P$1302,9,0)</f>
        <v>R124D1HRGA</v>
      </c>
      <c r="Y342" s="2" t="s">
        <v>43</v>
      </c>
      <c r="Z342" s="2">
        <v>1557224</v>
      </c>
      <c r="AA342" s="2">
        <v>20250813</v>
      </c>
      <c r="AB342" s="3">
        <v>148500</v>
      </c>
    </row>
    <row r="343" spans="3:28" x14ac:dyDescent="0.25">
      <c r="C343" s="2">
        <v>10000001</v>
      </c>
      <c r="D343" s="2" t="s">
        <v>476</v>
      </c>
      <c r="F343" s="2">
        <v>12006615</v>
      </c>
      <c r="H343" s="2" t="s">
        <v>476</v>
      </c>
      <c r="I343" s="2" t="str">
        <f t="shared" si="5"/>
        <v>08</v>
      </c>
      <c r="J343" s="2">
        <v>50</v>
      </c>
      <c r="K343" s="3">
        <v>-290500</v>
      </c>
      <c r="L343" s="2" t="s">
        <v>26</v>
      </c>
      <c r="M343" s="3">
        <v>-290500</v>
      </c>
      <c r="N343" s="2" t="s">
        <v>26</v>
      </c>
      <c r="R343" s="2" t="s">
        <v>27</v>
      </c>
      <c r="S343" s="2" t="s">
        <v>528</v>
      </c>
      <c r="T343" s="2" t="s">
        <v>254</v>
      </c>
      <c r="U343" s="2" t="s">
        <v>529</v>
      </c>
      <c r="V343" s="4">
        <f>+VLOOKUP(U343,'FBCJ Jul-Des 2025'!$G$10:$P$1302,8,0)</f>
        <v>70107100</v>
      </c>
      <c r="W343" s="4" t="str">
        <f>+VLOOKUP(V343,Sheet1!$A$2:$B$27,2,0)</f>
        <v>Biaya Mess</v>
      </c>
      <c r="X343" s="4" t="str">
        <f>+VLOOKUP(U343,'FBCJ Jul-Des 2025'!$G$10:$P$1302,9,0)</f>
        <v>R124D1HRGA</v>
      </c>
      <c r="Y343" s="2" t="s">
        <v>43</v>
      </c>
      <c r="Z343" s="2">
        <v>1557224</v>
      </c>
      <c r="AA343" s="2">
        <v>20250813</v>
      </c>
      <c r="AB343" s="3">
        <v>290500</v>
      </c>
    </row>
    <row r="344" spans="3:28" x14ac:dyDescent="0.25">
      <c r="C344" s="2">
        <v>10000001</v>
      </c>
      <c r="D344" s="2" t="s">
        <v>476</v>
      </c>
      <c r="F344" s="2">
        <v>12006616</v>
      </c>
      <c r="H344" s="2" t="s">
        <v>476</v>
      </c>
      <c r="I344" s="2" t="str">
        <f t="shared" si="5"/>
        <v>08</v>
      </c>
      <c r="J344" s="2">
        <v>50</v>
      </c>
      <c r="K344" s="3">
        <v>-868100</v>
      </c>
      <c r="L344" s="2" t="s">
        <v>26</v>
      </c>
      <c r="M344" s="3">
        <v>-868100</v>
      </c>
      <c r="N344" s="2" t="s">
        <v>26</v>
      </c>
      <c r="R344" s="2" t="s">
        <v>27</v>
      </c>
      <c r="S344" s="2" t="s">
        <v>530</v>
      </c>
      <c r="T344" s="2" t="s">
        <v>334</v>
      </c>
      <c r="U344" s="2" t="s">
        <v>531</v>
      </c>
      <c r="V344" s="4">
        <f>+VLOOKUP(U344,'FBCJ Jul-Des 2025'!$G$10:$P$1302,8,0)</f>
        <v>70001110</v>
      </c>
      <c r="W344" s="4" t="str">
        <f>+VLOOKUP(V344,Sheet1!$A$2:$B$27,2,0)</f>
        <v>Biaya Ekspor lainnya</v>
      </c>
      <c r="X344" s="4" t="str">
        <f>+VLOOKUP(U344,'FBCJ Jul-Des 2025'!$G$10:$P$1302,9,0)</f>
        <v>P206D1SLSS</v>
      </c>
      <c r="Y344" s="2" t="s">
        <v>43</v>
      </c>
      <c r="Z344" s="2">
        <v>1557224</v>
      </c>
      <c r="AA344" s="2">
        <v>20250813</v>
      </c>
      <c r="AB344" s="3">
        <v>868100</v>
      </c>
    </row>
    <row r="345" spans="3:28" x14ac:dyDescent="0.25">
      <c r="C345" s="2">
        <v>10000001</v>
      </c>
      <c r="D345" s="2" t="s">
        <v>476</v>
      </c>
      <c r="F345" s="2">
        <v>12006617</v>
      </c>
      <c r="H345" s="2" t="s">
        <v>476</v>
      </c>
      <c r="I345" s="2" t="str">
        <f t="shared" si="5"/>
        <v>08</v>
      </c>
      <c r="J345" s="2">
        <v>50</v>
      </c>
      <c r="K345" s="3">
        <v>-50000</v>
      </c>
      <c r="L345" s="2" t="s">
        <v>26</v>
      </c>
      <c r="M345" s="3">
        <v>-50000</v>
      </c>
      <c r="N345" s="2" t="s">
        <v>26</v>
      </c>
      <c r="R345" s="2" t="s">
        <v>27</v>
      </c>
      <c r="S345" s="2" t="s">
        <v>532</v>
      </c>
      <c r="T345" s="2" t="s">
        <v>45</v>
      </c>
      <c r="U345" s="2" t="s">
        <v>533</v>
      </c>
      <c r="V345" s="4">
        <f>+VLOOKUP(U345,'FBCJ Jul-Des 2025'!$G$10:$P$1302,8,0)</f>
        <v>70009110</v>
      </c>
      <c r="W345" s="4" t="str">
        <f>+VLOOKUP(V345,Sheet1!$A$2:$B$27,2,0)</f>
        <v>Biaya Survey dan Analisa</v>
      </c>
      <c r="X345" s="4" t="str">
        <f>+VLOOKUP(U345,'FBCJ Jul-Des 2025'!$G$10:$P$1302,9,0)</f>
        <v>C206D1SLSS</v>
      </c>
      <c r="Y345" s="2" t="s">
        <v>43</v>
      </c>
      <c r="Z345" s="2">
        <v>1557224</v>
      </c>
      <c r="AA345" s="2">
        <v>20250813</v>
      </c>
      <c r="AB345" s="3">
        <v>50000</v>
      </c>
    </row>
    <row r="346" spans="3:28" x14ac:dyDescent="0.25">
      <c r="C346" s="2">
        <v>10000001</v>
      </c>
      <c r="D346" s="2" t="s">
        <v>476</v>
      </c>
      <c r="F346" s="2">
        <v>12006618</v>
      </c>
      <c r="H346" s="2" t="s">
        <v>476</v>
      </c>
      <c r="I346" s="2" t="str">
        <f t="shared" si="5"/>
        <v>08</v>
      </c>
      <c r="J346" s="2">
        <v>50</v>
      </c>
      <c r="K346" s="3">
        <v>-50000</v>
      </c>
      <c r="L346" s="2" t="s">
        <v>26</v>
      </c>
      <c r="M346" s="3">
        <v>-50000</v>
      </c>
      <c r="N346" s="2" t="s">
        <v>26</v>
      </c>
      <c r="R346" s="2" t="s">
        <v>27</v>
      </c>
      <c r="S346" s="2" t="s">
        <v>534</v>
      </c>
      <c r="T346" s="2" t="s">
        <v>45</v>
      </c>
      <c r="U346" s="2" t="s">
        <v>535</v>
      </c>
      <c r="V346" s="4">
        <f>+VLOOKUP(U346,'FBCJ Jul-Des 2025'!$G$10:$P$1302,8,0)</f>
        <v>70009110</v>
      </c>
      <c r="W346" s="4" t="str">
        <f>+VLOOKUP(V346,Sheet1!$A$2:$B$27,2,0)</f>
        <v>Biaya Survey dan Analisa</v>
      </c>
      <c r="X346" s="4" t="str">
        <f>+VLOOKUP(U346,'FBCJ Jul-Des 2025'!$G$10:$P$1302,9,0)</f>
        <v>P206D1SLSC</v>
      </c>
      <c r="Y346" s="2" t="s">
        <v>43</v>
      </c>
      <c r="Z346" s="2">
        <v>1557224</v>
      </c>
      <c r="AA346" s="2">
        <v>20250813</v>
      </c>
      <c r="AB346" s="3">
        <v>50000</v>
      </c>
    </row>
    <row r="347" spans="3:28" x14ac:dyDescent="0.25">
      <c r="C347" s="2">
        <v>10000001</v>
      </c>
      <c r="D347" s="2" t="s">
        <v>476</v>
      </c>
      <c r="F347" s="2">
        <v>12006619</v>
      </c>
      <c r="H347" s="2" t="s">
        <v>476</v>
      </c>
      <c r="I347" s="2" t="str">
        <f t="shared" si="5"/>
        <v>08</v>
      </c>
      <c r="J347" s="2">
        <v>50</v>
      </c>
      <c r="K347" s="3">
        <v>-50000</v>
      </c>
      <c r="L347" s="2" t="s">
        <v>26</v>
      </c>
      <c r="M347" s="3">
        <v>-50000</v>
      </c>
      <c r="N347" s="2" t="s">
        <v>26</v>
      </c>
      <c r="R347" s="2" t="s">
        <v>27</v>
      </c>
      <c r="S347" s="2" t="s">
        <v>534</v>
      </c>
      <c r="T347" s="2" t="s">
        <v>45</v>
      </c>
      <c r="U347" s="2" t="s">
        <v>536</v>
      </c>
      <c r="V347" s="4">
        <f>+VLOOKUP(U347,'FBCJ Jul-Des 2025'!$G$10:$P$1302,8,0)</f>
        <v>70009110</v>
      </c>
      <c r="W347" s="4" t="str">
        <f>+VLOOKUP(V347,Sheet1!$A$2:$B$27,2,0)</f>
        <v>Biaya Survey dan Analisa</v>
      </c>
      <c r="X347" s="4" t="str">
        <f>+VLOOKUP(U347,'FBCJ Jul-Des 2025'!$G$10:$P$1302,9,0)</f>
        <v>P206D1SLSS</v>
      </c>
      <c r="Y347" s="2" t="s">
        <v>43</v>
      </c>
      <c r="Z347" s="2">
        <v>1557224</v>
      </c>
      <c r="AA347" s="2">
        <v>20250813</v>
      </c>
      <c r="AB347" s="3">
        <v>50000</v>
      </c>
    </row>
    <row r="348" spans="3:28" x14ac:dyDescent="0.25">
      <c r="C348" s="2">
        <v>10000001</v>
      </c>
      <c r="D348" s="2" t="s">
        <v>476</v>
      </c>
      <c r="F348" s="2">
        <v>12006620</v>
      </c>
      <c r="H348" s="2" t="s">
        <v>476</v>
      </c>
      <c r="I348" s="2" t="str">
        <f t="shared" si="5"/>
        <v>08</v>
      </c>
      <c r="J348" s="2">
        <v>50</v>
      </c>
      <c r="K348" s="3">
        <v>-50000</v>
      </c>
      <c r="L348" s="2" t="s">
        <v>26</v>
      </c>
      <c r="M348" s="3">
        <v>-50000</v>
      </c>
      <c r="N348" s="2" t="s">
        <v>26</v>
      </c>
      <c r="R348" s="2" t="s">
        <v>27</v>
      </c>
      <c r="S348" s="2" t="s">
        <v>534</v>
      </c>
      <c r="T348" s="2" t="s">
        <v>45</v>
      </c>
      <c r="U348" s="2" t="s">
        <v>537</v>
      </c>
      <c r="V348" s="4">
        <f>+VLOOKUP(U348,'FBCJ Jul-Des 2025'!$G$10:$P$1302,8,0)</f>
        <v>70009110</v>
      </c>
      <c r="W348" s="4" t="str">
        <f>+VLOOKUP(V348,Sheet1!$A$2:$B$27,2,0)</f>
        <v>Biaya Survey dan Analisa</v>
      </c>
      <c r="X348" s="4" t="str">
        <f>+VLOOKUP(U348,'FBCJ Jul-Des 2025'!$G$10:$P$1302,9,0)</f>
        <v>M204D1COMM</v>
      </c>
      <c r="Y348" s="2" t="s">
        <v>43</v>
      </c>
      <c r="Z348" s="2">
        <v>1557224</v>
      </c>
      <c r="AA348" s="2">
        <v>20250813</v>
      </c>
      <c r="AB348" s="3">
        <v>50000</v>
      </c>
    </row>
    <row r="349" spans="3:28" x14ac:dyDescent="0.25">
      <c r="C349" s="2">
        <v>10000001</v>
      </c>
      <c r="D349" s="2" t="s">
        <v>476</v>
      </c>
      <c r="F349" s="2">
        <v>12006621</v>
      </c>
      <c r="H349" s="2" t="s">
        <v>476</v>
      </c>
      <c r="I349" s="2" t="str">
        <f t="shared" si="5"/>
        <v>08</v>
      </c>
      <c r="J349" s="2">
        <v>50</v>
      </c>
      <c r="K349" s="3">
        <v>-50000</v>
      </c>
      <c r="L349" s="2" t="s">
        <v>26</v>
      </c>
      <c r="M349" s="3">
        <v>-50000</v>
      </c>
      <c r="N349" s="2" t="s">
        <v>26</v>
      </c>
      <c r="R349" s="2" t="s">
        <v>27</v>
      </c>
      <c r="S349" s="2" t="s">
        <v>534</v>
      </c>
      <c r="T349" s="2" t="s">
        <v>45</v>
      </c>
      <c r="U349" s="2" t="s">
        <v>538</v>
      </c>
      <c r="V349" s="4">
        <f>+VLOOKUP(U349,'FBCJ Jul-Des 2025'!$G$10:$P$1302,8,0)</f>
        <v>70009110</v>
      </c>
      <c r="W349" s="4" t="str">
        <f>+VLOOKUP(V349,Sheet1!$A$2:$B$27,2,0)</f>
        <v>Biaya Survey dan Analisa</v>
      </c>
      <c r="X349" s="4" t="str">
        <f>+VLOOKUP(U349,'FBCJ Jul-Des 2025'!$G$10:$P$1302,9,0)</f>
        <v>P206D1SLSC</v>
      </c>
      <c r="Y349" s="2" t="s">
        <v>43</v>
      </c>
      <c r="Z349" s="2">
        <v>1557224</v>
      </c>
      <c r="AA349" s="2">
        <v>20250813</v>
      </c>
      <c r="AB349" s="3">
        <v>50000</v>
      </c>
    </row>
    <row r="350" spans="3:28" x14ac:dyDescent="0.25">
      <c r="C350" s="2">
        <v>10000001</v>
      </c>
      <c r="D350" s="2" t="s">
        <v>476</v>
      </c>
      <c r="F350" s="2">
        <v>12006622</v>
      </c>
      <c r="H350" s="2" t="s">
        <v>476</v>
      </c>
      <c r="I350" s="2" t="str">
        <f t="shared" si="5"/>
        <v>08</v>
      </c>
      <c r="J350" s="2">
        <v>50</v>
      </c>
      <c r="K350" s="3">
        <v>-50000</v>
      </c>
      <c r="L350" s="2" t="s">
        <v>26</v>
      </c>
      <c r="M350" s="3">
        <v>-50000</v>
      </c>
      <c r="N350" s="2" t="s">
        <v>26</v>
      </c>
      <c r="R350" s="2" t="s">
        <v>27</v>
      </c>
      <c r="S350" s="2" t="s">
        <v>534</v>
      </c>
      <c r="T350" s="2" t="s">
        <v>45</v>
      </c>
      <c r="U350" s="2" t="s">
        <v>539</v>
      </c>
      <c r="V350" s="4">
        <f>+VLOOKUP(U350,'FBCJ Jul-Des 2025'!$G$10:$P$1302,8,0)</f>
        <v>70009110</v>
      </c>
      <c r="W350" s="4" t="str">
        <f>+VLOOKUP(V350,Sheet1!$A$2:$B$27,2,0)</f>
        <v>Biaya Survey dan Analisa</v>
      </c>
      <c r="X350" s="4" t="str">
        <f>+VLOOKUP(U350,'FBCJ Jul-Des 2025'!$G$10:$P$1302,9,0)</f>
        <v>P206D1SLSC</v>
      </c>
      <c r="Y350" s="2" t="s">
        <v>43</v>
      </c>
      <c r="Z350" s="2">
        <v>1557224</v>
      </c>
      <c r="AA350" s="2">
        <v>20250813</v>
      </c>
      <c r="AB350" s="3">
        <v>50000</v>
      </c>
    </row>
    <row r="351" spans="3:28" x14ac:dyDescent="0.25">
      <c r="C351" s="2">
        <v>10000001</v>
      </c>
      <c r="D351" s="2" t="s">
        <v>476</v>
      </c>
      <c r="F351" s="2">
        <v>12006623</v>
      </c>
      <c r="H351" s="2" t="s">
        <v>476</v>
      </c>
      <c r="I351" s="2" t="str">
        <f t="shared" si="5"/>
        <v>08</v>
      </c>
      <c r="J351" s="2">
        <v>50</v>
      </c>
      <c r="K351" s="3">
        <v>-50000</v>
      </c>
      <c r="L351" s="2" t="s">
        <v>26</v>
      </c>
      <c r="M351" s="3">
        <v>-50000</v>
      </c>
      <c r="N351" s="2" t="s">
        <v>26</v>
      </c>
      <c r="R351" s="2" t="s">
        <v>27</v>
      </c>
      <c r="S351" s="2" t="s">
        <v>534</v>
      </c>
      <c r="T351" s="2" t="s">
        <v>45</v>
      </c>
      <c r="U351" s="2" t="s">
        <v>540</v>
      </c>
      <c r="V351" s="4">
        <f>+VLOOKUP(U351,'FBCJ Jul-Des 2025'!$G$10:$P$1302,8,0)</f>
        <v>70009110</v>
      </c>
      <c r="W351" s="4" t="str">
        <f>+VLOOKUP(V351,Sheet1!$A$2:$B$27,2,0)</f>
        <v>Biaya Survey dan Analisa</v>
      </c>
      <c r="X351" s="4" t="str">
        <f>+VLOOKUP(U351,'FBCJ Jul-Des 2025'!$G$10:$P$1302,9,0)</f>
        <v>P206D1SLSC</v>
      </c>
      <c r="Y351" s="2" t="s">
        <v>43</v>
      </c>
      <c r="Z351" s="2">
        <v>1557224</v>
      </c>
      <c r="AA351" s="2">
        <v>20250813</v>
      </c>
      <c r="AB351" s="3">
        <v>50000</v>
      </c>
    </row>
    <row r="352" spans="3:28" x14ac:dyDescent="0.25">
      <c r="C352" s="2">
        <v>10000001</v>
      </c>
      <c r="D352" s="2" t="s">
        <v>476</v>
      </c>
      <c r="F352" s="2">
        <v>12006624</v>
      </c>
      <c r="H352" s="2" t="s">
        <v>476</v>
      </c>
      <c r="I352" s="2" t="str">
        <f t="shared" si="5"/>
        <v>08</v>
      </c>
      <c r="J352" s="2">
        <v>50</v>
      </c>
      <c r="K352" s="3">
        <v>-310000</v>
      </c>
      <c r="L352" s="2" t="s">
        <v>26</v>
      </c>
      <c r="M352" s="3">
        <v>-310000</v>
      </c>
      <c r="N352" s="2" t="s">
        <v>26</v>
      </c>
      <c r="R352" s="2" t="s">
        <v>27</v>
      </c>
      <c r="S352" s="2" t="s">
        <v>541</v>
      </c>
      <c r="T352" s="2" t="s">
        <v>57</v>
      </c>
      <c r="U352" s="2" t="s">
        <v>542</v>
      </c>
      <c r="V352" s="4">
        <f>+VLOOKUP(U352,'FBCJ Jul-Des 2025'!$G$10:$P$1302,8,0)</f>
        <v>70101202</v>
      </c>
      <c r="W352" s="4" t="str">
        <f>+VLOOKUP(V352,Sheet1!$A$2:$B$27,2,0)</f>
        <v>By Pemeliharaan Kend,ABerat,Mesin-Material Pihak3</v>
      </c>
      <c r="X352" s="4" t="str">
        <f>+VLOOKUP(U352,'FBCJ Jul-Des 2025'!$G$10:$P$1302,9,0)</f>
        <v>R124REF2</v>
      </c>
      <c r="Y352" s="2" t="s">
        <v>43</v>
      </c>
      <c r="Z352" s="2">
        <v>1557224</v>
      </c>
      <c r="AA352" s="2">
        <v>20250813</v>
      </c>
      <c r="AB352" s="3">
        <v>310000</v>
      </c>
    </row>
    <row r="353" spans="3:28" x14ac:dyDescent="0.25">
      <c r="C353" s="2">
        <v>10000001</v>
      </c>
      <c r="D353" s="2" t="s">
        <v>543</v>
      </c>
      <c r="F353" s="2">
        <v>12006625</v>
      </c>
      <c r="H353" s="2" t="s">
        <v>543</v>
      </c>
      <c r="I353" s="2" t="str">
        <f t="shared" si="5"/>
        <v>08</v>
      </c>
      <c r="J353" s="2">
        <v>50</v>
      </c>
      <c r="K353" s="3">
        <v>-50000</v>
      </c>
      <c r="L353" s="2" t="s">
        <v>26</v>
      </c>
      <c r="M353" s="3">
        <v>-50000</v>
      </c>
      <c r="N353" s="2" t="s">
        <v>26</v>
      </c>
      <c r="R353" s="2" t="s">
        <v>27</v>
      </c>
      <c r="S353" s="2" t="s">
        <v>544</v>
      </c>
      <c r="T353" s="2" t="s">
        <v>45</v>
      </c>
      <c r="U353" s="2" t="s">
        <v>545</v>
      </c>
      <c r="V353" s="4">
        <f>+VLOOKUP(U353,'FBCJ Jul-Des 2025'!$G$10:$P$1302,8,0)</f>
        <v>70009110</v>
      </c>
      <c r="W353" s="4" t="str">
        <f>+VLOOKUP(V353,Sheet1!$A$2:$B$27,2,0)</f>
        <v>Biaya Survey dan Analisa</v>
      </c>
      <c r="X353" s="4" t="str">
        <f>+VLOOKUP(U353,'FBCJ Jul-Des 2025'!$G$10:$P$1302,9,0)</f>
        <v>P206D1SLSS</v>
      </c>
      <c r="Y353" s="2" t="s">
        <v>43</v>
      </c>
      <c r="Z353" s="2">
        <v>1557224</v>
      </c>
      <c r="AA353" s="2">
        <v>20250814</v>
      </c>
      <c r="AB353" s="3">
        <v>50000</v>
      </c>
    </row>
    <row r="354" spans="3:28" x14ac:dyDescent="0.25">
      <c r="C354" s="2">
        <v>10000001</v>
      </c>
      <c r="D354" s="2" t="s">
        <v>543</v>
      </c>
      <c r="F354" s="2">
        <v>12006626</v>
      </c>
      <c r="H354" s="2" t="s">
        <v>543</v>
      </c>
      <c r="I354" s="2" t="str">
        <f t="shared" si="5"/>
        <v>08</v>
      </c>
      <c r="J354" s="2">
        <v>50</v>
      </c>
      <c r="K354" s="3">
        <v>-50000</v>
      </c>
      <c r="L354" s="2" t="s">
        <v>26</v>
      </c>
      <c r="M354" s="3">
        <v>-50000</v>
      </c>
      <c r="N354" s="2" t="s">
        <v>26</v>
      </c>
      <c r="R354" s="2" t="s">
        <v>27</v>
      </c>
      <c r="S354" s="2" t="s">
        <v>544</v>
      </c>
      <c r="T354" s="2" t="s">
        <v>45</v>
      </c>
      <c r="U354" s="2" t="s">
        <v>546</v>
      </c>
      <c r="V354" s="4">
        <f>+VLOOKUP(U354,'FBCJ Jul-Des 2025'!$G$10:$P$1302,8,0)</f>
        <v>70009110</v>
      </c>
      <c r="W354" s="4" t="str">
        <f>+VLOOKUP(V354,Sheet1!$A$2:$B$27,2,0)</f>
        <v>Biaya Survey dan Analisa</v>
      </c>
      <c r="X354" s="4" t="str">
        <f>+VLOOKUP(U354,'FBCJ Jul-Des 2025'!$G$10:$P$1302,9,0)</f>
        <v>P206D1SLSS</v>
      </c>
      <c r="Y354" s="2" t="s">
        <v>43</v>
      </c>
      <c r="Z354" s="2">
        <v>1557224</v>
      </c>
      <c r="AA354" s="2">
        <v>20250814</v>
      </c>
      <c r="AB354" s="3">
        <v>50000</v>
      </c>
    </row>
    <row r="355" spans="3:28" x14ac:dyDescent="0.25">
      <c r="C355" s="2">
        <v>10000001</v>
      </c>
      <c r="D355" s="2" t="s">
        <v>543</v>
      </c>
      <c r="F355" s="2">
        <v>12006627</v>
      </c>
      <c r="H355" s="2" t="s">
        <v>543</v>
      </c>
      <c r="I355" s="2" t="str">
        <f t="shared" si="5"/>
        <v>08</v>
      </c>
      <c r="J355" s="2">
        <v>50</v>
      </c>
      <c r="K355" s="3">
        <v>-50000</v>
      </c>
      <c r="L355" s="2" t="s">
        <v>26</v>
      </c>
      <c r="M355" s="3">
        <v>-50000</v>
      </c>
      <c r="N355" s="2" t="s">
        <v>26</v>
      </c>
      <c r="R355" s="2" t="s">
        <v>27</v>
      </c>
      <c r="S355" s="2" t="s">
        <v>544</v>
      </c>
      <c r="T355" s="2" t="s">
        <v>45</v>
      </c>
      <c r="U355" s="2" t="s">
        <v>547</v>
      </c>
      <c r="V355" s="4">
        <f>+VLOOKUP(U355,'FBCJ Jul-Des 2025'!$G$10:$P$1302,8,0)</f>
        <v>70009110</v>
      </c>
      <c r="W355" s="4" t="str">
        <f>+VLOOKUP(V355,Sheet1!$A$2:$B$27,2,0)</f>
        <v>Biaya Survey dan Analisa</v>
      </c>
      <c r="X355" s="4" t="str">
        <f>+VLOOKUP(U355,'FBCJ Jul-Des 2025'!$G$10:$P$1302,9,0)</f>
        <v>P206D1SLSS</v>
      </c>
      <c r="Y355" s="2" t="s">
        <v>43</v>
      </c>
      <c r="Z355" s="2">
        <v>1557224</v>
      </c>
      <c r="AA355" s="2">
        <v>20250814</v>
      </c>
      <c r="AB355" s="3">
        <v>50000</v>
      </c>
    </row>
    <row r="356" spans="3:28" x14ac:dyDescent="0.25">
      <c r="C356" s="2">
        <v>10000001</v>
      </c>
      <c r="D356" s="2" t="s">
        <v>543</v>
      </c>
      <c r="F356" s="2">
        <v>12006628</v>
      </c>
      <c r="H356" s="2" t="s">
        <v>543</v>
      </c>
      <c r="I356" s="2" t="str">
        <f t="shared" si="5"/>
        <v>08</v>
      </c>
      <c r="J356" s="2">
        <v>50</v>
      </c>
      <c r="K356" s="3">
        <v>-50000</v>
      </c>
      <c r="L356" s="2" t="s">
        <v>26</v>
      </c>
      <c r="M356" s="3">
        <v>-50000</v>
      </c>
      <c r="N356" s="2" t="s">
        <v>26</v>
      </c>
      <c r="R356" s="2" t="s">
        <v>27</v>
      </c>
      <c r="S356" s="2" t="s">
        <v>544</v>
      </c>
      <c r="T356" s="2" t="s">
        <v>45</v>
      </c>
      <c r="U356" s="2" t="s">
        <v>548</v>
      </c>
      <c r="V356" s="4">
        <f>+VLOOKUP(U356,'FBCJ Jul-Des 2025'!$G$10:$P$1302,8,0)</f>
        <v>70009110</v>
      </c>
      <c r="W356" s="4" t="str">
        <f>+VLOOKUP(V356,Sheet1!$A$2:$B$27,2,0)</f>
        <v>Biaya Survey dan Analisa</v>
      </c>
      <c r="X356" s="4" t="str">
        <f>+VLOOKUP(U356,'FBCJ Jul-Des 2025'!$G$10:$P$1302,9,0)</f>
        <v>P206D1SLSS</v>
      </c>
      <c r="Y356" s="2" t="s">
        <v>43</v>
      </c>
      <c r="Z356" s="2">
        <v>1557224</v>
      </c>
      <c r="AA356" s="2">
        <v>20250814</v>
      </c>
      <c r="AB356" s="3">
        <v>50000</v>
      </c>
    </row>
    <row r="357" spans="3:28" x14ac:dyDescent="0.25">
      <c r="C357" s="2">
        <v>10000001</v>
      </c>
      <c r="D357" s="2" t="s">
        <v>543</v>
      </c>
      <c r="F357" s="2">
        <v>12006629</v>
      </c>
      <c r="H357" s="2" t="s">
        <v>543</v>
      </c>
      <c r="I357" s="2" t="str">
        <f t="shared" si="5"/>
        <v>08</v>
      </c>
      <c r="J357" s="2">
        <v>50</v>
      </c>
      <c r="K357" s="3">
        <v>-50000</v>
      </c>
      <c r="L357" s="2" t="s">
        <v>26</v>
      </c>
      <c r="M357" s="3">
        <v>-50000</v>
      </c>
      <c r="N357" s="2" t="s">
        <v>26</v>
      </c>
      <c r="R357" s="2" t="s">
        <v>27</v>
      </c>
      <c r="S357" s="2" t="s">
        <v>544</v>
      </c>
      <c r="T357" s="2" t="s">
        <v>45</v>
      </c>
      <c r="U357" s="2" t="s">
        <v>549</v>
      </c>
      <c r="V357" s="4">
        <f>+VLOOKUP(U357,'FBCJ Jul-Des 2025'!$G$10:$P$1302,8,0)</f>
        <v>70009110</v>
      </c>
      <c r="W357" s="4" t="str">
        <f>+VLOOKUP(V357,Sheet1!$A$2:$B$27,2,0)</f>
        <v>Biaya Survey dan Analisa</v>
      </c>
      <c r="X357" s="4" t="str">
        <f>+VLOOKUP(U357,'FBCJ Jul-Des 2025'!$G$10:$P$1302,9,0)</f>
        <v>P206D1SLSC</v>
      </c>
      <c r="Y357" s="2" t="s">
        <v>43</v>
      </c>
      <c r="Z357" s="2">
        <v>1557224</v>
      </c>
      <c r="AA357" s="2">
        <v>20250814</v>
      </c>
      <c r="AB357" s="3">
        <v>50000</v>
      </c>
    </row>
    <row r="358" spans="3:28" x14ac:dyDescent="0.25">
      <c r="C358" s="2">
        <v>10000001</v>
      </c>
      <c r="D358" s="2" t="s">
        <v>543</v>
      </c>
      <c r="F358" s="2">
        <v>12006630</v>
      </c>
      <c r="H358" s="2" t="s">
        <v>543</v>
      </c>
      <c r="I358" s="2" t="str">
        <f t="shared" si="5"/>
        <v>08</v>
      </c>
      <c r="J358" s="2">
        <v>50</v>
      </c>
      <c r="K358" s="3">
        <v>-50000</v>
      </c>
      <c r="L358" s="2" t="s">
        <v>26</v>
      </c>
      <c r="M358" s="3">
        <v>-50000</v>
      </c>
      <c r="N358" s="2" t="s">
        <v>26</v>
      </c>
      <c r="R358" s="2" t="s">
        <v>27</v>
      </c>
      <c r="S358" s="2" t="s">
        <v>544</v>
      </c>
      <c r="T358" s="2" t="s">
        <v>45</v>
      </c>
      <c r="U358" s="2" t="s">
        <v>550</v>
      </c>
      <c r="V358" s="4">
        <f>+VLOOKUP(U358,'FBCJ Jul-Des 2025'!$G$10:$P$1302,8,0)</f>
        <v>70009110</v>
      </c>
      <c r="W358" s="4" t="str">
        <f>+VLOOKUP(V358,Sheet1!$A$2:$B$27,2,0)</f>
        <v>Biaya Survey dan Analisa</v>
      </c>
      <c r="X358" s="4" t="str">
        <f>+VLOOKUP(U358,'FBCJ Jul-Des 2025'!$G$10:$P$1302,9,0)</f>
        <v>P206D1SLSS</v>
      </c>
      <c r="Y358" s="2" t="s">
        <v>43</v>
      </c>
      <c r="Z358" s="2">
        <v>1557224</v>
      </c>
      <c r="AA358" s="2">
        <v>20250814</v>
      </c>
      <c r="AB358" s="3">
        <v>50000</v>
      </c>
    </row>
    <row r="359" spans="3:28" x14ac:dyDescent="0.25">
      <c r="C359" s="2">
        <v>10000001</v>
      </c>
      <c r="D359" s="2" t="s">
        <v>543</v>
      </c>
      <c r="F359" s="2">
        <v>12006631</v>
      </c>
      <c r="H359" s="2" t="s">
        <v>543</v>
      </c>
      <c r="I359" s="2" t="str">
        <f t="shared" si="5"/>
        <v>08</v>
      </c>
      <c r="J359" s="2">
        <v>50</v>
      </c>
      <c r="K359" s="3">
        <v>-50000</v>
      </c>
      <c r="L359" s="2" t="s">
        <v>26</v>
      </c>
      <c r="M359" s="3">
        <v>-50000</v>
      </c>
      <c r="N359" s="2" t="s">
        <v>26</v>
      </c>
      <c r="R359" s="2" t="s">
        <v>27</v>
      </c>
      <c r="S359" s="2" t="s">
        <v>544</v>
      </c>
      <c r="T359" s="2" t="s">
        <v>45</v>
      </c>
      <c r="U359" s="2" t="s">
        <v>551</v>
      </c>
      <c r="V359" s="4">
        <f>+VLOOKUP(U359,'FBCJ Jul-Des 2025'!$G$10:$P$1302,8,0)</f>
        <v>70009110</v>
      </c>
      <c r="W359" s="4" t="str">
        <f>+VLOOKUP(V359,Sheet1!$A$2:$B$27,2,0)</f>
        <v>Biaya Survey dan Analisa</v>
      </c>
      <c r="X359" s="4" t="str">
        <f>+VLOOKUP(U359,'FBCJ Jul-Des 2025'!$G$10:$P$1302,9,0)</f>
        <v>P206D1SLSS</v>
      </c>
      <c r="Y359" s="2" t="s">
        <v>43</v>
      </c>
      <c r="Z359" s="2">
        <v>1557224</v>
      </c>
      <c r="AA359" s="2">
        <v>20250814</v>
      </c>
      <c r="AB359" s="3">
        <v>50000</v>
      </c>
    </row>
    <row r="360" spans="3:28" x14ac:dyDescent="0.25">
      <c r="C360" s="2">
        <v>10000001</v>
      </c>
      <c r="D360" s="2" t="s">
        <v>543</v>
      </c>
      <c r="F360" s="2">
        <v>12006632</v>
      </c>
      <c r="H360" s="2" t="s">
        <v>543</v>
      </c>
      <c r="I360" s="2" t="str">
        <f t="shared" si="5"/>
        <v>08</v>
      </c>
      <c r="J360" s="2">
        <v>50</v>
      </c>
      <c r="K360" s="3">
        <v>-50000</v>
      </c>
      <c r="L360" s="2" t="s">
        <v>26</v>
      </c>
      <c r="M360" s="3">
        <v>-50000</v>
      </c>
      <c r="N360" s="2" t="s">
        <v>26</v>
      </c>
      <c r="R360" s="2" t="s">
        <v>27</v>
      </c>
      <c r="S360" s="2" t="s">
        <v>544</v>
      </c>
      <c r="T360" s="2" t="s">
        <v>45</v>
      </c>
      <c r="U360" s="2" t="s">
        <v>552</v>
      </c>
      <c r="V360" s="4">
        <f>+VLOOKUP(U360,'FBCJ Jul-Des 2025'!$G$10:$P$1302,8,0)</f>
        <v>70009110</v>
      </c>
      <c r="W360" s="4" t="str">
        <f>+VLOOKUP(V360,Sheet1!$A$2:$B$27,2,0)</f>
        <v>Biaya Survey dan Analisa</v>
      </c>
      <c r="X360" s="4" t="str">
        <f>+VLOOKUP(U360,'FBCJ Jul-Des 2025'!$G$10:$P$1302,9,0)</f>
        <v>P206D1SLSC</v>
      </c>
      <c r="Y360" s="2" t="s">
        <v>43</v>
      </c>
      <c r="Z360" s="2">
        <v>1557224</v>
      </c>
      <c r="AA360" s="2">
        <v>20250814</v>
      </c>
      <c r="AB360" s="3">
        <v>50000</v>
      </c>
    </row>
    <row r="361" spans="3:28" x14ac:dyDescent="0.25">
      <c r="C361" s="2">
        <v>10000001</v>
      </c>
      <c r="D361" s="2" t="s">
        <v>543</v>
      </c>
      <c r="F361" s="2">
        <v>12006633</v>
      </c>
      <c r="H361" s="2" t="s">
        <v>543</v>
      </c>
      <c r="I361" s="2" t="str">
        <f t="shared" si="5"/>
        <v>08</v>
      </c>
      <c r="J361" s="2">
        <v>50</v>
      </c>
      <c r="K361" s="3">
        <v>-50000</v>
      </c>
      <c r="L361" s="2" t="s">
        <v>26</v>
      </c>
      <c r="M361" s="3">
        <v>-50000</v>
      </c>
      <c r="N361" s="2" t="s">
        <v>26</v>
      </c>
      <c r="R361" s="2" t="s">
        <v>27</v>
      </c>
      <c r="S361" s="2" t="s">
        <v>544</v>
      </c>
      <c r="T361" s="2" t="s">
        <v>45</v>
      </c>
      <c r="U361" s="2" t="s">
        <v>553</v>
      </c>
      <c r="V361" s="4">
        <f>+VLOOKUP(U361,'FBCJ Jul-Des 2025'!$G$10:$P$1302,8,0)</f>
        <v>70009110</v>
      </c>
      <c r="W361" s="4" t="str">
        <f>+VLOOKUP(V361,Sheet1!$A$2:$B$27,2,0)</f>
        <v>Biaya Survey dan Analisa</v>
      </c>
      <c r="X361" s="4" t="str">
        <f>+VLOOKUP(U361,'FBCJ Jul-Des 2025'!$G$10:$P$1302,9,0)</f>
        <v>P206D1SLSS</v>
      </c>
      <c r="Y361" s="2" t="s">
        <v>43</v>
      </c>
      <c r="Z361" s="2">
        <v>1557224</v>
      </c>
      <c r="AA361" s="2">
        <v>20250814</v>
      </c>
      <c r="AB361" s="3">
        <v>50000</v>
      </c>
    </row>
    <row r="362" spans="3:28" x14ac:dyDescent="0.25">
      <c r="C362" s="2">
        <v>10000001</v>
      </c>
      <c r="D362" s="2" t="s">
        <v>543</v>
      </c>
      <c r="F362" s="2">
        <v>12006634</v>
      </c>
      <c r="H362" s="2" t="s">
        <v>543</v>
      </c>
      <c r="I362" s="2" t="str">
        <f t="shared" si="5"/>
        <v>08</v>
      </c>
      <c r="J362" s="2">
        <v>50</v>
      </c>
      <c r="K362" s="3">
        <v>-50000</v>
      </c>
      <c r="L362" s="2" t="s">
        <v>26</v>
      </c>
      <c r="M362" s="3">
        <v>-50000</v>
      </c>
      <c r="N362" s="2" t="s">
        <v>26</v>
      </c>
      <c r="R362" s="2" t="s">
        <v>27</v>
      </c>
      <c r="S362" s="2" t="s">
        <v>544</v>
      </c>
      <c r="T362" s="2" t="s">
        <v>45</v>
      </c>
      <c r="U362" s="2" t="s">
        <v>554</v>
      </c>
      <c r="V362" s="4">
        <f>+VLOOKUP(U362,'FBCJ Jul-Des 2025'!$G$10:$P$1302,8,0)</f>
        <v>70009110</v>
      </c>
      <c r="W362" s="4" t="str">
        <f>+VLOOKUP(V362,Sheet1!$A$2:$B$27,2,0)</f>
        <v>Biaya Survey dan Analisa</v>
      </c>
      <c r="X362" s="4" t="str">
        <f>+VLOOKUP(U362,'FBCJ Jul-Des 2025'!$G$10:$P$1302,9,0)</f>
        <v>P206D1SLSS</v>
      </c>
      <c r="Y362" s="2" t="s">
        <v>43</v>
      </c>
      <c r="Z362" s="2">
        <v>1557224</v>
      </c>
      <c r="AA362" s="2">
        <v>20250814</v>
      </c>
      <c r="AB362" s="3">
        <v>50000</v>
      </c>
    </row>
    <row r="363" spans="3:28" x14ac:dyDescent="0.25">
      <c r="C363" s="2">
        <v>10000001</v>
      </c>
      <c r="D363" s="2" t="s">
        <v>543</v>
      </c>
      <c r="F363" s="2">
        <v>12006635</v>
      </c>
      <c r="H363" s="2" t="s">
        <v>543</v>
      </c>
      <c r="I363" s="2" t="str">
        <f t="shared" si="5"/>
        <v>08</v>
      </c>
      <c r="J363" s="2">
        <v>50</v>
      </c>
      <c r="K363" s="3">
        <v>-50000</v>
      </c>
      <c r="L363" s="2" t="s">
        <v>26</v>
      </c>
      <c r="M363" s="3">
        <v>-50000</v>
      </c>
      <c r="N363" s="2" t="s">
        <v>26</v>
      </c>
      <c r="R363" s="2" t="s">
        <v>27</v>
      </c>
      <c r="S363" s="2" t="s">
        <v>544</v>
      </c>
      <c r="T363" s="2" t="s">
        <v>45</v>
      </c>
      <c r="U363" s="2" t="s">
        <v>555</v>
      </c>
      <c r="V363" s="4">
        <f>+VLOOKUP(U363,'FBCJ Jul-Des 2025'!$G$10:$P$1302,8,0)</f>
        <v>70009110</v>
      </c>
      <c r="W363" s="4" t="str">
        <f>+VLOOKUP(V363,Sheet1!$A$2:$B$27,2,0)</f>
        <v>Biaya Survey dan Analisa</v>
      </c>
      <c r="X363" s="4" t="str">
        <f>+VLOOKUP(U363,'FBCJ Jul-Des 2025'!$G$10:$P$1302,9,0)</f>
        <v>P206D1SLSS</v>
      </c>
      <c r="Y363" s="2" t="s">
        <v>43</v>
      </c>
      <c r="Z363" s="2">
        <v>1557224</v>
      </c>
      <c r="AA363" s="2">
        <v>20250814</v>
      </c>
      <c r="AB363" s="3">
        <v>50000</v>
      </c>
    </row>
    <row r="364" spans="3:28" x14ac:dyDescent="0.25">
      <c r="C364" s="2">
        <v>10000001</v>
      </c>
      <c r="D364" s="2" t="s">
        <v>543</v>
      </c>
      <c r="F364" s="2">
        <v>12006636</v>
      </c>
      <c r="H364" s="2" t="s">
        <v>543</v>
      </c>
      <c r="I364" s="2" t="str">
        <f t="shared" si="5"/>
        <v>08</v>
      </c>
      <c r="J364" s="2">
        <v>50</v>
      </c>
      <c r="K364" s="3">
        <v>-50000</v>
      </c>
      <c r="L364" s="2" t="s">
        <v>26</v>
      </c>
      <c r="M364" s="3">
        <v>-50000</v>
      </c>
      <c r="N364" s="2" t="s">
        <v>26</v>
      </c>
      <c r="R364" s="2" t="s">
        <v>27</v>
      </c>
      <c r="S364" s="2" t="s">
        <v>544</v>
      </c>
      <c r="T364" s="2" t="s">
        <v>259</v>
      </c>
      <c r="U364" s="2" t="s">
        <v>556</v>
      </c>
      <c r="V364" s="4">
        <f>+VLOOKUP(U364,'FBCJ Jul-Des 2025'!$G$10:$P$1302,8,0)</f>
        <v>70119300</v>
      </c>
      <c r="W364" s="4" t="str">
        <f>+VLOOKUP(V364,Sheet1!$A$2:$B$27,2,0)</f>
        <v>Biaya Umum dan Administrasi</v>
      </c>
      <c r="X364" s="4" t="str">
        <f>+VLOOKUP(U364,'FBCJ Jul-Des 2025'!$G$10:$P$1302,9,0)</f>
        <v>P206D1SLSS</v>
      </c>
      <c r="Y364" s="2" t="s">
        <v>43</v>
      </c>
      <c r="Z364" s="2">
        <v>1557224</v>
      </c>
      <c r="AA364" s="2">
        <v>20250814</v>
      </c>
      <c r="AB364" s="3">
        <v>50000</v>
      </c>
    </row>
    <row r="365" spans="3:28" x14ac:dyDescent="0.25">
      <c r="C365" s="2">
        <v>10000001</v>
      </c>
      <c r="D365" s="2" t="s">
        <v>543</v>
      </c>
      <c r="F365" s="2">
        <v>12006637</v>
      </c>
      <c r="H365" s="2" t="s">
        <v>543</v>
      </c>
      <c r="I365" s="2" t="str">
        <f t="shared" si="5"/>
        <v>08</v>
      </c>
      <c r="J365" s="2">
        <v>50</v>
      </c>
      <c r="K365" s="3">
        <v>-13000</v>
      </c>
      <c r="L365" s="2" t="s">
        <v>26</v>
      </c>
      <c r="M365" s="3">
        <v>-13000</v>
      </c>
      <c r="N365" s="2" t="s">
        <v>26</v>
      </c>
      <c r="R365" s="2" t="s">
        <v>27</v>
      </c>
      <c r="S365" s="2" t="s">
        <v>544</v>
      </c>
      <c r="T365" s="2" t="s">
        <v>334</v>
      </c>
      <c r="U365" s="2" t="s">
        <v>557</v>
      </c>
      <c r="V365" s="4">
        <f>+VLOOKUP(U365,'FBCJ Jul-Des 2025'!$G$10:$P$1302,8,0)</f>
        <v>70001110</v>
      </c>
      <c r="W365" s="4" t="str">
        <f>+VLOOKUP(V365,Sheet1!$A$2:$B$27,2,0)</f>
        <v>Biaya Ekspor lainnya</v>
      </c>
      <c r="X365" s="4" t="str">
        <f>+VLOOKUP(U365,'FBCJ Jul-Des 2025'!$G$10:$P$1302,9,0)</f>
        <v>M204D1COMM</v>
      </c>
      <c r="Y365" s="2" t="s">
        <v>43</v>
      </c>
      <c r="Z365" s="2">
        <v>1557224</v>
      </c>
      <c r="AA365" s="2">
        <v>20250814</v>
      </c>
      <c r="AB365" s="3">
        <v>13000</v>
      </c>
    </row>
    <row r="366" spans="3:28" x14ac:dyDescent="0.25">
      <c r="C366" s="2">
        <v>10000001</v>
      </c>
      <c r="D366" s="2" t="s">
        <v>543</v>
      </c>
      <c r="F366" s="2">
        <v>12006638</v>
      </c>
      <c r="H366" s="2" t="s">
        <v>543</v>
      </c>
      <c r="I366" s="2" t="str">
        <f t="shared" si="5"/>
        <v>08</v>
      </c>
      <c r="J366" s="2">
        <v>50</v>
      </c>
      <c r="K366" s="3">
        <v>-298088</v>
      </c>
      <c r="L366" s="2" t="s">
        <v>26</v>
      </c>
      <c r="M366" s="3">
        <v>-298088</v>
      </c>
      <c r="N366" s="2" t="s">
        <v>26</v>
      </c>
      <c r="R366" s="2" t="s">
        <v>27</v>
      </c>
      <c r="S366" s="2" t="s">
        <v>558</v>
      </c>
      <c r="T366" s="2" t="s">
        <v>59</v>
      </c>
      <c r="U366" s="2" t="s">
        <v>559</v>
      </c>
      <c r="V366" s="4">
        <f>+VLOOKUP(U366,'FBCJ Jul-Des 2025'!$G$10:$P$1302,8,0)</f>
        <v>70101114</v>
      </c>
      <c r="W366" s="4" t="str">
        <f>+VLOOKUP(V366,Sheet1!$A$2:$B$27,2,0)</f>
        <v>By Perbaikan &amp; Perawatan Perabot Material Pihak3</v>
      </c>
      <c r="X366" s="4" t="str">
        <f>+VLOOKUP(U366,'FBCJ Jul-Des 2025'!$G$10:$P$1302,9,0)</f>
        <v>R124D1HRGA</v>
      </c>
      <c r="Y366" s="2" t="s">
        <v>43</v>
      </c>
      <c r="Z366" s="2">
        <v>1557224</v>
      </c>
      <c r="AA366" s="2">
        <v>20250814</v>
      </c>
      <c r="AB366" s="3">
        <v>298088</v>
      </c>
    </row>
    <row r="367" spans="3:28" x14ac:dyDescent="0.25">
      <c r="C367" s="2">
        <v>10000001</v>
      </c>
      <c r="D367" s="2" t="s">
        <v>543</v>
      </c>
      <c r="F367" s="2">
        <v>12006639</v>
      </c>
      <c r="H367" s="2" t="s">
        <v>543</v>
      </c>
      <c r="I367" s="2" t="str">
        <f t="shared" si="5"/>
        <v>08</v>
      </c>
      <c r="J367" s="2">
        <v>50</v>
      </c>
      <c r="K367" s="3">
        <v>-50000</v>
      </c>
      <c r="L367" s="2" t="s">
        <v>26</v>
      </c>
      <c r="M367" s="3">
        <v>-50000</v>
      </c>
      <c r="N367" s="2" t="s">
        <v>26</v>
      </c>
      <c r="R367" s="2" t="s">
        <v>27</v>
      </c>
      <c r="S367" s="2" t="s">
        <v>560</v>
      </c>
      <c r="T367" s="2" t="s">
        <v>45</v>
      </c>
      <c r="U367" s="2" t="s">
        <v>561</v>
      </c>
      <c r="V367" s="4">
        <f>+VLOOKUP(U367,'FBCJ Jul-Des 2025'!$G$10:$P$1302,8,0)</f>
        <v>70009110</v>
      </c>
      <c r="W367" s="4" t="str">
        <f>+VLOOKUP(V367,Sheet1!$A$2:$B$27,2,0)</f>
        <v>Biaya Survey dan Analisa</v>
      </c>
      <c r="X367" s="4" t="str">
        <f>+VLOOKUP(U367,'FBCJ Jul-Des 2025'!$G$10:$P$1302,9,0)</f>
        <v>M204D1COMM</v>
      </c>
      <c r="Y367" s="2" t="s">
        <v>43</v>
      </c>
      <c r="Z367" s="2">
        <v>1557224</v>
      </c>
      <c r="AA367" s="2">
        <v>20250814</v>
      </c>
      <c r="AB367" s="3">
        <v>50000</v>
      </c>
    </row>
    <row r="368" spans="3:28" x14ac:dyDescent="0.25">
      <c r="C368" s="2">
        <v>10000001</v>
      </c>
      <c r="D368" s="2" t="s">
        <v>543</v>
      </c>
      <c r="F368" s="2">
        <v>12006640</v>
      </c>
      <c r="H368" s="2" t="s">
        <v>543</v>
      </c>
      <c r="I368" s="2" t="str">
        <f t="shared" si="5"/>
        <v>08</v>
      </c>
      <c r="J368" s="2">
        <v>50</v>
      </c>
      <c r="K368" s="3">
        <v>-50000</v>
      </c>
      <c r="L368" s="2" t="s">
        <v>26</v>
      </c>
      <c r="M368" s="3">
        <v>-50000</v>
      </c>
      <c r="N368" s="2" t="s">
        <v>26</v>
      </c>
      <c r="R368" s="2" t="s">
        <v>27</v>
      </c>
      <c r="S368" s="2" t="s">
        <v>560</v>
      </c>
      <c r="T368" s="2" t="s">
        <v>45</v>
      </c>
      <c r="U368" s="2" t="s">
        <v>562</v>
      </c>
      <c r="V368" s="4">
        <f>+VLOOKUP(U368,'FBCJ Jul-Des 2025'!$G$10:$P$1302,8,0)</f>
        <v>70009110</v>
      </c>
      <c r="W368" s="4" t="str">
        <f>+VLOOKUP(V368,Sheet1!$A$2:$B$27,2,0)</f>
        <v>Biaya Survey dan Analisa</v>
      </c>
      <c r="X368" s="4" t="str">
        <f>+VLOOKUP(U368,'FBCJ Jul-Des 2025'!$G$10:$P$1302,9,0)</f>
        <v>P206D1SLSS</v>
      </c>
      <c r="Y368" s="2" t="s">
        <v>43</v>
      </c>
      <c r="Z368" s="2">
        <v>1557224</v>
      </c>
      <c r="AA368" s="2">
        <v>20250814</v>
      </c>
      <c r="AB368" s="3">
        <v>50000</v>
      </c>
    </row>
    <row r="369" spans="3:28" x14ac:dyDescent="0.25">
      <c r="C369" s="2">
        <v>10000001</v>
      </c>
      <c r="D369" s="2" t="s">
        <v>543</v>
      </c>
      <c r="F369" s="2">
        <v>12006641</v>
      </c>
      <c r="H369" s="2" t="s">
        <v>543</v>
      </c>
      <c r="I369" s="2" t="str">
        <f t="shared" si="5"/>
        <v>08</v>
      </c>
      <c r="J369" s="2">
        <v>50</v>
      </c>
      <c r="K369" s="3">
        <v>-50000</v>
      </c>
      <c r="L369" s="2" t="s">
        <v>26</v>
      </c>
      <c r="M369" s="3">
        <v>-50000</v>
      </c>
      <c r="N369" s="2" t="s">
        <v>26</v>
      </c>
      <c r="R369" s="2" t="s">
        <v>27</v>
      </c>
      <c r="S369" s="2" t="s">
        <v>560</v>
      </c>
      <c r="T369" s="2" t="s">
        <v>45</v>
      </c>
      <c r="U369" s="2" t="s">
        <v>563</v>
      </c>
      <c r="V369" s="4">
        <f>+VLOOKUP(U369,'FBCJ Jul-Des 2025'!$G$10:$P$1302,8,0)</f>
        <v>70009110</v>
      </c>
      <c r="W369" s="4" t="str">
        <f>+VLOOKUP(V369,Sheet1!$A$2:$B$27,2,0)</f>
        <v>Biaya Survey dan Analisa</v>
      </c>
      <c r="X369" s="4" t="str">
        <f>+VLOOKUP(U369,'FBCJ Jul-Des 2025'!$G$10:$P$1302,9,0)</f>
        <v>P206D1SLSS</v>
      </c>
      <c r="Y369" s="2" t="s">
        <v>43</v>
      </c>
      <c r="Z369" s="2">
        <v>1557224</v>
      </c>
      <c r="AA369" s="2">
        <v>20250814</v>
      </c>
      <c r="AB369" s="3">
        <v>50000</v>
      </c>
    </row>
    <row r="370" spans="3:28" x14ac:dyDescent="0.25">
      <c r="C370" s="2">
        <v>10000001</v>
      </c>
      <c r="D370" s="2" t="s">
        <v>543</v>
      </c>
      <c r="F370" s="2">
        <v>12006642</v>
      </c>
      <c r="H370" s="2" t="s">
        <v>543</v>
      </c>
      <c r="I370" s="2" t="str">
        <f t="shared" si="5"/>
        <v>08</v>
      </c>
      <c r="J370" s="2">
        <v>50</v>
      </c>
      <c r="K370" s="3">
        <v>-50000</v>
      </c>
      <c r="L370" s="2" t="s">
        <v>26</v>
      </c>
      <c r="M370" s="3">
        <v>-50000</v>
      </c>
      <c r="N370" s="2" t="s">
        <v>26</v>
      </c>
      <c r="R370" s="2" t="s">
        <v>27</v>
      </c>
      <c r="S370" s="2" t="s">
        <v>560</v>
      </c>
      <c r="T370" s="2" t="s">
        <v>45</v>
      </c>
      <c r="U370" s="2" t="s">
        <v>564</v>
      </c>
      <c r="V370" s="4">
        <f>+VLOOKUP(U370,'FBCJ Jul-Des 2025'!$G$10:$P$1302,8,0)</f>
        <v>70009110</v>
      </c>
      <c r="W370" s="4" t="str">
        <f>+VLOOKUP(V370,Sheet1!$A$2:$B$27,2,0)</f>
        <v>Biaya Survey dan Analisa</v>
      </c>
      <c r="X370" s="4" t="str">
        <f>+VLOOKUP(U370,'FBCJ Jul-Des 2025'!$G$10:$P$1302,9,0)</f>
        <v>P206D1SLSS</v>
      </c>
      <c r="Y370" s="2" t="s">
        <v>43</v>
      </c>
      <c r="Z370" s="2">
        <v>1557224</v>
      </c>
      <c r="AA370" s="2">
        <v>20250814</v>
      </c>
      <c r="AB370" s="3">
        <v>50000</v>
      </c>
    </row>
    <row r="371" spans="3:28" x14ac:dyDescent="0.25">
      <c r="C371" s="2">
        <v>10000001</v>
      </c>
      <c r="D371" s="2" t="s">
        <v>565</v>
      </c>
      <c r="F371" s="2">
        <v>12006643</v>
      </c>
      <c r="H371" s="2" t="s">
        <v>565</v>
      </c>
      <c r="I371" s="2" t="str">
        <f t="shared" si="5"/>
        <v>08</v>
      </c>
      <c r="J371" s="2">
        <v>50</v>
      </c>
      <c r="K371" s="3">
        <v>-816000</v>
      </c>
      <c r="L371" s="2" t="s">
        <v>26</v>
      </c>
      <c r="M371" s="3">
        <v>-816000</v>
      </c>
      <c r="N371" s="2" t="s">
        <v>26</v>
      </c>
      <c r="R371" s="2" t="s">
        <v>27</v>
      </c>
      <c r="S371" s="2" t="s">
        <v>566</v>
      </c>
      <c r="T371" s="2" t="s">
        <v>59</v>
      </c>
      <c r="U371" s="2" t="s">
        <v>567</v>
      </c>
      <c r="V371" s="4">
        <f>+VLOOKUP(U371,'FBCJ Jul-Des 2025'!$G$10:$P$1302,8,0)</f>
        <v>70101114</v>
      </c>
      <c r="W371" s="4" t="str">
        <f>+VLOOKUP(V371,Sheet1!$A$2:$B$27,2,0)</f>
        <v>By Perbaikan &amp; Perawatan Perabot Material Pihak3</v>
      </c>
      <c r="X371" s="4" t="str">
        <f>+VLOOKUP(U371,'FBCJ Jul-Des 2025'!$G$10:$P$1302,9,0)</f>
        <v>R124MIN</v>
      </c>
      <c r="Y371" s="2" t="s">
        <v>43</v>
      </c>
      <c r="Z371" s="2">
        <v>1557224</v>
      </c>
      <c r="AA371" s="2">
        <v>20250815</v>
      </c>
      <c r="AB371" s="3">
        <v>816000</v>
      </c>
    </row>
    <row r="372" spans="3:28" x14ac:dyDescent="0.25">
      <c r="C372" s="2">
        <v>10000001</v>
      </c>
      <c r="D372" s="2" t="s">
        <v>565</v>
      </c>
      <c r="F372" s="2">
        <v>12006644</v>
      </c>
      <c r="H372" s="2" t="s">
        <v>565</v>
      </c>
      <c r="I372" s="2" t="str">
        <f t="shared" si="5"/>
        <v>08</v>
      </c>
      <c r="J372" s="2">
        <v>50</v>
      </c>
      <c r="K372" s="3">
        <v>-740000</v>
      </c>
      <c r="L372" s="2" t="s">
        <v>26</v>
      </c>
      <c r="M372" s="3">
        <v>-740000</v>
      </c>
      <c r="N372" s="2" t="s">
        <v>26</v>
      </c>
      <c r="R372" s="2" t="s">
        <v>27</v>
      </c>
      <c r="S372" s="2" t="s">
        <v>568</v>
      </c>
      <c r="T372" s="2" t="s">
        <v>96</v>
      </c>
      <c r="U372" s="2" t="s">
        <v>569</v>
      </c>
      <c r="V372" s="4">
        <f>+VLOOKUP(U372,'FBCJ Jul-Des 2025'!$G$10:$P$1302,8,0)</f>
        <v>70106400</v>
      </c>
      <c r="W372" s="4" t="str">
        <f>+VLOOKUP(V372,Sheet1!$A$2:$B$27,2,0)</f>
        <v>Biaya Bahan Bakar</v>
      </c>
      <c r="X372" s="4" t="str">
        <f>+VLOOKUP(U372,'FBCJ Jul-Des 2025'!$G$10:$P$1302,9,0)</f>
        <v>R124D1HRGA</v>
      </c>
      <c r="Y372" s="2" t="s">
        <v>43</v>
      </c>
      <c r="Z372" s="2">
        <v>1557224</v>
      </c>
      <c r="AA372" s="2">
        <v>20250815</v>
      </c>
      <c r="AB372" s="3">
        <v>740000</v>
      </c>
    </row>
    <row r="373" spans="3:28" x14ac:dyDescent="0.25">
      <c r="C373" s="2">
        <v>10000001</v>
      </c>
      <c r="D373" s="2" t="s">
        <v>565</v>
      </c>
      <c r="F373" s="2">
        <v>12006645</v>
      </c>
      <c r="H373" s="2" t="s">
        <v>565</v>
      </c>
      <c r="I373" s="2" t="str">
        <f t="shared" si="5"/>
        <v>08</v>
      </c>
      <c r="J373" s="2">
        <v>50</v>
      </c>
      <c r="K373" s="3">
        <v>-260000</v>
      </c>
      <c r="L373" s="2" t="s">
        <v>26</v>
      </c>
      <c r="M373" s="3">
        <v>-260000</v>
      </c>
      <c r="N373" s="2" t="s">
        <v>26</v>
      </c>
      <c r="R373" s="2" t="s">
        <v>27</v>
      </c>
      <c r="S373" s="2" t="s">
        <v>568</v>
      </c>
      <c r="T373" s="2" t="s">
        <v>67</v>
      </c>
      <c r="U373" s="2" t="s">
        <v>98</v>
      </c>
      <c r="V373" s="4">
        <f>+VLOOKUP(U373,'FBCJ Jul-Des 2025'!$G$10:$P$1302,8,0)</f>
        <v>70106100</v>
      </c>
      <c r="W373" s="4" t="str">
        <f>+VLOOKUP(V373,Sheet1!$A$2:$B$27,2,0)</f>
        <v>Biaya Transportasi Lokal</v>
      </c>
      <c r="X373" s="4" t="str">
        <f>+VLOOKUP(U373,'FBCJ Jul-Des 2025'!$G$10:$P$1302,9,0)</f>
        <v>R124D1HRGA</v>
      </c>
      <c r="Y373" s="2" t="s">
        <v>43</v>
      </c>
      <c r="Z373" s="2">
        <v>1557224</v>
      </c>
      <c r="AA373" s="2">
        <v>20250815</v>
      </c>
      <c r="AB373" s="3">
        <v>260000</v>
      </c>
    </row>
    <row r="374" spans="3:28" x14ac:dyDescent="0.25">
      <c r="C374" s="2">
        <v>10000001</v>
      </c>
      <c r="D374" s="2" t="s">
        <v>565</v>
      </c>
      <c r="F374" s="2">
        <v>12006646</v>
      </c>
      <c r="H374" s="2" t="s">
        <v>565</v>
      </c>
      <c r="I374" s="2" t="str">
        <f t="shared" si="5"/>
        <v>08</v>
      </c>
      <c r="J374" s="2">
        <v>50</v>
      </c>
      <c r="K374" s="3">
        <v>-250000</v>
      </c>
      <c r="L374" s="2" t="s">
        <v>26</v>
      </c>
      <c r="M374" s="3">
        <v>-250000</v>
      </c>
      <c r="N374" s="2" t="s">
        <v>26</v>
      </c>
      <c r="R374" s="2" t="s">
        <v>27</v>
      </c>
      <c r="S374" s="2" t="s">
        <v>570</v>
      </c>
      <c r="T374" s="2" t="s">
        <v>45</v>
      </c>
      <c r="U374" s="2" t="s">
        <v>571</v>
      </c>
      <c r="V374" s="4">
        <f>+VLOOKUP(U374,'FBCJ Jul-Des 2025'!$G$10:$P$1302,8,0)</f>
        <v>70009110</v>
      </c>
      <c r="W374" s="4" t="str">
        <f>+VLOOKUP(V374,Sheet1!$A$2:$B$27,2,0)</f>
        <v>Biaya Survey dan Analisa</v>
      </c>
      <c r="X374" s="4" t="str">
        <f>+VLOOKUP(U374,'FBCJ Jul-Des 2025'!$G$10:$P$1302,9,0)</f>
        <v>P206D1SLSS</v>
      </c>
      <c r="Y374" s="2" t="s">
        <v>43</v>
      </c>
      <c r="Z374" s="2">
        <v>1557224</v>
      </c>
      <c r="AA374" s="2">
        <v>20250815</v>
      </c>
      <c r="AB374" s="3">
        <v>250000</v>
      </c>
    </row>
    <row r="375" spans="3:28" x14ac:dyDescent="0.25">
      <c r="C375" s="2">
        <v>10000001</v>
      </c>
      <c r="D375" s="2" t="s">
        <v>565</v>
      </c>
      <c r="F375" s="2">
        <v>12006647</v>
      </c>
      <c r="H375" s="2" t="s">
        <v>565</v>
      </c>
      <c r="I375" s="2" t="str">
        <f t="shared" si="5"/>
        <v>08</v>
      </c>
      <c r="J375" s="2">
        <v>50</v>
      </c>
      <c r="K375" s="3">
        <v>-250000</v>
      </c>
      <c r="L375" s="2" t="s">
        <v>26</v>
      </c>
      <c r="M375" s="3">
        <v>-250000</v>
      </c>
      <c r="N375" s="2" t="s">
        <v>26</v>
      </c>
      <c r="R375" s="2" t="s">
        <v>27</v>
      </c>
      <c r="S375" s="2" t="s">
        <v>570</v>
      </c>
      <c r="T375" s="2" t="s">
        <v>45</v>
      </c>
      <c r="U375" s="2" t="s">
        <v>572</v>
      </c>
      <c r="V375" s="4">
        <f>+VLOOKUP(U375,'FBCJ Jul-Des 2025'!$G$10:$P$1302,8,0)</f>
        <v>70009110</v>
      </c>
      <c r="W375" s="4" t="str">
        <f>+VLOOKUP(V375,Sheet1!$A$2:$B$27,2,0)</f>
        <v>Biaya Survey dan Analisa</v>
      </c>
      <c r="X375" s="4" t="str">
        <f>+VLOOKUP(U375,'FBCJ Jul-Des 2025'!$G$10:$P$1302,9,0)</f>
        <v>P206D1SLSS</v>
      </c>
      <c r="Y375" s="2" t="s">
        <v>43</v>
      </c>
      <c r="Z375" s="2">
        <v>1557224</v>
      </c>
      <c r="AA375" s="2">
        <v>20250815</v>
      </c>
      <c r="AB375" s="3">
        <v>250000</v>
      </c>
    </row>
    <row r="376" spans="3:28" x14ac:dyDescent="0.25">
      <c r="C376" s="2">
        <v>10000001</v>
      </c>
      <c r="D376" s="2" t="s">
        <v>565</v>
      </c>
      <c r="F376" s="2">
        <v>12006648</v>
      </c>
      <c r="H376" s="2" t="s">
        <v>565</v>
      </c>
      <c r="I376" s="2" t="str">
        <f t="shared" si="5"/>
        <v>08</v>
      </c>
      <c r="J376" s="2">
        <v>50</v>
      </c>
      <c r="K376" s="3">
        <v>-150000</v>
      </c>
      <c r="L376" s="2" t="s">
        <v>26</v>
      </c>
      <c r="M376" s="3">
        <v>-150000</v>
      </c>
      <c r="N376" s="2" t="s">
        <v>26</v>
      </c>
      <c r="R376" s="2" t="s">
        <v>27</v>
      </c>
      <c r="S376" s="2" t="s">
        <v>570</v>
      </c>
      <c r="T376" s="2" t="s">
        <v>45</v>
      </c>
      <c r="U376" s="2" t="s">
        <v>573</v>
      </c>
      <c r="V376" s="4">
        <f>+VLOOKUP(U376,'FBCJ Jul-Des 2025'!$G$10:$P$1302,8,0)</f>
        <v>70009110</v>
      </c>
      <c r="W376" s="4" t="str">
        <f>+VLOOKUP(V376,Sheet1!$A$2:$B$27,2,0)</f>
        <v>Biaya Survey dan Analisa</v>
      </c>
      <c r="X376" s="4" t="str">
        <f>+VLOOKUP(U376,'FBCJ Jul-Des 2025'!$G$10:$P$1302,9,0)</f>
        <v>C206D1SLSS</v>
      </c>
      <c r="Y376" s="2" t="s">
        <v>43</v>
      </c>
      <c r="Z376" s="2">
        <v>1557224</v>
      </c>
      <c r="AA376" s="2">
        <v>20250815</v>
      </c>
      <c r="AB376" s="3">
        <v>150000</v>
      </c>
    </row>
    <row r="377" spans="3:28" x14ac:dyDescent="0.25">
      <c r="C377" s="2">
        <v>10000001</v>
      </c>
      <c r="D377" s="2" t="s">
        <v>565</v>
      </c>
      <c r="F377" s="2">
        <v>12006649</v>
      </c>
      <c r="H377" s="2" t="s">
        <v>565</v>
      </c>
      <c r="I377" s="2" t="str">
        <f t="shared" si="5"/>
        <v>08</v>
      </c>
      <c r="J377" s="2">
        <v>50</v>
      </c>
      <c r="K377" s="3">
        <v>-200000</v>
      </c>
      <c r="L377" s="2" t="s">
        <v>26</v>
      </c>
      <c r="M377" s="3">
        <v>-200000</v>
      </c>
      <c r="N377" s="2" t="s">
        <v>26</v>
      </c>
      <c r="R377" s="2" t="s">
        <v>27</v>
      </c>
      <c r="S377" s="2" t="s">
        <v>570</v>
      </c>
      <c r="T377" s="2" t="s">
        <v>45</v>
      </c>
      <c r="U377" s="2" t="s">
        <v>573</v>
      </c>
      <c r="V377" s="4">
        <f>+VLOOKUP(U377,'FBCJ Jul-Des 2025'!$G$10:$P$1302,8,0)</f>
        <v>70009110</v>
      </c>
      <c r="W377" s="4" t="str">
        <f>+VLOOKUP(V377,Sheet1!$A$2:$B$27,2,0)</f>
        <v>Biaya Survey dan Analisa</v>
      </c>
      <c r="X377" s="4" t="str">
        <f>+VLOOKUP(U377,'FBCJ Jul-Des 2025'!$G$10:$P$1302,9,0)</f>
        <v>C206D1SLSS</v>
      </c>
      <c r="Y377" s="2" t="s">
        <v>43</v>
      </c>
      <c r="Z377" s="2">
        <v>1557224</v>
      </c>
      <c r="AA377" s="2">
        <v>20250815</v>
      </c>
      <c r="AB377" s="3">
        <v>200000</v>
      </c>
    </row>
    <row r="378" spans="3:28" x14ac:dyDescent="0.25">
      <c r="C378" s="2">
        <v>10000001</v>
      </c>
      <c r="D378" s="2" t="s">
        <v>565</v>
      </c>
      <c r="F378" s="2">
        <v>12006650</v>
      </c>
      <c r="H378" s="2" t="s">
        <v>565</v>
      </c>
      <c r="I378" s="2" t="str">
        <f t="shared" si="5"/>
        <v>08</v>
      </c>
      <c r="J378" s="2">
        <v>50</v>
      </c>
      <c r="K378" s="3">
        <v>-150000</v>
      </c>
      <c r="L378" s="2" t="s">
        <v>26</v>
      </c>
      <c r="M378" s="3">
        <v>-150000</v>
      </c>
      <c r="N378" s="2" t="s">
        <v>26</v>
      </c>
      <c r="R378" s="2" t="s">
        <v>27</v>
      </c>
      <c r="S378" s="2" t="s">
        <v>570</v>
      </c>
      <c r="T378" s="2" t="s">
        <v>45</v>
      </c>
      <c r="U378" s="2" t="s">
        <v>573</v>
      </c>
      <c r="V378" s="4">
        <f>+VLOOKUP(U378,'FBCJ Jul-Des 2025'!$G$10:$P$1302,8,0)</f>
        <v>70009110</v>
      </c>
      <c r="W378" s="4" t="str">
        <f>+VLOOKUP(V378,Sheet1!$A$2:$B$27,2,0)</f>
        <v>Biaya Survey dan Analisa</v>
      </c>
      <c r="X378" s="4" t="str">
        <f>+VLOOKUP(U378,'FBCJ Jul-Des 2025'!$G$10:$P$1302,9,0)</f>
        <v>C206D1SLSS</v>
      </c>
      <c r="Y378" s="2" t="s">
        <v>43</v>
      </c>
      <c r="Z378" s="2">
        <v>1557224</v>
      </c>
      <c r="AA378" s="2">
        <v>20250815</v>
      </c>
      <c r="AB378" s="3">
        <v>150000</v>
      </c>
    </row>
    <row r="379" spans="3:28" x14ac:dyDescent="0.25">
      <c r="C379" s="2">
        <v>10000001</v>
      </c>
      <c r="D379" s="2" t="s">
        <v>565</v>
      </c>
      <c r="F379" s="2">
        <v>12006651</v>
      </c>
      <c r="H379" s="2" t="s">
        <v>565</v>
      </c>
      <c r="I379" s="2" t="str">
        <f t="shared" si="5"/>
        <v>08</v>
      </c>
      <c r="J379" s="2">
        <v>50</v>
      </c>
      <c r="K379" s="3">
        <v>-972000</v>
      </c>
      <c r="L379" s="2" t="s">
        <v>26</v>
      </c>
      <c r="M379" s="3">
        <v>-972000</v>
      </c>
      <c r="N379" s="2" t="s">
        <v>26</v>
      </c>
      <c r="R379" s="2" t="s">
        <v>27</v>
      </c>
      <c r="S379" s="2" t="s">
        <v>574</v>
      </c>
      <c r="T379" s="2" t="s">
        <v>129</v>
      </c>
      <c r="U379" s="2" t="s">
        <v>575</v>
      </c>
      <c r="V379" s="4">
        <f>+VLOOKUP(U379,'FBCJ Jul-Des 2025'!$G$10:$P$1302,8,0)</f>
        <v>70101102</v>
      </c>
      <c r="W379" s="4" t="str">
        <f>+VLOOKUP(V379,Sheet1!$A$2:$B$27,2,0)</f>
        <v>By Pemeliharaan BgnanPrasarana Material Pihak3</v>
      </c>
      <c r="X379" s="4" t="str">
        <f>+VLOOKUP(U379,'FBCJ Jul-Des 2025'!$G$10:$P$1302,9,0)</f>
        <v>R124D1HRGA</v>
      </c>
      <c r="Y379" s="2" t="s">
        <v>43</v>
      </c>
      <c r="Z379" s="2">
        <v>1557224</v>
      </c>
      <c r="AA379" s="2">
        <v>20250815</v>
      </c>
      <c r="AB379" s="3">
        <v>972000</v>
      </c>
    </row>
    <row r="380" spans="3:28" x14ac:dyDescent="0.25">
      <c r="C380" s="2">
        <v>10000001</v>
      </c>
      <c r="D380" s="2" t="s">
        <v>565</v>
      </c>
      <c r="F380" s="2">
        <v>12006652</v>
      </c>
      <c r="H380" s="2" t="s">
        <v>565</v>
      </c>
      <c r="I380" s="2" t="str">
        <f t="shared" si="5"/>
        <v>08</v>
      </c>
      <c r="J380" s="2">
        <v>50</v>
      </c>
      <c r="K380" s="3">
        <v>-50000</v>
      </c>
      <c r="L380" s="2" t="s">
        <v>26</v>
      </c>
      <c r="M380" s="3">
        <v>-50000</v>
      </c>
      <c r="N380" s="2" t="s">
        <v>26</v>
      </c>
      <c r="R380" s="2" t="s">
        <v>27</v>
      </c>
      <c r="S380" s="2" t="s">
        <v>576</v>
      </c>
      <c r="T380" s="2" t="s">
        <v>45</v>
      </c>
      <c r="U380" s="2" t="s">
        <v>577</v>
      </c>
      <c r="V380" s="4">
        <f>+VLOOKUP(U380,'FBCJ Jul-Des 2025'!$G$10:$P$1302,8,0)</f>
        <v>70009110</v>
      </c>
      <c r="W380" s="4" t="str">
        <f>+VLOOKUP(V380,Sheet1!$A$2:$B$27,2,0)</f>
        <v>Biaya Survey dan Analisa</v>
      </c>
      <c r="X380" s="4" t="str">
        <f>+VLOOKUP(U380,'FBCJ Jul-Des 2025'!$G$10:$P$1302,9,0)</f>
        <v>M204D1COMM</v>
      </c>
      <c r="Y380" s="2" t="s">
        <v>43</v>
      </c>
      <c r="Z380" s="2">
        <v>1557224</v>
      </c>
      <c r="AA380" s="2">
        <v>20250815</v>
      </c>
      <c r="AB380" s="3">
        <v>50000</v>
      </c>
    </row>
    <row r="381" spans="3:28" x14ac:dyDescent="0.25">
      <c r="C381" s="2">
        <v>10000001</v>
      </c>
      <c r="D381" s="2" t="s">
        <v>565</v>
      </c>
      <c r="F381" s="2">
        <v>12006653</v>
      </c>
      <c r="H381" s="2" t="s">
        <v>565</v>
      </c>
      <c r="I381" s="2" t="str">
        <f t="shared" si="5"/>
        <v>08</v>
      </c>
      <c r="J381" s="2">
        <v>50</v>
      </c>
      <c r="K381" s="3">
        <v>-50000</v>
      </c>
      <c r="L381" s="2" t="s">
        <v>26</v>
      </c>
      <c r="M381" s="3">
        <v>-50000</v>
      </c>
      <c r="N381" s="2" t="s">
        <v>26</v>
      </c>
      <c r="R381" s="2" t="s">
        <v>27</v>
      </c>
      <c r="S381" s="2" t="s">
        <v>576</v>
      </c>
      <c r="T381" s="2" t="s">
        <v>45</v>
      </c>
      <c r="U381" s="2" t="s">
        <v>578</v>
      </c>
      <c r="V381" s="4">
        <f>+VLOOKUP(U381,'FBCJ Jul-Des 2025'!$G$10:$P$1302,8,0)</f>
        <v>70009110</v>
      </c>
      <c r="W381" s="4" t="str">
        <f>+VLOOKUP(V381,Sheet1!$A$2:$B$27,2,0)</f>
        <v>Biaya Survey dan Analisa</v>
      </c>
      <c r="X381" s="4" t="str">
        <f>+VLOOKUP(U381,'FBCJ Jul-Des 2025'!$G$10:$P$1302,9,0)</f>
        <v>M204D1COMM</v>
      </c>
      <c r="Y381" s="2" t="s">
        <v>43</v>
      </c>
      <c r="Z381" s="2">
        <v>1557224</v>
      </c>
      <c r="AA381" s="2">
        <v>20250815</v>
      </c>
      <c r="AB381" s="3">
        <v>50000</v>
      </c>
    </row>
    <row r="382" spans="3:28" x14ac:dyDescent="0.25">
      <c r="C382" s="2">
        <v>10000001</v>
      </c>
      <c r="D382" s="2" t="s">
        <v>565</v>
      </c>
      <c r="F382" s="2">
        <v>12006654</v>
      </c>
      <c r="H382" s="2" t="s">
        <v>565</v>
      </c>
      <c r="I382" s="2" t="str">
        <f t="shared" si="5"/>
        <v>08</v>
      </c>
      <c r="J382" s="2">
        <v>50</v>
      </c>
      <c r="K382" s="3">
        <v>-50000</v>
      </c>
      <c r="L382" s="2" t="s">
        <v>26</v>
      </c>
      <c r="M382" s="3">
        <v>-50000</v>
      </c>
      <c r="N382" s="2" t="s">
        <v>26</v>
      </c>
      <c r="R382" s="2" t="s">
        <v>27</v>
      </c>
      <c r="S382" s="2" t="s">
        <v>576</v>
      </c>
      <c r="T382" s="2" t="s">
        <v>45</v>
      </c>
      <c r="U382" s="2" t="s">
        <v>579</v>
      </c>
      <c r="V382" s="4">
        <f>+VLOOKUP(U382,'FBCJ Jul-Des 2025'!$G$10:$P$1302,8,0)</f>
        <v>70009110</v>
      </c>
      <c r="W382" s="4" t="str">
        <f>+VLOOKUP(V382,Sheet1!$A$2:$B$27,2,0)</f>
        <v>Biaya Survey dan Analisa</v>
      </c>
      <c r="X382" s="4" t="str">
        <f>+VLOOKUP(U382,'FBCJ Jul-Des 2025'!$G$10:$P$1302,9,0)</f>
        <v>M204D1COMM</v>
      </c>
      <c r="Y382" s="2" t="s">
        <v>43</v>
      </c>
      <c r="Z382" s="2">
        <v>1557224</v>
      </c>
      <c r="AA382" s="2">
        <v>20250815</v>
      </c>
      <c r="AB382" s="3">
        <v>50000</v>
      </c>
    </row>
    <row r="383" spans="3:28" x14ac:dyDescent="0.25">
      <c r="C383" s="2">
        <v>10000001</v>
      </c>
      <c r="D383" s="2" t="s">
        <v>565</v>
      </c>
      <c r="F383" s="2">
        <v>12006655</v>
      </c>
      <c r="H383" s="2" t="s">
        <v>565</v>
      </c>
      <c r="I383" s="2" t="str">
        <f t="shared" si="5"/>
        <v>08</v>
      </c>
      <c r="J383" s="2">
        <v>50</v>
      </c>
      <c r="K383" s="3">
        <v>-800000</v>
      </c>
      <c r="L383" s="2" t="s">
        <v>26</v>
      </c>
      <c r="M383" s="3">
        <v>-800000</v>
      </c>
      <c r="N383" s="2" t="s">
        <v>26</v>
      </c>
      <c r="R383" s="2" t="s">
        <v>27</v>
      </c>
      <c r="S383" s="2" t="s">
        <v>580</v>
      </c>
      <c r="T383" s="2" t="s">
        <v>254</v>
      </c>
      <c r="U383" s="2" t="s">
        <v>581</v>
      </c>
      <c r="V383" s="4">
        <f>+VLOOKUP(U383,'FBCJ Jul-Des 2025'!$G$10:$P$1302,8,0)</f>
        <v>70107100</v>
      </c>
      <c r="W383" s="4" t="str">
        <f>+VLOOKUP(V383,Sheet1!$A$2:$B$27,2,0)</f>
        <v>Biaya Mess</v>
      </c>
      <c r="X383" s="4" t="str">
        <f>+VLOOKUP(U383,'FBCJ Jul-Des 2025'!$G$10:$P$1302,9,0)</f>
        <v>R124D1HRGA</v>
      </c>
      <c r="Y383" s="2" t="s">
        <v>43</v>
      </c>
      <c r="Z383" s="2">
        <v>1557224</v>
      </c>
      <c r="AA383" s="2">
        <v>20250815</v>
      </c>
      <c r="AB383" s="3">
        <v>800000</v>
      </c>
    </row>
    <row r="384" spans="3:28" x14ac:dyDescent="0.25">
      <c r="C384" s="2">
        <v>10000001</v>
      </c>
      <c r="D384" s="2" t="s">
        <v>582</v>
      </c>
      <c r="F384" s="2">
        <v>12006656</v>
      </c>
      <c r="H384" s="2" t="s">
        <v>582</v>
      </c>
      <c r="I384" s="2" t="str">
        <f t="shared" si="5"/>
        <v>08</v>
      </c>
      <c r="J384" s="2">
        <v>50</v>
      </c>
      <c r="K384" s="3">
        <v>-750000</v>
      </c>
      <c r="L384" s="2" t="s">
        <v>26</v>
      </c>
      <c r="M384" s="3">
        <v>-750000</v>
      </c>
      <c r="N384" s="2" t="s">
        <v>26</v>
      </c>
      <c r="R384" s="2" t="s">
        <v>27</v>
      </c>
      <c r="S384" s="2" t="s">
        <v>583</v>
      </c>
      <c r="T384" s="2" t="s">
        <v>96</v>
      </c>
      <c r="U384" s="2" t="s">
        <v>584</v>
      </c>
      <c r="V384" s="4">
        <f>+VLOOKUP(U384,'FBCJ Jul-Des 2025'!$G$10:$P$1302,8,0)</f>
        <v>70106400</v>
      </c>
      <c r="W384" s="4" t="str">
        <f>+VLOOKUP(V384,Sheet1!$A$2:$B$27,2,0)</f>
        <v>Biaya Bahan Bakar</v>
      </c>
      <c r="X384" s="4" t="str">
        <f>+VLOOKUP(U384,'FBCJ Jul-Des 2025'!$G$10:$P$1302,9,0)</f>
        <v>R124D1HRGA</v>
      </c>
      <c r="Y384" s="2" t="s">
        <v>43</v>
      </c>
      <c r="Z384" s="2">
        <v>1557224</v>
      </c>
      <c r="AA384" s="2">
        <v>20250819</v>
      </c>
      <c r="AB384" s="3">
        <v>750000</v>
      </c>
    </row>
    <row r="385" spans="3:28" x14ac:dyDescent="0.25">
      <c r="C385" s="2">
        <v>10000001</v>
      </c>
      <c r="D385" s="2" t="s">
        <v>582</v>
      </c>
      <c r="F385" s="2">
        <v>12006657</v>
      </c>
      <c r="H385" s="2" t="s">
        <v>582</v>
      </c>
      <c r="I385" s="2" t="str">
        <f t="shared" si="5"/>
        <v>08</v>
      </c>
      <c r="J385" s="2">
        <v>50</v>
      </c>
      <c r="K385" s="3">
        <v>-248500</v>
      </c>
      <c r="L385" s="2" t="s">
        <v>26</v>
      </c>
      <c r="M385" s="3">
        <v>-248500</v>
      </c>
      <c r="N385" s="2" t="s">
        <v>26</v>
      </c>
      <c r="R385" s="2" t="s">
        <v>27</v>
      </c>
      <c r="S385" s="2" t="s">
        <v>583</v>
      </c>
      <c r="T385" s="2" t="s">
        <v>67</v>
      </c>
      <c r="U385" s="2" t="s">
        <v>98</v>
      </c>
      <c r="V385" s="4">
        <f>+VLOOKUP(U385,'FBCJ Jul-Des 2025'!$G$10:$P$1302,8,0)</f>
        <v>70106100</v>
      </c>
      <c r="W385" s="4" t="str">
        <f>+VLOOKUP(V385,Sheet1!$A$2:$B$27,2,0)</f>
        <v>Biaya Transportasi Lokal</v>
      </c>
      <c r="X385" s="4" t="str">
        <f>+VLOOKUP(U385,'FBCJ Jul-Des 2025'!$G$10:$P$1302,9,0)</f>
        <v>R124D1HRGA</v>
      </c>
      <c r="Y385" s="2" t="s">
        <v>43</v>
      </c>
      <c r="Z385" s="2">
        <v>1557224</v>
      </c>
      <c r="AA385" s="2">
        <v>20250819</v>
      </c>
      <c r="AB385" s="3">
        <v>248500</v>
      </c>
    </row>
    <row r="386" spans="3:28" x14ac:dyDescent="0.25">
      <c r="C386" s="2">
        <v>10000001</v>
      </c>
      <c r="D386" s="2" t="s">
        <v>582</v>
      </c>
      <c r="F386" s="2">
        <v>12006658</v>
      </c>
      <c r="H386" s="2" t="s">
        <v>582</v>
      </c>
      <c r="I386" s="2" t="str">
        <f t="shared" si="5"/>
        <v>08</v>
      </c>
      <c r="J386" s="2">
        <v>50</v>
      </c>
      <c r="K386" s="3">
        <v>-428500</v>
      </c>
      <c r="L386" s="2" t="s">
        <v>26</v>
      </c>
      <c r="M386" s="3">
        <v>-428500</v>
      </c>
      <c r="N386" s="2" t="s">
        <v>26</v>
      </c>
      <c r="R386" s="2" t="s">
        <v>27</v>
      </c>
      <c r="S386" s="2" t="s">
        <v>585</v>
      </c>
      <c r="T386" s="2" t="s">
        <v>57</v>
      </c>
      <c r="U386" s="2" t="s">
        <v>586</v>
      </c>
      <c r="V386" s="4">
        <f>+VLOOKUP(U386,'FBCJ Jul-Des 2025'!$G$10:$P$1302,8,0)</f>
        <v>70101202</v>
      </c>
      <c r="W386" s="4" t="str">
        <f>+VLOOKUP(V386,Sheet1!$A$2:$B$27,2,0)</f>
        <v>By Pemeliharaan Kend,ABerat,Mesin-Material Pihak3</v>
      </c>
      <c r="X386" s="4" t="str">
        <f>+VLOOKUP(U386,'FBCJ Jul-Des 2025'!$G$10:$P$1302,9,0)</f>
        <v>R124MMP</v>
      </c>
      <c r="Y386" s="2" t="s">
        <v>43</v>
      </c>
      <c r="Z386" s="2">
        <v>1557224</v>
      </c>
      <c r="AA386" s="2">
        <v>20250819</v>
      </c>
      <c r="AB386" s="3">
        <v>428500</v>
      </c>
    </row>
    <row r="387" spans="3:28" x14ac:dyDescent="0.25">
      <c r="C387" s="2">
        <v>10000001</v>
      </c>
      <c r="D387" s="2" t="s">
        <v>582</v>
      </c>
      <c r="F387" s="2">
        <v>12006659</v>
      </c>
      <c r="H387" s="2" t="s">
        <v>582</v>
      </c>
      <c r="I387" s="2" t="str">
        <f t="shared" si="5"/>
        <v>08</v>
      </c>
      <c r="J387" s="2">
        <v>50</v>
      </c>
      <c r="K387" s="3">
        <v>-71400</v>
      </c>
      <c r="L387" s="2" t="s">
        <v>26</v>
      </c>
      <c r="M387" s="3">
        <v>-71400</v>
      </c>
      <c r="N387" s="2" t="s">
        <v>26</v>
      </c>
      <c r="R387" s="2" t="s">
        <v>27</v>
      </c>
      <c r="S387" s="2" t="s">
        <v>587</v>
      </c>
      <c r="T387" s="2" t="s">
        <v>64</v>
      </c>
      <c r="U387" s="2" t="s">
        <v>588</v>
      </c>
      <c r="V387" s="4">
        <f>+VLOOKUP(U387,'FBCJ Jul-Des 2025'!$G$10:$P$1302,8,0)</f>
        <v>70108110</v>
      </c>
      <c r="W387" s="4" t="str">
        <f>+VLOOKUP(V387,Sheet1!$A$2:$B$27,2,0)</f>
        <v>Biaya  Fotocopy</v>
      </c>
      <c r="X387" s="4" t="str">
        <f>+VLOOKUP(U387,'FBCJ Jul-Des 2025'!$G$10:$P$1302,9,0)</f>
        <v>R124QMR</v>
      </c>
      <c r="Y387" s="2" t="s">
        <v>43</v>
      </c>
      <c r="Z387" s="2">
        <v>1557224</v>
      </c>
      <c r="AA387" s="2">
        <v>20250819</v>
      </c>
      <c r="AB387" s="3">
        <v>71400</v>
      </c>
    </row>
    <row r="388" spans="3:28" x14ac:dyDescent="0.25">
      <c r="C388" s="2">
        <v>10000001</v>
      </c>
      <c r="D388" s="2" t="s">
        <v>589</v>
      </c>
      <c r="F388" s="2">
        <v>12006660</v>
      </c>
      <c r="H388" s="2" t="s">
        <v>589</v>
      </c>
      <c r="I388" s="2" t="str">
        <f t="shared" si="5"/>
        <v>08</v>
      </c>
      <c r="J388" s="2">
        <v>50</v>
      </c>
      <c r="K388" s="3">
        <v>-440000</v>
      </c>
      <c r="L388" s="2" t="s">
        <v>26</v>
      </c>
      <c r="M388" s="3">
        <v>-440000</v>
      </c>
      <c r="N388" s="2" t="s">
        <v>26</v>
      </c>
      <c r="R388" s="2" t="s">
        <v>27</v>
      </c>
      <c r="S388" s="2" t="s">
        <v>590</v>
      </c>
      <c r="T388" s="2" t="s">
        <v>96</v>
      </c>
      <c r="U388" s="2" t="s">
        <v>591</v>
      </c>
      <c r="V388" s="4">
        <f>+VLOOKUP(U388,'FBCJ Jul-Des 2025'!$G$10:$P$1302,8,0)</f>
        <v>70106400</v>
      </c>
      <c r="W388" s="4" t="str">
        <f>+VLOOKUP(V388,Sheet1!$A$2:$B$27,2,0)</f>
        <v>Biaya Bahan Bakar</v>
      </c>
      <c r="X388" s="4" t="str">
        <f>+VLOOKUP(U388,'FBCJ Jul-Des 2025'!$G$10:$P$1302,9,0)</f>
        <v>R124D1HRGA</v>
      </c>
      <c r="Y388" s="2" t="s">
        <v>43</v>
      </c>
      <c r="Z388" s="2">
        <v>1557224</v>
      </c>
      <c r="AA388" s="2">
        <v>20250820</v>
      </c>
      <c r="AB388" s="3">
        <v>440000</v>
      </c>
    </row>
    <row r="389" spans="3:28" x14ac:dyDescent="0.25">
      <c r="C389" s="2">
        <v>10000001</v>
      </c>
      <c r="D389" s="2" t="s">
        <v>589</v>
      </c>
      <c r="F389" s="2">
        <v>12006661</v>
      </c>
      <c r="H389" s="2" t="s">
        <v>589</v>
      </c>
      <c r="I389" s="2" t="str">
        <f t="shared" si="5"/>
        <v>08</v>
      </c>
      <c r="J389" s="2">
        <v>50</v>
      </c>
      <c r="K389" s="3">
        <v>-558000</v>
      </c>
      <c r="L389" s="2" t="s">
        <v>26</v>
      </c>
      <c r="M389" s="3">
        <v>-558000</v>
      </c>
      <c r="N389" s="2" t="s">
        <v>26</v>
      </c>
      <c r="R389" s="2" t="s">
        <v>27</v>
      </c>
      <c r="S389" s="2" t="s">
        <v>590</v>
      </c>
      <c r="T389" s="2" t="s">
        <v>67</v>
      </c>
      <c r="U389" s="2" t="s">
        <v>98</v>
      </c>
      <c r="V389" s="4">
        <f>+VLOOKUP(U389,'FBCJ Jul-Des 2025'!$G$10:$P$1302,8,0)</f>
        <v>70106100</v>
      </c>
      <c r="W389" s="4" t="str">
        <f>+VLOOKUP(V389,Sheet1!$A$2:$B$27,2,0)</f>
        <v>Biaya Transportasi Lokal</v>
      </c>
      <c r="X389" s="4" t="str">
        <f>+VLOOKUP(U389,'FBCJ Jul-Des 2025'!$G$10:$P$1302,9,0)</f>
        <v>R124D1HRGA</v>
      </c>
      <c r="Y389" s="2" t="s">
        <v>43</v>
      </c>
      <c r="Z389" s="2">
        <v>1557224</v>
      </c>
      <c r="AA389" s="2">
        <v>20250820</v>
      </c>
      <c r="AB389" s="3">
        <v>558000</v>
      </c>
    </row>
    <row r="390" spans="3:28" x14ac:dyDescent="0.25">
      <c r="C390" s="2">
        <v>10000001</v>
      </c>
      <c r="D390" s="2" t="s">
        <v>589</v>
      </c>
      <c r="F390" s="2">
        <v>12006662</v>
      </c>
      <c r="H390" s="2" t="s">
        <v>589</v>
      </c>
      <c r="I390" s="2" t="str">
        <f t="shared" si="5"/>
        <v>08</v>
      </c>
      <c r="J390" s="2">
        <v>50</v>
      </c>
      <c r="K390" s="3">
        <v>-95000</v>
      </c>
      <c r="L390" s="2" t="s">
        <v>26</v>
      </c>
      <c r="M390" s="3">
        <v>-95000</v>
      </c>
      <c r="N390" s="2" t="s">
        <v>26</v>
      </c>
      <c r="R390" s="2" t="s">
        <v>27</v>
      </c>
      <c r="S390" s="2" t="s">
        <v>592</v>
      </c>
      <c r="T390" s="2" t="s">
        <v>126</v>
      </c>
      <c r="U390" s="2" t="s">
        <v>593</v>
      </c>
      <c r="V390" s="4">
        <f>+VLOOKUP(U390,'FBCJ Jul-Des 2025'!$G$10:$P$1302,8,0)</f>
        <v>70107600</v>
      </c>
      <c r="W390" s="4" t="str">
        <f>+VLOOKUP(V390,Sheet1!$A$2:$B$27,2,0)</f>
        <v>Biaya Konsumsi Kantor</v>
      </c>
      <c r="X390" s="4" t="str">
        <f>+VLOOKUP(U390,'FBCJ Jul-Des 2025'!$G$10:$P$1302,9,0)</f>
        <v>R124D1HRDV</v>
      </c>
      <c r="Y390" s="2" t="s">
        <v>43</v>
      </c>
      <c r="Z390" s="2">
        <v>1557224</v>
      </c>
      <c r="AA390" s="2">
        <v>20250820</v>
      </c>
      <c r="AB390" s="3">
        <v>95000</v>
      </c>
    </row>
    <row r="391" spans="3:28" x14ac:dyDescent="0.25">
      <c r="C391" s="2">
        <v>10000001</v>
      </c>
      <c r="D391" s="2" t="s">
        <v>589</v>
      </c>
      <c r="F391" s="2">
        <v>12006663</v>
      </c>
      <c r="H391" s="2" t="s">
        <v>589</v>
      </c>
      <c r="I391" s="2" t="str">
        <f t="shared" si="5"/>
        <v>08</v>
      </c>
      <c r="J391" s="2">
        <v>50</v>
      </c>
      <c r="K391" s="3">
        <v>-604000</v>
      </c>
      <c r="L391" s="2" t="s">
        <v>26</v>
      </c>
      <c r="M391" s="3">
        <v>-604000</v>
      </c>
      <c r="N391" s="2" t="s">
        <v>26</v>
      </c>
      <c r="R391" s="2" t="s">
        <v>27</v>
      </c>
      <c r="S391" s="2" t="s">
        <v>594</v>
      </c>
      <c r="T391" s="2" t="s">
        <v>57</v>
      </c>
      <c r="U391" s="2" t="s">
        <v>595</v>
      </c>
      <c r="V391" s="4">
        <f>+VLOOKUP(U391,'FBCJ Jul-Des 2025'!$G$10:$P$1302,8,0)</f>
        <v>70101202</v>
      </c>
      <c r="W391" s="4" t="str">
        <f>+VLOOKUP(V391,Sheet1!$A$2:$B$27,2,0)</f>
        <v>By Pemeliharaan Kend,ABerat,Mesin-Material Pihak3</v>
      </c>
      <c r="X391" s="4" t="str">
        <f>+VLOOKUP(U391,'FBCJ Jul-Des 2025'!$G$10:$P$1302,9,0)</f>
        <v>R124REF</v>
      </c>
      <c r="Y391" s="2" t="s">
        <v>43</v>
      </c>
      <c r="Z391" s="2">
        <v>1557224</v>
      </c>
      <c r="AA391" s="2">
        <v>20250820</v>
      </c>
      <c r="AB391" s="3">
        <v>604000</v>
      </c>
    </row>
    <row r="392" spans="3:28" x14ac:dyDescent="0.25">
      <c r="C392" s="2">
        <v>10000001</v>
      </c>
      <c r="D392" s="2" t="s">
        <v>589</v>
      </c>
      <c r="F392" s="2">
        <v>12006664</v>
      </c>
      <c r="H392" s="2" t="s">
        <v>589</v>
      </c>
      <c r="I392" s="2" t="str">
        <f t="shared" ref="I392:I455" si="6">+MID(H392,4,2)</f>
        <v>08</v>
      </c>
      <c r="J392" s="2">
        <v>50</v>
      </c>
      <c r="K392" s="3">
        <v>-280000</v>
      </c>
      <c r="L392" s="2" t="s">
        <v>26</v>
      </c>
      <c r="M392" s="3">
        <v>-280000</v>
      </c>
      <c r="N392" s="2" t="s">
        <v>26</v>
      </c>
      <c r="R392" s="2" t="s">
        <v>27</v>
      </c>
      <c r="S392" s="2" t="s">
        <v>594</v>
      </c>
      <c r="T392" s="2" t="s">
        <v>375</v>
      </c>
      <c r="U392" s="2" t="s">
        <v>596</v>
      </c>
      <c r="V392" s="4">
        <v>15000900</v>
      </c>
      <c r="W392" s="4" t="str">
        <f>+VLOOKUP(V392,Sheet1!$A$2:$B$27,2,0)</f>
        <v>Biaya Lainnya Yang Dibayar Di Muka</v>
      </c>
      <c r="X392" s="4" t="s">
        <v>1913</v>
      </c>
      <c r="Y392" s="2" t="s">
        <v>43</v>
      </c>
      <c r="Z392" s="2">
        <v>1557224</v>
      </c>
      <c r="AA392" s="2">
        <v>20250820</v>
      </c>
      <c r="AB392" s="3">
        <v>280000</v>
      </c>
    </row>
    <row r="393" spans="3:28" x14ac:dyDescent="0.25">
      <c r="C393" s="2">
        <v>10000001</v>
      </c>
      <c r="D393" s="2" t="s">
        <v>589</v>
      </c>
      <c r="F393" s="2">
        <v>12006665</v>
      </c>
      <c r="H393" s="2" t="s">
        <v>589</v>
      </c>
      <c r="I393" s="2" t="str">
        <f t="shared" si="6"/>
        <v>08</v>
      </c>
      <c r="J393" s="2">
        <v>50</v>
      </c>
      <c r="K393" s="3">
        <v>-650000</v>
      </c>
      <c r="L393" s="2" t="s">
        <v>26</v>
      </c>
      <c r="M393" s="3">
        <v>-650000</v>
      </c>
      <c r="N393" s="2" t="s">
        <v>26</v>
      </c>
      <c r="R393" s="2" t="s">
        <v>27</v>
      </c>
      <c r="S393" s="2" t="s">
        <v>597</v>
      </c>
      <c r="T393" s="2" t="s">
        <v>375</v>
      </c>
      <c r="U393" s="2" t="s">
        <v>598</v>
      </c>
      <c r="V393" s="4">
        <v>15000900</v>
      </c>
      <c r="W393" s="4" t="str">
        <f>+VLOOKUP(V393,Sheet1!$A$2:$B$27,2,0)</f>
        <v>Biaya Lainnya Yang Dibayar Di Muka</v>
      </c>
      <c r="X393" s="4" t="s">
        <v>1913</v>
      </c>
      <c r="Y393" s="2" t="s">
        <v>43</v>
      </c>
      <c r="Z393" s="2">
        <v>1557224</v>
      </c>
      <c r="AA393" s="2">
        <v>20250820</v>
      </c>
      <c r="AB393" s="3">
        <v>650000</v>
      </c>
    </row>
    <row r="394" spans="3:28" x14ac:dyDescent="0.25">
      <c r="C394" s="2">
        <v>10000001</v>
      </c>
      <c r="D394" s="2" t="s">
        <v>589</v>
      </c>
      <c r="F394" s="2">
        <v>12006666</v>
      </c>
      <c r="H394" s="2" t="s">
        <v>589</v>
      </c>
      <c r="I394" s="2" t="str">
        <f t="shared" si="6"/>
        <v>08</v>
      </c>
      <c r="J394" s="2">
        <v>40</v>
      </c>
      <c r="K394" s="3">
        <v>34438078</v>
      </c>
      <c r="L394" s="2" t="s">
        <v>26</v>
      </c>
      <c r="M394" s="3">
        <v>34438078</v>
      </c>
      <c r="N394" s="2" t="s">
        <v>26</v>
      </c>
      <c r="R394" s="2" t="s">
        <v>27</v>
      </c>
      <c r="T394" s="2" t="s">
        <v>249</v>
      </c>
      <c r="U394" s="2" t="s">
        <v>599</v>
      </c>
      <c r="Y394" s="2" t="s">
        <v>43</v>
      </c>
      <c r="Z394" s="2">
        <v>1557224</v>
      </c>
      <c r="AA394" s="2">
        <v>20250820</v>
      </c>
      <c r="AB394" s="3">
        <v>34438078</v>
      </c>
    </row>
    <row r="395" spans="3:28" x14ac:dyDescent="0.25">
      <c r="C395" s="2">
        <v>10000001</v>
      </c>
      <c r="D395" s="2" t="s">
        <v>605</v>
      </c>
      <c r="F395" s="2">
        <v>12007299</v>
      </c>
      <c r="H395" s="2" t="s">
        <v>605</v>
      </c>
      <c r="I395" s="2" t="str">
        <f t="shared" si="6"/>
        <v>09</v>
      </c>
      <c r="J395" s="2">
        <v>50</v>
      </c>
      <c r="K395" s="3">
        <v>-500000</v>
      </c>
      <c r="L395" s="2" t="s">
        <v>26</v>
      </c>
      <c r="M395" s="3">
        <v>-500000</v>
      </c>
      <c r="N395" s="2" t="s">
        <v>26</v>
      </c>
      <c r="R395" s="2" t="s">
        <v>27</v>
      </c>
      <c r="S395" s="2" t="s">
        <v>606</v>
      </c>
      <c r="T395" s="2" t="s">
        <v>41</v>
      </c>
      <c r="U395" s="2" t="s">
        <v>607</v>
      </c>
      <c r="V395" s="4">
        <f>+VLOOKUP(U395,'FBCJ Jul-Des 2025'!$G$10:$P$1302,8,0)</f>
        <v>70107300</v>
      </c>
      <c r="W395" s="4" t="str">
        <f>+VLOOKUP(V395,Sheet1!$A$2:$B$27,2,0)</f>
        <v>Biaya Olahraga Dan Permainan</v>
      </c>
      <c r="X395" s="4" t="str">
        <f>+VLOOKUP(U395,'FBCJ Jul-Des 2025'!$G$10:$P$1302,9,0)</f>
        <v>R124D1HRDV</v>
      </c>
      <c r="Y395" s="2" t="s">
        <v>43</v>
      </c>
      <c r="Z395" s="2">
        <v>1631293</v>
      </c>
      <c r="AA395" s="2">
        <v>20250902</v>
      </c>
      <c r="AB395" s="3">
        <v>500000</v>
      </c>
    </row>
    <row r="396" spans="3:28" x14ac:dyDescent="0.25">
      <c r="C396" s="2">
        <v>10000001</v>
      </c>
      <c r="D396" s="2" t="s">
        <v>605</v>
      </c>
      <c r="F396" s="2">
        <v>12007300</v>
      </c>
      <c r="H396" s="2" t="s">
        <v>605</v>
      </c>
      <c r="I396" s="2" t="str">
        <f t="shared" si="6"/>
        <v>09</v>
      </c>
      <c r="J396" s="2">
        <v>50</v>
      </c>
      <c r="K396" s="3">
        <v>-50000</v>
      </c>
      <c r="L396" s="2" t="s">
        <v>26</v>
      </c>
      <c r="M396" s="3">
        <v>-50000</v>
      </c>
      <c r="N396" s="2" t="s">
        <v>26</v>
      </c>
      <c r="R396" s="2" t="s">
        <v>27</v>
      </c>
      <c r="S396" s="2" t="s">
        <v>608</v>
      </c>
      <c r="T396" s="2" t="s">
        <v>45</v>
      </c>
      <c r="U396" s="2" t="s">
        <v>609</v>
      </c>
      <c r="V396" s="4">
        <f>+VLOOKUP(U396,'FBCJ Jul-Des 2025'!$G$10:$P$1302,8,0)</f>
        <v>70009110</v>
      </c>
      <c r="W396" s="4" t="str">
        <f>+VLOOKUP(V396,Sheet1!$A$2:$B$27,2,0)</f>
        <v>Biaya Survey dan Analisa</v>
      </c>
      <c r="X396" s="4" t="str">
        <f>+VLOOKUP(U396,'FBCJ Jul-Des 2025'!$G$10:$P$1302,9,0)</f>
        <v>P206D1SLSC</v>
      </c>
      <c r="Y396" s="2" t="s">
        <v>43</v>
      </c>
      <c r="Z396" s="2">
        <v>1631293</v>
      </c>
      <c r="AA396" s="2">
        <v>20250902</v>
      </c>
      <c r="AB396" s="3">
        <v>50000</v>
      </c>
    </row>
    <row r="397" spans="3:28" x14ac:dyDescent="0.25">
      <c r="C397" s="2">
        <v>10000001</v>
      </c>
      <c r="D397" s="2" t="s">
        <v>605</v>
      </c>
      <c r="F397" s="2">
        <v>12007301</v>
      </c>
      <c r="H397" s="2" t="s">
        <v>605</v>
      </c>
      <c r="I397" s="2" t="str">
        <f t="shared" si="6"/>
        <v>09</v>
      </c>
      <c r="J397" s="2">
        <v>50</v>
      </c>
      <c r="K397" s="3">
        <v>-50000</v>
      </c>
      <c r="L397" s="2" t="s">
        <v>26</v>
      </c>
      <c r="M397" s="3">
        <v>-50000</v>
      </c>
      <c r="N397" s="2" t="s">
        <v>26</v>
      </c>
      <c r="R397" s="2" t="s">
        <v>27</v>
      </c>
      <c r="S397" s="2" t="s">
        <v>608</v>
      </c>
      <c r="T397" s="2" t="s">
        <v>45</v>
      </c>
      <c r="U397" s="2" t="s">
        <v>610</v>
      </c>
      <c r="V397" s="4">
        <f>+VLOOKUP(U397,'FBCJ Jul-Des 2025'!$G$10:$P$1302,8,0)</f>
        <v>70009110</v>
      </c>
      <c r="W397" s="4" t="str">
        <f>+VLOOKUP(V397,Sheet1!$A$2:$B$27,2,0)</f>
        <v>Biaya Survey dan Analisa</v>
      </c>
      <c r="X397" s="4" t="str">
        <f>+VLOOKUP(U397,'FBCJ Jul-Des 2025'!$G$10:$P$1302,9,0)</f>
        <v>P206D1SLSC</v>
      </c>
      <c r="Y397" s="2" t="s">
        <v>43</v>
      </c>
      <c r="Z397" s="2">
        <v>1631293</v>
      </c>
      <c r="AA397" s="2">
        <v>20250902</v>
      </c>
      <c r="AB397" s="3">
        <v>50000</v>
      </c>
    </row>
    <row r="398" spans="3:28" x14ac:dyDescent="0.25">
      <c r="C398" s="2">
        <v>10000001</v>
      </c>
      <c r="D398" s="2" t="s">
        <v>605</v>
      </c>
      <c r="F398" s="2">
        <v>12007302</v>
      </c>
      <c r="H398" s="2" t="s">
        <v>605</v>
      </c>
      <c r="I398" s="2" t="str">
        <f t="shared" si="6"/>
        <v>09</v>
      </c>
      <c r="J398" s="2">
        <v>50</v>
      </c>
      <c r="K398" s="3">
        <v>-50000</v>
      </c>
      <c r="L398" s="2" t="s">
        <v>26</v>
      </c>
      <c r="M398" s="3">
        <v>-50000</v>
      </c>
      <c r="N398" s="2" t="s">
        <v>26</v>
      </c>
      <c r="R398" s="2" t="s">
        <v>27</v>
      </c>
      <c r="S398" s="2" t="s">
        <v>608</v>
      </c>
      <c r="T398" s="2" t="s">
        <v>45</v>
      </c>
      <c r="U398" s="2" t="s">
        <v>611</v>
      </c>
      <c r="V398" s="4">
        <f>+VLOOKUP(U398,'FBCJ Jul-Des 2025'!$G$10:$P$1302,8,0)</f>
        <v>70009110</v>
      </c>
      <c r="W398" s="4" t="str">
        <f>+VLOOKUP(V398,Sheet1!$A$2:$B$27,2,0)</f>
        <v>Biaya Survey dan Analisa</v>
      </c>
      <c r="X398" s="4" t="str">
        <f>+VLOOKUP(U398,'FBCJ Jul-Des 2025'!$G$10:$P$1302,9,0)</f>
        <v>P206D1SLSC</v>
      </c>
      <c r="Y398" s="2" t="s">
        <v>43</v>
      </c>
      <c r="Z398" s="2">
        <v>1631293</v>
      </c>
      <c r="AA398" s="2">
        <v>20250902</v>
      </c>
      <c r="AB398" s="3">
        <v>50000</v>
      </c>
    </row>
    <row r="399" spans="3:28" x14ac:dyDescent="0.25">
      <c r="C399" s="2">
        <v>10000001</v>
      </c>
      <c r="D399" s="2" t="s">
        <v>605</v>
      </c>
      <c r="F399" s="2">
        <v>12007303</v>
      </c>
      <c r="H399" s="2" t="s">
        <v>605</v>
      </c>
      <c r="I399" s="2" t="str">
        <f t="shared" si="6"/>
        <v>09</v>
      </c>
      <c r="J399" s="2">
        <v>50</v>
      </c>
      <c r="K399" s="3">
        <v>-50000</v>
      </c>
      <c r="L399" s="2" t="s">
        <v>26</v>
      </c>
      <c r="M399" s="3">
        <v>-50000</v>
      </c>
      <c r="N399" s="2" t="s">
        <v>26</v>
      </c>
      <c r="R399" s="2" t="s">
        <v>27</v>
      </c>
      <c r="S399" s="2" t="s">
        <v>608</v>
      </c>
      <c r="T399" s="2" t="s">
        <v>45</v>
      </c>
      <c r="U399" s="2" t="s">
        <v>612</v>
      </c>
      <c r="V399" s="4">
        <f>+VLOOKUP(U399,'FBCJ Jul-Des 2025'!$G$10:$P$1302,8,0)</f>
        <v>70009110</v>
      </c>
      <c r="W399" s="4" t="str">
        <f>+VLOOKUP(V399,Sheet1!$A$2:$B$27,2,0)</f>
        <v>Biaya Survey dan Analisa</v>
      </c>
      <c r="X399" s="4" t="str">
        <f>+VLOOKUP(U399,'FBCJ Jul-Des 2025'!$G$10:$P$1302,9,0)</f>
        <v>P206D1SLSC</v>
      </c>
      <c r="Y399" s="2" t="s">
        <v>43</v>
      </c>
      <c r="Z399" s="2">
        <v>1631293</v>
      </c>
      <c r="AA399" s="2">
        <v>20250902</v>
      </c>
      <c r="AB399" s="3">
        <v>50000</v>
      </c>
    </row>
    <row r="400" spans="3:28" x14ac:dyDescent="0.25">
      <c r="C400" s="2">
        <v>10000001</v>
      </c>
      <c r="D400" s="2" t="s">
        <v>605</v>
      </c>
      <c r="F400" s="2">
        <v>12007304</v>
      </c>
      <c r="H400" s="2" t="s">
        <v>605</v>
      </c>
      <c r="I400" s="2" t="str">
        <f t="shared" si="6"/>
        <v>09</v>
      </c>
      <c r="J400" s="2">
        <v>50</v>
      </c>
      <c r="K400" s="3">
        <v>-50000</v>
      </c>
      <c r="L400" s="2" t="s">
        <v>26</v>
      </c>
      <c r="M400" s="3">
        <v>-50000</v>
      </c>
      <c r="N400" s="2" t="s">
        <v>26</v>
      </c>
      <c r="R400" s="2" t="s">
        <v>27</v>
      </c>
      <c r="S400" s="2" t="s">
        <v>608</v>
      </c>
      <c r="T400" s="2" t="s">
        <v>45</v>
      </c>
      <c r="U400" s="2" t="s">
        <v>613</v>
      </c>
      <c r="V400" s="4">
        <f>+VLOOKUP(U400,'FBCJ Jul-Des 2025'!$G$10:$P$1302,8,0)</f>
        <v>70009110</v>
      </c>
      <c r="W400" s="4" t="str">
        <f>+VLOOKUP(V400,Sheet1!$A$2:$B$27,2,0)</f>
        <v>Biaya Survey dan Analisa</v>
      </c>
      <c r="X400" s="4" t="str">
        <f>+VLOOKUP(U400,'FBCJ Jul-Des 2025'!$G$10:$P$1302,9,0)</f>
        <v>P206D1SLSC</v>
      </c>
      <c r="Y400" s="2" t="s">
        <v>43</v>
      </c>
      <c r="Z400" s="2">
        <v>1631293</v>
      </c>
      <c r="AA400" s="2">
        <v>20250902</v>
      </c>
      <c r="AB400" s="3">
        <v>50000</v>
      </c>
    </row>
    <row r="401" spans="3:28" x14ac:dyDescent="0.25">
      <c r="C401" s="2">
        <v>10000001</v>
      </c>
      <c r="D401" s="2" t="s">
        <v>605</v>
      </c>
      <c r="F401" s="2">
        <v>12007305</v>
      </c>
      <c r="H401" s="2" t="s">
        <v>605</v>
      </c>
      <c r="I401" s="2" t="str">
        <f t="shared" si="6"/>
        <v>09</v>
      </c>
      <c r="J401" s="2">
        <v>50</v>
      </c>
      <c r="K401" s="3">
        <v>-50000</v>
      </c>
      <c r="L401" s="2" t="s">
        <v>26</v>
      </c>
      <c r="M401" s="3">
        <v>-50000</v>
      </c>
      <c r="N401" s="2" t="s">
        <v>26</v>
      </c>
      <c r="R401" s="2" t="s">
        <v>27</v>
      </c>
      <c r="S401" s="2" t="s">
        <v>614</v>
      </c>
      <c r="T401" s="2" t="s">
        <v>45</v>
      </c>
      <c r="U401" s="2" t="s">
        <v>615</v>
      </c>
      <c r="V401" s="4">
        <f>+VLOOKUP(U401,'FBCJ Jul-Des 2025'!$G$10:$P$1302,8,0)</f>
        <v>70009110</v>
      </c>
      <c r="W401" s="4" t="str">
        <f>+VLOOKUP(V401,Sheet1!$A$2:$B$27,2,0)</f>
        <v>Biaya Survey dan Analisa</v>
      </c>
      <c r="X401" s="4" t="str">
        <f>+VLOOKUP(U401,'FBCJ Jul-Des 2025'!$G$10:$P$1302,9,0)</f>
        <v>P206D1SLSS</v>
      </c>
      <c r="Y401" s="2" t="s">
        <v>43</v>
      </c>
      <c r="Z401" s="2">
        <v>1631293</v>
      </c>
      <c r="AA401" s="2">
        <v>20250902</v>
      </c>
      <c r="AB401" s="3">
        <v>50000</v>
      </c>
    </row>
    <row r="402" spans="3:28" x14ac:dyDescent="0.25">
      <c r="C402" s="2">
        <v>10000001</v>
      </c>
      <c r="D402" s="2" t="s">
        <v>605</v>
      </c>
      <c r="F402" s="2">
        <v>12007306</v>
      </c>
      <c r="H402" s="2" t="s">
        <v>605</v>
      </c>
      <c r="I402" s="2" t="str">
        <f t="shared" si="6"/>
        <v>09</v>
      </c>
      <c r="J402" s="2">
        <v>50</v>
      </c>
      <c r="K402" s="3">
        <v>-50000</v>
      </c>
      <c r="L402" s="2" t="s">
        <v>26</v>
      </c>
      <c r="M402" s="3">
        <v>-50000</v>
      </c>
      <c r="N402" s="2" t="s">
        <v>26</v>
      </c>
      <c r="R402" s="2" t="s">
        <v>27</v>
      </c>
      <c r="S402" s="2" t="s">
        <v>614</v>
      </c>
      <c r="T402" s="2" t="s">
        <v>45</v>
      </c>
      <c r="U402" s="2" t="s">
        <v>616</v>
      </c>
      <c r="V402" s="4">
        <f>+VLOOKUP(U402,'FBCJ Jul-Des 2025'!$G$10:$P$1302,8,0)</f>
        <v>70009110</v>
      </c>
      <c r="W402" s="4" t="str">
        <f>+VLOOKUP(V402,Sheet1!$A$2:$B$27,2,0)</f>
        <v>Biaya Survey dan Analisa</v>
      </c>
      <c r="X402" s="4" t="str">
        <f>+VLOOKUP(U402,'FBCJ Jul-Des 2025'!$G$10:$P$1302,9,0)</f>
        <v>P206D1SLSS</v>
      </c>
      <c r="Y402" s="2" t="s">
        <v>43</v>
      </c>
      <c r="Z402" s="2">
        <v>1631293</v>
      </c>
      <c r="AA402" s="2">
        <v>20250902</v>
      </c>
      <c r="AB402" s="3">
        <v>50000</v>
      </c>
    </row>
    <row r="403" spans="3:28" x14ac:dyDescent="0.25">
      <c r="C403" s="2">
        <v>10000001</v>
      </c>
      <c r="D403" s="2" t="s">
        <v>605</v>
      </c>
      <c r="F403" s="2">
        <v>12007307</v>
      </c>
      <c r="H403" s="2" t="s">
        <v>605</v>
      </c>
      <c r="I403" s="2" t="str">
        <f t="shared" si="6"/>
        <v>09</v>
      </c>
      <c r="J403" s="2">
        <v>50</v>
      </c>
      <c r="K403" s="3">
        <v>-50000</v>
      </c>
      <c r="L403" s="2" t="s">
        <v>26</v>
      </c>
      <c r="M403" s="3">
        <v>-50000</v>
      </c>
      <c r="N403" s="2" t="s">
        <v>26</v>
      </c>
      <c r="R403" s="2" t="s">
        <v>27</v>
      </c>
      <c r="S403" s="2" t="s">
        <v>614</v>
      </c>
      <c r="T403" s="2" t="s">
        <v>45</v>
      </c>
      <c r="U403" s="2" t="s">
        <v>617</v>
      </c>
      <c r="V403" s="4">
        <f>+VLOOKUP(U403,'FBCJ Jul-Des 2025'!$G$10:$P$1302,8,0)</f>
        <v>70009110</v>
      </c>
      <c r="W403" s="4" t="str">
        <f>+VLOOKUP(V403,Sheet1!$A$2:$B$27,2,0)</f>
        <v>Biaya Survey dan Analisa</v>
      </c>
      <c r="X403" s="4" t="str">
        <f>+VLOOKUP(U403,'FBCJ Jul-Des 2025'!$G$10:$P$1302,9,0)</f>
        <v>P206D1SLSS</v>
      </c>
      <c r="Y403" s="2" t="s">
        <v>43</v>
      </c>
      <c r="Z403" s="2">
        <v>1631293</v>
      </c>
      <c r="AA403" s="2">
        <v>20250902</v>
      </c>
      <c r="AB403" s="3">
        <v>50000</v>
      </c>
    </row>
    <row r="404" spans="3:28" x14ac:dyDescent="0.25">
      <c r="C404" s="2">
        <v>10000001</v>
      </c>
      <c r="D404" s="2" t="s">
        <v>605</v>
      </c>
      <c r="F404" s="2">
        <v>12007308</v>
      </c>
      <c r="H404" s="2" t="s">
        <v>605</v>
      </c>
      <c r="I404" s="2" t="str">
        <f t="shared" si="6"/>
        <v>09</v>
      </c>
      <c r="J404" s="2">
        <v>50</v>
      </c>
      <c r="K404" s="3">
        <v>-50000</v>
      </c>
      <c r="L404" s="2" t="s">
        <v>26</v>
      </c>
      <c r="M404" s="3">
        <v>-50000</v>
      </c>
      <c r="N404" s="2" t="s">
        <v>26</v>
      </c>
      <c r="R404" s="2" t="s">
        <v>27</v>
      </c>
      <c r="S404" s="2" t="s">
        <v>614</v>
      </c>
      <c r="T404" s="2" t="s">
        <v>45</v>
      </c>
      <c r="U404" s="2" t="s">
        <v>618</v>
      </c>
      <c r="V404" s="4">
        <f>+VLOOKUP(U404,'FBCJ Jul-Des 2025'!$G$10:$P$1302,8,0)</f>
        <v>70009110</v>
      </c>
      <c r="W404" s="4" t="str">
        <f>+VLOOKUP(V404,Sheet1!$A$2:$B$27,2,0)</f>
        <v>Biaya Survey dan Analisa</v>
      </c>
      <c r="X404" s="4" t="str">
        <f>+VLOOKUP(U404,'FBCJ Jul-Des 2025'!$G$10:$P$1302,9,0)</f>
        <v>P206D1SLSS</v>
      </c>
      <c r="Y404" s="2" t="s">
        <v>43</v>
      </c>
      <c r="Z404" s="2">
        <v>1631293</v>
      </c>
      <c r="AA404" s="2">
        <v>20250902</v>
      </c>
      <c r="AB404" s="3">
        <v>50000</v>
      </c>
    </row>
    <row r="405" spans="3:28" x14ac:dyDescent="0.25">
      <c r="C405" s="2">
        <v>10000001</v>
      </c>
      <c r="D405" s="2" t="s">
        <v>605</v>
      </c>
      <c r="F405" s="2">
        <v>12007309</v>
      </c>
      <c r="H405" s="2" t="s">
        <v>605</v>
      </c>
      <c r="I405" s="2" t="str">
        <f t="shared" si="6"/>
        <v>09</v>
      </c>
      <c r="J405" s="2">
        <v>50</v>
      </c>
      <c r="K405" s="3">
        <v>-50000</v>
      </c>
      <c r="L405" s="2" t="s">
        <v>26</v>
      </c>
      <c r="M405" s="3">
        <v>-50000</v>
      </c>
      <c r="N405" s="2" t="s">
        <v>26</v>
      </c>
      <c r="R405" s="2" t="s">
        <v>27</v>
      </c>
      <c r="S405" s="2" t="s">
        <v>614</v>
      </c>
      <c r="T405" s="2" t="s">
        <v>45</v>
      </c>
      <c r="U405" s="2" t="s">
        <v>619</v>
      </c>
      <c r="V405" s="4">
        <f>+VLOOKUP(U405,'FBCJ Jul-Des 2025'!$G$10:$P$1302,8,0)</f>
        <v>70009110</v>
      </c>
      <c r="W405" s="4" t="str">
        <f>+VLOOKUP(V405,Sheet1!$A$2:$B$27,2,0)</f>
        <v>Biaya Survey dan Analisa</v>
      </c>
      <c r="X405" s="4" t="str">
        <f>+VLOOKUP(U405,'FBCJ Jul-Des 2025'!$G$10:$P$1302,9,0)</f>
        <v>P206D1SLSS</v>
      </c>
      <c r="Y405" s="2" t="s">
        <v>43</v>
      </c>
      <c r="Z405" s="2">
        <v>1631293</v>
      </c>
      <c r="AA405" s="2">
        <v>20250902</v>
      </c>
      <c r="AB405" s="3">
        <v>50000</v>
      </c>
    </row>
    <row r="406" spans="3:28" x14ac:dyDescent="0.25">
      <c r="C406" s="2">
        <v>10000001</v>
      </c>
      <c r="D406" s="2" t="s">
        <v>605</v>
      </c>
      <c r="F406" s="2">
        <v>12007310</v>
      </c>
      <c r="H406" s="2" t="s">
        <v>605</v>
      </c>
      <c r="I406" s="2" t="str">
        <f t="shared" si="6"/>
        <v>09</v>
      </c>
      <c r="J406" s="2">
        <v>50</v>
      </c>
      <c r="K406" s="3">
        <v>-50000</v>
      </c>
      <c r="L406" s="2" t="s">
        <v>26</v>
      </c>
      <c r="M406" s="3">
        <v>-50000</v>
      </c>
      <c r="N406" s="2" t="s">
        <v>26</v>
      </c>
      <c r="R406" s="2" t="s">
        <v>27</v>
      </c>
      <c r="S406" s="2" t="s">
        <v>614</v>
      </c>
      <c r="T406" s="2" t="s">
        <v>45</v>
      </c>
      <c r="U406" s="2" t="s">
        <v>620</v>
      </c>
      <c r="V406" s="4">
        <f>+VLOOKUP(U406,'FBCJ Jul-Des 2025'!$G$10:$P$1302,8,0)</f>
        <v>70009110</v>
      </c>
      <c r="W406" s="4" t="str">
        <f>+VLOOKUP(V406,Sheet1!$A$2:$B$27,2,0)</f>
        <v>Biaya Survey dan Analisa</v>
      </c>
      <c r="X406" s="4" t="str">
        <f>+VLOOKUP(U406,'FBCJ Jul-Des 2025'!$G$10:$P$1302,9,0)</f>
        <v>P206D1SLSS</v>
      </c>
      <c r="Y406" s="2" t="s">
        <v>43</v>
      </c>
      <c r="Z406" s="2">
        <v>1631293</v>
      </c>
      <c r="AA406" s="2">
        <v>20250902</v>
      </c>
      <c r="AB406" s="3">
        <v>50000</v>
      </c>
    </row>
    <row r="407" spans="3:28" x14ac:dyDescent="0.25">
      <c r="C407" s="2">
        <v>10000001</v>
      </c>
      <c r="D407" s="2" t="s">
        <v>605</v>
      </c>
      <c r="F407" s="2">
        <v>12007311</v>
      </c>
      <c r="H407" s="2" t="s">
        <v>605</v>
      </c>
      <c r="I407" s="2" t="str">
        <f t="shared" si="6"/>
        <v>09</v>
      </c>
      <c r="J407" s="2">
        <v>50</v>
      </c>
      <c r="K407" s="3">
        <v>-50000</v>
      </c>
      <c r="L407" s="2" t="s">
        <v>26</v>
      </c>
      <c r="M407" s="3">
        <v>-50000</v>
      </c>
      <c r="N407" s="2" t="s">
        <v>26</v>
      </c>
      <c r="R407" s="2" t="s">
        <v>27</v>
      </c>
      <c r="S407" s="2" t="s">
        <v>614</v>
      </c>
      <c r="T407" s="2" t="s">
        <v>45</v>
      </c>
      <c r="U407" s="2" t="s">
        <v>621</v>
      </c>
      <c r="V407" s="4">
        <f>+VLOOKUP(U407,'FBCJ Jul-Des 2025'!$G$10:$P$1302,8,0)</f>
        <v>70009110</v>
      </c>
      <c r="W407" s="4" t="str">
        <f>+VLOOKUP(V407,Sheet1!$A$2:$B$27,2,0)</f>
        <v>Biaya Survey dan Analisa</v>
      </c>
      <c r="X407" s="4" t="str">
        <f>+VLOOKUP(U407,'FBCJ Jul-Des 2025'!$G$10:$P$1302,9,0)</f>
        <v>C206D1SLSS</v>
      </c>
      <c r="Y407" s="2" t="s">
        <v>43</v>
      </c>
      <c r="Z407" s="2">
        <v>1631293</v>
      </c>
      <c r="AA407" s="2">
        <v>20250902</v>
      </c>
      <c r="AB407" s="3">
        <v>50000</v>
      </c>
    </row>
    <row r="408" spans="3:28" x14ac:dyDescent="0.25">
      <c r="C408" s="2">
        <v>10000001</v>
      </c>
      <c r="D408" s="2" t="s">
        <v>605</v>
      </c>
      <c r="F408" s="2">
        <v>12007312</v>
      </c>
      <c r="H408" s="2" t="s">
        <v>605</v>
      </c>
      <c r="I408" s="2" t="str">
        <f t="shared" si="6"/>
        <v>09</v>
      </c>
      <c r="J408" s="2">
        <v>50</v>
      </c>
      <c r="K408" s="3">
        <v>-50000</v>
      </c>
      <c r="L408" s="2" t="s">
        <v>26</v>
      </c>
      <c r="M408" s="3">
        <v>-50000</v>
      </c>
      <c r="N408" s="2" t="s">
        <v>26</v>
      </c>
      <c r="R408" s="2" t="s">
        <v>27</v>
      </c>
      <c r="S408" s="2" t="s">
        <v>614</v>
      </c>
      <c r="T408" s="2" t="s">
        <v>45</v>
      </c>
      <c r="U408" s="2" t="s">
        <v>622</v>
      </c>
      <c r="V408" s="4">
        <f>+VLOOKUP(U408,'FBCJ Jul-Des 2025'!$G$10:$P$1302,8,0)</f>
        <v>70009110</v>
      </c>
      <c r="W408" s="4" t="str">
        <f>+VLOOKUP(V408,Sheet1!$A$2:$B$27,2,0)</f>
        <v>Biaya Survey dan Analisa</v>
      </c>
      <c r="X408" s="4" t="str">
        <f>+VLOOKUP(U408,'FBCJ Jul-Des 2025'!$G$10:$P$1302,9,0)</f>
        <v>P206D1SLSS</v>
      </c>
      <c r="Y408" s="2" t="s">
        <v>43</v>
      </c>
      <c r="Z408" s="2">
        <v>1631293</v>
      </c>
      <c r="AA408" s="2">
        <v>20250902</v>
      </c>
      <c r="AB408" s="3">
        <v>50000</v>
      </c>
    </row>
    <row r="409" spans="3:28" x14ac:dyDescent="0.25">
      <c r="C409" s="2">
        <v>10000001</v>
      </c>
      <c r="D409" s="2" t="s">
        <v>605</v>
      </c>
      <c r="F409" s="2">
        <v>12007313</v>
      </c>
      <c r="H409" s="2" t="s">
        <v>605</v>
      </c>
      <c r="I409" s="2" t="str">
        <f t="shared" si="6"/>
        <v>09</v>
      </c>
      <c r="J409" s="2">
        <v>50</v>
      </c>
      <c r="K409" s="3">
        <v>-50000</v>
      </c>
      <c r="L409" s="2" t="s">
        <v>26</v>
      </c>
      <c r="M409" s="3">
        <v>-50000</v>
      </c>
      <c r="N409" s="2" t="s">
        <v>26</v>
      </c>
      <c r="R409" s="2" t="s">
        <v>27</v>
      </c>
      <c r="S409" s="2" t="s">
        <v>614</v>
      </c>
      <c r="T409" s="2" t="s">
        <v>45</v>
      </c>
      <c r="U409" s="2" t="s">
        <v>623</v>
      </c>
      <c r="V409" s="4">
        <f>+VLOOKUP(U409,'FBCJ Jul-Des 2025'!$G$10:$P$1302,8,0)</f>
        <v>70009110</v>
      </c>
      <c r="W409" s="4" t="str">
        <f>+VLOOKUP(V409,Sheet1!$A$2:$B$27,2,0)</f>
        <v>Biaya Survey dan Analisa</v>
      </c>
      <c r="X409" s="4" t="str">
        <f>+VLOOKUP(U409,'FBCJ Jul-Des 2025'!$G$10:$P$1302,9,0)</f>
        <v>P206D1SLSS</v>
      </c>
      <c r="Y409" s="2" t="s">
        <v>43</v>
      </c>
      <c r="Z409" s="2">
        <v>1631293</v>
      </c>
      <c r="AA409" s="2">
        <v>20250902</v>
      </c>
      <c r="AB409" s="3">
        <v>50000</v>
      </c>
    </row>
    <row r="410" spans="3:28" x14ac:dyDescent="0.25">
      <c r="C410" s="2">
        <v>10000001</v>
      </c>
      <c r="D410" s="2" t="s">
        <v>605</v>
      </c>
      <c r="F410" s="2">
        <v>12007314</v>
      </c>
      <c r="H410" s="2" t="s">
        <v>605</v>
      </c>
      <c r="I410" s="2" t="str">
        <f t="shared" si="6"/>
        <v>09</v>
      </c>
      <c r="J410" s="2">
        <v>50</v>
      </c>
      <c r="K410" s="3">
        <v>-9000</v>
      </c>
      <c r="L410" s="2" t="s">
        <v>26</v>
      </c>
      <c r="M410" s="3">
        <v>-9000</v>
      </c>
      <c r="N410" s="2" t="s">
        <v>26</v>
      </c>
      <c r="R410" s="2" t="s">
        <v>27</v>
      </c>
      <c r="S410" s="2" t="s">
        <v>614</v>
      </c>
      <c r="T410" s="2" t="s">
        <v>334</v>
      </c>
      <c r="U410" s="2" t="s">
        <v>624</v>
      </c>
      <c r="V410" s="4">
        <f>+VLOOKUP(U410,'FBCJ Jul-Des 2025'!$G$10:$P$1302,8,0)</f>
        <v>70001110</v>
      </c>
      <c r="W410" s="4" t="str">
        <f>+VLOOKUP(V410,Sheet1!$A$2:$B$27,2,0)</f>
        <v>Biaya Ekspor lainnya</v>
      </c>
      <c r="X410" s="4" t="str">
        <f>+VLOOKUP(U410,'FBCJ Jul-Des 2025'!$G$10:$P$1302,9,0)</f>
        <v>M204D1COMM</v>
      </c>
      <c r="Y410" s="2" t="s">
        <v>43</v>
      </c>
      <c r="Z410" s="2">
        <v>1631293</v>
      </c>
      <c r="AA410" s="2">
        <v>20250902</v>
      </c>
      <c r="AB410" s="3">
        <v>9000</v>
      </c>
    </row>
    <row r="411" spans="3:28" x14ac:dyDescent="0.25">
      <c r="C411" s="2">
        <v>10000001</v>
      </c>
      <c r="D411" s="2" t="s">
        <v>605</v>
      </c>
      <c r="F411" s="2">
        <v>12007315</v>
      </c>
      <c r="H411" s="2" t="s">
        <v>605</v>
      </c>
      <c r="I411" s="2" t="str">
        <f t="shared" si="6"/>
        <v>09</v>
      </c>
      <c r="J411" s="2">
        <v>50</v>
      </c>
      <c r="K411" s="3">
        <v>-100000</v>
      </c>
      <c r="L411" s="2" t="s">
        <v>26</v>
      </c>
      <c r="M411" s="3">
        <v>-100000</v>
      </c>
      <c r="N411" s="2" t="s">
        <v>26</v>
      </c>
      <c r="R411" s="2" t="s">
        <v>27</v>
      </c>
      <c r="S411" s="2" t="s">
        <v>614</v>
      </c>
      <c r="T411" s="2" t="s">
        <v>274</v>
      </c>
      <c r="U411" s="2" t="s">
        <v>625</v>
      </c>
      <c r="V411" s="4">
        <f>+VLOOKUP(U411,'FBCJ Jul-Des 2025'!$G$10:$P$1302,8,0)</f>
        <v>70108100</v>
      </c>
      <c r="W411" s="4" t="str">
        <f>+VLOOKUP(V411,Sheet1!$A$2:$B$27,2,0)</f>
        <v>Biaya Peralatan Dan Perabot Kantor</v>
      </c>
      <c r="X411" s="4" t="str">
        <f>+VLOOKUP(U411,'FBCJ Jul-Des 2025'!$G$10:$P$1302,9,0)</f>
        <v>R124LOG</v>
      </c>
      <c r="Y411" s="2" t="s">
        <v>43</v>
      </c>
      <c r="Z411" s="2">
        <v>1631293</v>
      </c>
      <c r="AA411" s="2">
        <v>20250902</v>
      </c>
      <c r="AB411" s="3">
        <v>100000</v>
      </c>
    </row>
    <row r="412" spans="3:28" x14ac:dyDescent="0.25">
      <c r="C412" s="2">
        <v>10000001</v>
      </c>
      <c r="D412" s="2" t="s">
        <v>605</v>
      </c>
      <c r="F412" s="2">
        <v>12007316</v>
      </c>
      <c r="H412" s="2" t="s">
        <v>605</v>
      </c>
      <c r="I412" s="2" t="str">
        <f t="shared" si="6"/>
        <v>09</v>
      </c>
      <c r="J412" s="2">
        <v>50</v>
      </c>
      <c r="K412" s="3">
        <v>-760000</v>
      </c>
      <c r="L412" s="2" t="s">
        <v>26</v>
      </c>
      <c r="M412" s="3">
        <v>-760000</v>
      </c>
      <c r="N412" s="2" t="s">
        <v>26</v>
      </c>
      <c r="R412" s="2" t="s">
        <v>27</v>
      </c>
      <c r="S412" s="2" t="s">
        <v>626</v>
      </c>
      <c r="T412" s="2" t="s">
        <v>96</v>
      </c>
      <c r="U412" s="2" t="s">
        <v>627</v>
      </c>
      <c r="V412" s="4">
        <f>+VLOOKUP(U412,'FBCJ Jul-Des 2025'!$G$10:$P$1302,8,0)</f>
        <v>70106400</v>
      </c>
      <c r="W412" s="4" t="str">
        <f>+VLOOKUP(V412,Sheet1!$A$2:$B$27,2,0)</f>
        <v>Biaya Bahan Bakar</v>
      </c>
      <c r="X412" s="4" t="str">
        <f>+VLOOKUP(U412,'FBCJ Jul-Des 2025'!$G$10:$P$1302,9,0)</f>
        <v>R124D1HRGA</v>
      </c>
      <c r="Y412" s="2" t="s">
        <v>43</v>
      </c>
      <c r="Z412" s="2">
        <v>1631293</v>
      </c>
      <c r="AA412" s="2">
        <v>20250902</v>
      </c>
      <c r="AB412" s="3">
        <v>760000</v>
      </c>
    </row>
    <row r="413" spans="3:28" x14ac:dyDescent="0.25">
      <c r="C413" s="2">
        <v>10000001</v>
      </c>
      <c r="D413" s="2" t="s">
        <v>605</v>
      </c>
      <c r="F413" s="2">
        <v>12007317</v>
      </c>
      <c r="H413" s="2" t="s">
        <v>605</v>
      </c>
      <c r="I413" s="2" t="str">
        <f t="shared" si="6"/>
        <v>09</v>
      </c>
      <c r="J413" s="2">
        <v>50</v>
      </c>
      <c r="K413" s="3">
        <v>-240000</v>
      </c>
      <c r="L413" s="2" t="s">
        <v>26</v>
      </c>
      <c r="M413" s="3">
        <v>-240000</v>
      </c>
      <c r="N413" s="2" t="s">
        <v>26</v>
      </c>
      <c r="R413" s="2" t="s">
        <v>27</v>
      </c>
      <c r="S413" s="2" t="s">
        <v>626</v>
      </c>
      <c r="T413" s="2" t="s">
        <v>67</v>
      </c>
      <c r="U413" s="2" t="s">
        <v>628</v>
      </c>
      <c r="V413" s="4">
        <f>+VLOOKUP(U413,'FBCJ Jul-Des 2025'!$G$10:$P$1302,8,0)</f>
        <v>70106100</v>
      </c>
      <c r="W413" s="4" t="str">
        <f>+VLOOKUP(V413,Sheet1!$A$2:$B$27,2,0)</f>
        <v>Biaya Transportasi Lokal</v>
      </c>
      <c r="X413" s="4" t="str">
        <f>+VLOOKUP(U413,'FBCJ Jul-Des 2025'!$G$10:$P$1302,9,0)</f>
        <v>R124D1HRGA</v>
      </c>
      <c r="Y413" s="2" t="s">
        <v>43</v>
      </c>
      <c r="Z413" s="2">
        <v>1631293</v>
      </c>
      <c r="AA413" s="2">
        <v>20250902</v>
      </c>
      <c r="AB413" s="3">
        <v>240000</v>
      </c>
    </row>
    <row r="414" spans="3:28" x14ac:dyDescent="0.25">
      <c r="C414" s="2">
        <v>10000001</v>
      </c>
      <c r="D414" s="2" t="s">
        <v>605</v>
      </c>
      <c r="F414" s="2">
        <v>12007318</v>
      </c>
      <c r="H414" s="2" t="s">
        <v>605</v>
      </c>
      <c r="I414" s="2" t="str">
        <f t="shared" si="6"/>
        <v>09</v>
      </c>
      <c r="J414" s="2">
        <v>50</v>
      </c>
      <c r="K414" s="3">
        <v>-50000</v>
      </c>
      <c r="L414" s="2" t="s">
        <v>26</v>
      </c>
      <c r="M414" s="3">
        <v>-50000</v>
      </c>
      <c r="N414" s="2" t="s">
        <v>26</v>
      </c>
      <c r="R414" s="2" t="s">
        <v>27</v>
      </c>
      <c r="S414" s="2" t="s">
        <v>629</v>
      </c>
      <c r="T414" s="2" t="s">
        <v>45</v>
      </c>
      <c r="U414" s="2" t="s">
        <v>630</v>
      </c>
      <c r="V414" s="4">
        <f>+VLOOKUP(U414,'FBCJ Jul-Des 2025'!$G$10:$P$1302,8,0)</f>
        <v>70009110</v>
      </c>
      <c r="W414" s="4" t="str">
        <f>+VLOOKUP(V414,Sheet1!$A$2:$B$27,2,0)</f>
        <v>Biaya Survey dan Analisa</v>
      </c>
      <c r="X414" s="4" t="str">
        <f>+VLOOKUP(U414,'FBCJ Jul-Des 2025'!$G$10:$P$1302,9,0)</f>
        <v>P206D1SLSS</v>
      </c>
      <c r="Y414" s="2" t="s">
        <v>43</v>
      </c>
      <c r="Z414" s="2">
        <v>1631293</v>
      </c>
      <c r="AA414" s="2">
        <v>20250902</v>
      </c>
      <c r="AB414" s="3">
        <v>50000</v>
      </c>
    </row>
    <row r="415" spans="3:28" x14ac:dyDescent="0.25">
      <c r="C415" s="2">
        <v>10000001</v>
      </c>
      <c r="D415" s="2" t="s">
        <v>605</v>
      </c>
      <c r="F415" s="2">
        <v>12007319</v>
      </c>
      <c r="H415" s="2" t="s">
        <v>605</v>
      </c>
      <c r="I415" s="2" t="str">
        <f t="shared" si="6"/>
        <v>09</v>
      </c>
      <c r="J415" s="2">
        <v>50</v>
      </c>
      <c r="K415" s="3">
        <v>-50000</v>
      </c>
      <c r="L415" s="2" t="s">
        <v>26</v>
      </c>
      <c r="M415" s="3">
        <v>-50000</v>
      </c>
      <c r="N415" s="2" t="s">
        <v>26</v>
      </c>
      <c r="R415" s="2" t="s">
        <v>27</v>
      </c>
      <c r="S415" s="2" t="s">
        <v>629</v>
      </c>
      <c r="T415" s="2" t="s">
        <v>45</v>
      </c>
      <c r="U415" s="2" t="s">
        <v>631</v>
      </c>
      <c r="V415" s="4">
        <f>+VLOOKUP(U415,'FBCJ Jul-Des 2025'!$G$10:$P$1302,8,0)</f>
        <v>70009110</v>
      </c>
      <c r="W415" s="4" t="str">
        <f>+VLOOKUP(V415,Sheet1!$A$2:$B$27,2,0)</f>
        <v>Biaya Survey dan Analisa</v>
      </c>
      <c r="X415" s="4" t="str">
        <f>+VLOOKUP(U415,'FBCJ Jul-Des 2025'!$G$10:$P$1302,9,0)</f>
        <v>P206D1SLSS</v>
      </c>
      <c r="Y415" s="2" t="s">
        <v>43</v>
      </c>
      <c r="Z415" s="2">
        <v>1631293</v>
      </c>
      <c r="AA415" s="2">
        <v>20250902</v>
      </c>
      <c r="AB415" s="3">
        <v>50000</v>
      </c>
    </row>
    <row r="416" spans="3:28" x14ac:dyDescent="0.25">
      <c r="C416" s="2">
        <v>10000001</v>
      </c>
      <c r="D416" s="2" t="s">
        <v>605</v>
      </c>
      <c r="F416" s="2">
        <v>12007320</v>
      </c>
      <c r="H416" s="2" t="s">
        <v>605</v>
      </c>
      <c r="I416" s="2" t="str">
        <f t="shared" si="6"/>
        <v>09</v>
      </c>
      <c r="J416" s="2">
        <v>50</v>
      </c>
      <c r="K416" s="3">
        <v>-50000</v>
      </c>
      <c r="L416" s="2" t="s">
        <v>26</v>
      </c>
      <c r="M416" s="3">
        <v>-50000</v>
      </c>
      <c r="N416" s="2" t="s">
        <v>26</v>
      </c>
      <c r="R416" s="2" t="s">
        <v>27</v>
      </c>
      <c r="S416" s="2" t="s">
        <v>629</v>
      </c>
      <c r="T416" s="2" t="s">
        <v>45</v>
      </c>
      <c r="U416" s="2" t="s">
        <v>632</v>
      </c>
      <c r="V416" s="4">
        <f>+VLOOKUP(U416,'FBCJ Jul-Des 2025'!$G$10:$P$1302,8,0)</f>
        <v>70009110</v>
      </c>
      <c r="W416" s="4" t="str">
        <f>+VLOOKUP(V416,Sheet1!$A$2:$B$27,2,0)</f>
        <v>Biaya Survey dan Analisa</v>
      </c>
      <c r="X416" s="4" t="str">
        <f>+VLOOKUP(U416,'FBCJ Jul-Des 2025'!$G$10:$P$1302,9,0)</f>
        <v>P206D1SLSS</v>
      </c>
      <c r="Y416" s="2" t="s">
        <v>43</v>
      </c>
      <c r="Z416" s="2">
        <v>1631293</v>
      </c>
      <c r="AA416" s="2">
        <v>20250902</v>
      </c>
      <c r="AB416" s="3">
        <v>50000</v>
      </c>
    </row>
    <row r="417" spans="3:28" x14ac:dyDescent="0.25">
      <c r="C417" s="2">
        <v>10000001</v>
      </c>
      <c r="D417" s="2" t="s">
        <v>605</v>
      </c>
      <c r="F417" s="2">
        <v>12007321</v>
      </c>
      <c r="H417" s="2" t="s">
        <v>605</v>
      </c>
      <c r="I417" s="2" t="str">
        <f t="shared" si="6"/>
        <v>09</v>
      </c>
      <c r="J417" s="2">
        <v>50</v>
      </c>
      <c r="K417" s="3">
        <v>-50000</v>
      </c>
      <c r="L417" s="2" t="s">
        <v>26</v>
      </c>
      <c r="M417" s="3">
        <v>-50000</v>
      </c>
      <c r="N417" s="2" t="s">
        <v>26</v>
      </c>
      <c r="R417" s="2" t="s">
        <v>27</v>
      </c>
      <c r="S417" s="2" t="s">
        <v>629</v>
      </c>
      <c r="T417" s="2" t="s">
        <v>45</v>
      </c>
      <c r="U417" s="2" t="s">
        <v>633</v>
      </c>
      <c r="V417" s="4">
        <f>+VLOOKUP(U417,'FBCJ Jul-Des 2025'!$G$10:$P$1302,8,0)</f>
        <v>70009110</v>
      </c>
      <c r="W417" s="4" t="str">
        <f>+VLOOKUP(V417,Sheet1!$A$2:$B$27,2,0)</f>
        <v>Biaya Survey dan Analisa</v>
      </c>
      <c r="X417" s="4" t="str">
        <f>+VLOOKUP(U417,'FBCJ Jul-Des 2025'!$G$10:$P$1302,9,0)</f>
        <v>P206D1SLSS</v>
      </c>
      <c r="Y417" s="2" t="s">
        <v>43</v>
      </c>
      <c r="Z417" s="2">
        <v>1631293</v>
      </c>
      <c r="AA417" s="2">
        <v>20250902</v>
      </c>
      <c r="AB417" s="3">
        <v>50000</v>
      </c>
    </row>
    <row r="418" spans="3:28" x14ac:dyDescent="0.25">
      <c r="C418" s="2">
        <v>10000001</v>
      </c>
      <c r="D418" s="2" t="s">
        <v>605</v>
      </c>
      <c r="F418" s="2">
        <v>12007322</v>
      </c>
      <c r="H418" s="2" t="s">
        <v>605</v>
      </c>
      <c r="I418" s="2" t="str">
        <f t="shared" si="6"/>
        <v>09</v>
      </c>
      <c r="J418" s="2">
        <v>50</v>
      </c>
      <c r="K418" s="3">
        <v>-50000</v>
      </c>
      <c r="L418" s="2" t="s">
        <v>26</v>
      </c>
      <c r="M418" s="3">
        <v>-50000</v>
      </c>
      <c r="N418" s="2" t="s">
        <v>26</v>
      </c>
      <c r="R418" s="2" t="s">
        <v>27</v>
      </c>
      <c r="S418" s="2" t="s">
        <v>634</v>
      </c>
      <c r="T418" s="2" t="s">
        <v>45</v>
      </c>
      <c r="U418" s="2" t="s">
        <v>635</v>
      </c>
      <c r="V418" s="4">
        <f>+VLOOKUP(U418,'FBCJ Jul-Des 2025'!$G$10:$P$1302,8,0)</f>
        <v>70009110</v>
      </c>
      <c r="W418" s="4" t="str">
        <f>+VLOOKUP(V418,Sheet1!$A$2:$B$27,2,0)</f>
        <v>Biaya Survey dan Analisa</v>
      </c>
      <c r="X418" s="4" t="str">
        <f>+VLOOKUP(U418,'FBCJ Jul-Des 2025'!$G$10:$P$1302,9,0)</f>
        <v>P206D1SLSS</v>
      </c>
      <c r="Y418" s="2" t="s">
        <v>43</v>
      </c>
      <c r="Z418" s="2">
        <v>1631293</v>
      </c>
      <c r="AA418" s="2">
        <v>20250902</v>
      </c>
      <c r="AB418" s="3">
        <v>50000</v>
      </c>
    </row>
    <row r="419" spans="3:28" x14ac:dyDescent="0.25">
      <c r="C419" s="2">
        <v>10000001</v>
      </c>
      <c r="D419" s="2" t="s">
        <v>605</v>
      </c>
      <c r="F419" s="2">
        <v>12007323</v>
      </c>
      <c r="H419" s="2" t="s">
        <v>605</v>
      </c>
      <c r="I419" s="2" t="str">
        <f t="shared" si="6"/>
        <v>09</v>
      </c>
      <c r="J419" s="2">
        <v>50</v>
      </c>
      <c r="K419" s="3">
        <v>-50000</v>
      </c>
      <c r="L419" s="2" t="s">
        <v>26</v>
      </c>
      <c r="M419" s="3">
        <v>-50000</v>
      </c>
      <c r="N419" s="2" t="s">
        <v>26</v>
      </c>
      <c r="R419" s="2" t="s">
        <v>27</v>
      </c>
      <c r="S419" s="2" t="s">
        <v>634</v>
      </c>
      <c r="T419" s="2" t="s">
        <v>45</v>
      </c>
      <c r="U419" s="2" t="s">
        <v>636</v>
      </c>
      <c r="V419" s="4">
        <f>+VLOOKUP(U419,'FBCJ Jul-Des 2025'!$G$10:$P$1302,8,0)</f>
        <v>70009110</v>
      </c>
      <c r="W419" s="4" t="str">
        <f>+VLOOKUP(V419,Sheet1!$A$2:$B$27,2,0)</f>
        <v>Biaya Survey dan Analisa</v>
      </c>
      <c r="X419" s="4" t="str">
        <f>+VLOOKUP(U419,'FBCJ Jul-Des 2025'!$G$10:$P$1302,9,0)</f>
        <v>P206D1SLSS</v>
      </c>
      <c r="Y419" s="2" t="s">
        <v>43</v>
      </c>
      <c r="Z419" s="2">
        <v>1631293</v>
      </c>
      <c r="AA419" s="2">
        <v>20250902</v>
      </c>
      <c r="AB419" s="3">
        <v>50000</v>
      </c>
    </row>
    <row r="420" spans="3:28" x14ac:dyDescent="0.25">
      <c r="C420" s="2">
        <v>10000001</v>
      </c>
      <c r="D420" s="2" t="s">
        <v>605</v>
      </c>
      <c r="F420" s="2">
        <v>12007324</v>
      </c>
      <c r="H420" s="2" t="s">
        <v>605</v>
      </c>
      <c r="I420" s="2" t="str">
        <f t="shared" si="6"/>
        <v>09</v>
      </c>
      <c r="J420" s="2">
        <v>50</v>
      </c>
      <c r="K420" s="3">
        <v>-50000</v>
      </c>
      <c r="L420" s="2" t="s">
        <v>26</v>
      </c>
      <c r="M420" s="3">
        <v>-50000</v>
      </c>
      <c r="N420" s="2" t="s">
        <v>26</v>
      </c>
      <c r="R420" s="2" t="s">
        <v>27</v>
      </c>
      <c r="S420" s="2" t="s">
        <v>634</v>
      </c>
      <c r="T420" s="2" t="s">
        <v>45</v>
      </c>
      <c r="U420" s="2" t="s">
        <v>637</v>
      </c>
      <c r="V420" s="4">
        <f>+VLOOKUP(U420,'FBCJ Jul-Des 2025'!$G$10:$P$1302,8,0)</f>
        <v>70009110</v>
      </c>
      <c r="W420" s="4" t="str">
        <f>+VLOOKUP(V420,Sheet1!$A$2:$B$27,2,0)</f>
        <v>Biaya Survey dan Analisa</v>
      </c>
      <c r="X420" s="4" t="str">
        <f>+VLOOKUP(U420,'FBCJ Jul-Des 2025'!$G$10:$P$1302,9,0)</f>
        <v>P206D1SLSS</v>
      </c>
      <c r="Y420" s="2" t="s">
        <v>43</v>
      </c>
      <c r="Z420" s="2">
        <v>1631293</v>
      </c>
      <c r="AA420" s="2">
        <v>20250902</v>
      </c>
      <c r="AB420" s="3">
        <v>50000</v>
      </c>
    </row>
    <row r="421" spans="3:28" x14ac:dyDescent="0.25">
      <c r="C421" s="2">
        <v>10000001</v>
      </c>
      <c r="D421" s="2" t="s">
        <v>605</v>
      </c>
      <c r="F421" s="2">
        <v>12007325</v>
      </c>
      <c r="H421" s="2" t="s">
        <v>605</v>
      </c>
      <c r="I421" s="2" t="str">
        <f t="shared" si="6"/>
        <v>09</v>
      </c>
      <c r="J421" s="2">
        <v>50</v>
      </c>
      <c r="K421" s="3">
        <v>-50000</v>
      </c>
      <c r="L421" s="2" t="s">
        <v>26</v>
      </c>
      <c r="M421" s="3">
        <v>-50000</v>
      </c>
      <c r="N421" s="2" t="s">
        <v>26</v>
      </c>
      <c r="R421" s="2" t="s">
        <v>27</v>
      </c>
      <c r="S421" s="2" t="s">
        <v>634</v>
      </c>
      <c r="T421" s="2" t="s">
        <v>45</v>
      </c>
      <c r="U421" s="2" t="s">
        <v>638</v>
      </c>
      <c r="V421" s="4">
        <f>+VLOOKUP(U421,'FBCJ Jul-Des 2025'!$G$10:$P$1302,8,0)</f>
        <v>70009110</v>
      </c>
      <c r="W421" s="4" t="str">
        <f>+VLOOKUP(V421,Sheet1!$A$2:$B$27,2,0)</f>
        <v>Biaya Survey dan Analisa</v>
      </c>
      <c r="X421" s="4" t="str">
        <f>+VLOOKUP(U421,'FBCJ Jul-Des 2025'!$G$10:$P$1302,9,0)</f>
        <v>P206D1SLSS</v>
      </c>
      <c r="Y421" s="2" t="s">
        <v>43</v>
      </c>
      <c r="Z421" s="2">
        <v>1631293</v>
      </c>
      <c r="AA421" s="2">
        <v>20250902</v>
      </c>
      <c r="AB421" s="3">
        <v>50000</v>
      </c>
    </row>
    <row r="422" spans="3:28" x14ac:dyDescent="0.25">
      <c r="C422" s="2">
        <v>10000001</v>
      </c>
      <c r="D422" s="2" t="s">
        <v>605</v>
      </c>
      <c r="F422" s="2">
        <v>12007326</v>
      </c>
      <c r="H422" s="2" t="s">
        <v>605</v>
      </c>
      <c r="I422" s="2" t="str">
        <f t="shared" si="6"/>
        <v>09</v>
      </c>
      <c r="J422" s="2">
        <v>50</v>
      </c>
      <c r="K422" s="3">
        <v>-50000</v>
      </c>
      <c r="L422" s="2" t="s">
        <v>26</v>
      </c>
      <c r="M422" s="3">
        <v>-50000</v>
      </c>
      <c r="N422" s="2" t="s">
        <v>26</v>
      </c>
      <c r="R422" s="2" t="s">
        <v>27</v>
      </c>
      <c r="S422" s="2" t="s">
        <v>634</v>
      </c>
      <c r="T422" s="2" t="s">
        <v>45</v>
      </c>
      <c r="U422" s="2" t="s">
        <v>639</v>
      </c>
      <c r="V422" s="4">
        <f>+VLOOKUP(U422,'FBCJ Jul-Des 2025'!$G$10:$P$1302,8,0)</f>
        <v>70009110</v>
      </c>
      <c r="W422" s="4" t="str">
        <f>+VLOOKUP(V422,Sheet1!$A$2:$B$27,2,0)</f>
        <v>Biaya Survey dan Analisa</v>
      </c>
      <c r="X422" s="4" t="str">
        <f>+VLOOKUP(U422,'FBCJ Jul-Des 2025'!$G$10:$P$1302,9,0)</f>
        <v>P206D1SLSS</v>
      </c>
      <c r="Y422" s="2" t="s">
        <v>43</v>
      </c>
      <c r="Z422" s="2">
        <v>1631293</v>
      </c>
      <c r="AA422" s="2">
        <v>20250902</v>
      </c>
      <c r="AB422" s="3">
        <v>50000</v>
      </c>
    </row>
    <row r="423" spans="3:28" x14ac:dyDescent="0.25">
      <c r="C423" s="2">
        <v>10000001</v>
      </c>
      <c r="D423" s="2" t="s">
        <v>605</v>
      </c>
      <c r="F423" s="2">
        <v>12007327</v>
      </c>
      <c r="H423" s="2" t="s">
        <v>605</v>
      </c>
      <c r="I423" s="2" t="str">
        <f t="shared" si="6"/>
        <v>09</v>
      </c>
      <c r="J423" s="2">
        <v>50</v>
      </c>
      <c r="K423" s="3">
        <v>-50000</v>
      </c>
      <c r="L423" s="2" t="s">
        <v>26</v>
      </c>
      <c r="M423" s="3">
        <v>-50000</v>
      </c>
      <c r="N423" s="2" t="s">
        <v>26</v>
      </c>
      <c r="R423" s="2" t="s">
        <v>27</v>
      </c>
      <c r="S423" s="2" t="s">
        <v>634</v>
      </c>
      <c r="T423" s="2" t="s">
        <v>45</v>
      </c>
      <c r="U423" s="2" t="s">
        <v>640</v>
      </c>
      <c r="V423" s="4">
        <f>+VLOOKUP(U423,'FBCJ Jul-Des 2025'!$G$10:$P$1302,8,0)</f>
        <v>70009110</v>
      </c>
      <c r="W423" s="4" t="str">
        <f>+VLOOKUP(V423,Sheet1!$A$2:$B$27,2,0)</f>
        <v>Biaya Survey dan Analisa</v>
      </c>
      <c r="X423" s="4" t="str">
        <f>+VLOOKUP(U423,'FBCJ Jul-Des 2025'!$G$10:$P$1302,9,0)</f>
        <v>P206D1SLSS</v>
      </c>
      <c r="Y423" s="2" t="s">
        <v>43</v>
      </c>
      <c r="Z423" s="2">
        <v>1631293</v>
      </c>
      <c r="AA423" s="2">
        <v>20250902</v>
      </c>
      <c r="AB423" s="3">
        <v>50000</v>
      </c>
    </row>
    <row r="424" spans="3:28" x14ac:dyDescent="0.25">
      <c r="C424" s="2">
        <v>10000001</v>
      </c>
      <c r="D424" s="2" t="s">
        <v>605</v>
      </c>
      <c r="F424" s="2">
        <v>12007328</v>
      </c>
      <c r="H424" s="2" t="s">
        <v>605</v>
      </c>
      <c r="I424" s="2" t="str">
        <f t="shared" si="6"/>
        <v>09</v>
      </c>
      <c r="J424" s="2">
        <v>50</v>
      </c>
      <c r="K424" s="3">
        <v>-50000</v>
      </c>
      <c r="L424" s="2" t="s">
        <v>26</v>
      </c>
      <c r="M424" s="3">
        <v>-50000</v>
      </c>
      <c r="N424" s="2" t="s">
        <v>26</v>
      </c>
      <c r="R424" s="2" t="s">
        <v>27</v>
      </c>
      <c r="S424" s="2" t="s">
        <v>634</v>
      </c>
      <c r="T424" s="2" t="s">
        <v>45</v>
      </c>
      <c r="U424" s="2" t="s">
        <v>641</v>
      </c>
      <c r="V424" s="4">
        <f>+VLOOKUP(U424,'FBCJ Jul-Des 2025'!$G$10:$P$1302,8,0)</f>
        <v>70009110</v>
      </c>
      <c r="W424" s="4" t="str">
        <f>+VLOOKUP(V424,Sheet1!$A$2:$B$27,2,0)</f>
        <v>Biaya Survey dan Analisa</v>
      </c>
      <c r="X424" s="4" t="str">
        <f>+VLOOKUP(U424,'FBCJ Jul-Des 2025'!$G$10:$P$1302,9,0)</f>
        <v>P206D1SLSS</v>
      </c>
      <c r="Y424" s="2" t="s">
        <v>43</v>
      </c>
      <c r="Z424" s="2">
        <v>1631293</v>
      </c>
      <c r="AA424" s="2">
        <v>20250902</v>
      </c>
      <c r="AB424" s="3">
        <v>50000</v>
      </c>
    </row>
    <row r="425" spans="3:28" x14ac:dyDescent="0.25">
      <c r="C425" s="2">
        <v>10000001</v>
      </c>
      <c r="D425" s="2" t="s">
        <v>605</v>
      </c>
      <c r="F425" s="2">
        <v>12007329</v>
      </c>
      <c r="H425" s="2" t="s">
        <v>605</v>
      </c>
      <c r="I425" s="2" t="str">
        <f t="shared" si="6"/>
        <v>09</v>
      </c>
      <c r="J425" s="2">
        <v>50</v>
      </c>
      <c r="K425" s="3">
        <v>-50000</v>
      </c>
      <c r="L425" s="2" t="s">
        <v>26</v>
      </c>
      <c r="M425" s="3">
        <v>-50000</v>
      </c>
      <c r="N425" s="2" t="s">
        <v>26</v>
      </c>
      <c r="R425" s="2" t="s">
        <v>27</v>
      </c>
      <c r="S425" s="2" t="s">
        <v>634</v>
      </c>
      <c r="T425" s="2" t="s">
        <v>45</v>
      </c>
      <c r="U425" s="2" t="s">
        <v>642</v>
      </c>
      <c r="V425" s="4">
        <f>+VLOOKUP(U425,'FBCJ Jul-Des 2025'!$G$10:$P$1302,8,0)</f>
        <v>70009110</v>
      </c>
      <c r="W425" s="4" t="str">
        <f>+VLOOKUP(V425,Sheet1!$A$2:$B$27,2,0)</f>
        <v>Biaya Survey dan Analisa</v>
      </c>
      <c r="X425" s="4" t="str">
        <f>+VLOOKUP(U425,'FBCJ Jul-Des 2025'!$G$10:$P$1302,9,0)</f>
        <v>P206D1SLSS</v>
      </c>
      <c r="Y425" s="2" t="s">
        <v>43</v>
      </c>
      <c r="Z425" s="2">
        <v>1631293</v>
      </c>
      <c r="AA425" s="2">
        <v>20250902</v>
      </c>
      <c r="AB425" s="3">
        <v>50000</v>
      </c>
    </row>
    <row r="426" spans="3:28" x14ac:dyDescent="0.25">
      <c r="C426" s="2">
        <v>10000001</v>
      </c>
      <c r="D426" s="2" t="s">
        <v>605</v>
      </c>
      <c r="F426" s="2">
        <v>12007330</v>
      </c>
      <c r="H426" s="2" t="s">
        <v>605</v>
      </c>
      <c r="I426" s="2" t="str">
        <f t="shared" si="6"/>
        <v>09</v>
      </c>
      <c r="J426" s="2">
        <v>50</v>
      </c>
      <c r="K426" s="3">
        <v>-332000</v>
      </c>
      <c r="L426" s="2" t="s">
        <v>26</v>
      </c>
      <c r="M426" s="3">
        <v>-332000</v>
      </c>
      <c r="N426" s="2" t="s">
        <v>26</v>
      </c>
      <c r="R426" s="2" t="s">
        <v>27</v>
      </c>
      <c r="S426" s="2" t="s">
        <v>643</v>
      </c>
      <c r="T426" s="2" t="s">
        <v>126</v>
      </c>
      <c r="U426" s="2" t="s">
        <v>644</v>
      </c>
      <c r="V426" s="4">
        <f>+VLOOKUP(U426,'FBCJ Jul-Des 2025'!$G$10:$P$1302,8,0)</f>
        <v>70107600</v>
      </c>
      <c r="W426" s="4" t="str">
        <f>+VLOOKUP(V426,Sheet1!$A$2:$B$27,2,0)</f>
        <v>Biaya Konsumsi Kantor</v>
      </c>
      <c r="X426" s="4" t="str">
        <f>+VLOOKUP(U426,'FBCJ Jul-Des 2025'!$G$10:$P$1302,9,0)</f>
        <v>R124LOG</v>
      </c>
      <c r="Y426" s="2" t="s">
        <v>43</v>
      </c>
      <c r="Z426" s="2">
        <v>1631293</v>
      </c>
      <c r="AA426" s="2">
        <v>20250902</v>
      </c>
      <c r="AB426" s="3">
        <v>332000</v>
      </c>
    </row>
    <row r="427" spans="3:28" x14ac:dyDescent="0.25">
      <c r="C427" s="2">
        <v>10000001</v>
      </c>
      <c r="D427" s="2" t="s">
        <v>605</v>
      </c>
      <c r="F427" s="2">
        <v>12007331</v>
      </c>
      <c r="H427" s="2" t="s">
        <v>605</v>
      </c>
      <c r="I427" s="2" t="str">
        <f t="shared" si="6"/>
        <v>09</v>
      </c>
      <c r="J427" s="2">
        <v>50</v>
      </c>
      <c r="K427" s="3">
        <v>-50000</v>
      </c>
      <c r="L427" s="2" t="s">
        <v>26</v>
      </c>
      <c r="M427" s="3">
        <v>-50000</v>
      </c>
      <c r="N427" s="2" t="s">
        <v>26</v>
      </c>
      <c r="R427" s="2" t="s">
        <v>27</v>
      </c>
      <c r="S427" s="2" t="s">
        <v>645</v>
      </c>
      <c r="T427" s="2" t="s">
        <v>45</v>
      </c>
      <c r="U427" s="2" t="s">
        <v>646</v>
      </c>
      <c r="V427" s="4">
        <f>+VLOOKUP(U427,'FBCJ Jul-Des 2025'!$G$10:$P$1302,8,0)</f>
        <v>70009110</v>
      </c>
      <c r="W427" s="4" t="str">
        <f>+VLOOKUP(V427,Sheet1!$A$2:$B$27,2,0)</f>
        <v>Biaya Survey dan Analisa</v>
      </c>
      <c r="X427" s="4" t="str">
        <f>+VLOOKUP(U427,'FBCJ Jul-Des 2025'!$G$10:$P$1302,9,0)</f>
        <v>P206D1SLSS</v>
      </c>
      <c r="Y427" s="2" t="s">
        <v>43</v>
      </c>
      <c r="Z427" s="2">
        <v>1631293</v>
      </c>
      <c r="AA427" s="2">
        <v>20250902</v>
      </c>
      <c r="AB427" s="3">
        <v>50000</v>
      </c>
    </row>
    <row r="428" spans="3:28" x14ac:dyDescent="0.25">
      <c r="C428" s="2">
        <v>10000001</v>
      </c>
      <c r="D428" s="2" t="s">
        <v>605</v>
      </c>
      <c r="F428" s="2">
        <v>12007332</v>
      </c>
      <c r="H428" s="2" t="s">
        <v>605</v>
      </c>
      <c r="I428" s="2" t="str">
        <f t="shared" si="6"/>
        <v>09</v>
      </c>
      <c r="J428" s="2">
        <v>50</v>
      </c>
      <c r="K428" s="3">
        <v>-50000</v>
      </c>
      <c r="L428" s="2" t="s">
        <v>26</v>
      </c>
      <c r="M428" s="3">
        <v>-50000</v>
      </c>
      <c r="N428" s="2" t="s">
        <v>26</v>
      </c>
      <c r="R428" s="2" t="s">
        <v>27</v>
      </c>
      <c r="S428" s="2" t="s">
        <v>645</v>
      </c>
      <c r="T428" s="2" t="s">
        <v>45</v>
      </c>
      <c r="U428" s="2" t="s">
        <v>647</v>
      </c>
      <c r="V428" s="4">
        <f>+VLOOKUP(U428,'FBCJ Jul-Des 2025'!$G$10:$P$1302,8,0)</f>
        <v>70009110</v>
      </c>
      <c r="W428" s="4" t="str">
        <f>+VLOOKUP(V428,Sheet1!$A$2:$B$27,2,0)</f>
        <v>Biaya Survey dan Analisa</v>
      </c>
      <c r="X428" s="4" t="str">
        <f>+VLOOKUP(U428,'FBCJ Jul-Des 2025'!$G$10:$P$1302,9,0)</f>
        <v>P206D1SLSS</v>
      </c>
      <c r="Y428" s="2" t="s">
        <v>43</v>
      </c>
      <c r="Z428" s="2">
        <v>1631293</v>
      </c>
      <c r="AA428" s="2">
        <v>20250902</v>
      </c>
      <c r="AB428" s="3">
        <v>50000</v>
      </c>
    </row>
    <row r="429" spans="3:28" x14ac:dyDescent="0.25">
      <c r="C429" s="2">
        <v>10000001</v>
      </c>
      <c r="D429" s="2" t="s">
        <v>605</v>
      </c>
      <c r="F429" s="2">
        <v>12007333</v>
      </c>
      <c r="H429" s="2" t="s">
        <v>605</v>
      </c>
      <c r="I429" s="2" t="str">
        <f t="shared" si="6"/>
        <v>09</v>
      </c>
      <c r="J429" s="2">
        <v>50</v>
      </c>
      <c r="K429" s="3">
        <v>-50000</v>
      </c>
      <c r="L429" s="2" t="s">
        <v>26</v>
      </c>
      <c r="M429" s="3">
        <v>-50000</v>
      </c>
      <c r="N429" s="2" t="s">
        <v>26</v>
      </c>
      <c r="R429" s="2" t="s">
        <v>27</v>
      </c>
      <c r="S429" s="2" t="s">
        <v>645</v>
      </c>
      <c r="T429" s="2" t="s">
        <v>45</v>
      </c>
      <c r="U429" s="2" t="s">
        <v>648</v>
      </c>
      <c r="V429" s="4">
        <f>+VLOOKUP(U429,'FBCJ Jul-Des 2025'!$G$10:$P$1302,8,0)</f>
        <v>70009110</v>
      </c>
      <c r="W429" s="4" t="str">
        <f>+VLOOKUP(V429,Sheet1!$A$2:$B$27,2,0)</f>
        <v>Biaya Survey dan Analisa</v>
      </c>
      <c r="X429" s="4" t="str">
        <f>+VLOOKUP(U429,'FBCJ Jul-Des 2025'!$G$10:$P$1302,9,0)</f>
        <v>P206D1SLSS</v>
      </c>
      <c r="Y429" s="2" t="s">
        <v>43</v>
      </c>
      <c r="Z429" s="2">
        <v>1631293</v>
      </c>
      <c r="AA429" s="2">
        <v>20250902</v>
      </c>
      <c r="AB429" s="3">
        <v>50000</v>
      </c>
    </row>
    <row r="430" spans="3:28" x14ac:dyDescent="0.25">
      <c r="C430" s="2">
        <v>10000001</v>
      </c>
      <c r="D430" s="2" t="s">
        <v>605</v>
      </c>
      <c r="F430" s="2">
        <v>12007334</v>
      </c>
      <c r="H430" s="2" t="s">
        <v>605</v>
      </c>
      <c r="I430" s="2" t="str">
        <f t="shared" si="6"/>
        <v>09</v>
      </c>
      <c r="J430" s="2">
        <v>50</v>
      </c>
      <c r="K430" s="3">
        <v>-200000</v>
      </c>
      <c r="L430" s="2" t="s">
        <v>26</v>
      </c>
      <c r="M430" s="3">
        <v>-200000</v>
      </c>
      <c r="N430" s="2" t="s">
        <v>26</v>
      </c>
      <c r="R430" s="2" t="s">
        <v>27</v>
      </c>
      <c r="S430" s="2" t="s">
        <v>645</v>
      </c>
      <c r="T430" s="2" t="s">
        <v>45</v>
      </c>
      <c r="U430" s="2" t="s">
        <v>649</v>
      </c>
      <c r="V430" s="4">
        <f>+VLOOKUP(U430,'FBCJ Jul-Des 2025'!$G$10:$P$1302,8,0)</f>
        <v>70009110</v>
      </c>
      <c r="W430" s="4" t="str">
        <f>+VLOOKUP(V430,Sheet1!$A$2:$B$27,2,0)</f>
        <v>Biaya Survey dan Analisa</v>
      </c>
      <c r="X430" s="4" t="str">
        <f>+VLOOKUP(U430,'FBCJ Jul-Des 2025'!$G$10:$P$1302,9,0)</f>
        <v>P206D1SLSS</v>
      </c>
      <c r="Y430" s="2" t="s">
        <v>43</v>
      </c>
      <c r="Z430" s="2">
        <v>1631293</v>
      </c>
      <c r="AA430" s="2">
        <v>20250902</v>
      </c>
      <c r="AB430" s="3">
        <v>200000</v>
      </c>
    </row>
    <row r="431" spans="3:28" x14ac:dyDescent="0.25">
      <c r="C431" s="2">
        <v>10000001</v>
      </c>
      <c r="D431" s="2" t="s">
        <v>605</v>
      </c>
      <c r="F431" s="2">
        <v>12007335</v>
      </c>
      <c r="H431" s="2" t="s">
        <v>605</v>
      </c>
      <c r="I431" s="2" t="str">
        <f t="shared" si="6"/>
        <v>09</v>
      </c>
      <c r="J431" s="2">
        <v>50</v>
      </c>
      <c r="K431" s="3">
        <v>-360000</v>
      </c>
      <c r="L431" s="2" t="s">
        <v>26</v>
      </c>
      <c r="M431" s="3">
        <v>-360000</v>
      </c>
      <c r="N431" s="2" t="s">
        <v>26</v>
      </c>
      <c r="R431" s="2" t="s">
        <v>27</v>
      </c>
      <c r="S431" s="2" t="s">
        <v>650</v>
      </c>
      <c r="T431" s="2" t="s">
        <v>96</v>
      </c>
      <c r="U431" s="2" t="s">
        <v>651</v>
      </c>
      <c r="V431" s="4">
        <f>+VLOOKUP(U431,'FBCJ Jul-Des 2025'!$G$10:$P$1302,8,0)</f>
        <v>70106400</v>
      </c>
      <c r="W431" s="4" t="str">
        <f>+VLOOKUP(V431,Sheet1!$A$2:$B$27,2,0)</f>
        <v>Biaya Bahan Bakar</v>
      </c>
      <c r="X431" s="4" t="str">
        <f>+VLOOKUP(U431,'FBCJ Jul-Des 2025'!$G$10:$P$1302,9,0)</f>
        <v>R124D1HRGA</v>
      </c>
      <c r="Y431" s="2" t="s">
        <v>43</v>
      </c>
      <c r="Z431" s="2">
        <v>1631293</v>
      </c>
      <c r="AA431" s="2">
        <v>20250902</v>
      </c>
      <c r="AB431" s="3">
        <v>360000</v>
      </c>
    </row>
    <row r="432" spans="3:28" x14ac:dyDescent="0.25">
      <c r="C432" s="2">
        <v>10000001</v>
      </c>
      <c r="D432" s="2" t="s">
        <v>605</v>
      </c>
      <c r="F432" s="2">
        <v>12007336</v>
      </c>
      <c r="H432" s="2" t="s">
        <v>605</v>
      </c>
      <c r="I432" s="2" t="str">
        <f t="shared" si="6"/>
        <v>09</v>
      </c>
      <c r="J432" s="2">
        <v>50</v>
      </c>
      <c r="K432" s="3">
        <v>-640000</v>
      </c>
      <c r="L432" s="2" t="s">
        <v>26</v>
      </c>
      <c r="M432" s="3">
        <v>-640000</v>
      </c>
      <c r="N432" s="2" t="s">
        <v>26</v>
      </c>
      <c r="R432" s="2" t="s">
        <v>27</v>
      </c>
      <c r="S432" s="2" t="s">
        <v>650</v>
      </c>
      <c r="T432" s="2" t="s">
        <v>67</v>
      </c>
      <c r="U432" s="2" t="s">
        <v>652</v>
      </c>
      <c r="V432" s="4">
        <f>+VLOOKUP(U432,'FBCJ Jul-Des 2025'!$G$10:$P$1302,8,0)</f>
        <v>70106100</v>
      </c>
      <c r="W432" s="4" t="str">
        <f>+VLOOKUP(V432,Sheet1!$A$2:$B$27,2,0)</f>
        <v>Biaya Transportasi Lokal</v>
      </c>
      <c r="X432" s="4" t="str">
        <f>+VLOOKUP(U432,'FBCJ Jul-Des 2025'!$G$10:$P$1302,9,0)</f>
        <v>R124D1HRGA</v>
      </c>
      <c r="Y432" s="2" t="s">
        <v>43</v>
      </c>
      <c r="Z432" s="2">
        <v>1631293</v>
      </c>
      <c r="AA432" s="2">
        <v>20250902</v>
      </c>
      <c r="AB432" s="3">
        <v>640000</v>
      </c>
    </row>
    <row r="433" spans="3:28" x14ac:dyDescent="0.25">
      <c r="C433" s="2">
        <v>10000001</v>
      </c>
      <c r="D433" s="2" t="s">
        <v>605</v>
      </c>
      <c r="F433" s="2">
        <v>12007337</v>
      </c>
      <c r="H433" s="2" t="s">
        <v>605</v>
      </c>
      <c r="I433" s="2" t="str">
        <f t="shared" si="6"/>
        <v>09</v>
      </c>
      <c r="J433" s="2">
        <v>50</v>
      </c>
      <c r="K433" s="3">
        <v>-200000</v>
      </c>
      <c r="L433" s="2" t="s">
        <v>26</v>
      </c>
      <c r="M433" s="3">
        <v>-200000</v>
      </c>
      <c r="N433" s="2" t="s">
        <v>26</v>
      </c>
      <c r="R433" s="2" t="s">
        <v>27</v>
      </c>
      <c r="S433" s="2" t="s">
        <v>653</v>
      </c>
      <c r="T433" s="2" t="s">
        <v>67</v>
      </c>
      <c r="U433" s="2" t="s">
        <v>654</v>
      </c>
      <c r="V433" s="4">
        <f>+VLOOKUP(U433,'FBCJ Jul-Des 2025'!$G$10:$P$1302,8,0)</f>
        <v>70106100</v>
      </c>
      <c r="W433" s="4" t="str">
        <f>+VLOOKUP(V433,Sheet1!$A$2:$B$27,2,0)</f>
        <v>Biaya Transportasi Lokal</v>
      </c>
      <c r="X433" s="4" t="str">
        <f>+VLOOKUP(U433,'FBCJ Jul-Des 2025'!$G$10:$P$1302,9,0)</f>
        <v>P206D1SLSS</v>
      </c>
      <c r="Y433" s="2" t="s">
        <v>43</v>
      </c>
      <c r="Z433" s="2">
        <v>1631293</v>
      </c>
      <c r="AA433" s="2">
        <v>20250902</v>
      </c>
      <c r="AB433" s="3">
        <v>200000</v>
      </c>
    </row>
    <row r="434" spans="3:28" x14ac:dyDescent="0.25">
      <c r="C434" s="2">
        <v>10000001</v>
      </c>
      <c r="D434" s="2" t="s">
        <v>605</v>
      </c>
      <c r="F434" s="2">
        <v>12007338</v>
      </c>
      <c r="H434" s="2" t="s">
        <v>605</v>
      </c>
      <c r="I434" s="2" t="str">
        <f t="shared" si="6"/>
        <v>09</v>
      </c>
      <c r="J434" s="2">
        <v>50</v>
      </c>
      <c r="K434" s="3">
        <v>-50000</v>
      </c>
      <c r="L434" s="2" t="s">
        <v>26</v>
      </c>
      <c r="M434" s="3">
        <v>-50000</v>
      </c>
      <c r="N434" s="2" t="s">
        <v>26</v>
      </c>
      <c r="R434" s="2" t="s">
        <v>27</v>
      </c>
      <c r="S434" s="2" t="s">
        <v>655</v>
      </c>
      <c r="T434" s="2" t="s">
        <v>45</v>
      </c>
      <c r="U434" s="2" t="s">
        <v>656</v>
      </c>
      <c r="V434" s="4">
        <f>+VLOOKUP(U434,'FBCJ Jul-Des 2025'!$G$10:$P$1302,8,0)</f>
        <v>70009110</v>
      </c>
      <c r="W434" s="4" t="str">
        <f>+VLOOKUP(V434,Sheet1!$A$2:$B$27,2,0)</f>
        <v>Biaya Survey dan Analisa</v>
      </c>
      <c r="X434" s="4" t="str">
        <f>+VLOOKUP(U434,'FBCJ Jul-Des 2025'!$G$10:$P$1302,9,0)</f>
        <v>P206D1SLSC</v>
      </c>
      <c r="Y434" s="2" t="s">
        <v>43</v>
      </c>
      <c r="Z434" s="2">
        <v>1631293</v>
      </c>
      <c r="AA434" s="2">
        <v>20250902</v>
      </c>
      <c r="AB434" s="3">
        <v>50000</v>
      </c>
    </row>
    <row r="435" spans="3:28" x14ac:dyDescent="0.25">
      <c r="C435" s="2">
        <v>10000001</v>
      </c>
      <c r="D435" s="2" t="s">
        <v>605</v>
      </c>
      <c r="F435" s="2">
        <v>12007339</v>
      </c>
      <c r="H435" s="2" t="s">
        <v>605</v>
      </c>
      <c r="I435" s="2" t="str">
        <f t="shared" si="6"/>
        <v>09</v>
      </c>
      <c r="J435" s="2">
        <v>50</v>
      </c>
      <c r="K435" s="3">
        <v>-50000</v>
      </c>
      <c r="L435" s="2" t="s">
        <v>26</v>
      </c>
      <c r="M435" s="3">
        <v>-50000</v>
      </c>
      <c r="N435" s="2" t="s">
        <v>26</v>
      </c>
      <c r="R435" s="2" t="s">
        <v>27</v>
      </c>
      <c r="S435" s="2" t="s">
        <v>655</v>
      </c>
      <c r="T435" s="2" t="s">
        <v>45</v>
      </c>
      <c r="U435" s="2" t="s">
        <v>657</v>
      </c>
      <c r="V435" s="4">
        <f>+VLOOKUP(U435,'FBCJ Jul-Des 2025'!$G$10:$P$1302,8,0)</f>
        <v>70009110</v>
      </c>
      <c r="W435" s="4" t="str">
        <f>+VLOOKUP(V435,Sheet1!$A$2:$B$27,2,0)</f>
        <v>Biaya Survey dan Analisa</v>
      </c>
      <c r="X435" s="4" t="str">
        <f>+VLOOKUP(U435,'FBCJ Jul-Des 2025'!$G$10:$P$1302,9,0)</f>
        <v>P206D1SLSS</v>
      </c>
      <c r="Y435" s="2" t="s">
        <v>43</v>
      </c>
      <c r="Z435" s="2">
        <v>1631293</v>
      </c>
      <c r="AA435" s="2">
        <v>20250902</v>
      </c>
      <c r="AB435" s="3">
        <v>50000</v>
      </c>
    </row>
    <row r="436" spans="3:28" x14ac:dyDescent="0.25">
      <c r="C436" s="2">
        <v>10000001</v>
      </c>
      <c r="D436" s="2" t="s">
        <v>605</v>
      </c>
      <c r="F436" s="2">
        <v>12007340</v>
      </c>
      <c r="H436" s="2" t="s">
        <v>605</v>
      </c>
      <c r="I436" s="2" t="str">
        <f t="shared" si="6"/>
        <v>09</v>
      </c>
      <c r="J436" s="2">
        <v>50</v>
      </c>
      <c r="K436" s="3">
        <v>-50000</v>
      </c>
      <c r="L436" s="2" t="s">
        <v>26</v>
      </c>
      <c r="M436" s="3">
        <v>-50000</v>
      </c>
      <c r="N436" s="2" t="s">
        <v>26</v>
      </c>
      <c r="R436" s="2" t="s">
        <v>27</v>
      </c>
      <c r="S436" s="2" t="s">
        <v>655</v>
      </c>
      <c r="T436" s="2" t="s">
        <v>45</v>
      </c>
      <c r="U436" s="2" t="s">
        <v>658</v>
      </c>
      <c r="V436" s="4">
        <f>+VLOOKUP(U436,'FBCJ Jul-Des 2025'!$G$10:$P$1302,8,0)</f>
        <v>70009110</v>
      </c>
      <c r="W436" s="4" t="str">
        <f>+VLOOKUP(V436,Sheet1!$A$2:$B$27,2,0)</f>
        <v>Biaya Survey dan Analisa</v>
      </c>
      <c r="X436" s="4" t="str">
        <f>+VLOOKUP(U436,'FBCJ Jul-Des 2025'!$G$10:$P$1302,9,0)</f>
        <v>P206D1SLSS</v>
      </c>
      <c r="Y436" s="2" t="s">
        <v>43</v>
      </c>
      <c r="Z436" s="2">
        <v>1631293</v>
      </c>
      <c r="AA436" s="2">
        <v>20250902</v>
      </c>
      <c r="AB436" s="3">
        <v>50000</v>
      </c>
    </row>
    <row r="437" spans="3:28" x14ac:dyDescent="0.25">
      <c r="C437" s="2">
        <v>10000001</v>
      </c>
      <c r="D437" s="2" t="s">
        <v>605</v>
      </c>
      <c r="F437" s="2">
        <v>12007341</v>
      </c>
      <c r="H437" s="2" t="s">
        <v>605</v>
      </c>
      <c r="I437" s="2" t="str">
        <f t="shared" si="6"/>
        <v>09</v>
      </c>
      <c r="J437" s="2">
        <v>50</v>
      </c>
      <c r="K437" s="3">
        <v>-50000</v>
      </c>
      <c r="L437" s="2" t="s">
        <v>26</v>
      </c>
      <c r="M437" s="3">
        <v>-50000</v>
      </c>
      <c r="N437" s="2" t="s">
        <v>26</v>
      </c>
      <c r="R437" s="2" t="s">
        <v>27</v>
      </c>
      <c r="S437" s="2" t="s">
        <v>659</v>
      </c>
      <c r="T437" s="2" t="s">
        <v>45</v>
      </c>
      <c r="U437" s="2" t="s">
        <v>660</v>
      </c>
      <c r="V437" s="4">
        <f>+VLOOKUP(U437,'FBCJ Jul-Des 2025'!$G$10:$P$1302,8,0)</f>
        <v>70009110</v>
      </c>
      <c r="W437" s="4" t="str">
        <f>+VLOOKUP(V437,Sheet1!$A$2:$B$27,2,0)</f>
        <v>Biaya Survey dan Analisa</v>
      </c>
      <c r="X437" s="4" t="str">
        <f>+VLOOKUP(U437,'FBCJ Jul-Des 2025'!$G$10:$P$1302,9,0)</f>
        <v>P206D1SLSS</v>
      </c>
      <c r="Y437" s="2" t="s">
        <v>43</v>
      </c>
      <c r="Z437" s="2">
        <v>1631293</v>
      </c>
      <c r="AA437" s="2">
        <v>20250902</v>
      </c>
      <c r="AB437" s="3">
        <v>50000</v>
      </c>
    </row>
    <row r="438" spans="3:28" x14ac:dyDescent="0.25">
      <c r="C438" s="2">
        <v>10000001</v>
      </c>
      <c r="D438" s="2" t="s">
        <v>605</v>
      </c>
      <c r="F438" s="2">
        <v>12007342</v>
      </c>
      <c r="H438" s="2" t="s">
        <v>605</v>
      </c>
      <c r="I438" s="2" t="str">
        <f t="shared" si="6"/>
        <v>09</v>
      </c>
      <c r="J438" s="2">
        <v>50</v>
      </c>
      <c r="K438" s="3">
        <v>-245000</v>
      </c>
      <c r="L438" s="2" t="s">
        <v>26</v>
      </c>
      <c r="M438" s="3">
        <v>-245000</v>
      </c>
      <c r="N438" s="2" t="s">
        <v>26</v>
      </c>
      <c r="R438" s="2" t="s">
        <v>27</v>
      </c>
      <c r="S438" s="2" t="s">
        <v>661</v>
      </c>
      <c r="T438" s="2" t="s">
        <v>67</v>
      </c>
      <c r="U438" s="2" t="s">
        <v>662</v>
      </c>
      <c r="V438" s="4">
        <f>+VLOOKUP(U438,'FBCJ Jul-Des 2025'!$G$10:$P$1302,8,0)</f>
        <v>70106100</v>
      </c>
      <c r="W438" s="4" t="str">
        <f>+VLOOKUP(V438,Sheet1!$A$2:$B$27,2,0)</f>
        <v>Biaya Transportasi Lokal</v>
      </c>
      <c r="X438" s="4" t="str">
        <f>+VLOOKUP(U438,'FBCJ Jul-Des 2025'!$G$10:$P$1302,9,0)</f>
        <v>P206D1SLSS</v>
      </c>
      <c r="Y438" s="2" t="s">
        <v>43</v>
      </c>
      <c r="Z438" s="2">
        <v>1631293</v>
      </c>
      <c r="AA438" s="2">
        <v>20250902</v>
      </c>
      <c r="AB438" s="3">
        <v>245000</v>
      </c>
    </row>
    <row r="439" spans="3:28" x14ac:dyDescent="0.25">
      <c r="C439" s="2">
        <v>10000001</v>
      </c>
      <c r="D439" s="2" t="s">
        <v>605</v>
      </c>
      <c r="F439" s="2">
        <v>12007343</v>
      </c>
      <c r="H439" s="2" t="s">
        <v>605</v>
      </c>
      <c r="I439" s="2" t="str">
        <f t="shared" si="6"/>
        <v>09</v>
      </c>
      <c r="J439" s="2">
        <v>50</v>
      </c>
      <c r="K439" s="3">
        <v>-50000</v>
      </c>
      <c r="L439" s="2" t="s">
        <v>26</v>
      </c>
      <c r="M439" s="3">
        <v>-50000</v>
      </c>
      <c r="N439" s="2" t="s">
        <v>26</v>
      </c>
      <c r="R439" s="2" t="s">
        <v>27</v>
      </c>
      <c r="S439" s="2" t="s">
        <v>663</v>
      </c>
      <c r="T439" s="2" t="s">
        <v>45</v>
      </c>
      <c r="U439" s="2" t="s">
        <v>664</v>
      </c>
      <c r="V439" s="4">
        <f>+VLOOKUP(U439,'FBCJ Jul-Des 2025'!$G$10:$P$1302,8,0)</f>
        <v>70009110</v>
      </c>
      <c r="W439" s="4" t="str">
        <f>+VLOOKUP(V439,Sheet1!$A$2:$B$27,2,0)</f>
        <v>Biaya Survey dan Analisa</v>
      </c>
      <c r="X439" s="4" t="str">
        <f>+VLOOKUP(U439,'FBCJ Jul-Des 2025'!$G$10:$P$1302,9,0)</f>
        <v>P206D1SLSS</v>
      </c>
      <c r="Y439" s="2" t="s">
        <v>43</v>
      </c>
      <c r="Z439" s="2">
        <v>1631293</v>
      </c>
      <c r="AA439" s="2">
        <v>20250902</v>
      </c>
      <c r="AB439" s="3">
        <v>50000</v>
      </c>
    </row>
    <row r="440" spans="3:28" x14ac:dyDescent="0.25">
      <c r="C440" s="2">
        <v>10000001</v>
      </c>
      <c r="D440" s="2" t="s">
        <v>605</v>
      </c>
      <c r="F440" s="2">
        <v>12007344</v>
      </c>
      <c r="H440" s="2" t="s">
        <v>605</v>
      </c>
      <c r="I440" s="2" t="str">
        <f t="shared" si="6"/>
        <v>09</v>
      </c>
      <c r="J440" s="2">
        <v>50</v>
      </c>
      <c r="K440" s="3">
        <v>-50000</v>
      </c>
      <c r="L440" s="2" t="s">
        <v>26</v>
      </c>
      <c r="M440" s="3">
        <v>-50000</v>
      </c>
      <c r="N440" s="2" t="s">
        <v>26</v>
      </c>
      <c r="R440" s="2" t="s">
        <v>27</v>
      </c>
      <c r="S440" s="2" t="s">
        <v>663</v>
      </c>
      <c r="T440" s="2" t="s">
        <v>45</v>
      </c>
      <c r="U440" s="2" t="s">
        <v>665</v>
      </c>
      <c r="V440" s="4">
        <f>+VLOOKUP(U440,'FBCJ Jul-Des 2025'!$G$10:$P$1302,8,0)</f>
        <v>70009110</v>
      </c>
      <c r="W440" s="4" t="str">
        <f>+VLOOKUP(V440,Sheet1!$A$2:$B$27,2,0)</f>
        <v>Biaya Survey dan Analisa</v>
      </c>
      <c r="X440" s="4" t="str">
        <f>+VLOOKUP(U440,'FBCJ Jul-Des 2025'!$G$10:$P$1302,9,0)</f>
        <v>P206D1SLSS</v>
      </c>
      <c r="Y440" s="2" t="s">
        <v>43</v>
      </c>
      <c r="Z440" s="2">
        <v>1631293</v>
      </c>
      <c r="AA440" s="2">
        <v>20250902</v>
      </c>
      <c r="AB440" s="3">
        <v>50000</v>
      </c>
    </row>
    <row r="441" spans="3:28" x14ac:dyDescent="0.25">
      <c r="C441" s="2">
        <v>10000001</v>
      </c>
      <c r="D441" s="2" t="s">
        <v>605</v>
      </c>
      <c r="F441" s="2">
        <v>12007345</v>
      </c>
      <c r="H441" s="2" t="s">
        <v>605</v>
      </c>
      <c r="I441" s="2" t="str">
        <f t="shared" si="6"/>
        <v>09</v>
      </c>
      <c r="J441" s="2">
        <v>50</v>
      </c>
      <c r="K441" s="3">
        <v>-50000</v>
      </c>
      <c r="L441" s="2" t="s">
        <v>26</v>
      </c>
      <c r="M441" s="3">
        <v>-50000</v>
      </c>
      <c r="N441" s="2" t="s">
        <v>26</v>
      </c>
      <c r="R441" s="2" t="s">
        <v>27</v>
      </c>
      <c r="S441" s="2" t="s">
        <v>663</v>
      </c>
      <c r="T441" s="2" t="s">
        <v>45</v>
      </c>
      <c r="U441" s="2" t="s">
        <v>666</v>
      </c>
      <c r="V441" s="4">
        <f>+VLOOKUP(U441,'FBCJ Jul-Des 2025'!$G$10:$P$1302,8,0)</f>
        <v>70009110</v>
      </c>
      <c r="W441" s="4" t="str">
        <f>+VLOOKUP(V441,Sheet1!$A$2:$B$27,2,0)</f>
        <v>Biaya Survey dan Analisa</v>
      </c>
      <c r="X441" s="4" t="str">
        <f>+VLOOKUP(U441,'FBCJ Jul-Des 2025'!$G$10:$P$1302,9,0)</f>
        <v>P206D1SLSS</v>
      </c>
      <c r="Y441" s="2" t="s">
        <v>43</v>
      </c>
      <c r="Z441" s="2">
        <v>1631293</v>
      </c>
      <c r="AA441" s="2">
        <v>20250902</v>
      </c>
      <c r="AB441" s="3">
        <v>50000</v>
      </c>
    </row>
    <row r="442" spans="3:28" x14ac:dyDescent="0.25">
      <c r="C442" s="2">
        <v>10000001</v>
      </c>
      <c r="D442" s="2" t="s">
        <v>605</v>
      </c>
      <c r="F442" s="2">
        <v>12007346</v>
      </c>
      <c r="H442" s="2" t="s">
        <v>605</v>
      </c>
      <c r="I442" s="2" t="str">
        <f t="shared" si="6"/>
        <v>09</v>
      </c>
      <c r="J442" s="2">
        <v>50</v>
      </c>
      <c r="K442" s="3">
        <v>-50000</v>
      </c>
      <c r="L442" s="2" t="s">
        <v>26</v>
      </c>
      <c r="M442" s="3">
        <v>-50000</v>
      </c>
      <c r="N442" s="2" t="s">
        <v>26</v>
      </c>
      <c r="R442" s="2" t="s">
        <v>27</v>
      </c>
      <c r="S442" s="2" t="s">
        <v>663</v>
      </c>
      <c r="T442" s="2" t="s">
        <v>45</v>
      </c>
      <c r="U442" s="2" t="s">
        <v>667</v>
      </c>
      <c r="V442" s="4">
        <f>+VLOOKUP(U442,'FBCJ Jul-Des 2025'!$G$10:$P$1302,8,0)</f>
        <v>70009110</v>
      </c>
      <c r="W442" s="4" t="str">
        <f>+VLOOKUP(V442,Sheet1!$A$2:$B$27,2,0)</f>
        <v>Biaya Survey dan Analisa</v>
      </c>
      <c r="X442" s="4" t="str">
        <f>+VLOOKUP(U442,'FBCJ Jul-Des 2025'!$G$10:$P$1302,9,0)</f>
        <v>P206D1SLSS</v>
      </c>
      <c r="Y442" s="2" t="s">
        <v>43</v>
      </c>
      <c r="Z442" s="2">
        <v>1631293</v>
      </c>
      <c r="AA442" s="2">
        <v>20250902</v>
      </c>
      <c r="AB442" s="3">
        <v>50000</v>
      </c>
    </row>
    <row r="443" spans="3:28" x14ac:dyDescent="0.25">
      <c r="C443" s="2">
        <v>10000001</v>
      </c>
      <c r="D443" s="2" t="s">
        <v>605</v>
      </c>
      <c r="F443" s="2">
        <v>12007347</v>
      </c>
      <c r="H443" s="2" t="s">
        <v>605</v>
      </c>
      <c r="I443" s="2" t="str">
        <f t="shared" si="6"/>
        <v>09</v>
      </c>
      <c r="J443" s="2">
        <v>50</v>
      </c>
      <c r="K443" s="3">
        <v>-50000</v>
      </c>
      <c r="L443" s="2" t="s">
        <v>26</v>
      </c>
      <c r="M443" s="3">
        <v>-50000</v>
      </c>
      <c r="N443" s="2" t="s">
        <v>26</v>
      </c>
      <c r="R443" s="2" t="s">
        <v>27</v>
      </c>
      <c r="S443" s="2" t="s">
        <v>663</v>
      </c>
      <c r="T443" s="2" t="s">
        <v>45</v>
      </c>
      <c r="U443" s="2" t="s">
        <v>668</v>
      </c>
      <c r="V443" s="4">
        <f>+VLOOKUP(U443,'FBCJ Jul-Des 2025'!$G$10:$P$1302,8,0)</f>
        <v>70009110</v>
      </c>
      <c r="W443" s="4" t="str">
        <f>+VLOOKUP(V443,Sheet1!$A$2:$B$27,2,0)</f>
        <v>Biaya Survey dan Analisa</v>
      </c>
      <c r="X443" s="4" t="str">
        <f>+VLOOKUP(U443,'FBCJ Jul-Des 2025'!$G$10:$P$1302,9,0)</f>
        <v>P206D1SLSS</v>
      </c>
      <c r="Y443" s="2" t="s">
        <v>43</v>
      </c>
      <c r="Z443" s="2">
        <v>1631293</v>
      </c>
      <c r="AA443" s="2">
        <v>20250902</v>
      </c>
      <c r="AB443" s="3">
        <v>50000</v>
      </c>
    </row>
    <row r="444" spans="3:28" x14ac:dyDescent="0.25">
      <c r="C444" s="2">
        <v>10000001</v>
      </c>
      <c r="D444" s="2" t="s">
        <v>605</v>
      </c>
      <c r="F444" s="2">
        <v>12007348</v>
      </c>
      <c r="H444" s="2" t="s">
        <v>605</v>
      </c>
      <c r="I444" s="2" t="str">
        <f t="shared" si="6"/>
        <v>09</v>
      </c>
      <c r="J444" s="2">
        <v>50</v>
      </c>
      <c r="K444" s="3">
        <v>-50000</v>
      </c>
      <c r="L444" s="2" t="s">
        <v>26</v>
      </c>
      <c r="M444" s="3">
        <v>-50000</v>
      </c>
      <c r="N444" s="2" t="s">
        <v>26</v>
      </c>
      <c r="R444" s="2" t="s">
        <v>27</v>
      </c>
      <c r="S444" s="2" t="s">
        <v>663</v>
      </c>
      <c r="T444" s="2" t="s">
        <v>45</v>
      </c>
      <c r="U444" s="2" t="s">
        <v>669</v>
      </c>
      <c r="V444" s="4">
        <f>+VLOOKUP(U444,'FBCJ Jul-Des 2025'!$G$10:$P$1302,8,0)</f>
        <v>70009110</v>
      </c>
      <c r="W444" s="4" t="str">
        <f>+VLOOKUP(V444,Sheet1!$A$2:$B$27,2,0)</f>
        <v>Biaya Survey dan Analisa</v>
      </c>
      <c r="X444" s="4" t="str">
        <f>+VLOOKUP(U444,'FBCJ Jul-Des 2025'!$G$10:$P$1302,9,0)</f>
        <v>C206D1SLSS</v>
      </c>
      <c r="Y444" s="2" t="s">
        <v>43</v>
      </c>
      <c r="Z444" s="2">
        <v>1631293</v>
      </c>
      <c r="AA444" s="2">
        <v>20250902</v>
      </c>
      <c r="AB444" s="3">
        <v>50000</v>
      </c>
    </row>
    <row r="445" spans="3:28" x14ac:dyDescent="0.25">
      <c r="C445" s="2">
        <v>10000001</v>
      </c>
      <c r="D445" s="2" t="s">
        <v>605</v>
      </c>
      <c r="F445" s="2">
        <v>12007349</v>
      </c>
      <c r="H445" s="2" t="s">
        <v>605</v>
      </c>
      <c r="I445" s="2" t="str">
        <f t="shared" si="6"/>
        <v>09</v>
      </c>
      <c r="J445" s="2">
        <v>50</v>
      </c>
      <c r="K445" s="3">
        <v>-50000</v>
      </c>
      <c r="L445" s="2" t="s">
        <v>26</v>
      </c>
      <c r="M445" s="3">
        <v>-50000</v>
      </c>
      <c r="N445" s="2" t="s">
        <v>26</v>
      </c>
      <c r="R445" s="2" t="s">
        <v>27</v>
      </c>
      <c r="S445" s="2" t="s">
        <v>663</v>
      </c>
      <c r="T445" s="2" t="s">
        <v>45</v>
      </c>
      <c r="U445" s="2" t="s">
        <v>669</v>
      </c>
      <c r="V445" s="4">
        <f>+VLOOKUP(U445,'FBCJ Jul-Des 2025'!$G$10:$P$1302,8,0)</f>
        <v>70009110</v>
      </c>
      <c r="W445" s="4" t="str">
        <f>+VLOOKUP(V445,Sheet1!$A$2:$B$27,2,0)</f>
        <v>Biaya Survey dan Analisa</v>
      </c>
      <c r="X445" s="4" t="str">
        <f>+VLOOKUP(U445,'FBCJ Jul-Des 2025'!$G$10:$P$1302,9,0)</f>
        <v>C206D1SLSS</v>
      </c>
      <c r="Y445" s="2" t="s">
        <v>43</v>
      </c>
      <c r="Z445" s="2">
        <v>1631293</v>
      </c>
      <c r="AA445" s="2">
        <v>20250902</v>
      </c>
      <c r="AB445" s="3">
        <v>50000</v>
      </c>
    </row>
    <row r="446" spans="3:28" x14ac:dyDescent="0.25">
      <c r="C446" s="2">
        <v>10000001</v>
      </c>
      <c r="D446" s="2" t="s">
        <v>605</v>
      </c>
      <c r="F446" s="2">
        <v>12007350</v>
      </c>
      <c r="H446" s="2" t="s">
        <v>605</v>
      </c>
      <c r="I446" s="2" t="str">
        <f t="shared" si="6"/>
        <v>09</v>
      </c>
      <c r="J446" s="2">
        <v>50</v>
      </c>
      <c r="K446" s="3">
        <v>-50000</v>
      </c>
      <c r="L446" s="2" t="s">
        <v>26</v>
      </c>
      <c r="M446" s="3">
        <v>-50000</v>
      </c>
      <c r="N446" s="2" t="s">
        <v>26</v>
      </c>
      <c r="R446" s="2" t="s">
        <v>27</v>
      </c>
      <c r="S446" s="2" t="s">
        <v>663</v>
      </c>
      <c r="T446" s="2" t="s">
        <v>45</v>
      </c>
      <c r="U446" s="2" t="s">
        <v>669</v>
      </c>
      <c r="V446" s="4">
        <f>+VLOOKUP(U446,'FBCJ Jul-Des 2025'!$G$10:$P$1302,8,0)</f>
        <v>70009110</v>
      </c>
      <c r="W446" s="4" t="str">
        <f>+VLOOKUP(V446,Sheet1!$A$2:$B$27,2,0)</f>
        <v>Biaya Survey dan Analisa</v>
      </c>
      <c r="X446" s="4" t="str">
        <f>+VLOOKUP(U446,'FBCJ Jul-Des 2025'!$G$10:$P$1302,9,0)</f>
        <v>C206D1SLSS</v>
      </c>
      <c r="Y446" s="2" t="s">
        <v>43</v>
      </c>
      <c r="Z446" s="2">
        <v>1631293</v>
      </c>
      <c r="AA446" s="2">
        <v>20250902</v>
      </c>
      <c r="AB446" s="3">
        <v>50000</v>
      </c>
    </row>
    <row r="447" spans="3:28" x14ac:dyDescent="0.25">
      <c r="C447" s="2">
        <v>10000001</v>
      </c>
      <c r="D447" s="2" t="s">
        <v>605</v>
      </c>
      <c r="F447" s="2">
        <v>12007351</v>
      </c>
      <c r="H447" s="2" t="s">
        <v>605</v>
      </c>
      <c r="I447" s="2" t="str">
        <f t="shared" si="6"/>
        <v>09</v>
      </c>
      <c r="J447" s="2">
        <v>50</v>
      </c>
      <c r="K447" s="3">
        <v>-50000</v>
      </c>
      <c r="L447" s="2" t="s">
        <v>26</v>
      </c>
      <c r="M447" s="3">
        <v>-50000</v>
      </c>
      <c r="N447" s="2" t="s">
        <v>26</v>
      </c>
      <c r="R447" s="2" t="s">
        <v>27</v>
      </c>
      <c r="S447" s="2" t="s">
        <v>663</v>
      </c>
      <c r="T447" s="2" t="s">
        <v>45</v>
      </c>
      <c r="U447" s="2" t="s">
        <v>669</v>
      </c>
      <c r="V447" s="4">
        <f>+VLOOKUP(U447,'FBCJ Jul-Des 2025'!$G$10:$P$1302,8,0)</f>
        <v>70009110</v>
      </c>
      <c r="W447" s="4" t="str">
        <f>+VLOOKUP(V447,Sheet1!$A$2:$B$27,2,0)</f>
        <v>Biaya Survey dan Analisa</v>
      </c>
      <c r="X447" s="4" t="str">
        <f>+VLOOKUP(U447,'FBCJ Jul-Des 2025'!$G$10:$P$1302,9,0)</f>
        <v>C206D1SLSS</v>
      </c>
      <c r="Y447" s="2" t="s">
        <v>43</v>
      </c>
      <c r="Z447" s="2">
        <v>1631293</v>
      </c>
      <c r="AA447" s="2">
        <v>20250902</v>
      </c>
      <c r="AB447" s="3">
        <v>50000</v>
      </c>
    </row>
    <row r="448" spans="3:28" x14ac:dyDescent="0.25">
      <c r="C448" s="2">
        <v>10000001</v>
      </c>
      <c r="D448" s="2" t="s">
        <v>605</v>
      </c>
      <c r="F448" s="2">
        <v>12007352</v>
      </c>
      <c r="H448" s="2" t="s">
        <v>605</v>
      </c>
      <c r="I448" s="2" t="str">
        <f t="shared" si="6"/>
        <v>09</v>
      </c>
      <c r="J448" s="2">
        <v>50</v>
      </c>
      <c r="K448" s="3">
        <v>-50000</v>
      </c>
      <c r="L448" s="2" t="s">
        <v>26</v>
      </c>
      <c r="M448" s="3">
        <v>-50000</v>
      </c>
      <c r="N448" s="2" t="s">
        <v>26</v>
      </c>
      <c r="R448" s="2" t="s">
        <v>27</v>
      </c>
      <c r="S448" s="2" t="s">
        <v>663</v>
      </c>
      <c r="T448" s="2" t="s">
        <v>45</v>
      </c>
      <c r="U448" s="2" t="s">
        <v>669</v>
      </c>
      <c r="V448" s="4">
        <f>+VLOOKUP(U448,'FBCJ Jul-Des 2025'!$G$10:$P$1302,8,0)</f>
        <v>70009110</v>
      </c>
      <c r="W448" s="4" t="str">
        <f>+VLOOKUP(V448,Sheet1!$A$2:$B$27,2,0)</f>
        <v>Biaya Survey dan Analisa</v>
      </c>
      <c r="X448" s="4" t="str">
        <f>+VLOOKUP(U448,'FBCJ Jul-Des 2025'!$G$10:$P$1302,9,0)</f>
        <v>C206D1SLSS</v>
      </c>
      <c r="Y448" s="2" t="s">
        <v>43</v>
      </c>
      <c r="Z448" s="2">
        <v>1631293</v>
      </c>
      <c r="AA448" s="2">
        <v>20250902</v>
      </c>
      <c r="AB448" s="3">
        <v>50000</v>
      </c>
    </row>
    <row r="449" spans="3:28" x14ac:dyDescent="0.25">
      <c r="C449" s="2">
        <v>10000001</v>
      </c>
      <c r="D449" s="2" t="s">
        <v>605</v>
      </c>
      <c r="F449" s="2">
        <v>12007353</v>
      </c>
      <c r="H449" s="2" t="s">
        <v>605</v>
      </c>
      <c r="I449" s="2" t="str">
        <f t="shared" si="6"/>
        <v>09</v>
      </c>
      <c r="J449" s="2">
        <v>50</v>
      </c>
      <c r="K449" s="3">
        <v>-50000</v>
      </c>
      <c r="L449" s="2" t="s">
        <v>26</v>
      </c>
      <c r="M449" s="3">
        <v>-50000</v>
      </c>
      <c r="N449" s="2" t="s">
        <v>26</v>
      </c>
      <c r="R449" s="2" t="s">
        <v>27</v>
      </c>
      <c r="S449" s="2" t="s">
        <v>663</v>
      </c>
      <c r="T449" s="2" t="s">
        <v>45</v>
      </c>
      <c r="U449" s="2" t="s">
        <v>670</v>
      </c>
      <c r="V449" s="4">
        <f>+VLOOKUP(U449,'FBCJ Jul-Des 2025'!$G$10:$P$1302,8,0)</f>
        <v>70009110</v>
      </c>
      <c r="W449" s="4" t="str">
        <f>+VLOOKUP(V449,Sheet1!$A$2:$B$27,2,0)</f>
        <v>Biaya Survey dan Analisa</v>
      </c>
      <c r="X449" s="4" t="str">
        <f>+VLOOKUP(U449,'FBCJ Jul-Des 2025'!$G$10:$P$1302,9,0)</f>
        <v>P206D1SLSS</v>
      </c>
      <c r="Y449" s="2" t="s">
        <v>43</v>
      </c>
      <c r="Z449" s="2">
        <v>1631293</v>
      </c>
      <c r="AA449" s="2">
        <v>20250902</v>
      </c>
      <c r="AB449" s="3">
        <v>50000</v>
      </c>
    </row>
    <row r="450" spans="3:28" x14ac:dyDescent="0.25">
      <c r="C450" s="2">
        <v>10000001</v>
      </c>
      <c r="D450" s="2" t="s">
        <v>605</v>
      </c>
      <c r="F450" s="2">
        <v>12007354</v>
      </c>
      <c r="H450" s="2" t="s">
        <v>605</v>
      </c>
      <c r="I450" s="2" t="str">
        <f t="shared" si="6"/>
        <v>09</v>
      </c>
      <c r="J450" s="2">
        <v>50</v>
      </c>
      <c r="K450" s="3">
        <v>-50000</v>
      </c>
      <c r="L450" s="2" t="s">
        <v>26</v>
      </c>
      <c r="M450" s="3">
        <v>-50000</v>
      </c>
      <c r="N450" s="2" t="s">
        <v>26</v>
      </c>
      <c r="R450" s="2" t="s">
        <v>27</v>
      </c>
      <c r="S450" s="2" t="s">
        <v>663</v>
      </c>
      <c r="T450" s="2" t="s">
        <v>45</v>
      </c>
      <c r="U450" s="2" t="s">
        <v>670</v>
      </c>
      <c r="V450" s="4">
        <f>+VLOOKUP(U450,'FBCJ Jul-Des 2025'!$G$10:$P$1302,8,0)</f>
        <v>70009110</v>
      </c>
      <c r="W450" s="4" t="str">
        <f>+VLOOKUP(V450,Sheet1!$A$2:$B$27,2,0)</f>
        <v>Biaya Survey dan Analisa</v>
      </c>
      <c r="X450" s="4" t="str">
        <f>+VLOOKUP(U450,'FBCJ Jul-Des 2025'!$G$10:$P$1302,9,0)</f>
        <v>P206D1SLSS</v>
      </c>
      <c r="Y450" s="2" t="s">
        <v>43</v>
      </c>
      <c r="Z450" s="2">
        <v>1631293</v>
      </c>
      <c r="AA450" s="2">
        <v>20250902</v>
      </c>
      <c r="AB450" s="3">
        <v>50000</v>
      </c>
    </row>
    <row r="451" spans="3:28" x14ac:dyDescent="0.25">
      <c r="C451" s="2">
        <v>10000001</v>
      </c>
      <c r="D451" s="2" t="s">
        <v>605</v>
      </c>
      <c r="F451" s="2">
        <v>12007355</v>
      </c>
      <c r="H451" s="2" t="s">
        <v>605</v>
      </c>
      <c r="I451" s="2" t="str">
        <f t="shared" si="6"/>
        <v>09</v>
      </c>
      <c r="J451" s="2">
        <v>50</v>
      </c>
      <c r="K451" s="3">
        <v>-50000</v>
      </c>
      <c r="L451" s="2" t="s">
        <v>26</v>
      </c>
      <c r="M451" s="3">
        <v>-50000</v>
      </c>
      <c r="N451" s="2" t="s">
        <v>26</v>
      </c>
      <c r="R451" s="2" t="s">
        <v>27</v>
      </c>
      <c r="S451" s="2" t="s">
        <v>663</v>
      </c>
      <c r="T451" s="2" t="s">
        <v>45</v>
      </c>
      <c r="U451" s="2" t="s">
        <v>671</v>
      </c>
      <c r="V451" s="4">
        <f>+VLOOKUP(U451,'FBCJ Jul-Des 2025'!$G$10:$P$1302,8,0)</f>
        <v>70009110</v>
      </c>
      <c r="W451" s="4" t="str">
        <f>+VLOOKUP(V451,Sheet1!$A$2:$B$27,2,0)</f>
        <v>Biaya Survey dan Analisa</v>
      </c>
      <c r="X451" s="4" t="str">
        <f>+VLOOKUP(U451,'FBCJ Jul-Des 2025'!$G$10:$P$1302,9,0)</f>
        <v>P206D1SLSS</v>
      </c>
      <c r="Y451" s="2" t="s">
        <v>43</v>
      </c>
      <c r="Z451" s="2">
        <v>1631293</v>
      </c>
      <c r="AA451" s="2">
        <v>20250902</v>
      </c>
      <c r="AB451" s="3">
        <v>50000</v>
      </c>
    </row>
    <row r="452" spans="3:28" x14ac:dyDescent="0.25">
      <c r="C452" s="2">
        <v>10000001</v>
      </c>
      <c r="D452" s="2" t="s">
        <v>605</v>
      </c>
      <c r="F452" s="2">
        <v>12007356</v>
      </c>
      <c r="H452" s="2" t="s">
        <v>605</v>
      </c>
      <c r="I452" s="2" t="str">
        <f t="shared" si="6"/>
        <v>09</v>
      </c>
      <c r="J452" s="2">
        <v>50</v>
      </c>
      <c r="K452" s="3">
        <v>-865001</v>
      </c>
      <c r="L452" s="2" t="s">
        <v>26</v>
      </c>
      <c r="M452" s="3">
        <v>-865001</v>
      </c>
      <c r="N452" s="2" t="s">
        <v>26</v>
      </c>
      <c r="R452" s="2" t="s">
        <v>27</v>
      </c>
      <c r="S452" s="2" t="s">
        <v>672</v>
      </c>
      <c r="T452" s="2" t="s">
        <v>126</v>
      </c>
      <c r="U452" s="2" t="s">
        <v>673</v>
      </c>
      <c r="V452" s="4">
        <f>+VLOOKUP(U452,'FBCJ Jul-Des 2025'!$G$10:$P$1302,8,0)</f>
        <v>70107600</v>
      </c>
      <c r="W452" s="4" t="str">
        <f>+VLOOKUP(V452,Sheet1!$A$2:$B$27,2,0)</f>
        <v>Biaya Konsumsi Kantor</v>
      </c>
      <c r="X452" s="4" t="str">
        <f>+VLOOKUP(U452,'FBCJ Jul-Des 2025'!$G$10:$P$1302,9,0)</f>
        <v>R124FPO</v>
      </c>
      <c r="Y452" s="2" t="s">
        <v>43</v>
      </c>
      <c r="Z452" s="2">
        <v>1631293</v>
      </c>
      <c r="AA452" s="2">
        <v>20250902</v>
      </c>
      <c r="AB452" s="3">
        <v>865001</v>
      </c>
    </row>
    <row r="453" spans="3:28" x14ac:dyDescent="0.25">
      <c r="C453" s="2">
        <v>10000001</v>
      </c>
      <c r="D453" s="2" t="s">
        <v>605</v>
      </c>
      <c r="F453" s="2">
        <v>12007357</v>
      </c>
      <c r="H453" s="2" t="s">
        <v>605</v>
      </c>
      <c r="I453" s="2" t="str">
        <f t="shared" si="6"/>
        <v>09</v>
      </c>
      <c r="J453" s="2">
        <v>50</v>
      </c>
      <c r="K453" s="3">
        <v>-640000</v>
      </c>
      <c r="L453" s="2" t="s">
        <v>26</v>
      </c>
      <c r="M453" s="3">
        <v>-640000</v>
      </c>
      <c r="N453" s="2" t="s">
        <v>26</v>
      </c>
      <c r="R453" s="2" t="s">
        <v>27</v>
      </c>
      <c r="S453" s="2" t="s">
        <v>674</v>
      </c>
      <c r="T453" s="2" t="s">
        <v>96</v>
      </c>
      <c r="U453" s="2" t="s">
        <v>675</v>
      </c>
      <c r="V453" s="4">
        <f>+VLOOKUP(U453,'FBCJ Jul-Des 2025'!$G$10:$P$1302,8,0)</f>
        <v>70106400</v>
      </c>
      <c r="W453" s="4" t="str">
        <f>+VLOOKUP(V453,Sheet1!$A$2:$B$27,2,0)</f>
        <v>Biaya Bahan Bakar</v>
      </c>
      <c r="X453" s="4" t="str">
        <f>+VLOOKUP(U453,'FBCJ Jul-Des 2025'!$G$10:$P$1302,9,0)</f>
        <v>R124D1HRGA</v>
      </c>
      <c r="Y453" s="2" t="s">
        <v>43</v>
      </c>
      <c r="Z453" s="2">
        <v>1631293</v>
      </c>
      <c r="AA453" s="2">
        <v>20250902</v>
      </c>
      <c r="AB453" s="3">
        <v>640000</v>
      </c>
    </row>
    <row r="454" spans="3:28" x14ac:dyDescent="0.25">
      <c r="C454" s="2">
        <v>10000001</v>
      </c>
      <c r="D454" s="2" t="s">
        <v>605</v>
      </c>
      <c r="F454" s="2">
        <v>12007358</v>
      </c>
      <c r="H454" s="2" t="s">
        <v>605</v>
      </c>
      <c r="I454" s="2" t="str">
        <f t="shared" si="6"/>
        <v>09</v>
      </c>
      <c r="J454" s="2">
        <v>50</v>
      </c>
      <c r="K454" s="3">
        <v>-360000</v>
      </c>
      <c r="L454" s="2" t="s">
        <v>26</v>
      </c>
      <c r="M454" s="3">
        <v>-360000</v>
      </c>
      <c r="N454" s="2" t="s">
        <v>26</v>
      </c>
      <c r="R454" s="2" t="s">
        <v>27</v>
      </c>
      <c r="S454" s="2" t="s">
        <v>674</v>
      </c>
      <c r="T454" s="2" t="s">
        <v>67</v>
      </c>
      <c r="U454" s="2" t="s">
        <v>676</v>
      </c>
      <c r="V454" s="4">
        <f>+VLOOKUP(U454,'FBCJ Jul-Des 2025'!$G$10:$P$1302,8,0)</f>
        <v>70106100</v>
      </c>
      <c r="W454" s="4" t="str">
        <f>+VLOOKUP(V454,Sheet1!$A$2:$B$27,2,0)</f>
        <v>Biaya Transportasi Lokal</v>
      </c>
      <c r="X454" s="4" t="str">
        <f>+VLOOKUP(U454,'FBCJ Jul-Des 2025'!$G$10:$P$1302,9,0)</f>
        <v>R124D1HRGA</v>
      </c>
      <c r="Y454" s="2" t="s">
        <v>43</v>
      </c>
      <c r="Z454" s="2">
        <v>1631293</v>
      </c>
      <c r="AA454" s="2">
        <v>20250902</v>
      </c>
      <c r="AB454" s="3">
        <v>360000</v>
      </c>
    </row>
    <row r="455" spans="3:28" x14ac:dyDescent="0.25">
      <c r="C455" s="2">
        <v>10000001</v>
      </c>
      <c r="D455" s="2" t="s">
        <v>605</v>
      </c>
      <c r="F455" s="2">
        <v>12007359</v>
      </c>
      <c r="H455" s="2" t="s">
        <v>605</v>
      </c>
      <c r="I455" s="2" t="str">
        <f t="shared" si="6"/>
        <v>09</v>
      </c>
      <c r="J455" s="2">
        <v>50</v>
      </c>
      <c r="K455" s="3">
        <v>-50000</v>
      </c>
      <c r="L455" s="2" t="s">
        <v>26</v>
      </c>
      <c r="M455" s="3">
        <v>-50000</v>
      </c>
      <c r="N455" s="2" t="s">
        <v>26</v>
      </c>
      <c r="R455" s="2" t="s">
        <v>27</v>
      </c>
      <c r="S455" s="2" t="s">
        <v>677</v>
      </c>
      <c r="T455" s="2" t="s">
        <v>126</v>
      </c>
      <c r="U455" s="2" t="s">
        <v>678</v>
      </c>
      <c r="V455" s="4">
        <f>+VLOOKUP(U455,'FBCJ Jul-Des 2025'!$G$10:$P$1302,8,0)</f>
        <v>70107600</v>
      </c>
      <c r="W455" s="4" t="str">
        <f>+VLOOKUP(V455,Sheet1!$A$2:$B$27,2,0)</f>
        <v>Biaya Konsumsi Kantor</v>
      </c>
      <c r="X455" s="4" t="str">
        <f>+VLOOKUP(U455,'FBCJ Jul-Des 2025'!$G$10:$P$1302,9,0)</f>
        <v>R124MNT</v>
      </c>
      <c r="Y455" s="2" t="s">
        <v>43</v>
      </c>
      <c r="Z455" s="2">
        <v>1631293</v>
      </c>
      <c r="AA455" s="2">
        <v>20250902</v>
      </c>
      <c r="AB455" s="3">
        <v>50000</v>
      </c>
    </row>
    <row r="456" spans="3:28" x14ac:dyDescent="0.25">
      <c r="C456" s="2">
        <v>10000001</v>
      </c>
      <c r="D456" s="2" t="s">
        <v>605</v>
      </c>
      <c r="F456" s="2">
        <v>12007459</v>
      </c>
      <c r="H456" s="2" t="s">
        <v>605</v>
      </c>
      <c r="I456" s="2" t="str">
        <f t="shared" ref="I456:I519" si="7">+MID(H456,4,2)</f>
        <v>09</v>
      </c>
      <c r="J456" s="2">
        <v>50</v>
      </c>
      <c r="K456" s="3">
        <v>-50000</v>
      </c>
      <c r="L456" s="2" t="s">
        <v>26</v>
      </c>
      <c r="M456" s="3">
        <v>-50000</v>
      </c>
      <c r="N456" s="2" t="s">
        <v>26</v>
      </c>
      <c r="R456" s="2" t="s">
        <v>27</v>
      </c>
      <c r="S456" s="2" t="s">
        <v>679</v>
      </c>
      <c r="T456" s="2" t="s">
        <v>45</v>
      </c>
      <c r="U456" s="2" t="s">
        <v>680</v>
      </c>
      <c r="V456" s="4">
        <f>+VLOOKUP(U456,'FBCJ Jul-Des 2025'!$G$10:$P$1302,8,0)</f>
        <v>70009110</v>
      </c>
      <c r="W456" s="4" t="str">
        <f>+VLOOKUP(V456,Sheet1!$A$2:$B$27,2,0)</f>
        <v>Biaya Survey dan Analisa</v>
      </c>
      <c r="X456" s="4" t="str">
        <f>+VLOOKUP(U456,'FBCJ Jul-Des 2025'!$G$10:$P$1302,9,0)</f>
        <v>M204D1COMM</v>
      </c>
      <c r="Y456" s="2" t="s">
        <v>43</v>
      </c>
      <c r="Z456" s="2">
        <v>1631293</v>
      </c>
      <c r="AA456" s="2">
        <v>20250902</v>
      </c>
      <c r="AB456" s="3">
        <v>50000</v>
      </c>
    </row>
    <row r="457" spans="3:28" x14ac:dyDescent="0.25">
      <c r="C457" s="2">
        <v>10000001</v>
      </c>
      <c r="D457" s="2" t="s">
        <v>604</v>
      </c>
      <c r="F457" s="2">
        <v>12007360</v>
      </c>
      <c r="H457" s="2" t="s">
        <v>604</v>
      </c>
      <c r="I457" s="2" t="str">
        <f t="shared" si="7"/>
        <v>09</v>
      </c>
      <c r="J457" s="2">
        <v>50</v>
      </c>
      <c r="K457" s="3">
        <v>-986200</v>
      </c>
      <c r="L457" s="2" t="s">
        <v>26</v>
      </c>
      <c r="M457" s="3">
        <v>-986200</v>
      </c>
      <c r="N457" s="2" t="s">
        <v>26</v>
      </c>
      <c r="R457" s="2" t="s">
        <v>27</v>
      </c>
      <c r="S457" s="2" t="s">
        <v>681</v>
      </c>
      <c r="T457" s="2" t="s">
        <v>59</v>
      </c>
      <c r="U457" s="2" t="s">
        <v>682</v>
      </c>
      <c r="V457" s="4">
        <f>+VLOOKUP(U457,'FBCJ Jul-Des 2025'!$G$10:$P$1302,8,0)</f>
        <v>70101114</v>
      </c>
      <c r="W457" s="4" t="str">
        <f>+VLOOKUP(V457,Sheet1!$A$2:$B$27,2,0)</f>
        <v>By Perbaikan &amp; Perawatan Perabot Material Pihak3</v>
      </c>
      <c r="X457" s="4" t="str">
        <f>+VLOOKUP(U457,'FBCJ Jul-Des 2025'!$G$10:$P$1302,9,0)</f>
        <v>R124QCA</v>
      </c>
      <c r="Y457" s="2" t="s">
        <v>43</v>
      </c>
      <c r="Z457" s="2">
        <v>1631293</v>
      </c>
      <c r="AA457" s="2">
        <v>20250903</v>
      </c>
      <c r="AB457" s="3">
        <v>986200</v>
      </c>
    </row>
    <row r="458" spans="3:28" x14ac:dyDescent="0.25">
      <c r="C458" s="2">
        <v>10000001</v>
      </c>
      <c r="D458" s="2" t="s">
        <v>604</v>
      </c>
      <c r="F458" s="2">
        <v>12007361</v>
      </c>
      <c r="H458" s="2" t="s">
        <v>604</v>
      </c>
      <c r="I458" s="2" t="str">
        <f t="shared" si="7"/>
        <v>09</v>
      </c>
      <c r="J458" s="2">
        <v>50</v>
      </c>
      <c r="K458" s="3">
        <v>-204100</v>
      </c>
      <c r="L458" s="2" t="s">
        <v>26</v>
      </c>
      <c r="M458" s="3">
        <v>-204100</v>
      </c>
      <c r="N458" s="2" t="s">
        <v>26</v>
      </c>
      <c r="R458" s="2" t="s">
        <v>27</v>
      </c>
      <c r="S458" s="2" t="s">
        <v>683</v>
      </c>
      <c r="T458" s="2" t="s">
        <v>59</v>
      </c>
      <c r="U458" s="2" t="s">
        <v>684</v>
      </c>
      <c r="V458" s="4">
        <f>+VLOOKUP(U458,'FBCJ Jul-Des 2025'!$G$10:$P$1302,8,0)</f>
        <v>70101114</v>
      </c>
      <c r="W458" s="4" t="str">
        <f>+VLOOKUP(V458,Sheet1!$A$2:$B$27,2,0)</f>
        <v>By Perbaikan &amp; Perawatan Perabot Material Pihak3</v>
      </c>
      <c r="X458" s="4" t="str">
        <f>+VLOOKUP(U458,'FBCJ Jul-Des 2025'!$G$10:$P$1302,9,0)</f>
        <v>R124QCA</v>
      </c>
      <c r="Y458" s="2" t="s">
        <v>43</v>
      </c>
      <c r="Z458" s="2">
        <v>1631293</v>
      </c>
      <c r="AA458" s="2">
        <v>20250903</v>
      </c>
      <c r="AB458" s="3">
        <v>204100</v>
      </c>
    </row>
    <row r="459" spans="3:28" x14ac:dyDescent="0.25">
      <c r="C459" s="2">
        <v>10000001</v>
      </c>
      <c r="D459" s="2" t="s">
        <v>604</v>
      </c>
      <c r="F459" s="2">
        <v>12007362</v>
      </c>
      <c r="H459" s="2" t="s">
        <v>604</v>
      </c>
      <c r="I459" s="2" t="str">
        <f t="shared" si="7"/>
        <v>09</v>
      </c>
      <c r="J459" s="2">
        <v>50</v>
      </c>
      <c r="K459" s="3">
        <v>-376000</v>
      </c>
      <c r="L459" s="2" t="s">
        <v>26</v>
      </c>
      <c r="M459" s="3">
        <v>-376000</v>
      </c>
      <c r="N459" s="2" t="s">
        <v>26</v>
      </c>
      <c r="R459" s="2" t="s">
        <v>27</v>
      </c>
      <c r="S459" s="2" t="s">
        <v>685</v>
      </c>
      <c r="T459" s="2" t="s">
        <v>59</v>
      </c>
      <c r="U459" s="2" t="s">
        <v>686</v>
      </c>
      <c r="V459" s="4">
        <f>+VLOOKUP(U459,'FBCJ Jul-Des 2025'!$G$10:$P$1302,8,0)</f>
        <v>70101114</v>
      </c>
      <c r="W459" s="4" t="str">
        <f>+VLOOKUP(V459,Sheet1!$A$2:$B$27,2,0)</f>
        <v>By Perbaikan &amp; Perawatan Perabot Material Pihak3</v>
      </c>
      <c r="X459" s="4" t="str">
        <f>+VLOOKUP(U459,'FBCJ Jul-Des 2025'!$G$10:$P$1302,9,0)</f>
        <v>R124FPO</v>
      </c>
      <c r="Y459" s="2" t="s">
        <v>43</v>
      </c>
      <c r="Z459" s="2">
        <v>1631293</v>
      </c>
      <c r="AA459" s="2">
        <v>20250903</v>
      </c>
      <c r="AB459" s="3">
        <v>376000</v>
      </c>
    </row>
    <row r="460" spans="3:28" x14ac:dyDescent="0.25">
      <c r="C460" s="2">
        <v>10000001</v>
      </c>
      <c r="D460" s="2" t="s">
        <v>604</v>
      </c>
      <c r="F460" s="2">
        <v>12007363</v>
      </c>
      <c r="H460" s="2" t="s">
        <v>604</v>
      </c>
      <c r="I460" s="2" t="str">
        <f t="shared" si="7"/>
        <v>09</v>
      </c>
      <c r="J460" s="2">
        <v>50</v>
      </c>
      <c r="K460" s="3">
        <v>-261036</v>
      </c>
      <c r="L460" s="2" t="s">
        <v>26</v>
      </c>
      <c r="M460" s="3">
        <v>-261036</v>
      </c>
      <c r="N460" s="2" t="s">
        <v>26</v>
      </c>
      <c r="R460" s="2" t="s">
        <v>27</v>
      </c>
      <c r="S460" s="2" t="s">
        <v>687</v>
      </c>
      <c r="T460" s="2" t="s">
        <v>59</v>
      </c>
      <c r="U460" s="2" t="s">
        <v>688</v>
      </c>
      <c r="V460" s="4">
        <f>+VLOOKUP(U460,'FBCJ Jul-Des 2025'!$G$10:$P$1302,8,0)</f>
        <v>70101114</v>
      </c>
      <c r="W460" s="4" t="str">
        <f>+VLOOKUP(V460,Sheet1!$A$2:$B$27,2,0)</f>
        <v>By Perbaikan &amp; Perawatan Perabot Material Pihak3</v>
      </c>
      <c r="X460" s="4" t="str">
        <f>+VLOOKUP(U460,'FBCJ Jul-Des 2025'!$G$10:$P$1302,9,0)</f>
        <v>R124REF3</v>
      </c>
      <c r="Y460" s="2" t="s">
        <v>43</v>
      </c>
      <c r="Z460" s="2">
        <v>1631293</v>
      </c>
      <c r="AA460" s="2">
        <v>20250903</v>
      </c>
      <c r="AB460" s="3">
        <v>261036</v>
      </c>
    </row>
    <row r="461" spans="3:28" x14ac:dyDescent="0.25">
      <c r="C461" s="2">
        <v>10000001</v>
      </c>
      <c r="D461" s="2" t="s">
        <v>604</v>
      </c>
      <c r="F461" s="2">
        <v>12007364</v>
      </c>
      <c r="H461" s="2" t="s">
        <v>604</v>
      </c>
      <c r="I461" s="2" t="str">
        <f t="shared" si="7"/>
        <v>09</v>
      </c>
      <c r="J461" s="2">
        <v>50</v>
      </c>
      <c r="K461" s="3">
        <v>-780857</v>
      </c>
      <c r="L461" s="2" t="s">
        <v>26</v>
      </c>
      <c r="M461" s="3">
        <v>-780857</v>
      </c>
      <c r="N461" s="2" t="s">
        <v>26</v>
      </c>
      <c r="R461" s="2" t="s">
        <v>27</v>
      </c>
      <c r="S461" s="2" t="s">
        <v>689</v>
      </c>
      <c r="T461" s="2" t="s">
        <v>59</v>
      </c>
      <c r="U461" s="2" t="s">
        <v>690</v>
      </c>
      <c r="V461" s="4">
        <f>+VLOOKUP(U461,'FBCJ Jul-Des 2025'!$G$10:$P$1302,8,0)</f>
        <v>70101114</v>
      </c>
      <c r="W461" s="4" t="str">
        <f>+VLOOKUP(V461,Sheet1!$A$2:$B$27,2,0)</f>
        <v>By Perbaikan &amp; Perawatan Perabot Material Pihak3</v>
      </c>
      <c r="X461" s="4" t="str">
        <f>+VLOOKUP(U461,'FBCJ Jul-Des 2025'!$G$10:$P$1302,9,0)</f>
        <v>R124D1HRGA</v>
      </c>
      <c r="Y461" s="2" t="s">
        <v>43</v>
      </c>
      <c r="Z461" s="2">
        <v>1631293</v>
      </c>
      <c r="AA461" s="2">
        <v>20250903</v>
      </c>
      <c r="AB461" s="3">
        <v>780857</v>
      </c>
    </row>
    <row r="462" spans="3:28" x14ac:dyDescent="0.25">
      <c r="C462" s="2">
        <v>10000001</v>
      </c>
      <c r="D462" s="2" t="s">
        <v>604</v>
      </c>
      <c r="F462" s="2">
        <v>12007365</v>
      </c>
      <c r="H462" s="2" t="s">
        <v>604</v>
      </c>
      <c r="I462" s="2" t="str">
        <f t="shared" si="7"/>
        <v>09</v>
      </c>
      <c r="J462" s="2">
        <v>50</v>
      </c>
      <c r="K462" s="3">
        <v>-180000</v>
      </c>
      <c r="L462" s="2" t="s">
        <v>26</v>
      </c>
      <c r="M462" s="3">
        <v>-180000</v>
      </c>
      <c r="N462" s="2" t="s">
        <v>26</v>
      </c>
      <c r="R462" s="2" t="s">
        <v>27</v>
      </c>
      <c r="S462" s="2" t="s">
        <v>691</v>
      </c>
      <c r="T462" s="2" t="s">
        <v>57</v>
      </c>
      <c r="U462" s="2" t="s">
        <v>692</v>
      </c>
      <c r="V462" s="4">
        <f>+VLOOKUP(U462,'FBCJ Jul-Des 2025'!$G$10:$P$1302,8,0)</f>
        <v>70101202</v>
      </c>
      <c r="W462" s="4" t="str">
        <f>+VLOOKUP(V462,Sheet1!$A$2:$B$27,2,0)</f>
        <v>By Pemeliharaan Kend,ABerat,Mesin-Material Pihak3</v>
      </c>
      <c r="X462" s="4" t="str">
        <f>+VLOOKUP(U462,'FBCJ Jul-Des 2025'!$G$10:$P$1302,9,0)</f>
        <v>R124FPO</v>
      </c>
      <c r="Y462" s="2" t="s">
        <v>43</v>
      </c>
      <c r="Z462" s="2">
        <v>1631293</v>
      </c>
      <c r="AA462" s="2">
        <v>20250903</v>
      </c>
      <c r="AB462" s="3">
        <v>180000</v>
      </c>
    </row>
    <row r="463" spans="3:28" x14ac:dyDescent="0.25">
      <c r="C463" s="2">
        <v>10000001</v>
      </c>
      <c r="D463" s="2" t="s">
        <v>604</v>
      </c>
      <c r="F463" s="2">
        <v>12007366</v>
      </c>
      <c r="H463" s="2" t="s">
        <v>604</v>
      </c>
      <c r="I463" s="2" t="str">
        <f t="shared" si="7"/>
        <v>09</v>
      </c>
      <c r="J463" s="2">
        <v>50</v>
      </c>
      <c r="K463" s="3">
        <v>-47500</v>
      </c>
      <c r="L463" s="2" t="s">
        <v>26</v>
      </c>
      <c r="M463" s="3">
        <v>-47500</v>
      </c>
      <c r="N463" s="2" t="s">
        <v>26</v>
      </c>
      <c r="R463" s="2" t="s">
        <v>27</v>
      </c>
      <c r="S463" s="2" t="s">
        <v>693</v>
      </c>
      <c r="T463" s="2" t="s">
        <v>59</v>
      </c>
      <c r="U463" s="2" t="s">
        <v>694</v>
      </c>
      <c r="V463" s="4">
        <f>+VLOOKUP(U463,'FBCJ Jul-Des 2025'!$G$10:$P$1302,8,0)</f>
        <v>70101114</v>
      </c>
      <c r="W463" s="4" t="str">
        <f>+VLOOKUP(V463,Sheet1!$A$2:$B$27,2,0)</f>
        <v>By Perbaikan &amp; Perawatan Perabot Material Pihak3</v>
      </c>
      <c r="X463" s="4" t="str">
        <f>+VLOOKUP(U463,'FBCJ Jul-Des 2025'!$G$10:$P$1302,9,0)</f>
        <v>R124WHRS</v>
      </c>
      <c r="Y463" s="2" t="s">
        <v>43</v>
      </c>
      <c r="Z463" s="2">
        <v>1631293</v>
      </c>
      <c r="AA463" s="2">
        <v>20250903</v>
      </c>
      <c r="AB463" s="3">
        <v>47500</v>
      </c>
    </row>
    <row r="464" spans="3:28" x14ac:dyDescent="0.25">
      <c r="C464" s="2">
        <v>10000001</v>
      </c>
      <c r="D464" s="2" t="s">
        <v>604</v>
      </c>
      <c r="F464" s="2">
        <v>12007367</v>
      </c>
      <c r="H464" s="2" t="s">
        <v>604</v>
      </c>
      <c r="I464" s="2" t="str">
        <f t="shared" si="7"/>
        <v>09</v>
      </c>
      <c r="J464" s="2">
        <v>50</v>
      </c>
      <c r="K464" s="3">
        <v>-949000</v>
      </c>
      <c r="L464" s="2" t="s">
        <v>26</v>
      </c>
      <c r="M464" s="3">
        <v>-949000</v>
      </c>
      <c r="N464" s="2" t="s">
        <v>26</v>
      </c>
      <c r="R464" s="2" t="s">
        <v>27</v>
      </c>
      <c r="S464" s="2" t="s">
        <v>695</v>
      </c>
      <c r="T464" s="2" t="s">
        <v>59</v>
      </c>
      <c r="U464" s="2" t="s">
        <v>696</v>
      </c>
      <c r="V464" s="4">
        <f>+VLOOKUP(U464,'FBCJ Jul-Des 2025'!$G$10:$P$1302,8,0)</f>
        <v>70101114</v>
      </c>
      <c r="W464" s="4" t="str">
        <f>+VLOOKUP(V464,Sheet1!$A$2:$B$27,2,0)</f>
        <v>By Perbaikan &amp; Perawatan Perabot Material Pihak3</v>
      </c>
      <c r="X464" s="4" t="str">
        <f>+VLOOKUP(U464,'FBCJ Jul-Des 2025'!$G$10:$P$1302,9,0)</f>
        <v>R124MIN</v>
      </c>
      <c r="Y464" s="2" t="s">
        <v>43</v>
      </c>
      <c r="Z464" s="2">
        <v>1631293</v>
      </c>
      <c r="AA464" s="2">
        <v>20250903</v>
      </c>
      <c r="AB464" s="3">
        <v>949000</v>
      </c>
    </row>
    <row r="465" spans="3:28" x14ac:dyDescent="0.25">
      <c r="C465" s="2">
        <v>10000001</v>
      </c>
      <c r="D465" s="2" t="s">
        <v>604</v>
      </c>
      <c r="F465" s="2">
        <v>12007368</v>
      </c>
      <c r="H465" s="2" t="s">
        <v>604</v>
      </c>
      <c r="I465" s="2" t="str">
        <f t="shared" si="7"/>
        <v>09</v>
      </c>
      <c r="J465" s="2">
        <v>50</v>
      </c>
      <c r="K465" s="3">
        <v>-358000</v>
      </c>
      <c r="L465" s="2" t="s">
        <v>26</v>
      </c>
      <c r="M465" s="3">
        <v>-358000</v>
      </c>
      <c r="N465" s="2" t="s">
        <v>26</v>
      </c>
      <c r="R465" s="2" t="s">
        <v>27</v>
      </c>
      <c r="S465" s="2" t="s">
        <v>697</v>
      </c>
      <c r="T465" s="2" t="s">
        <v>59</v>
      </c>
      <c r="U465" s="2" t="s">
        <v>698</v>
      </c>
      <c r="V465" s="4">
        <f>+VLOOKUP(U465,'FBCJ Jul-Des 2025'!$G$10:$P$1302,8,0)</f>
        <v>70101114</v>
      </c>
      <c r="W465" s="4" t="str">
        <f>+VLOOKUP(V465,Sheet1!$A$2:$B$27,2,0)</f>
        <v>By Perbaikan &amp; Perawatan Perabot Material Pihak3</v>
      </c>
      <c r="X465" s="4" t="str">
        <f>+VLOOKUP(U465,'FBCJ Jul-Des 2025'!$G$10:$P$1302,9,0)</f>
        <v>R124D1HRGA</v>
      </c>
      <c r="Y465" s="2" t="s">
        <v>43</v>
      </c>
      <c r="Z465" s="2">
        <v>1631293</v>
      </c>
      <c r="AA465" s="2">
        <v>20250903</v>
      </c>
      <c r="AB465" s="3">
        <v>358000</v>
      </c>
    </row>
    <row r="466" spans="3:28" x14ac:dyDescent="0.25">
      <c r="C466" s="2">
        <v>10000001</v>
      </c>
      <c r="D466" s="2" t="s">
        <v>604</v>
      </c>
      <c r="F466" s="2">
        <v>12007369</v>
      </c>
      <c r="H466" s="2" t="s">
        <v>604</v>
      </c>
      <c r="I466" s="2" t="str">
        <f t="shared" si="7"/>
        <v>09</v>
      </c>
      <c r="J466" s="2">
        <v>50</v>
      </c>
      <c r="K466" s="3">
        <v>-553000</v>
      </c>
      <c r="L466" s="2" t="s">
        <v>26</v>
      </c>
      <c r="M466" s="3">
        <v>-553000</v>
      </c>
      <c r="N466" s="2" t="s">
        <v>26</v>
      </c>
      <c r="R466" s="2" t="s">
        <v>27</v>
      </c>
      <c r="S466" s="2" t="s">
        <v>699</v>
      </c>
      <c r="T466" s="2" t="s">
        <v>59</v>
      </c>
      <c r="U466" s="2" t="s">
        <v>700</v>
      </c>
      <c r="V466" s="4">
        <f>+VLOOKUP(U466,'FBCJ Jul-Des 2025'!$G$10:$P$1302,8,0)</f>
        <v>70101114</v>
      </c>
      <c r="W466" s="4" t="str">
        <f>+VLOOKUP(V466,Sheet1!$A$2:$B$27,2,0)</f>
        <v>By Perbaikan &amp; Perawatan Perabot Material Pihak3</v>
      </c>
      <c r="X466" s="4" t="str">
        <f>+VLOOKUP(U466,'FBCJ Jul-Des 2025'!$G$10:$P$1302,9,0)</f>
        <v>R124D1HRGA</v>
      </c>
      <c r="Y466" s="2" t="s">
        <v>43</v>
      </c>
      <c r="Z466" s="2">
        <v>1631293</v>
      </c>
      <c r="AA466" s="2">
        <v>20250903</v>
      </c>
      <c r="AB466" s="3">
        <v>553000</v>
      </c>
    </row>
    <row r="467" spans="3:28" x14ac:dyDescent="0.25">
      <c r="C467" s="2">
        <v>10000001</v>
      </c>
      <c r="D467" s="2" t="s">
        <v>604</v>
      </c>
      <c r="F467" s="2">
        <v>12007370</v>
      </c>
      <c r="H467" s="2" t="s">
        <v>604</v>
      </c>
      <c r="I467" s="2" t="str">
        <f t="shared" si="7"/>
        <v>09</v>
      </c>
      <c r="J467" s="2">
        <v>50</v>
      </c>
      <c r="K467" s="3">
        <v>-95000</v>
      </c>
      <c r="L467" s="2" t="s">
        <v>26</v>
      </c>
      <c r="M467" s="3">
        <v>-95000</v>
      </c>
      <c r="N467" s="2" t="s">
        <v>26</v>
      </c>
      <c r="R467" s="2" t="s">
        <v>27</v>
      </c>
      <c r="S467" s="2" t="s">
        <v>701</v>
      </c>
      <c r="T467" s="2" t="s">
        <v>67</v>
      </c>
      <c r="U467" s="2" t="s">
        <v>702</v>
      </c>
      <c r="V467" s="4">
        <f>+VLOOKUP(U467,'FBCJ Jul-Des 2025'!$G$10:$P$1302,8,0)</f>
        <v>70106100</v>
      </c>
      <c r="W467" s="4" t="str">
        <f>+VLOOKUP(V467,Sheet1!$A$2:$B$27,2,0)</f>
        <v>Biaya Transportasi Lokal</v>
      </c>
      <c r="X467" s="4" t="str">
        <f>+VLOOKUP(U467,'FBCJ Jul-Des 2025'!$G$10:$P$1302,9,0)</f>
        <v>R124QCA</v>
      </c>
      <c r="Y467" s="2" t="s">
        <v>43</v>
      </c>
      <c r="Z467" s="2">
        <v>1631293</v>
      </c>
      <c r="AA467" s="2">
        <v>20250903</v>
      </c>
      <c r="AB467" s="3">
        <v>95000</v>
      </c>
    </row>
    <row r="468" spans="3:28" x14ac:dyDescent="0.25">
      <c r="C468" s="2">
        <v>10000001</v>
      </c>
      <c r="D468" s="2" t="s">
        <v>604</v>
      </c>
      <c r="F468" s="2">
        <v>12007371</v>
      </c>
      <c r="H468" s="2" t="s">
        <v>604</v>
      </c>
      <c r="I468" s="2" t="str">
        <f t="shared" si="7"/>
        <v>09</v>
      </c>
      <c r="J468" s="2">
        <v>50</v>
      </c>
      <c r="K468" s="3">
        <v>-376500</v>
      </c>
      <c r="L468" s="2" t="s">
        <v>26</v>
      </c>
      <c r="M468" s="3">
        <v>-376500</v>
      </c>
      <c r="N468" s="2" t="s">
        <v>26</v>
      </c>
      <c r="R468" s="2" t="s">
        <v>27</v>
      </c>
      <c r="S468" s="2" t="s">
        <v>701</v>
      </c>
      <c r="T468" s="2" t="s">
        <v>126</v>
      </c>
      <c r="U468" s="2" t="s">
        <v>703</v>
      </c>
      <c r="V468" s="4">
        <f>+VLOOKUP(U468,'FBCJ Jul-Des 2025'!$G$10:$P$1302,8,0)</f>
        <v>70107600</v>
      </c>
      <c r="W468" s="4" t="str">
        <f>+VLOOKUP(V468,Sheet1!$A$2:$B$27,2,0)</f>
        <v>Biaya Konsumsi Kantor</v>
      </c>
      <c r="X468" s="4" t="str">
        <f>+VLOOKUP(U468,'FBCJ Jul-Des 2025'!$G$10:$P$1302,9,0)</f>
        <v>R124QCA</v>
      </c>
      <c r="Y468" s="2" t="s">
        <v>43</v>
      </c>
      <c r="Z468" s="2">
        <v>1631293</v>
      </c>
      <c r="AA468" s="2">
        <v>20250903</v>
      </c>
      <c r="AB468" s="3">
        <v>376500</v>
      </c>
    </row>
    <row r="469" spans="3:28" x14ac:dyDescent="0.25">
      <c r="C469" s="2">
        <v>10000001</v>
      </c>
      <c r="D469" s="2" t="s">
        <v>604</v>
      </c>
      <c r="F469" s="2">
        <v>12007372</v>
      </c>
      <c r="H469" s="2" t="s">
        <v>604</v>
      </c>
      <c r="I469" s="2" t="str">
        <f t="shared" si="7"/>
        <v>09</v>
      </c>
      <c r="J469" s="2">
        <v>50</v>
      </c>
      <c r="K469" s="3">
        <v>-219000</v>
      </c>
      <c r="L469" s="2" t="s">
        <v>26</v>
      </c>
      <c r="M469" s="3">
        <v>-219000</v>
      </c>
      <c r="N469" s="2" t="s">
        <v>26</v>
      </c>
      <c r="R469" s="2" t="s">
        <v>27</v>
      </c>
      <c r="S469" s="2" t="s">
        <v>701</v>
      </c>
      <c r="T469" s="2" t="s">
        <v>59</v>
      </c>
      <c r="U469" s="2" t="s">
        <v>704</v>
      </c>
      <c r="V469" s="4">
        <f>+VLOOKUP(U469,'FBCJ Jul-Des 2025'!$G$10:$P$1302,8,0)</f>
        <v>70101114</v>
      </c>
      <c r="W469" s="4" t="str">
        <f>+VLOOKUP(V469,Sheet1!$A$2:$B$27,2,0)</f>
        <v>By Perbaikan &amp; Perawatan Perabot Material Pihak3</v>
      </c>
      <c r="X469" s="4" t="str">
        <f>+VLOOKUP(U469,'FBCJ Jul-Des 2025'!$G$10:$P$1302,9,0)</f>
        <v>R124QCA</v>
      </c>
      <c r="Y469" s="2" t="s">
        <v>43</v>
      </c>
      <c r="Z469" s="2">
        <v>1631293</v>
      </c>
      <c r="AA469" s="2">
        <v>20250903</v>
      </c>
      <c r="AB469" s="3">
        <v>219000</v>
      </c>
    </row>
    <row r="470" spans="3:28" x14ac:dyDescent="0.25">
      <c r="C470" s="2">
        <v>10000001</v>
      </c>
      <c r="D470" s="2" t="s">
        <v>604</v>
      </c>
      <c r="F470" s="2">
        <v>12007373</v>
      </c>
      <c r="H470" s="2" t="s">
        <v>604</v>
      </c>
      <c r="I470" s="2" t="str">
        <f t="shared" si="7"/>
        <v>09</v>
      </c>
      <c r="J470" s="2">
        <v>50</v>
      </c>
      <c r="K470" s="3">
        <v>-510000</v>
      </c>
      <c r="L470" s="2" t="s">
        <v>26</v>
      </c>
      <c r="M470" s="3">
        <v>-510000</v>
      </c>
      <c r="N470" s="2" t="s">
        <v>26</v>
      </c>
      <c r="R470" s="2" t="s">
        <v>27</v>
      </c>
      <c r="S470" s="2" t="s">
        <v>705</v>
      </c>
      <c r="T470" s="2" t="s">
        <v>59</v>
      </c>
      <c r="U470" s="2" t="s">
        <v>706</v>
      </c>
      <c r="V470" s="4">
        <f>+VLOOKUP(U470,'FBCJ Jul-Des 2025'!$G$10:$P$1302,8,0)</f>
        <v>70101114</v>
      </c>
      <c r="W470" s="4" t="str">
        <f>+VLOOKUP(V470,Sheet1!$A$2:$B$27,2,0)</f>
        <v>By Perbaikan &amp; Perawatan Perabot Material Pihak3</v>
      </c>
      <c r="X470" s="4" t="str">
        <f>+VLOOKUP(U470,'FBCJ Jul-Des 2025'!$G$10:$P$1302,9,0)</f>
        <v>R124WHRS</v>
      </c>
      <c r="Y470" s="2" t="s">
        <v>43</v>
      </c>
      <c r="Z470" s="2">
        <v>1631293</v>
      </c>
      <c r="AA470" s="2">
        <v>20250903</v>
      </c>
      <c r="AB470" s="3">
        <v>510000</v>
      </c>
    </row>
    <row r="471" spans="3:28" x14ac:dyDescent="0.25">
      <c r="C471" s="2">
        <v>10000001</v>
      </c>
      <c r="D471" s="2" t="s">
        <v>707</v>
      </c>
      <c r="F471" s="2">
        <v>12007374</v>
      </c>
      <c r="H471" s="2" t="s">
        <v>707</v>
      </c>
      <c r="I471" s="2" t="str">
        <f t="shared" si="7"/>
        <v>09</v>
      </c>
      <c r="J471" s="2">
        <v>50</v>
      </c>
      <c r="K471" s="3">
        <v>-100000</v>
      </c>
      <c r="L471" s="2" t="s">
        <v>26</v>
      </c>
      <c r="M471" s="3">
        <v>-100000</v>
      </c>
      <c r="N471" s="2" t="s">
        <v>26</v>
      </c>
      <c r="R471" s="2" t="s">
        <v>27</v>
      </c>
      <c r="S471" s="2" t="s">
        <v>708</v>
      </c>
      <c r="T471" s="2" t="s">
        <v>45</v>
      </c>
      <c r="U471" s="2" t="s">
        <v>709</v>
      </c>
      <c r="V471" s="4">
        <f>+VLOOKUP(U471,'FBCJ Jul-Des 2025'!$G$10:$P$1302,8,0)</f>
        <v>70009110</v>
      </c>
      <c r="W471" s="4" t="str">
        <f>+VLOOKUP(V471,Sheet1!$A$2:$B$27,2,0)</f>
        <v>Biaya Survey dan Analisa</v>
      </c>
      <c r="X471" s="4" t="str">
        <f>+VLOOKUP(U471,'FBCJ Jul-Des 2025'!$G$10:$P$1302,9,0)</f>
        <v>M204D1COMM</v>
      </c>
      <c r="Y471" s="2" t="s">
        <v>43</v>
      </c>
      <c r="Z471" s="2">
        <v>1631293</v>
      </c>
      <c r="AA471" s="2">
        <v>20250904</v>
      </c>
      <c r="AB471" s="3">
        <v>100000</v>
      </c>
    </row>
    <row r="472" spans="3:28" x14ac:dyDescent="0.25">
      <c r="C472" s="2">
        <v>10000001</v>
      </c>
      <c r="D472" s="2" t="s">
        <v>707</v>
      </c>
      <c r="F472" s="2">
        <v>12007375</v>
      </c>
      <c r="H472" s="2" t="s">
        <v>707</v>
      </c>
      <c r="I472" s="2" t="str">
        <f t="shared" si="7"/>
        <v>09</v>
      </c>
      <c r="J472" s="2">
        <v>50</v>
      </c>
      <c r="K472" s="3">
        <v>-100000</v>
      </c>
      <c r="L472" s="2" t="s">
        <v>26</v>
      </c>
      <c r="M472" s="3">
        <v>-100000</v>
      </c>
      <c r="N472" s="2" t="s">
        <v>26</v>
      </c>
      <c r="R472" s="2" t="s">
        <v>27</v>
      </c>
      <c r="S472" s="2" t="s">
        <v>708</v>
      </c>
      <c r="T472" s="2" t="s">
        <v>45</v>
      </c>
      <c r="U472" s="2" t="s">
        <v>710</v>
      </c>
      <c r="V472" s="4">
        <f>+VLOOKUP(U472,'FBCJ Jul-Des 2025'!$G$10:$P$1302,8,0)</f>
        <v>70009110</v>
      </c>
      <c r="W472" s="4" t="str">
        <f>+VLOOKUP(V472,Sheet1!$A$2:$B$27,2,0)</f>
        <v>Biaya Survey dan Analisa</v>
      </c>
      <c r="X472" s="4" t="str">
        <f>+VLOOKUP(U472,'FBCJ Jul-Des 2025'!$G$10:$P$1302,9,0)</f>
        <v>M204D1COMM</v>
      </c>
      <c r="Y472" s="2" t="s">
        <v>43</v>
      </c>
      <c r="Z472" s="2">
        <v>1631293</v>
      </c>
      <c r="AA472" s="2">
        <v>20250904</v>
      </c>
      <c r="AB472" s="3">
        <v>100000</v>
      </c>
    </row>
    <row r="473" spans="3:28" x14ac:dyDescent="0.25">
      <c r="C473" s="2">
        <v>10000001</v>
      </c>
      <c r="D473" s="2" t="s">
        <v>707</v>
      </c>
      <c r="F473" s="2">
        <v>12007376</v>
      </c>
      <c r="H473" s="2" t="s">
        <v>707</v>
      </c>
      <c r="I473" s="2" t="str">
        <f t="shared" si="7"/>
        <v>09</v>
      </c>
      <c r="J473" s="2">
        <v>50</v>
      </c>
      <c r="K473" s="3">
        <v>-100000</v>
      </c>
      <c r="L473" s="2" t="s">
        <v>26</v>
      </c>
      <c r="M473" s="3">
        <v>-100000</v>
      </c>
      <c r="N473" s="2" t="s">
        <v>26</v>
      </c>
      <c r="R473" s="2" t="s">
        <v>27</v>
      </c>
      <c r="S473" s="2" t="s">
        <v>708</v>
      </c>
      <c r="T473" s="2" t="s">
        <v>45</v>
      </c>
      <c r="U473" s="2" t="s">
        <v>711</v>
      </c>
      <c r="V473" s="4">
        <f>+VLOOKUP(U473,'FBCJ Jul-Des 2025'!$G$10:$P$1302,8,0)</f>
        <v>70009110</v>
      </c>
      <c r="W473" s="4" t="str">
        <f>+VLOOKUP(V473,Sheet1!$A$2:$B$27,2,0)</f>
        <v>Biaya Survey dan Analisa</v>
      </c>
      <c r="X473" s="4" t="str">
        <f>+VLOOKUP(U473,'FBCJ Jul-Des 2025'!$G$10:$P$1302,9,0)</f>
        <v>M204D1COMM</v>
      </c>
      <c r="Y473" s="2" t="s">
        <v>43</v>
      </c>
      <c r="Z473" s="2">
        <v>1631293</v>
      </c>
      <c r="AA473" s="2">
        <v>20250904</v>
      </c>
      <c r="AB473" s="3">
        <v>100000</v>
      </c>
    </row>
    <row r="474" spans="3:28" x14ac:dyDescent="0.25">
      <c r="C474" s="2">
        <v>10000001</v>
      </c>
      <c r="D474" s="2" t="s">
        <v>707</v>
      </c>
      <c r="F474" s="2">
        <v>12007377</v>
      </c>
      <c r="H474" s="2" t="s">
        <v>707</v>
      </c>
      <c r="I474" s="2" t="str">
        <f t="shared" si="7"/>
        <v>09</v>
      </c>
      <c r="J474" s="2">
        <v>50</v>
      </c>
      <c r="K474" s="3">
        <v>-50000</v>
      </c>
      <c r="L474" s="2" t="s">
        <v>26</v>
      </c>
      <c r="M474" s="3">
        <v>-50000</v>
      </c>
      <c r="N474" s="2" t="s">
        <v>26</v>
      </c>
      <c r="R474" s="2" t="s">
        <v>27</v>
      </c>
      <c r="S474" s="2" t="s">
        <v>708</v>
      </c>
      <c r="T474" s="2" t="s">
        <v>45</v>
      </c>
      <c r="U474" s="2" t="s">
        <v>712</v>
      </c>
      <c r="V474" s="4">
        <f>+VLOOKUP(U474,'FBCJ Jul-Des 2025'!$G$10:$P$1302,8,0)</f>
        <v>70009110</v>
      </c>
      <c r="W474" s="4" t="str">
        <f>+VLOOKUP(V474,Sheet1!$A$2:$B$27,2,0)</f>
        <v>Biaya Survey dan Analisa</v>
      </c>
      <c r="X474" s="4" t="str">
        <f>+VLOOKUP(U474,'FBCJ Jul-Des 2025'!$G$10:$P$1302,9,0)</f>
        <v>P206D1SLSS</v>
      </c>
      <c r="Y474" s="2" t="s">
        <v>43</v>
      </c>
      <c r="Z474" s="2">
        <v>1631293</v>
      </c>
      <c r="AA474" s="2">
        <v>20250904</v>
      </c>
      <c r="AB474" s="3">
        <v>50000</v>
      </c>
    </row>
    <row r="475" spans="3:28" x14ac:dyDescent="0.25">
      <c r="C475" s="2">
        <v>10000001</v>
      </c>
      <c r="D475" s="2" t="s">
        <v>707</v>
      </c>
      <c r="F475" s="2">
        <v>12007378</v>
      </c>
      <c r="H475" s="2" t="s">
        <v>707</v>
      </c>
      <c r="I475" s="2" t="str">
        <f t="shared" si="7"/>
        <v>09</v>
      </c>
      <c r="J475" s="2">
        <v>50</v>
      </c>
      <c r="K475" s="3">
        <v>-50000</v>
      </c>
      <c r="L475" s="2" t="s">
        <v>26</v>
      </c>
      <c r="M475" s="3">
        <v>-50000</v>
      </c>
      <c r="N475" s="2" t="s">
        <v>26</v>
      </c>
      <c r="R475" s="2" t="s">
        <v>27</v>
      </c>
      <c r="S475" s="2" t="s">
        <v>708</v>
      </c>
      <c r="T475" s="2" t="s">
        <v>45</v>
      </c>
      <c r="U475" s="2" t="s">
        <v>713</v>
      </c>
      <c r="V475" s="4">
        <f>+VLOOKUP(U475,'FBCJ Jul-Des 2025'!$G$10:$P$1302,8,0)</f>
        <v>70009110</v>
      </c>
      <c r="W475" s="4" t="str">
        <f>+VLOOKUP(V475,Sheet1!$A$2:$B$27,2,0)</f>
        <v>Biaya Survey dan Analisa</v>
      </c>
      <c r="X475" s="4" t="str">
        <f>+VLOOKUP(U475,'FBCJ Jul-Des 2025'!$G$10:$P$1302,9,0)</f>
        <v>P206D1SLSS</v>
      </c>
      <c r="Y475" s="2" t="s">
        <v>43</v>
      </c>
      <c r="Z475" s="2">
        <v>1631293</v>
      </c>
      <c r="AA475" s="2">
        <v>20250904</v>
      </c>
      <c r="AB475" s="3">
        <v>50000</v>
      </c>
    </row>
    <row r="476" spans="3:28" x14ac:dyDescent="0.25">
      <c r="C476" s="2">
        <v>10000001</v>
      </c>
      <c r="D476" s="2" t="s">
        <v>707</v>
      </c>
      <c r="F476" s="2">
        <v>12007379</v>
      </c>
      <c r="H476" s="2" t="s">
        <v>707</v>
      </c>
      <c r="I476" s="2" t="str">
        <f t="shared" si="7"/>
        <v>09</v>
      </c>
      <c r="J476" s="2">
        <v>50</v>
      </c>
      <c r="K476" s="3">
        <v>-50000</v>
      </c>
      <c r="L476" s="2" t="s">
        <v>26</v>
      </c>
      <c r="M476" s="3">
        <v>-50000</v>
      </c>
      <c r="N476" s="2" t="s">
        <v>26</v>
      </c>
      <c r="R476" s="2" t="s">
        <v>27</v>
      </c>
      <c r="S476" s="2" t="s">
        <v>708</v>
      </c>
      <c r="T476" s="2" t="s">
        <v>45</v>
      </c>
      <c r="U476" s="2" t="s">
        <v>714</v>
      </c>
      <c r="V476" s="4">
        <f>+VLOOKUP(U476,'FBCJ Jul-Des 2025'!$G$10:$P$1302,8,0)</f>
        <v>70009110</v>
      </c>
      <c r="W476" s="4" t="str">
        <f>+VLOOKUP(V476,Sheet1!$A$2:$B$27,2,0)</f>
        <v>Biaya Survey dan Analisa</v>
      </c>
      <c r="X476" s="4" t="str">
        <f>+VLOOKUP(U476,'FBCJ Jul-Des 2025'!$G$10:$P$1302,9,0)</f>
        <v>C206D1SLSS</v>
      </c>
      <c r="Y476" s="2" t="s">
        <v>43</v>
      </c>
      <c r="Z476" s="2">
        <v>1631293</v>
      </c>
      <c r="AA476" s="2">
        <v>20250904</v>
      </c>
      <c r="AB476" s="3">
        <v>50000</v>
      </c>
    </row>
    <row r="477" spans="3:28" x14ac:dyDescent="0.25">
      <c r="C477" s="2">
        <v>10000001</v>
      </c>
      <c r="D477" s="2" t="s">
        <v>707</v>
      </c>
      <c r="F477" s="2">
        <v>12007380</v>
      </c>
      <c r="H477" s="2" t="s">
        <v>707</v>
      </c>
      <c r="I477" s="2" t="str">
        <f t="shared" si="7"/>
        <v>09</v>
      </c>
      <c r="J477" s="2">
        <v>50</v>
      </c>
      <c r="K477" s="3">
        <v>-50000</v>
      </c>
      <c r="L477" s="2" t="s">
        <v>26</v>
      </c>
      <c r="M477" s="3">
        <v>-50000</v>
      </c>
      <c r="N477" s="2" t="s">
        <v>26</v>
      </c>
      <c r="R477" s="2" t="s">
        <v>27</v>
      </c>
      <c r="S477" s="2" t="s">
        <v>708</v>
      </c>
      <c r="T477" s="2" t="s">
        <v>45</v>
      </c>
      <c r="U477" s="2" t="s">
        <v>715</v>
      </c>
      <c r="V477" s="4">
        <f>+VLOOKUP(U477,'FBCJ Jul-Des 2025'!$G$10:$P$1302,8,0)</f>
        <v>70009110</v>
      </c>
      <c r="W477" s="4" t="str">
        <f>+VLOOKUP(V477,Sheet1!$A$2:$B$27,2,0)</f>
        <v>Biaya Survey dan Analisa</v>
      </c>
      <c r="X477" s="4" t="str">
        <f>+VLOOKUP(U477,'FBCJ Jul-Des 2025'!$G$10:$P$1302,9,0)</f>
        <v>P206D1SLSS</v>
      </c>
      <c r="Y477" s="2" t="s">
        <v>43</v>
      </c>
      <c r="Z477" s="2">
        <v>1631293</v>
      </c>
      <c r="AA477" s="2">
        <v>20250904</v>
      </c>
      <c r="AB477" s="3">
        <v>50000</v>
      </c>
    </row>
    <row r="478" spans="3:28" x14ac:dyDescent="0.25">
      <c r="C478" s="2">
        <v>10000001</v>
      </c>
      <c r="D478" s="2" t="s">
        <v>707</v>
      </c>
      <c r="F478" s="2">
        <v>12007381</v>
      </c>
      <c r="H478" s="2" t="s">
        <v>707</v>
      </c>
      <c r="I478" s="2" t="str">
        <f t="shared" si="7"/>
        <v>09</v>
      </c>
      <c r="J478" s="2">
        <v>50</v>
      </c>
      <c r="K478" s="3">
        <v>-50000</v>
      </c>
      <c r="L478" s="2" t="s">
        <v>26</v>
      </c>
      <c r="M478" s="3">
        <v>-50000</v>
      </c>
      <c r="N478" s="2" t="s">
        <v>26</v>
      </c>
      <c r="R478" s="2" t="s">
        <v>27</v>
      </c>
      <c r="S478" s="2" t="s">
        <v>708</v>
      </c>
      <c r="T478" s="2" t="s">
        <v>45</v>
      </c>
      <c r="U478" s="2" t="s">
        <v>716</v>
      </c>
      <c r="V478" s="4">
        <f>+VLOOKUP(U478,'FBCJ Jul-Des 2025'!$G$10:$P$1302,8,0)</f>
        <v>70009110</v>
      </c>
      <c r="W478" s="4" t="str">
        <f>+VLOOKUP(V478,Sheet1!$A$2:$B$27,2,0)</f>
        <v>Biaya Survey dan Analisa</v>
      </c>
      <c r="X478" s="4" t="str">
        <f>+VLOOKUP(U478,'FBCJ Jul-Des 2025'!$G$10:$P$1302,9,0)</f>
        <v>C206D1SLSS</v>
      </c>
      <c r="Y478" s="2" t="s">
        <v>43</v>
      </c>
      <c r="Z478" s="2">
        <v>1631293</v>
      </c>
      <c r="AA478" s="2">
        <v>20250904</v>
      </c>
      <c r="AB478" s="3">
        <v>50000</v>
      </c>
    </row>
    <row r="479" spans="3:28" x14ac:dyDescent="0.25">
      <c r="C479" s="2">
        <v>10000001</v>
      </c>
      <c r="D479" s="2" t="s">
        <v>707</v>
      </c>
      <c r="F479" s="2">
        <v>12007382</v>
      </c>
      <c r="H479" s="2" t="s">
        <v>707</v>
      </c>
      <c r="I479" s="2" t="str">
        <f t="shared" si="7"/>
        <v>09</v>
      </c>
      <c r="J479" s="2">
        <v>50</v>
      </c>
      <c r="K479" s="3">
        <v>-50000</v>
      </c>
      <c r="L479" s="2" t="s">
        <v>26</v>
      </c>
      <c r="M479" s="3">
        <v>-50000</v>
      </c>
      <c r="N479" s="2" t="s">
        <v>26</v>
      </c>
      <c r="R479" s="2" t="s">
        <v>27</v>
      </c>
      <c r="S479" s="2" t="s">
        <v>708</v>
      </c>
      <c r="T479" s="2" t="s">
        <v>45</v>
      </c>
      <c r="U479" s="2" t="s">
        <v>716</v>
      </c>
      <c r="V479" s="4">
        <f>+VLOOKUP(U479,'FBCJ Jul-Des 2025'!$G$10:$P$1302,8,0)</f>
        <v>70009110</v>
      </c>
      <c r="W479" s="4" t="str">
        <f>+VLOOKUP(V479,Sheet1!$A$2:$B$27,2,0)</f>
        <v>Biaya Survey dan Analisa</v>
      </c>
      <c r="X479" s="4" t="str">
        <f>+VLOOKUP(U479,'FBCJ Jul-Des 2025'!$G$10:$P$1302,9,0)</f>
        <v>C206D1SLSS</v>
      </c>
      <c r="Y479" s="2" t="s">
        <v>43</v>
      </c>
      <c r="Z479" s="2">
        <v>1631293</v>
      </c>
      <c r="AA479" s="2">
        <v>20250904</v>
      </c>
      <c r="AB479" s="3">
        <v>50000</v>
      </c>
    </row>
    <row r="480" spans="3:28" x14ac:dyDescent="0.25">
      <c r="C480" s="2">
        <v>10000001</v>
      </c>
      <c r="D480" s="2" t="s">
        <v>707</v>
      </c>
      <c r="F480" s="2">
        <v>12007383</v>
      </c>
      <c r="H480" s="2" t="s">
        <v>707</v>
      </c>
      <c r="I480" s="2" t="str">
        <f t="shared" si="7"/>
        <v>09</v>
      </c>
      <c r="J480" s="2">
        <v>50</v>
      </c>
      <c r="K480" s="3">
        <v>-50000</v>
      </c>
      <c r="L480" s="2" t="s">
        <v>26</v>
      </c>
      <c r="M480" s="3">
        <v>-50000</v>
      </c>
      <c r="N480" s="2" t="s">
        <v>26</v>
      </c>
      <c r="R480" s="2" t="s">
        <v>27</v>
      </c>
      <c r="S480" s="2" t="s">
        <v>708</v>
      </c>
      <c r="T480" s="2" t="s">
        <v>45</v>
      </c>
      <c r="U480" s="2" t="s">
        <v>716</v>
      </c>
      <c r="V480" s="4">
        <f>+VLOOKUP(U480,'FBCJ Jul-Des 2025'!$G$10:$P$1302,8,0)</f>
        <v>70009110</v>
      </c>
      <c r="W480" s="4" t="str">
        <f>+VLOOKUP(V480,Sheet1!$A$2:$B$27,2,0)</f>
        <v>Biaya Survey dan Analisa</v>
      </c>
      <c r="X480" s="4" t="str">
        <f>+VLOOKUP(U480,'FBCJ Jul-Des 2025'!$G$10:$P$1302,9,0)</f>
        <v>C206D1SLSS</v>
      </c>
      <c r="Y480" s="2" t="s">
        <v>43</v>
      </c>
      <c r="Z480" s="2">
        <v>1631293</v>
      </c>
      <c r="AA480" s="2">
        <v>20250904</v>
      </c>
      <c r="AB480" s="3">
        <v>50000</v>
      </c>
    </row>
    <row r="481" spans="3:28" x14ac:dyDescent="0.25">
      <c r="C481" s="2">
        <v>10000001</v>
      </c>
      <c r="D481" s="2" t="s">
        <v>707</v>
      </c>
      <c r="F481" s="2">
        <v>12007384</v>
      </c>
      <c r="H481" s="2" t="s">
        <v>707</v>
      </c>
      <c r="I481" s="2" t="str">
        <f t="shared" si="7"/>
        <v>09</v>
      </c>
      <c r="J481" s="2">
        <v>50</v>
      </c>
      <c r="K481" s="3">
        <v>-500000</v>
      </c>
      <c r="L481" s="2" t="s">
        <v>26</v>
      </c>
      <c r="M481" s="3">
        <v>-500000</v>
      </c>
      <c r="N481" s="2" t="s">
        <v>26</v>
      </c>
      <c r="R481" s="2" t="s">
        <v>27</v>
      </c>
      <c r="S481" s="2" t="s">
        <v>717</v>
      </c>
      <c r="T481" s="2" t="s">
        <v>41</v>
      </c>
      <c r="U481" s="2" t="s">
        <v>718</v>
      </c>
      <c r="V481" s="4">
        <f>+VLOOKUP(U481,'FBCJ Jul-Des 2025'!$G$10:$P$1302,8,0)</f>
        <v>70107300</v>
      </c>
      <c r="W481" s="4" t="str">
        <f>+VLOOKUP(V481,Sheet1!$A$2:$B$27,2,0)</f>
        <v>Biaya Olahraga Dan Permainan</v>
      </c>
      <c r="X481" s="4" t="str">
        <f>+VLOOKUP(U481,'FBCJ Jul-Des 2025'!$G$10:$P$1302,9,0)</f>
        <v>R124D1HRDV</v>
      </c>
      <c r="Y481" s="2" t="s">
        <v>43</v>
      </c>
      <c r="Z481" s="2">
        <v>1631293</v>
      </c>
      <c r="AA481" s="2">
        <v>20250904</v>
      </c>
      <c r="AB481" s="3">
        <v>500000</v>
      </c>
    </row>
    <row r="482" spans="3:28" x14ac:dyDescent="0.25">
      <c r="C482" s="2">
        <v>10000001</v>
      </c>
      <c r="D482" s="2" t="s">
        <v>707</v>
      </c>
      <c r="F482" s="2">
        <v>12007385</v>
      </c>
      <c r="H482" s="2" t="s">
        <v>707</v>
      </c>
      <c r="I482" s="2" t="str">
        <f t="shared" si="7"/>
        <v>09</v>
      </c>
      <c r="J482" s="2">
        <v>50</v>
      </c>
      <c r="K482" s="3">
        <v>-973530</v>
      </c>
      <c r="L482" s="2" t="s">
        <v>26</v>
      </c>
      <c r="M482" s="3">
        <v>-973530</v>
      </c>
      <c r="N482" s="2" t="s">
        <v>26</v>
      </c>
      <c r="R482" s="2" t="s">
        <v>27</v>
      </c>
      <c r="S482" s="2" t="s">
        <v>719</v>
      </c>
      <c r="T482" s="2" t="s">
        <v>126</v>
      </c>
      <c r="U482" s="2" t="s">
        <v>720</v>
      </c>
      <c r="V482" s="4">
        <f>+VLOOKUP(U482,'FBCJ Jul-Des 2025'!$G$10:$P$1302,8,0)</f>
        <v>70107600</v>
      </c>
      <c r="W482" s="4" t="str">
        <f>+VLOOKUP(V482,Sheet1!$A$2:$B$27,2,0)</f>
        <v>Biaya Konsumsi Kantor</v>
      </c>
      <c r="X482" s="4" t="str">
        <f>+VLOOKUP(U482,'FBCJ Jul-Des 2025'!$G$10:$P$1302,9,0)</f>
        <v>R124D1HRGA</v>
      </c>
      <c r="Y482" s="2" t="s">
        <v>43</v>
      </c>
      <c r="Z482" s="2">
        <v>1631293</v>
      </c>
      <c r="AA482" s="2">
        <v>20250904</v>
      </c>
      <c r="AB482" s="3">
        <v>973530</v>
      </c>
    </row>
    <row r="483" spans="3:28" x14ac:dyDescent="0.25">
      <c r="C483" s="2">
        <v>10000001</v>
      </c>
      <c r="D483" s="2" t="s">
        <v>707</v>
      </c>
      <c r="F483" s="2">
        <v>12007386</v>
      </c>
      <c r="H483" s="2" t="s">
        <v>707</v>
      </c>
      <c r="I483" s="2" t="str">
        <f t="shared" si="7"/>
        <v>09</v>
      </c>
      <c r="J483" s="2">
        <v>50</v>
      </c>
      <c r="K483" s="3">
        <v>-748000</v>
      </c>
      <c r="L483" s="2" t="s">
        <v>26</v>
      </c>
      <c r="M483" s="3">
        <v>-748000</v>
      </c>
      <c r="N483" s="2" t="s">
        <v>26</v>
      </c>
      <c r="R483" s="2" t="s">
        <v>27</v>
      </c>
      <c r="S483" s="2" t="s">
        <v>721</v>
      </c>
      <c r="T483" s="2" t="s">
        <v>57</v>
      </c>
      <c r="U483" s="2" t="s">
        <v>722</v>
      </c>
      <c r="V483" s="4">
        <f>+VLOOKUP(U483,'FBCJ Jul-Des 2025'!$G$10:$P$1302,8,0)</f>
        <v>70101202</v>
      </c>
      <c r="W483" s="4" t="str">
        <f>+VLOOKUP(V483,Sheet1!$A$2:$B$27,2,0)</f>
        <v>By Pemeliharaan Kend,ABerat,Mesin-Material Pihak3</v>
      </c>
      <c r="X483" s="4" t="str">
        <f>+VLOOKUP(U483,'FBCJ Jul-Des 2025'!$G$10:$P$1302,9,0)</f>
        <v>R124MIN</v>
      </c>
      <c r="Y483" s="2" t="s">
        <v>43</v>
      </c>
      <c r="Z483" s="2">
        <v>1631293</v>
      </c>
      <c r="AA483" s="2">
        <v>20250904</v>
      </c>
      <c r="AB483" s="3">
        <v>748000</v>
      </c>
    </row>
    <row r="484" spans="3:28" x14ac:dyDescent="0.25">
      <c r="C484" s="2">
        <v>10000001</v>
      </c>
      <c r="D484" s="2" t="s">
        <v>723</v>
      </c>
      <c r="F484" s="2">
        <v>12007387</v>
      </c>
      <c r="H484" s="2" t="s">
        <v>723</v>
      </c>
      <c r="I484" s="2" t="str">
        <f t="shared" si="7"/>
        <v>09</v>
      </c>
      <c r="J484" s="2">
        <v>50</v>
      </c>
      <c r="K484" s="3">
        <v>-50000</v>
      </c>
      <c r="L484" s="2" t="s">
        <v>26</v>
      </c>
      <c r="M484" s="3">
        <v>-50000</v>
      </c>
      <c r="N484" s="2" t="s">
        <v>26</v>
      </c>
      <c r="R484" s="2" t="s">
        <v>27</v>
      </c>
      <c r="S484" s="2" t="s">
        <v>724</v>
      </c>
      <c r="T484" s="2" t="s">
        <v>45</v>
      </c>
      <c r="U484" s="2" t="s">
        <v>725</v>
      </c>
      <c r="V484" s="4">
        <f>+VLOOKUP(U484,'FBCJ Jul-Des 2025'!$G$10:$P$1302,8,0)</f>
        <v>70009110</v>
      </c>
      <c r="W484" s="4" t="str">
        <f>+VLOOKUP(V484,Sheet1!$A$2:$B$27,2,0)</f>
        <v>Biaya Survey dan Analisa</v>
      </c>
      <c r="X484" s="4" t="str">
        <f>+VLOOKUP(U484,'FBCJ Jul-Des 2025'!$G$10:$P$1302,9,0)</f>
        <v>P206D1SLSS</v>
      </c>
      <c r="Y484" s="2" t="s">
        <v>43</v>
      </c>
      <c r="Z484" s="2">
        <v>1631293</v>
      </c>
      <c r="AA484" s="2">
        <v>20250908</v>
      </c>
      <c r="AB484" s="3">
        <v>50000</v>
      </c>
    </row>
    <row r="485" spans="3:28" x14ac:dyDescent="0.25">
      <c r="C485" s="2">
        <v>10000001</v>
      </c>
      <c r="D485" s="2" t="s">
        <v>723</v>
      </c>
      <c r="F485" s="2">
        <v>12007388</v>
      </c>
      <c r="H485" s="2" t="s">
        <v>723</v>
      </c>
      <c r="I485" s="2" t="str">
        <f t="shared" si="7"/>
        <v>09</v>
      </c>
      <c r="J485" s="2">
        <v>50</v>
      </c>
      <c r="K485" s="3">
        <v>-50000</v>
      </c>
      <c r="L485" s="2" t="s">
        <v>26</v>
      </c>
      <c r="M485" s="3">
        <v>-50000</v>
      </c>
      <c r="N485" s="2" t="s">
        <v>26</v>
      </c>
      <c r="R485" s="2" t="s">
        <v>27</v>
      </c>
      <c r="S485" s="2" t="s">
        <v>724</v>
      </c>
      <c r="T485" s="2" t="s">
        <v>45</v>
      </c>
      <c r="U485" s="2" t="s">
        <v>726</v>
      </c>
      <c r="V485" s="4">
        <f>+VLOOKUP(U485,'FBCJ Jul-Des 2025'!$G$10:$P$1302,8,0)</f>
        <v>70009110</v>
      </c>
      <c r="W485" s="4" t="str">
        <f>+VLOOKUP(V485,Sheet1!$A$2:$B$27,2,0)</f>
        <v>Biaya Survey dan Analisa</v>
      </c>
      <c r="X485" s="4" t="str">
        <f>+VLOOKUP(U485,'FBCJ Jul-Des 2025'!$G$10:$P$1302,9,0)</f>
        <v>P206D1SLSS</v>
      </c>
      <c r="Y485" s="2" t="s">
        <v>43</v>
      </c>
      <c r="Z485" s="2">
        <v>1631293</v>
      </c>
      <c r="AA485" s="2">
        <v>20250908</v>
      </c>
      <c r="AB485" s="3">
        <v>50000</v>
      </c>
    </row>
    <row r="486" spans="3:28" x14ac:dyDescent="0.25">
      <c r="C486" s="2">
        <v>10000001</v>
      </c>
      <c r="D486" s="2" t="s">
        <v>723</v>
      </c>
      <c r="F486" s="2">
        <v>12007389</v>
      </c>
      <c r="H486" s="2" t="s">
        <v>723</v>
      </c>
      <c r="I486" s="2" t="str">
        <f t="shared" si="7"/>
        <v>09</v>
      </c>
      <c r="J486" s="2">
        <v>50</v>
      </c>
      <c r="K486" s="3">
        <v>-50000</v>
      </c>
      <c r="L486" s="2" t="s">
        <v>26</v>
      </c>
      <c r="M486" s="3">
        <v>-50000</v>
      </c>
      <c r="N486" s="2" t="s">
        <v>26</v>
      </c>
      <c r="R486" s="2" t="s">
        <v>27</v>
      </c>
      <c r="S486" s="2" t="s">
        <v>724</v>
      </c>
      <c r="T486" s="2" t="s">
        <v>45</v>
      </c>
      <c r="U486" s="2" t="s">
        <v>727</v>
      </c>
      <c r="V486" s="4">
        <f>+VLOOKUP(U486,'FBCJ Jul-Des 2025'!$G$10:$P$1302,8,0)</f>
        <v>70009110</v>
      </c>
      <c r="W486" s="4" t="str">
        <f>+VLOOKUP(V486,Sheet1!$A$2:$B$27,2,0)</f>
        <v>Biaya Survey dan Analisa</v>
      </c>
      <c r="X486" s="4" t="str">
        <f>+VLOOKUP(U486,'FBCJ Jul-Des 2025'!$G$10:$P$1302,9,0)</f>
        <v>P206D1SLSC</v>
      </c>
      <c r="Y486" s="2" t="s">
        <v>43</v>
      </c>
      <c r="Z486" s="2">
        <v>1631293</v>
      </c>
      <c r="AA486" s="2">
        <v>20250908</v>
      </c>
      <c r="AB486" s="3">
        <v>50000</v>
      </c>
    </row>
    <row r="487" spans="3:28" x14ac:dyDescent="0.25">
      <c r="C487" s="2">
        <v>10000001</v>
      </c>
      <c r="D487" s="2" t="s">
        <v>723</v>
      </c>
      <c r="F487" s="2">
        <v>12007390</v>
      </c>
      <c r="H487" s="2" t="s">
        <v>723</v>
      </c>
      <c r="I487" s="2" t="str">
        <f t="shared" si="7"/>
        <v>09</v>
      </c>
      <c r="J487" s="2">
        <v>50</v>
      </c>
      <c r="K487" s="3">
        <v>-50000</v>
      </c>
      <c r="L487" s="2" t="s">
        <v>26</v>
      </c>
      <c r="M487" s="3">
        <v>-50000</v>
      </c>
      <c r="N487" s="2" t="s">
        <v>26</v>
      </c>
      <c r="R487" s="2" t="s">
        <v>27</v>
      </c>
      <c r="S487" s="2" t="s">
        <v>724</v>
      </c>
      <c r="T487" s="2" t="s">
        <v>45</v>
      </c>
      <c r="U487" s="2" t="s">
        <v>728</v>
      </c>
      <c r="V487" s="4">
        <f>+VLOOKUP(U487,'FBCJ Jul-Des 2025'!$G$10:$P$1302,8,0)</f>
        <v>70009110</v>
      </c>
      <c r="W487" s="4" t="str">
        <f>+VLOOKUP(V487,Sheet1!$A$2:$B$27,2,0)</f>
        <v>Biaya Survey dan Analisa</v>
      </c>
      <c r="X487" s="4" t="str">
        <f>+VLOOKUP(U487,'FBCJ Jul-Des 2025'!$G$10:$P$1302,9,0)</f>
        <v>P206D1SLSC</v>
      </c>
      <c r="Y487" s="2" t="s">
        <v>43</v>
      </c>
      <c r="Z487" s="2">
        <v>1631293</v>
      </c>
      <c r="AA487" s="2">
        <v>20250908</v>
      </c>
      <c r="AB487" s="3">
        <v>50000</v>
      </c>
    </row>
    <row r="488" spans="3:28" x14ac:dyDescent="0.25">
      <c r="C488" s="2">
        <v>10000001</v>
      </c>
      <c r="D488" s="2" t="s">
        <v>723</v>
      </c>
      <c r="F488" s="2">
        <v>12007391</v>
      </c>
      <c r="H488" s="2" t="s">
        <v>723</v>
      </c>
      <c r="I488" s="2" t="str">
        <f t="shared" si="7"/>
        <v>09</v>
      </c>
      <c r="J488" s="2">
        <v>50</v>
      </c>
      <c r="K488" s="3">
        <v>-50000</v>
      </c>
      <c r="L488" s="2" t="s">
        <v>26</v>
      </c>
      <c r="M488" s="3">
        <v>-50000</v>
      </c>
      <c r="N488" s="2" t="s">
        <v>26</v>
      </c>
      <c r="R488" s="2" t="s">
        <v>27</v>
      </c>
      <c r="S488" s="2" t="s">
        <v>724</v>
      </c>
      <c r="T488" s="2" t="s">
        <v>45</v>
      </c>
      <c r="U488" s="2" t="s">
        <v>729</v>
      </c>
      <c r="V488" s="4">
        <f>+VLOOKUP(U488,'FBCJ Jul-Des 2025'!$G$10:$P$1302,8,0)</f>
        <v>70009110</v>
      </c>
      <c r="W488" s="4" t="str">
        <f>+VLOOKUP(V488,Sheet1!$A$2:$B$27,2,0)</f>
        <v>Biaya Survey dan Analisa</v>
      </c>
      <c r="X488" s="4" t="str">
        <f>+VLOOKUP(U488,'FBCJ Jul-Des 2025'!$G$10:$P$1302,9,0)</f>
        <v>P206D1SLSS</v>
      </c>
      <c r="Y488" s="2" t="s">
        <v>43</v>
      </c>
      <c r="Z488" s="2">
        <v>1631293</v>
      </c>
      <c r="AA488" s="2">
        <v>20250908</v>
      </c>
      <c r="AB488" s="3">
        <v>50000</v>
      </c>
    </row>
    <row r="489" spans="3:28" x14ac:dyDescent="0.25">
      <c r="C489" s="2">
        <v>10000001</v>
      </c>
      <c r="D489" s="2" t="s">
        <v>723</v>
      </c>
      <c r="F489" s="2">
        <v>12007392</v>
      </c>
      <c r="H489" s="2" t="s">
        <v>723</v>
      </c>
      <c r="I489" s="2" t="str">
        <f t="shared" si="7"/>
        <v>09</v>
      </c>
      <c r="J489" s="2">
        <v>50</v>
      </c>
      <c r="K489" s="3">
        <v>-50000</v>
      </c>
      <c r="L489" s="2" t="s">
        <v>26</v>
      </c>
      <c r="M489" s="3">
        <v>-50000</v>
      </c>
      <c r="N489" s="2" t="s">
        <v>26</v>
      </c>
      <c r="R489" s="2" t="s">
        <v>27</v>
      </c>
      <c r="S489" s="2" t="s">
        <v>724</v>
      </c>
      <c r="T489" s="2" t="s">
        <v>45</v>
      </c>
      <c r="U489" s="2" t="s">
        <v>730</v>
      </c>
      <c r="V489" s="4">
        <f>+VLOOKUP(U489,'FBCJ Jul-Des 2025'!$G$10:$P$1302,8,0)</f>
        <v>70009110</v>
      </c>
      <c r="W489" s="4" t="str">
        <f>+VLOOKUP(V489,Sheet1!$A$2:$B$27,2,0)</f>
        <v>Biaya Survey dan Analisa</v>
      </c>
      <c r="X489" s="4" t="str">
        <f>+VLOOKUP(U489,'FBCJ Jul-Des 2025'!$G$10:$P$1302,9,0)</f>
        <v>P206D1SLSS</v>
      </c>
      <c r="Y489" s="2" t="s">
        <v>43</v>
      </c>
      <c r="Z489" s="2">
        <v>1631293</v>
      </c>
      <c r="AA489" s="2">
        <v>20250908</v>
      </c>
      <c r="AB489" s="3">
        <v>50000</v>
      </c>
    </row>
    <row r="490" spans="3:28" x14ac:dyDescent="0.25">
      <c r="C490" s="2">
        <v>10000001</v>
      </c>
      <c r="D490" s="2" t="s">
        <v>723</v>
      </c>
      <c r="F490" s="2">
        <v>12007393</v>
      </c>
      <c r="H490" s="2" t="s">
        <v>723</v>
      </c>
      <c r="I490" s="2" t="str">
        <f t="shared" si="7"/>
        <v>09</v>
      </c>
      <c r="J490" s="2">
        <v>50</v>
      </c>
      <c r="K490" s="3">
        <v>-50000</v>
      </c>
      <c r="L490" s="2" t="s">
        <v>26</v>
      </c>
      <c r="M490" s="3">
        <v>-50000</v>
      </c>
      <c r="N490" s="2" t="s">
        <v>26</v>
      </c>
      <c r="R490" s="2" t="s">
        <v>27</v>
      </c>
      <c r="S490" s="2" t="s">
        <v>724</v>
      </c>
      <c r="T490" s="2" t="s">
        <v>45</v>
      </c>
      <c r="U490" s="2" t="s">
        <v>731</v>
      </c>
      <c r="V490" s="4">
        <f>+VLOOKUP(U490,'FBCJ Jul-Des 2025'!$G$10:$P$1302,8,0)</f>
        <v>70009110</v>
      </c>
      <c r="W490" s="4" t="str">
        <f>+VLOOKUP(V490,Sheet1!$A$2:$B$27,2,0)</f>
        <v>Biaya Survey dan Analisa</v>
      </c>
      <c r="X490" s="4" t="str">
        <f>+VLOOKUP(U490,'FBCJ Jul-Des 2025'!$G$10:$P$1302,9,0)</f>
        <v>P206D1SLSS</v>
      </c>
      <c r="Y490" s="2" t="s">
        <v>43</v>
      </c>
      <c r="Z490" s="2">
        <v>1631293</v>
      </c>
      <c r="AA490" s="2">
        <v>20250908</v>
      </c>
      <c r="AB490" s="3">
        <v>50000</v>
      </c>
    </row>
    <row r="491" spans="3:28" x14ac:dyDescent="0.25">
      <c r="C491" s="2">
        <v>10000001</v>
      </c>
      <c r="D491" s="2" t="s">
        <v>723</v>
      </c>
      <c r="F491" s="2">
        <v>12007394</v>
      </c>
      <c r="H491" s="2" t="s">
        <v>723</v>
      </c>
      <c r="I491" s="2" t="str">
        <f t="shared" si="7"/>
        <v>09</v>
      </c>
      <c r="J491" s="2">
        <v>50</v>
      </c>
      <c r="K491" s="3">
        <v>-150000</v>
      </c>
      <c r="L491" s="2" t="s">
        <v>26</v>
      </c>
      <c r="M491" s="3">
        <v>-150000</v>
      </c>
      <c r="N491" s="2" t="s">
        <v>26</v>
      </c>
      <c r="R491" s="2" t="s">
        <v>27</v>
      </c>
      <c r="S491" s="2" t="s">
        <v>724</v>
      </c>
      <c r="T491" s="2" t="s">
        <v>274</v>
      </c>
      <c r="U491" s="2" t="s">
        <v>732</v>
      </c>
      <c r="V491" s="4">
        <f>+VLOOKUP(U491,'FBCJ Jul-Des 2025'!$G$10:$P$1302,8,0)</f>
        <v>70108100</v>
      </c>
      <c r="W491" s="4" t="str">
        <f>+VLOOKUP(V491,Sheet1!$A$2:$B$27,2,0)</f>
        <v>Biaya Peralatan Dan Perabot Kantor</v>
      </c>
      <c r="X491" s="4" t="str">
        <f>+VLOOKUP(U491,'FBCJ Jul-Des 2025'!$G$10:$P$1302,9,0)</f>
        <v>R124LOG</v>
      </c>
      <c r="Y491" s="2" t="s">
        <v>43</v>
      </c>
      <c r="Z491" s="2">
        <v>1631293</v>
      </c>
      <c r="AA491" s="2">
        <v>20250908</v>
      </c>
      <c r="AB491" s="3">
        <v>150000</v>
      </c>
    </row>
    <row r="492" spans="3:28" x14ac:dyDescent="0.25">
      <c r="C492" s="2">
        <v>10000001</v>
      </c>
      <c r="D492" s="2" t="s">
        <v>723</v>
      </c>
      <c r="F492" s="2">
        <v>12007395</v>
      </c>
      <c r="H492" s="2" t="s">
        <v>723</v>
      </c>
      <c r="I492" s="2" t="str">
        <f t="shared" si="7"/>
        <v>09</v>
      </c>
      <c r="J492" s="2">
        <v>50</v>
      </c>
      <c r="K492" s="3">
        <v>-50000</v>
      </c>
      <c r="L492" s="2" t="s">
        <v>26</v>
      </c>
      <c r="M492" s="3">
        <v>-50000</v>
      </c>
      <c r="N492" s="2" t="s">
        <v>26</v>
      </c>
      <c r="R492" s="2" t="s">
        <v>27</v>
      </c>
      <c r="S492" s="2" t="s">
        <v>733</v>
      </c>
      <c r="T492" s="2" t="s">
        <v>45</v>
      </c>
      <c r="U492" s="2" t="s">
        <v>734</v>
      </c>
      <c r="V492" s="4">
        <f>+VLOOKUP(U492,'FBCJ Jul-Des 2025'!$G$10:$P$1302,8,0)</f>
        <v>70009110</v>
      </c>
      <c r="W492" s="4" t="str">
        <f>+VLOOKUP(V492,Sheet1!$A$2:$B$27,2,0)</f>
        <v>Biaya Survey dan Analisa</v>
      </c>
      <c r="X492" s="4" t="str">
        <f>+VLOOKUP(U492,'FBCJ Jul-Des 2025'!$G$10:$P$1302,9,0)</f>
        <v>P206D1SLSC</v>
      </c>
      <c r="Y492" s="2" t="s">
        <v>43</v>
      </c>
      <c r="Z492" s="2">
        <v>1631293</v>
      </c>
      <c r="AA492" s="2">
        <v>20250908</v>
      </c>
      <c r="AB492" s="3">
        <v>50000</v>
      </c>
    </row>
    <row r="493" spans="3:28" x14ac:dyDescent="0.25">
      <c r="C493" s="2">
        <v>10000001</v>
      </c>
      <c r="D493" s="2" t="s">
        <v>723</v>
      </c>
      <c r="F493" s="2">
        <v>12007396</v>
      </c>
      <c r="H493" s="2" t="s">
        <v>723</v>
      </c>
      <c r="I493" s="2" t="str">
        <f t="shared" si="7"/>
        <v>09</v>
      </c>
      <c r="J493" s="2">
        <v>50</v>
      </c>
      <c r="K493" s="3">
        <v>-50000</v>
      </c>
      <c r="L493" s="2" t="s">
        <v>26</v>
      </c>
      <c r="M493" s="3">
        <v>-50000</v>
      </c>
      <c r="N493" s="2" t="s">
        <v>26</v>
      </c>
      <c r="R493" s="2" t="s">
        <v>27</v>
      </c>
      <c r="S493" s="2" t="s">
        <v>733</v>
      </c>
      <c r="T493" s="2" t="s">
        <v>45</v>
      </c>
      <c r="U493" s="2" t="s">
        <v>735</v>
      </c>
      <c r="V493" s="4">
        <f>+VLOOKUP(U493,'FBCJ Jul-Des 2025'!$G$10:$P$1302,8,0)</f>
        <v>70009110</v>
      </c>
      <c r="W493" s="4" t="str">
        <f>+VLOOKUP(V493,Sheet1!$A$2:$B$27,2,0)</f>
        <v>Biaya Survey dan Analisa</v>
      </c>
      <c r="X493" s="4" t="str">
        <f>+VLOOKUP(U493,'FBCJ Jul-Des 2025'!$G$10:$P$1302,9,0)</f>
        <v>P206D1SLSC</v>
      </c>
      <c r="Y493" s="2" t="s">
        <v>43</v>
      </c>
      <c r="Z493" s="2">
        <v>1631293</v>
      </c>
      <c r="AA493" s="2">
        <v>20250908</v>
      </c>
      <c r="AB493" s="3">
        <v>50000</v>
      </c>
    </row>
    <row r="494" spans="3:28" x14ac:dyDescent="0.25">
      <c r="C494" s="2">
        <v>10000001</v>
      </c>
      <c r="D494" s="2" t="s">
        <v>723</v>
      </c>
      <c r="F494" s="2">
        <v>12007397</v>
      </c>
      <c r="H494" s="2" t="s">
        <v>723</v>
      </c>
      <c r="I494" s="2" t="str">
        <f t="shared" si="7"/>
        <v>09</v>
      </c>
      <c r="J494" s="2">
        <v>50</v>
      </c>
      <c r="K494" s="3">
        <v>-50000</v>
      </c>
      <c r="L494" s="2" t="s">
        <v>26</v>
      </c>
      <c r="M494" s="3">
        <v>-50000</v>
      </c>
      <c r="N494" s="2" t="s">
        <v>26</v>
      </c>
      <c r="R494" s="2" t="s">
        <v>27</v>
      </c>
      <c r="S494" s="2" t="s">
        <v>733</v>
      </c>
      <c r="T494" s="2" t="s">
        <v>45</v>
      </c>
      <c r="U494" s="2" t="s">
        <v>736</v>
      </c>
      <c r="V494" s="4">
        <f>+VLOOKUP(U494,'FBCJ Jul-Des 2025'!$G$10:$P$1302,8,0)</f>
        <v>70009110</v>
      </c>
      <c r="W494" s="4" t="str">
        <f>+VLOOKUP(V494,Sheet1!$A$2:$B$27,2,0)</f>
        <v>Biaya Survey dan Analisa</v>
      </c>
      <c r="X494" s="4" t="str">
        <f>+VLOOKUP(U494,'FBCJ Jul-Des 2025'!$G$10:$P$1302,9,0)</f>
        <v>P206D1SLSS</v>
      </c>
      <c r="Y494" s="2" t="s">
        <v>43</v>
      </c>
      <c r="Z494" s="2">
        <v>1631293</v>
      </c>
      <c r="AA494" s="2">
        <v>20250908</v>
      </c>
      <c r="AB494" s="3">
        <v>50000</v>
      </c>
    </row>
    <row r="495" spans="3:28" x14ac:dyDescent="0.25">
      <c r="C495" s="2">
        <v>10000001</v>
      </c>
      <c r="D495" s="2" t="s">
        <v>723</v>
      </c>
      <c r="F495" s="2">
        <v>12007398</v>
      </c>
      <c r="H495" s="2" t="s">
        <v>723</v>
      </c>
      <c r="I495" s="2" t="str">
        <f t="shared" si="7"/>
        <v>09</v>
      </c>
      <c r="J495" s="2">
        <v>50</v>
      </c>
      <c r="K495" s="3">
        <v>-50000</v>
      </c>
      <c r="L495" s="2" t="s">
        <v>26</v>
      </c>
      <c r="M495" s="3">
        <v>-50000</v>
      </c>
      <c r="N495" s="2" t="s">
        <v>26</v>
      </c>
      <c r="R495" s="2" t="s">
        <v>27</v>
      </c>
      <c r="S495" s="2" t="s">
        <v>733</v>
      </c>
      <c r="T495" s="2" t="s">
        <v>45</v>
      </c>
      <c r="U495" s="2" t="s">
        <v>737</v>
      </c>
      <c r="V495" s="4">
        <f>+VLOOKUP(U495,'FBCJ Jul-Des 2025'!$G$10:$P$1302,8,0)</f>
        <v>70009110</v>
      </c>
      <c r="W495" s="4" t="str">
        <f>+VLOOKUP(V495,Sheet1!$A$2:$B$27,2,0)</f>
        <v>Biaya Survey dan Analisa</v>
      </c>
      <c r="X495" s="4" t="str">
        <f>+VLOOKUP(U495,'FBCJ Jul-Des 2025'!$G$10:$P$1302,9,0)</f>
        <v>P206D1SLSS</v>
      </c>
      <c r="Y495" s="2" t="s">
        <v>43</v>
      </c>
      <c r="Z495" s="2">
        <v>1631293</v>
      </c>
      <c r="AA495" s="2">
        <v>20250908</v>
      </c>
      <c r="AB495" s="3">
        <v>50000</v>
      </c>
    </row>
    <row r="496" spans="3:28" x14ac:dyDescent="0.25">
      <c r="C496" s="2">
        <v>10000001</v>
      </c>
      <c r="D496" s="2" t="s">
        <v>723</v>
      </c>
      <c r="F496" s="2">
        <v>12007399</v>
      </c>
      <c r="H496" s="2" t="s">
        <v>723</v>
      </c>
      <c r="I496" s="2" t="str">
        <f t="shared" si="7"/>
        <v>09</v>
      </c>
      <c r="J496" s="2">
        <v>50</v>
      </c>
      <c r="K496" s="3">
        <v>-50000</v>
      </c>
      <c r="L496" s="2" t="s">
        <v>26</v>
      </c>
      <c r="M496" s="3">
        <v>-50000</v>
      </c>
      <c r="N496" s="2" t="s">
        <v>26</v>
      </c>
      <c r="R496" s="2" t="s">
        <v>27</v>
      </c>
      <c r="S496" s="2" t="s">
        <v>738</v>
      </c>
      <c r="T496" s="2" t="s">
        <v>45</v>
      </c>
      <c r="U496" s="2" t="s">
        <v>739</v>
      </c>
      <c r="V496" s="4">
        <f>+VLOOKUP(U496,'FBCJ Jul-Des 2025'!$G$10:$P$1302,8,0)</f>
        <v>70009110</v>
      </c>
      <c r="W496" s="4" t="str">
        <f>+VLOOKUP(V496,Sheet1!$A$2:$B$27,2,0)</f>
        <v>Biaya Survey dan Analisa</v>
      </c>
      <c r="X496" s="4" t="str">
        <f>+VLOOKUP(U496,'FBCJ Jul-Des 2025'!$G$10:$P$1302,9,0)</f>
        <v>P206D1SLSS</v>
      </c>
      <c r="Y496" s="2" t="s">
        <v>43</v>
      </c>
      <c r="Z496" s="2">
        <v>1631293</v>
      </c>
      <c r="AA496" s="2">
        <v>20250908</v>
      </c>
      <c r="AB496" s="3">
        <v>50000</v>
      </c>
    </row>
    <row r="497" spans="3:28" x14ac:dyDescent="0.25">
      <c r="C497" s="2">
        <v>10000001</v>
      </c>
      <c r="D497" s="2" t="s">
        <v>723</v>
      </c>
      <c r="F497" s="2">
        <v>12007400</v>
      </c>
      <c r="H497" s="2" t="s">
        <v>723</v>
      </c>
      <c r="I497" s="2" t="str">
        <f t="shared" si="7"/>
        <v>09</v>
      </c>
      <c r="J497" s="2">
        <v>50</v>
      </c>
      <c r="K497" s="3">
        <v>-50000</v>
      </c>
      <c r="L497" s="2" t="s">
        <v>26</v>
      </c>
      <c r="M497" s="3">
        <v>-50000</v>
      </c>
      <c r="N497" s="2" t="s">
        <v>26</v>
      </c>
      <c r="R497" s="2" t="s">
        <v>27</v>
      </c>
      <c r="S497" s="2" t="s">
        <v>738</v>
      </c>
      <c r="T497" s="2" t="s">
        <v>45</v>
      </c>
      <c r="U497" s="2" t="s">
        <v>740</v>
      </c>
      <c r="V497" s="4">
        <f>+VLOOKUP(U497,'FBCJ Jul-Des 2025'!$G$10:$P$1302,8,0)</f>
        <v>70009110</v>
      </c>
      <c r="W497" s="4" t="str">
        <f>+VLOOKUP(V497,Sheet1!$A$2:$B$27,2,0)</f>
        <v>Biaya Survey dan Analisa</v>
      </c>
      <c r="X497" s="4" t="str">
        <f>+VLOOKUP(U497,'FBCJ Jul-Des 2025'!$G$10:$P$1302,9,0)</f>
        <v>P206D1SLSS</v>
      </c>
      <c r="Y497" s="2" t="s">
        <v>43</v>
      </c>
      <c r="Z497" s="2">
        <v>1631293</v>
      </c>
      <c r="AA497" s="2">
        <v>20250908</v>
      </c>
      <c r="AB497" s="3">
        <v>50000</v>
      </c>
    </row>
    <row r="498" spans="3:28" x14ac:dyDescent="0.25">
      <c r="C498" s="2">
        <v>10000001</v>
      </c>
      <c r="D498" s="2" t="s">
        <v>723</v>
      </c>
      <c r="F498" s="2">
        <v>12007401</v>
      </c>
      <c r="H498" s="2" t="s">
        <v>723</v>
      </c>
      <c r="I498" s="2" t="str">
        <f t="shared" si="7"/>
        <v>09</v>
      </c>
      <c r="J498" s="2">
        <v>50</v>
      </c>
      <c r="K498" s="3">
        <v>-50000</v>
      </c>
      <c r="L498" s="2" t="s">
        <v>26</v>
      </c>
      <c r="M498" s="3">
        <v>-50000</v>
      </c>
      <c r="N498" s="2" t="s">
        <v>26</v>
      </c>
      <c r="R498" s="2" t="s">
        <v>27</v>
      </c>
      <c r="S498" s="2" t="s">
        <v>738</v>
      </c>
      <c r="T498" s="2" t="s">
        <v>45</v>
      </c>
      <c r="U498" s="2" t="s">
        <v>741</v>
      </c>
      <c r="V498" s="4">
        <f>+VLOOKUP(U498,'FBCJ Jul-Des 2025'!$G$10:$P$1302,8,0)</f>
        <v>70009110</v>
      </c>
      <c r="W498" s="4" t="str">
        <f>+VLOOKUP(V498,Sheet1!$A$2:$B$27,2,0)</f>
        <v>Biaya Survey dan Analisa</v>
      </c>
      <c r="X498" s="4" t="str">
        <f>+VLOOKUP(U498,'FBCJ Jul-Des 2025'!$G$10:$P$1302,9,0)</f>
        <v>P206D1SLSS</v>
      </c>
      <c r="Y498" s="2" t="s">
        <v>43</v>
      </c>
      <c r="Z498" s="2">
        <v>1631293</v>
      </c>
      <c r="AA498" s="2">
        <v>20250908</v>
      </c>
      <c r="AB498" s="3">
        <v>50000</v>
      </c>
    </row>
    <row r="499" spans="3:28" x14ac:dyDescent="0.25">
      <c r="C499" s="2">
        <v>10000001</v>
      </c>
      <c r="D499" s="2" t="s">
        <v>723</v>
      </c>
      <c r="F499" s="2">
        <v>12007402</v>
      </c>
      <c r="H499" s="2" t="s">
        <v>723</v>
      </c>
      <c r="I499" s="2" t="str">
        <f t="shared" si="7"/>
        <v>09</v>
      </c>
      <c r="J499" s="2">
        <v>50</v>
      </c>
      <c r="K499" s="3">
        <v>-50000</v>
      </c>
      <c r="L499" s="2" t="s">
        <v>26</v>
      </c>
      <c r="M499" s="3">
        <v>-50000</v>
      </c>
      <c r="N499" s="2" t="s">
        <v>26</v>
      </c>
      <c r="R499" s="2" t="s">
        <v>27</v>
      </c>
      <c r="S499" s="2" t="s">
        <v>738</v>
      </c>
      <c r="T499" s="2" t="s">
        <v>45</v>
      </c>
      <c r="U499" s="2" t="s">
        <v>742</v>
      </c>
      <c r="V499" s="4">
        <f>+VLOOKUP(U499,'FBCJ Jul-Des 2025'!$G$10:$P$1302,8,0)</f>
        <v>70009110</v>
      </c>
      <c r="W499" s="4" t="str">
        <f>+VLOOKUP(V499,Sheet1!$A$2:$B$27,2,0)</f>
        <v>Biaya Survey dan Analisa</v>
      </c>
      <c r="X499" s="4" t="str">
        <f>+VLOOKUP(U499,'FBCJ Jul-Des 2025'!$G$10:$P$1302,9,0)</f>
        <v>M204D1COMM</v>
      </c>
      <c r="Y499" s="2" t="s">
        <v>43</v>
      </c>
      <c r="Z499" s="2">
        <v>1631293</v>
      </c>
      <c r="AA499" s="2">
        <v>20250908</v>
      </c>
      <c r="AB499" s="3">
        <v>50000</v>
      </c>
    </row>
    <row r="500" spans="3:28" x14ac:dyDescent="0.25">
      <c r="C500" s="2">
        <v>10000001</v>
      </c>
      <c r="D500" s="2" t="s">
        <v>723</v>
      </c>
      <c r="F500" s="2">
        <v>12007403</v>
      </c>
      <c r="H500" s="2" t="s">
        <v>723</v>
      </c>
      <c r="I500" s="2" t="str">
        <f t="shared" si="7"/>
        <v>09</v>
      </c>
      <c r="J500" s="2">
        <v>50</v>
      </c>
      <c r="K500" s="3">
        <v>-50000</v>
      </c>
      <c r="L500" s="2" t="s">
        <v>26</v>
      </c>
      <c r="M500" s="3">
        <v>-50000</v>
      </c>
      <c r="N500" s="2" t="s">
        <v>26</v>
      </c>
      <c r="R500" s="2" t="s">
        <v>27</v>
      </c>
      <c r="S500" s="2" t="s">
        <v>738</v>
      </c>
      <c r="T500" s="2" t="s">
        <v>45</v>
      </c>
      <c r="U500" s="2" t="s">
        <v>743</v>
      </c>
      <c r="V500" s="4">
        <f>+VLOOKUP(U500,'FBCJ Jul-Des 2025'!$G$10:$P$1302,8,0)</f>
        <v>70009110</v>
      </c>
      <c r="W500" s="4" t="str">
        <f>+VLOOKUP(V500,Sheet1!$A$2:$B$27,2,0)</f>
        <v>Biaya Survey dan Analisa</v>
      </c>
      <c r="X500" s="4" t="str">
        <f>+VLOOKUP(U500,'FBCJ Jul-Des 2025'!$G$10:$P$1302,9,0)</f>
        <v>M204D1COMM</v>
      </c>
      <c r="Y500" s="2" t="s">
        <v>43</v>
      </c>
      <c r="Z500" s="2">
        <v>1631293</v>
      </c>
      <c r="AA500" s="2">
        <v>20250908</v>
      </c>
      <c r="AB500" s="3">
        <v>50000</v>
      </c>
    </row>
    <row r="501" spans="3:28" x14ac:dyDescent="0.25">
      <c r="C501" s="2">
        <v>10000001</v>
      </c>
      <c r="D501" s="2" t="s">
        <v>723</v>
      </c>
      <c r="F501" s="2">
        <v>12007404</v>
      </c>
      <c r="H501" s="2" t="s">
        <v>723</v>
      </c>
      <c r="I501" s="2" t="str">
        <f t="shared" si="7"/>
        <v>09</v>
      </c>
      <c r="J501" s="2">
        <v>50</v>
      </c>
      <c r="K501" s="3">
        <v>-740000</v>
      </c>
      <c r="L501" s="2" t="s">
        <v>26</v>
      </c>
      <c r="M501" s="3">
        <v>-740000</v>
      </c>
      <c r="N501" s="2" t="s">
        <v>26</v>
      </c>
      <c r="R501" s="2" t="s">
        <v>27</v>
      </c>
      <c r="S501" s="2" t="s">
        <v>744</v>
      </c>
      <c r="T501" s="2" t="s">
        <v>96</v>
      </c>
      <c r="U501" s="2" t="s">
        <v>745</v>
      </c>
      <c r="V501" s="4">
        <f>+VLOOKUP(U501,'FBCJ Jul-Des 2025'!$G$10:$P$1302,8,0)</f>
        <v>70106400</v>
      </c>
      <c r="W501" s="4" t="str">
        <f>+VLOOKUP(V501,Sheet1!$A$2:$B$27,2,0)</f>
        <v>Biaya Bahan Bakar</v>
      </c>
      <c r="X501" s="4" t="str">
        <f>+VLOOKUP(U501,'FBCJ Jul-Des 2025'!$G$10:$P$1302,9,0)</f>
        <v>R124D1HRGA</v>
      </c>
      <c r="Y501" s="2" t="s">
        <v>43</v>
      </c>
      <c r="Z501" s="2">
        <v>1631293</v>
      </c>
      <c r="AA501" s="2">
        <v>20250908</v>
      </c>
      <c r="AB501" s="3">
        <v>740000</v>
      </c>
    </row>
    <row r="502" spans="3:28" x14ac:dyDescent="0.25">
      <c r="C502" s="2">
        <v>10000001</v>
      </c>
      <c r="D502" s="2" t="s">
        <v>723</v>
      </c>
      <c r="F502" s="2">
        <v>12007405</v>
      </c>
      <c r="H502" s="2" t="s">
        <v>723</v>
      </c>
      <c r="I502" s="2" t="str">
        <f t="shared" si="7"/>
        <v>09</v>
      </c>
      <c r="J502" s="2">
        <v>50</v>
      </c>
      <c r="K502" s="3">
        <v>-260000</v>
      </c>
      <c r="L502" s="2" t="s">
        <v>26</v>
      </c>
      <c r="M502" s="3">
        <v>-260000</v>
      </c>
      <c r="N502" s="2" t="s">
        <v>26</v>
      </c>
      <c r="R502" s="2" t="s">
        <v>27</v>
      </c>
      <c r="S502" s="2" t="s">
        <v>744</v>
      </c>
      <c r="T502" s="2" t="s">
        <v>67</v>
      </c>
      <c r="U502" s="2" t="s">
        <v>746</v>
      </c>
      <c r="V502" s="4">
        <f>+VLOOKUP(U502,'FBCJ Jul-Des 2025'!$G$10:$P$1302,8,0)</f>
        <v>70106100</v>
      </c>
      <c r="W502" s="4" t="str">
        <f>+VLOOKUP(V502,Sheet1!$A$2:$B$27,2,0)</f>
        <v>Biaya Transportasi Lokal</v>
      </c>
      <c r="X502" s="4" t="str">
        <f>+VLOOKUP(U502,'FBCJ Jul-Des 2025'!$G$10:$P$1302,9,0)</f>
        <v>R124D1HRGA</v>
      </c>
      <c r="Y502" s="2" t="s">
        <v>43</v>
      </c>
      <c r="Z502" s="2">
        <v>1631293</v>
      </c>
      <c r="AA502" s="2">
        <v>20250908</v>
      </c>
      <c r="AB502" s="3">
        <v>260000</v>
      </c>
    </row>
    <row r="503" spans="3:28" x14ac:dyDescent="0.25">
      <c r="C503" s="2">
        <v>10000001</v>
      </c>
      <c r="D503" s="2" t="s">
        <v>723</v>
      </c>
      <c r="F503" s="2">
        <v>12007406</v>
      </c>
      <c r="H503" s="2" t="s">
        <v>723</v>
      </c>
      <c r="I503" s="2" t="str">
        <f t="shared" si="7"/>
        <v>09</v>
      </c>
      <c r="J503" s="2">
        <v>50</v>
      </c>
      <c r="K503" s="3">
        <v>-400000</v>
      </c>
      <c r="L503" s="2" t="s">
        <v>26</v>
      </c>
      <c r="M503" s="3">
        <v>-400000</v>
      </c>
      <c r="N503" s="2" t="s">
        <v>26</v>
      </c>
      <c r="R503" s="2" t="s">
        <v>27</v>
      </c>
      <c r="S503" s="2" t="s">
        <v>747</v>
      </c>
      <c r="T503" s="2" t="s">
        <v>41</v>
      </c>
      <c r="U503" s="2" t="s">
        <v>748</v>
      </c>
      <c r="V503" s="4">
        <f>+VLOOKUP(U503,'FBCJ Jul-Des 2025'!$G$10:$P$1302,8,0)</f>
        <v>70107300</v>
      </c>
      <c r="W503" s="4" t="str">
        <f>+VLOOKUP(V503,Sheet1!$A$2:$B$27,2,0)</f>
        <v>Biaya Olahraga Dan Permainan</v>
      </c>
      <c r="X503" s="4" t="str">
        <f>+VLOOKUP(U503,'FBCJ Jul-Des 2025'!$G$10:$P$1302,9,0)</f>
        <v>R124D1HRDV</v>
      </c>
      <c r="Y503" s="2" t="s">
        <v>43</v>
      </c>
      <c r="Z503" s="2">
        <v>1631293</v>
      </c>
      <c r="AA503" s="2">
        <v>20250908</v>
      </c>
      <c r="AB503" s="3">
        <v>400000</v>
      </c>
    </row>
    <row r="504" spans="3:28" x14ac:dyDescent="0.25">
      <c r="C504" s="2">
        <v>10000001</v>
      </c>
      <c r="D504" s="2" t="s">
        <v>723</v>
      </c>
      <c r="F504" s="2">
        <v>12007407</v>
      </c>
      <c r="H504" s="2" t="s">
        <v>723</v>
      </c>
      <c r="I504" s="2" t="str">
        <f t="shared" si="7"/>
        <v>09</v>
      </c>
      <c r="J504" s="2">
        <v>50</v>
      </c>
      <c r="K504" s="3">
        <v>-100000</v>
      </c>
      <c r="L504" s="2" t="s">
        <v>26</v>
      </c>
      <c r="M504" s="3">
        <v>-100000</v>
      </c>
      <c r="N504" s="2" t="s">
        <v>26</v>
      </c>
      <c r="R504" s="2" t="s">
        <v>27</v>
      </c>
      <c r="S504" s="2" t="s">
        <v>749</v>
      </c>
      <c r="T504" s="2" t="s">
        <v>45</v>
      </c>
      <c r="U504" s="2" t="s">
        <v>750</v>
      </c>
      <c r="V504" s="4">
        <f>+VLOOKUP(U504,'FBCJ Jul-Des 2025'!$G$10:$P$1302,8,0)</f>
        <v>70009110</v>
      </c>
      <c r="W504" s="4" t="str">
        <f>+VLOOKUP(V504,Sheet1!$A$2:$B$27,2,0)</f>
        <v>Biaya Survey dan Analisa</v>
      </c>
      <c r="X504" s="4" t="str">
        <f>+VLOOKUP(U504,'FBCJ Jul-Des 2025'!$G$10:$P$1302,9,0)</f>
        <v>C206D1SLSS</v>
      </c>
      <c r="Y504" s="2" t="s">
        <v>43</v>
      </c>
      <c r="Z504" s="2">
        <v>1631293</v>
      </c>
      <c r="AA504" s="2">
        <v>20250908</v>
      </c>
      <c r="AB504" s="3">
        <v>100000</v>
      </c>
    </row>
    <row r="505" spans="3:28" x14ac:dyDescent="0.25">
      <c r="C505" s="2">
        <v>10000001</v>
      </c>
      <c r="D505" s="2" t="s">
        <v>723</v>
      </c>
      <c r="F505" s="2">
        <v>12007408</v>
      </c>
      <c r="H505" s="2" t="s">
        <v>723</v>
      </c>
      <c r="I505" s="2" t="str">
        <f t="shared" si="7"/>
        <v>09</v>
      </c>
      <c r="J505" s="2">
        <v>50</v>
      </c>
      <c r="K505" s="3">
        <v>-100000</v>
      </c>
      <c r="L505" s="2" t="s">
        <v>26</v>
      </c>
      <c r="M505" s="3">
        <v>-100000</v>
      </c>
      <c r="N505" s="2" t="s">
        <v>26</v>
      </c>
      <c r="R505" s="2" t="s">
        <v>27</v>
      </c>
      <c r="S505" s="2" t="s">
        <v>749</v>
      </c>
      <c r="T505" s="2" t="s">
        <v>45</v>
      </c>
      <c r="U505" s="2" t="s">
        <v>750</v>
      </c>
      <c r="V505" s="4">
        <f>+VLOOKUP(U505,'FBCJ Jul-Des 2025'!$G$10:$P$1302,8,0)</f>
        <v>70009110</v>
      </c>
      <c r="W505" s="4" t="str">
        <f>+VLOOKUP(V505,Sheet1!$A$2:$B$27,2,0)</f>
        <v>Biaya Survey dan Analisa</v>
      </c>
      <c r="X505" s="4" t="str">
        <f>+VLOOKUP(U505,'FBCJ Jul-Des 2025'!$G$10:$P$1302,9,0)</f>
        <v>C206D1SLSS</v>
      </c>
      <c r="Y505" s="2" t="s">
        <v>43</v>
      </c>
      <c r="Z505" s="2">
        <v>1631293</v>
      </c>
      <c r="AA505" s="2">
        <v>20250908</v>
      </c>
      <c r="AB505" s="3">
        <v>100000</v>
      </c>
    </row>
    <row r="506" spans="3:28" x14ac:dyDescent="0.25">
      <c r="C506" s="2">
        <v>10000001</v>
      </c>
      <c r="D506" s="2" t="s">
        <v>723</v>
      </c>
      <c r="F506" s="2">
        <v>12007409</v>
      </c>
      <c r="H506" s="2" t="s">
        <v>723</v>
      </c>
      <c r="I506" s="2" t="str">
        <f t="shared" si="7"/>
        <v>09</v>
      </c>
      <c r="J506" s="2">
        <v>50</v>
      </c>
      <c r="K506" s="3">
        <v>-150000</v>
      </c>
      <c r="L506" s="2" t="s">
        <v>26</v>
      </c>
      <c r="M506" s="3">
        <v>-150000</v>
      </c>
      <c r="N506" s="2" t="s">
        <v>26</v>
      </c>
      <c r="R506" s="2" t="s">
        <v>27</v>
      </c>
      <c r="S506" s="2" t="s">
        <v>749</v>
      </c>
      <c r="T506" s="2" t="s">
        <v>45</v>
      </c>
      <c r="U506" s="2" t="s">
        <v>750</v>
      </c>
      <c r="V506" s="4">
        <f>+VLOOKUP(U506,'FBCJ Jul-Des 2025'!$G$10:$P$1302,8,0)</f>
        <v>70009110</v>
      </c>
      <c r="W506" s="4" t="str">
        <f>+VLOOKUP(V506,Sheet1!$A$2:$B$27,2,0)</f>
        <v>Biaya Survey dan Analisa</v>
      </c>
      <c r="X506" s="4" t="str">
        <f>+VLOOKUP(U506,'FBCJ Jul-Des 2025'!$G$10:$P$1302,9,0)</f>
        <v>C206D1SLSS</v>
      </c>
      <c r="Y506" s="2" t="s">
        <v>43</v>
      </c>
      <c r="Z506" s="2">
        <v>1631293</v>
      </c>
      <c r="AA506" s="2">
        <v>20250908</v>
      </c>
      <c r="AB506" s="3">
        <v>150000</v>
      </c>
    </row>
    <row r="507" spans="3:28" x14ac:dyDescent="0.25">
      <c r="C507" s="2">
        <v>10000001</v>
      </c>
      <c r="D507" s="2" t="s">
        <v>723</v>
      </c>
      <c r="F507" s="2">
        <v>12007456</v>
      </c>
      <c r="H507" s="2" t="s">
        <v>723</v>
      </c>
      <c r="I507" s="2" t="str">
        <f t="shared" si="7"/>
        <v>09</v>
      </c>
      <c r="J507" s="2">
        <v>50</v>
      </c>
      <c r="K507" s="3">
        <v>-4000</v>
      </c>
      <c r="L507" s="2" t="s">
        <v>26</v>
      </c>
      <c r="M507" s="3">
        <v>-4000</v>
      </c>
      <c r="N507" s="2" t="s">
        <v>26</v>
      </c>
      <c r="R507" s="2" t="s">
        <v>27</v>
      </c>
      <c r="S507" s="2" t="s">
        <v>724</v>
      </c>
      <c r="T507" s="2" t="s">
        <v>334</v>
      </c>
      <c r="U507" s="2" t="s">
        <v>751</v>
      </c>
      <c r="V507" s="4">
        <f>+VLOOKUP(U507,'FBCJ Jul-Des 2025'!$G$10:$P$1302,8,0)</f>
        <v>70001110</v>
      </c>
      <c r="W507" s="4" t="str">
        <f>+VLOOKUP(V507,Sheet1!$A$2:$B$27,2,0)</f>
        <v>Biaya Ekspor lainnya</v>
      </c>
      <c r="X507" s="4" t="str">
        <f>+VLOOKUP(U507,'FBCJ Jul-Des 2025'!$G$10:$P$1302,9,0)</f>
        <v>M204D1COMM</v>
      </c>
      <c r="Y507" s="2" t="s">
        <v>43</v>
      </c>
      <c r="Z507" s="2">
        <v>1631293</v>
      </c>
      <c r="AA507" s="2">
        <v>20250908</v>
      </c>
      <c r="AB507" s="3">
        <v>4000</v>
      </c>
    </row>
    <row r="508" spans="3:28" x14ac:dyDescent="0.25">
      <c r="C508" s="2">
        <v>10000001</v>
      </c>
      <c r="D508" s="2" t="s">
        <v>752</v>
      </c>
      <c r="F508" s="2">
        <v>12007410</v>
      </c>
      <c r="H508" s="2" t="s">
        <v>752</v>
      </c>
      <c r="I508" s="2" t="str">
        <f t="shared" si="7"/>
        <v>09</v>
      </c>
      <c r="J508" s="2">
        <v>50</v>
      </c>
      <c r="K508" s="3">
        <v>-736120</v>
      </c>
      <c r="L508" s="2" t="s">
        <v>26</v>
      </c>
      <c r="M508" s="3">
        <v>-736120</v>
      </c>
      <c r="N508" s="2" t="s">
        <v>26</v>
      </c>
      <c r="R508" s="2" t="s">
        <v>27</v>
      </c>
      <c r="S508" s="2" t="s">
        <v>753</v>
      </c>
      <c r="T508" s="2" t="s">
        <v>57</v>
      </c>
      <c r="U508" s="2" t="s">
        <v>754</v>
      </c>
      <c r="V508" s="4">
        <f>+VLOOKUP(U508,'FBCJ Jul-Des 2025'!$G$10:$P$1302,8,0)</f>
        <v>70101202</v>
      </c>
      <c r="W508" s="4" t="str">
        <f>+VLOOKUP(V508,Sheet1!$A$2:$B$27,2,0)</f>
        <v>By Pemeliharaan Kend,ABerat,Mesin-Material Pihak3</v>
      </c>
      <c r="X508" s="4" t="str">
        <f>+VLOOKUP(U508,'FBCJ Jul-Des 2025'!$G$10:$P$1302,9,0)</f>
        <v>R124FPO</v>
      </c>
      <c r="Y508" s="2" t="s">
        <v>43</v>
      </c>
      <c r="Z508" s="2">
        <v>1631293</v>
      </c>
      <c r="AA508" s="2">
        <v>20250909</v>
      </c>
      <c r="AB508" s="3">
        <v>736120</v>
      </c>
    </row>
    <row r="509" spans="3:28" x14ac:dyDescent="0.25">
      <c r="C509" s="2">
        <v>10000001</v>
      </c>
      <c r="D509" s="2" t="s">
        <v>752</v>
      </c>
      <c r="F509" s="2">
        <v>12007411</v>
      </c>
      <c r="H509" s="2" t="s">
        <v>752</v>
      </c>
      <c r="I509" s="2" t="str">
        <f t="shared" si="7"/>
        <v>09</v>
      </c>
      <c r="J509" s="2">
        <v>50</v>
      </c>
      <c r="K509" s="3">
        <v>-29900</v>
      </c>
      <c r="L509" s="2" t="s">
        <v>26</v>
      </c>
      <c r="M509" s="3">
        <v>-29900</v>
      </c>
      <c r="N509" s="2" t="s">
        <v>26</v>
      </c>
      <c r="R509" s="2" t="s">
        <v>27</v>
      </c>
      <c r="S509" s="2" t="s">
        <v>755</v>
      </c>
      <c r="T509" s="2" t="s">
        <v>193</v>
      </c>
      <c r="U509" s="2" t="s">
        <v>756</v>
      </c>
      <c r="V509" s="4">
        <f>+VLOOKUP(U509,'FBCJ Jul-Des 2025'!$G$10:$P$1302,8,0)</f>
        <v>70105300</v>
      </c>
      <c r="W509" s="4" t="str">
        <f>+VLOOKUP(V509,Sheet1!$A$2:$B$27,2,0)</f>
        <v>Biaya Perizinan Pemerintah</v>
      </c>
      <c r="X509" s="4" t="str">
        <f>+VLOOKUP(U509,'FBCJ Jul-Des 2025'!$G$10:$P$1302,9,0)</f>
        <v>R124D1HRGA</v>
      </c>
      <c r="Y509" s="2" t="s">
        <v>43</v>
      </c>
      <c r="Z509" s="2">
        <v>1631293</v>
      </c>
      <c r="AA509" s="2">
        <v>20250909</v>
      </c>
      <c r="AB509" s="3">
        <v>29900</v>
      </c>
    </row>
    <row r="510" spans="3:28" x14ac:dyDescent="0.25">
      <c r="C510" s="2">
        <v>10000001</v>
      </c>
      <c r="D510" s="2" t="s">
        <v>752</v>
      </c>
      <c r="F510" s="2">
        <v>12007412</v>
      </c>
      <c r="H510" s="2" t="s">
        <v>752</v>
      </c>
      <c r="I510" s="2" t="str">
        <f t="shared" si="7"/>
        <v>09</v>
      </c>
      <c r="J510" s="2">
        <v>50</v>
      </c>
      <c r="K510" s="3">
        <v>-50000</v>
      </c>
      <c r="L510" s="2" t="s">
        <v>26</v>
      </c>
      <c r="M510" s="3">
        <v>-50000</v>
      </c>
      <c r="N510" s="2" t="s">
        <v>26</v>
      </c>
      <c r="R510" s="2" t="s">
        <v>27</v>
      </c>
      <c r="S510" s="2" t="s">
        <v>757</v>
      </c>
      <c r="T510" s="2" t="s">
        <v>45</v>
      </c>
      <c r="U510" s="2" t="s">
        <v>758</v>
      </c>
      <c r="V510" s="4">
        <f>+VLOOKUP(U510,'FBCJ Jul-Des 2025'!$G$10:$P$1302,8,0)</f>
        <v>70009110</v>
      </c>
      <c r="W510" s="4" t="str">
        <f>+VLOOKUP(V510,Sheet1!$A$2:$B$27,2,0)</f>
        <v>Biaya Survey dan Analisa</v>
      </c>
      <c r="X510" s="4" t="str">
        <f>+VLOOKUP(U510,'FBCJ Jul-Des 2025'!$G$10:$P$1302,9,0)</f>
        <v>M204D1COMM</v>
      </c>
      <c r="Y510" s="2" t="s">
        <v>43</v>
      </c>
      <c r="Z510" s="2">
        <v>1631293</v>
      </c>
      <c r="AA510" s="2">
        <v>20250909</v>
      </c>
      <c r="AB510" s="3">
        <v>50000</v>
      </c>
    </row>
    <row r="511" spans="3:28" x14ac:dyDescent="0.25">
      <c r="C511" s="2">
        <v>10000001</v>
      </c>
      <c r="D511" s="2" t="s">
        <v>752</v>
      </c>
      <c r="F511" s="2">
        <v>12007413</v>
      </c>
      <c r="H511" s="2" t="s">
        <v>752</v>
      </c>
      <c r="I511" s="2" t="str">
        <f t="shared" si="7"/>
        <v>09</v>
      </c>
      <c r="J511" s="2">
        <v>50</v>
      </c>
      <c r="K511" s="3">
        <v>-50000</v>
      </c>
      <c r="L511" s="2" t="s">
        <v>26</v>
      </c>
      <c r="M511" s="3">
        <v>-50000</v>
      </c>
      <c r="N511" s="2" t="s">
        <v>26</v>
      </c>
      <c r="R511" s="2" t="s">
        <v>27</v>
      </c>
      <c r="S511" s="2" t="s">
        <v>757</v>
      </c>
      <c r="T511" s="2" t="s">
        <v>45</v>
      </c>
      <c r="U511" s="2" t="s">
        <v>759</v>
      </c>
      <c r="V511" s="4">
        <f>+VLOOKUP(U511,'FBCJ Jul-Des 2025'!$G$10:$P$1302,8,0)</f>
        <v>70009110</v>
      </c>
      <c r="W511" s="4" t="str">
        <f>+VLOOKUP(V511,Sheet1!$A$2:$B$27,2,0)</f>
        <v>Biaya Survey dan Analisa</v>
      </c>
      <c r="X511" s="4" t="str">
        <f>+VLOOKUP(U511,'FBCJ Jul-Des 2025'!$G$10:$P$1302,9,0)</f>
        <v>M204D1COMM</v>
      </c>
      <c r="Y511" s="2" t="s">
        <v>43</v>
      </c>
      <c r="Z511" s="2">
        <v>1631293</v>
      </c>
      <c r="AA511" s="2">
        <v>20250909</v>
      </c>
      <c r="AB511" s="3">
        <v>50000</v>
      </c>
    </row>
    <row r="512" spans="3:28" x14ac:dyDescent="0.25">
      <c r="C512" s="2">
        <v>10000001</v>
      </c>
      <c r="D512" s="2" t="s">
        <v>752</v>
      </c>
      <c r="F512" s="2">
        <v>12007414</v>
      </c>
      <c r="H512" s="2" t="s">
        <v>752</v>
      </c>
      <c r="I512" s="2" t="str">
        <f t="shared" si="7"/>
        <v>09</v>
      </c>
      <c r="J512" s="2">
        <v>50</v>
      </c>
      <c r="K512" s="3">
        <v>-50000</v>
      </c>
      <c r="L512" s="2" t="s">
        <v>26</v>
      </c>
      <c r="M512" s="3">
        <v>-50000</v>
      </c>
      <c r="N512" s="2" t="s">
        <v>26</v>
      </c>
      <c r="R512" s="2" t="s">
        <v>27</v>
      </c>
      <c r="S512" s="2" t="s">
        <v>757</v>
      </c>
      <c r="T512" s="2" t="s">
        <v>45</v>
      </c>
      <c r="U512" s="2" t="s">
        <v>760</v>
      </c>
      <c r="V512" s="4">
        <f>+VLOOKUP(U512,'FBCJ Jul-Des 2025'!$G$10:$P$1302,8,0)</f>
        <v>70009110</v>
      </c>
      <c r="W512" s="4" t="str">
        <f>+VLOOKUP(V512,Sheet1!$A$2:$B$27,2,0)</f>
        <v>Biaya Survey dan Analisa</v>
      </c>
      <c r="X512" s="4" t="str">
        <f>+VLOOKUP(U512,'FBCJ Jul-Des 2025'!$G$10:$P$1302,9,0)</f>
        <v>M204D1COMM</v>
      </c>
      <c r="Y512" s="2" t="s">
        <v>43</v>
      </c>
      <c r="Z512" s="2">
        <v>1631293</v>
      </c>
      <c r="AA512" s="2">
        <v>20250909</v>
      </c>
      <c r="AB512" s="3">
        <v>50000</v>
      </c>
    </row>
    <row r="513" spans="3:28" x14ac:dyDescent="0.25">
      <c r="C513" s="2">
        <v>10000001</v>
      </c>
      <c r="D513" s="2" t="s">
        <v>752</v>
      </c>
      <c r="F513" s="2">
        <v>12007415</v>
      </c>
      <c r="H513" s="2" t="s">
        <v>752</v>
      </c>
      <c r="I513" s="2" t="str">
        <f t="shared" si="7"/>
        <v>09</v>
      </c>
      <c r="J513" s="2">
        <v>50</v>
      </c>
      <c r="K513" s="3">
        <v>-272900</v>
      </c>
      <c r="L513" s="2" t="s">
        <v>26</v>
      </c>
      <c r="M513" s="3">
        <v>-272900</v>
      </c>
      <c r="N513" s="2" t="s">
        <v>26</v>
      </c>
      <c r="R513" s="2" t="s">
        <v>27</v>
      </c>
      <c r="S513" s="2" t="s">
        <v>761</v>
      </c>
      <c r="T513" s="2" t="s">
        <v>274</v>
      </c>
      <c r="U513" s="2" t="s">
        <v>762</v>
      </c>
      <c r="V513" s="4">
        <f>+VLOOKUP(U513,'FBCJ Jul-Des 2025'!$G$10:$P$1302,8,0)</f>
        <v>70108100</v>
      </c>
      <c r="W513" s="4" t="str">
        <f>+VLOOKUP(V513,Sheet1!$A$2:$B$27,2,0)</f>
        <v>Biaya Peralatan Dan Perabot Kantor</v>
      </c>
      <c r="X513" s="4" t="str">
        <f>+VLOOKUP(U513,'FBCJ Jul-Des 2025'!$G$10:$P$1302,9,0)</f>
        <v>R124D1HRGA</v>
      </c>
      <c r="Y513" s="2" t="s">
        <v>43</v>
      </c>
      <c r="Z513" s="2">
        <v>1631293</v>
      </c>
      <c r="AA513" s="2">
        <v>20250909</v>
      </c>
      <c r="AB513" s="3">
        <v>272900</v>
      </c>
    </row>
    <row r="514" spans="3:28" x14ac:dyDescent="0.25">
      <c r="C514" s="2">
        <v>10000001</v>
      </c>
      <c r="D514" s="2" t="s">
        <v>752</v>
      </c>
      <c r="F514" s="2">
        <v>12007416</v>
      </c>
      <c r="H514" s="2" t="s">
        <v>752</v>
      </c>
      <c r="I514" s="2" t="str">
        <f t="shared" si="7"/>
        <v>09</v>
      </c>
      <c r="J514" s="2">
        <v>50</v>
      </c>
      <c r="K514" s="3">
        <v>-730000</v>
      </c>
      <c r="L514" s="2" t="s">
        <v>26</v>
      </c>
      <c r="M514" s="3">
        <v>-730000</v>
      </c>
      <c r="N514" s="2" t="s">
        <v>26</v>
      </c>
      <c r="R514" s="2" t="s">
        <v>27</v>
      </c>
      <c r="S514" s="2" t="s">
        <v>763</v>
      </c>
      <c r="T514" s="2" t="s">
        <v>96</v>
      </c>
      <c r="U514" s="2" t="s">
        <v>764</v>
      </c>
      <c r="V514" s="4">
        <f>+VLOOKUP(U514,'FBCJ Jul-Des 2025'!$G$10:$P$1302,8,0)</f>
        <v>70106400</v>
      </c>
      <c r="W514" s="4" t="str">
        <f>+VLOOKUP(V514,Sheet1!$A$2:$B$27,2,0)</f>
        <v>Biaya Bahan Bakar</v>
      </c>
      <c r="X514" s="4" t="str">
        <f>+VLOOKUP(U514,'FBCJ Jul-Des 2025'!$G$10:$P$1302,9,0)</f>
        <v>R124D1HRGA</v>
      </c>
      <c r="Y514" s="2" t="s">
        <v>43</v>
      </c>
      <c r="Z514" s="2">
        <v>1631293</v>
      </c>
      <c r="AA514" s="2">
        <v>20250909</v>
      </c>
      <c r="AB514" s="3">
        <v>730000</v>
      </c>
    </row>
    <row r="515" spans="3:28" x14ac:dyDescent="0.25">
      <c r="C515" s="2">
        <v>10000001</v>
      </c>
      <c r="D515" s="2" t="s">
        <v>752</v>
      </c>
      <c r="F515" s="2">
        <v>12007417</v>
      </c>
      <c r="H515" s="2" t="s">
        <v>752</v>
      </c>
      <c r="I515" s="2" t="str">
        <f t="shared" si="7"/>
        <v>09</v>
      </c>
      <c r="J515" s="2">
        <v>50</v>
      </c>
      <c r="K515" s="3">
        <v>-269000</v>
      </c>
      <c r="L515" s="2" t="s">
        <v>26</v>
      </c>
      <c r="M515" s="3">
        <v>-269000</v>
      </c>
      <c r="N515" s="2" t="s">
        <v>26</v>
      </c>
      <c r="R515" s="2" t="s">
        <v>27</v>
      </c>
      <c r="S515" s="2" t="s">
        <v>763</v>
      </c>
      <c r="T515" s="2" t="s">
        <v>67</v>
      </c>
      <c r="U515" s="2" t="s">
        <v>765</v>
      </c>
      <c r="V515" s="4">
        <f>+VLOOKUP(U515,'FBCJ Jul-Des 2025'!$G$10:$P$1302,8,0)</f>
        <v>70106100</v>
      </c>
      <c r="W515" s="4" t="str">
        <f>+VLOOKUP(V515,Sheet1!$A$2:$B$27,2,0)</f>
        <v>Biaya Transportasi Lokal</v>
      </c>
      <c r="X515" s="4" t="str">
        <f>+VLOOKUP(U515,'FBCJ Jul-Des 2025'!$G$10:$P$1302,9,0)</f>
        <v>R124D1HRGA</v>
      </c>
      <c r="Y515" s="2" t="s">
        <v>43</v>
      </c>
      <c r="Z515" s="2">
        <v>1631293</v>
      </c>
      <c r="AA515" s="2">
        <v>20250909</v>
      </c>
      <c r="AB515" s="3">
        <v>269000</v>
      </c>
    </row>
    <row r="516" spans="3:28" x14ac:dyDescent="0.25">
      <c r="C516" s="2">
        <v>10000001</v>
      </c>
      <c r="D516" s="2" t="s">
        <v>766</v>
      </c>
      <c r="F516" s="2">
        <v>12007418</v>
      </c>
      <c r="H516" s="2" t="s">
        <v>766</v>
      </c>
      <c r="I516" s="2" t="str">
        <f t="shared" si="7"/>
        <v>09</v>
      </c>
      <c r="J516" s="2">
        <v>50</v>
      </c>
      <c r="K516" s="3">
        <v>-814000</v>
      </c>
      <c r="L516" s="2" t="s">
        <v>26</v>
      </c>
      <c r="M516" s="3">
        <v>-814000</v>
      </c>
      <c r="N516" s="2" t="s">
        <v>26</v>
      </c>
      <c r="R516" s="2" t="s">
        <v>27</v>
      </c>
      <c r="S516" s="2" t="s">
        <v>767</v>
      </c>
      <c r="T516" s="2" t="s">
        <v>57</v>
      </c>
      <c r="U516" s="2" t="s">
        <v>768</v>
      </c>
      <c r="V516" s="4">
        <f>+VLOOKUP(U516,'FBCJ Jul-Des 2025'!$G$10:$P$1302,8,0)</f>
        <v>70101202</v>
      </c>
      <c r="W516" s="4" t="str">
        <f>+VLOOKUP(V516,Sheet1!$A$2:$B$27,2,0)</f>
        <v>By Pemeliharaan Kend,ABerat,Mesin-Material Pihak3</v>
      </c>
      <c r="X516" s="4" t="str">
        <f>+VLOOKUP(U516,'FBCJ Jul-Des 2025'!$G$10:$P$1302,9,0)</f>
        <v>R124MIN</v>
      </c>
      <c r="Y516" s="2" t="s">
        <v>43</v>
      </c>
      <c r="Z516" s="2">
        <v>1631293</v>
      </c>
      <c r="AA516" s="2">
        <v>20250910</v>
      </c>
      <c r="AB516" s="3">
        <v>814000</v>
      </c>
    </row>
    <row r="517" spans="3:28" x14ac:dyDescent="0.25">
      <c r="C517" s="2">
        <v>10000001</v>
      </c>
      <c r="D517" s="2" t="s">
        <v>766</v>
      </c>
      <c r="F517" s="2">
        <v>12007419</v>
      </c>
      <c r="H517" s="2" t="s">
        <v>766</v>
      </c>
      <c r="I517" s="2" t="str">
        <f t="shared" si="7"/>
        <v>09</v>
      </c>
      <c r="J517" s="2">
        <v>50</v>
      </c>
      <c r="K517" s="3">
        <v>-510000</v>
      </c>
      <c r="L517" s="2" t="s">
        <v>26</v>
      </c>
      <c r="M517" s="3">
        <v>-510000</v>
      </c>
      <c r="N517" s="2" t="s">
        <v>26</v>
      </c>
      <c r="R517" s="2" t="s">
        <v>27</v>
      </c>
      <c r="S517" s="2" t="s">
        <v>769</v>
      </c>
      <c r="T517" s="2" t="s">
        <v>67</v>
      </c>
      <c r="U517" s="2" t="s">
        <v>770</v>
      </c>
      <c r="V517" s="4">
        <f>+VLOOKUP(U517,'FBCJ Jul-Des 2025'!$G$10:$P$1302,8,0)</f>
        <v>70106100</v>
      </c>
      <c r="W517" s="4" t="str">
        <f>+VLOOKUP(V517,Sheet1!$A$2:$B$27,2,0)</f>
        <v>Biaya Transportasi Lokal</v>
      </c>
      <c r="X517" s="4" t="str">
        <f>+VLOOKUP(U517,'FBCJ Jul-Des 2025'!$G$10:$P$1302,9,0)</f>
        <v>R124D1HRGA</v>
      </c>
      <c r="Y517" s="2" t="s">
        <v>43</v>
      </c>
      <c r="Z517" s="2">
        <v>1631293</v>
      </c>
      <c r="AA517" s="2">
        <v>20250910</v>
      </c>
      <c r="AB517" s="3">
        <v>510000</v>
      </c>
    </row>
    <row r="518" spans="3:28" x14ac:dyDescent="0.25">
      <c r="C518" s="2">
        <v>10000001</v>
      </c>
      <c r="D518" s="2" t="s">
        <v>766</v>
      </c>
      <c r="F518" s="2">
        <v>12007420</v>
      </c>
      <c r="H518" s="2" t="s">
        <v>766</v>
      </c>
      <c r="I518" s="2" t="str">
        <f t="shared" si="7"/>
        <v>09</v>
      </c>
      <c r="J518" s="2">
        <v>50</v>
      </c>
      <c r="K518" s="3">
        <v>-490000</v>
      </c>
      <c r="L518" s="2" t="s">
        <v>26</v>
      </c>
      <c r="M518" s="3">
        <v>-490000</v>
      </c>
      <c r="N518" s="2" t="s">
        <v>26</v>
      </c>
      <c r="R518" s="2" t="s">
        <v>27</v>
      </c>
      <c r="S518" s="2" t="s">
        <v>769</v>
      </c>
      <c r="T518" s="2" t="s">
        <v>96</v>
      </c>
      <c r="U518" s="2" t="s">
        <v>771</v>
      </c>
      <c r="V518" s="4">
        <f>+VLOOKUP(U518,'FBCJ Jul-Des 2025'!$G$10:$P$1302,8,0)</f>
        <v>70106400</v>
      </c>
      <c r="W518" s="4" t="str">
        <f>+VLOOKUP(V518,Sheet1!$A$2:$B$27,2,0)</f>
        <v>Biaya Bahan Bakar</v>
      </c>
      <c r="X518" s="4" t="str">
        <f>+VLOOKUP(U518,'FBCJ Jul-Des 2025'!$G$10:$P$1302,9,0)</f>
        <v>R124D1HRGA</v>
      </c>
      <c r="Y518" s="2" t="s">
        <v>43</v>
      </c>
      <c r="Z518" s="2">
        <v>1631293</v>
      </c>
      <c r="AA518" s="2">
        <v>20250910</v>
      </c>
      <c r="AB518" s="3">
        <v>490000</v>
      </c>
    </row>
    <row r="519" spans="3:28" x14ac:dyDescent="0.25">
      <c r="C519" s="2">
        <v>10000001</v>
      </c>
      <c r="D519" s="2" t="s">
        <v>766</v>
      </c>
      <c r="F519" s="2">
        <v>12007457</v>
      </c>
      <c r="H519" s="2" t="s">
        <v>766</v>
      </c>
      <c r="I519" s="2" t="str">
        <f t="shared" si="7"/>
        <v>09</v>
      </c>
      <c r="J519" s="2">
        <v>50</v>
      </c>
      <c r="K519" s="3">
        <v>-50000</v>
      </c>
      <c r="L519" s="2" t="s">
        <v>26</v>
      </c>
      <c r="M519" s="3">
        <v>-50000</v>
      </c>
      <c r="N519" s="2" t="s">
        <v>26</v>
      </c>
      <c r="R519" s="2" t="s">
        <v>27</v>
      </c>
      <c r="S519" s="2" t="s">
        <v>772</v>
      </c>
      <c r="T519" s="2" t="s">
        <v>45</v>
      </c>
      <c r="U519" s="2" t="s">
        <v>773</v>
      </c>
      <c r="V519" s="4">
        <f>+VLOOKUP(U519,'FBCJ Jul-Des 2025'!$G$10:$P$1302,8,0)</f>
        <v>70009110</v>
      </c>
      <c r="W519" s="4" t="str">
        <f>+VLOOKUP(V519,Sheet1!$A$2:$B$27,2,0)</f>
        <v>Biaya Survey dan Analisa</v>
      </c>
      <c r="X519" s="4" t="str">
        <f>+VLOOKUP(U519,'FBCJ Jul-Des 2025'!$G$10:$P$1302,9,0)</f>
        <v>M204D1COMM</v>
      </c>
      <c r="Y519" s="2" t="s">
        <v>43</v>
      </c>
      <c r="Z519" s="2">
        <v>1631293</v>
      </c>
      <c r="AA519" s="2">
        <v>20250910</v>
      </c>
      <c r="AB519" s="3">
        <v>50000</v>
      </c>
    </row>
    <row r="520" spans="3:28" x14ac:dyDescent="0.25">
      <c r="C520" s="2">
        <v>10000001</v>
      </c>
      <c r="D520" s="2" t="s">
        <v>766</v>
      </c>
      <c r="F520" s="2">
        <v>12007458</v>
      </c>
      <c r="H520" s="2" t="s">
        <v>766</v>
      </c>
      <c r="I520" s="2" t="str">
        <f t="shared" ref="I520:I583" si="8">+MID(H520,4,2)</f>
        <v>09</v>
      </c>
      <c r="J520" s="2">
        <v>50</v>
      </c>
      <c r="K520" s="3">
        <v>-50000</v>
      </c>
      <c r="L520" s="2" t="s">
        <v>26</v>
      </c>
      <c r="M520" s="3">
        <v>-50000</v>
      </c>
      <c r="N520" s="2" t="s">
        <v>26</v>
      </c>
      <c r="R520" s="2" t="s">
        <v>27</v>
      </c>
      <c r="S520" s="2" t="s">
        <v>772</v>
      </c>
      <c r="T520" s="2" t="s">
        <v>45</v>
      </c>
      <c r="U520" s="2" t="s">
        <v>774</v>
      </c>
      <c r="V520" s="4">
        <f>+VLOOKUP(U520,'FBCJ Jul-Des 2025'!$G$10:$P$1302,8,0)</f>
        <v>70009110</v>
      </c>
      <c r="W520" s="4" t="str">
        <f>+VLOOKUP(V520,Sheet1!$A$2:$B$27,2,0)</f>
        <v>Biaya Survey dan Analisa</v>
      </c>
      <c r="X520" s="4" t="str">
        <f>+VLOOKUP(U520,'FBCJ Jul-Des 2025'!$G$10:$P$1302,9,0)</f>
        <v>M204D1COMM</v>
      </c>
      <c r="Y520" s="2" t="s">
        <v>43</v>
      </c>
      <c r="Z520" s="2">
        <v>1631293</v>
      </c>
      <c r="AA520" s="2">
        <v>20250910</v>
      </c>
      <c r="AB520" s="3">
        <v>50000</v>
      </c>
    </row>
    <row r="521" spans="3:28" x14ac:dyDescent="0.25">
      <c r="C521" s="2">
        <v>10000001</v>
      </c>
      <c r="D521" s="2" t="s">
        <v>775</v>
      </c>
      <c r="F521" s="2">
        <v>12007421</v>
      </c>
      <c r="H521" s="2" t="s">
        <v>775</v>
      </c>
      <c r="I521" s="2" t="str">
        <f t="shared" si="8"/>
        <v>09</v>
      </c>
      <c r="J521" s="2">
        <v>50</v>
      </c>
      <c r="K521" s="3">
        <v>-70000</v>
      </c>
      <c r="L521" s="2" t="s">
        <v>26</v>
      </c>
      <c r="M521" s="3">
        <v>-70000</v>
      </c>
      <c r="N521" s="2" t="s">
        <v>26</v>
      </c>
      <c r="R521" s="2" t="s">
        <v>27</v>
      </c>
      <c r="S521" s="2" t="s">
        <v>776</v>
      </c>
      <c r="T521" s="2" t="s">
        <v>59</v>
      </c>
      <c r="U521" s="2" t="s">
        <v>777</v>
      </c>
      <c r="V521" s="4">
        <f>+VLOOKUP(U521,'FBCJ Jul-Des 2025'!$G$10:$P$1302,8,0)</f>
        <v>70101114</v>
      </c>
      <c r="W521" s="4" t="str">
        <f>+VLOOKUP(V521,Sheet1!$A$2:$B$27,2,0)</f>
        <v>By Perbaikan &amp; Perawatan Perabot Material Pihak3</v>
      </c>
      <c r="X521" s="4" t="str">
        <f>+VLOOKUP(U521,'FBCJ Jul-Des 2025'!$G$10:$P$1302,9,0)</f>
        <v>R124LOG</v>
      </c>
      <c r="Y521" s="2" t="s">
        <v>43</v>
      </c>
      <c r="Z521" s="2">
        <v>1631293</v>
      </c>
      <c r="AA521" s="2">
        <v>20250911</v>
      </c>
      <c r="AB521" s="3">
        <v>70000</v>
      </c>
    </row>
    <row r="522" spans="3:28" x14ac:dyDescent="0.25">
      <c r="C522" s="2">
        <v>10000001</v>
      </c>
      <c r="D522" s="2" t="s">
        <v>775</v>
      </c>
      <c r="F522" s="2">
        <v>12007422</v>
      </c>
      <c r="H522" s="2" t="s">
        <v>775</v>
      </c>
      <c r="I522" s="2" t="str">
        <f t="shared" si="8"/>
        <v>09</v>
      </c>
      <c r="J522" s="2">
        <v>50</v>
      </c>
      <c r="K522" s="3">
        <v>-100000</v>
      </c>
      <c r="L522" s="2" t="s">
        <v>26</v>
      </c>
      <c r="M522" s="3">
        <v>-100000</v>
      </c>
      <c r="N522" s="2" t="s">
        <v>26</v>
      </c>
      <c r="R522" s="2" t="s">
        <v>27</v>
      </c>
      <c r="S522" s="2" t="s">
        <v>778</v>
      </c>
      <c r="T522" s="2" t="s">
        <v>126</v>
      </c>
      <c r="U522" s="2" t="s">
        <v>779</v>
      </c>
      <c r="V522" s="4">
        <f>+VLOOKUP(U522,'FBCJ Jul-Des 2025'!$G$10:$P$1302,8,0)</f>
        <v>70107600</v>
      </c>
      <c r="W522" s="4" t="str">
        <f>+VLOOKUP(V522,Sheet1!$A$2:$B$27,2,0)</f>
        <v>Biaya Konsumsi Kantor</v>
      </c>
      <c r="X522" s="4" t="str">
        <f>+VLOOKUP(U522,'FBCJ Jul-Des 2025'!$G$10:$P$1302,9,0)</f>
        <v>R124D1EHFS</v>
      </c>
      <c r="Y522" s="2" t="s">
        <v>43</v>
      </c>
      <c r="Z522" s="2">
        <v>1631293</v>
      </c>
      <c r="AA522" s="2">
        <v>20250911</v>
      </c>
      <c r="AB522" s="3">
        <v>100000</v>
      </c>
    </row>
    <row r="523" spans="3:28" x14ac:dyDescent="0.25">
      <c r="C523" s="2">
        <v>10000001</v>
      </c>
      <c r="D523" s="2" t="s">
        <v>775</v>
      </c>
      <c r="F523" s="2">
        <v>12007423</v>
      </c>
      <c r="H523" s="2" t="s">
        <v>775</v>
      </c>
      <c r="I523" s="2" t="str">
        <f t="shared" si="8"/>
        <v>09</v>
      </c>
      <c r="J523" s="2">
        <v>50</v>
      </c>
      <c r="K523" s="3">
        <v>-50000</v>
      </c>
      <c r="L523" s="2" t="s">
        <v>26</v>
      </c>
      <c r="M523" s="3">
        <v>-50000</v>
      </c>
      <c r="N523" s="2" t="s">
        <v>26</v>
      </c>
      <c r="R523" s="2" t="s">
        <v>27</v>
      </c>
      <c r="S523" s="2" t="s">
        <v>780</v>
      </c>
      <c r="T523" s="2" t="s">
        <v>45</v>
      </c>
      <c r="U523" s="2" t="s">
        <v>781</v>
      </c>
      <c r="V523" s="4">
        <f>+VLOOKUP(U523,'FBCJ Jul-Des 2025'!$G$10:$P$1302,8,0)</f>
        <v>70009110</v>
      </c>
      <c r="W523" s="4" t="str">
        <f>+VLOOKUP(V523,Sheet1!$A$2:$B$27,2,0)</f>
        <v>Biaya Survey dan Analisa</v>
      </c>
      <c r="X523" s="4" t="str">
        <f>+VLOOKUP(U523,'FBCJ Jul-Des 2025'!$G$10:$P$1302,9,0)</f>
        <v>P206D1SLSS</v>
      </c>
      <c r="Y523" s="2" t="s">
        <v>43</v>
      </c>
      <c r="Z523" s="2">
        <v>1631293</v>
      </c>
      <c r="AA523" s="2">
        <v>20250911</v>
      </c>
      <c r="AB523" s="3">
        <v>50000</v>
      </c>
    </row>
    <row r="524" spans="3:28" x14ac:dyDescent="0.25">
      <c r="C524" s="2">
        <v>10000001</v>
      </c>
      <c r="D524" s="2" t="s">
        <v>775</v>
      </c>
      <c r="F524" s="2">
        <v>12007424</v>
      </c>
      <c r="H524" s="2" t="s">
        <v>775</v>
      </c>
      <c r="I524" s="2" t="str">
        <f t="shared" si="8"/>
        <v>09</v>
      </c>
      <c r="J524" s="2">
        <v>50</v>
      </c>
      <c r="K524" s="3">
        <v>-50000</v>
      </c>
      <c r="L524" s="2" t="s">
        <v>26</v>
      </c>
      <c r="M524" s="3">
        <v>-50000</v>
      </c>
      <c r="N524" s="2" t="s">
        <v>26</v>
      </c>
      <c r="R524" s="2" t="s">
        <v>27</v>
      </c>
      <c r="S524" s="2" t="s">
        <v>780</v>
      </c>
      <c r="T524" s="2" t="s">
        <v>45</v>
      </c>
      <c r="U524" s="2" t="s">
        <v>782</v>
      </c>
      <c r="V524" s="4">
        <f>+VLOOKUP(U524,'FBCJ Jul-Des 2025'!$G$10:$P$1302,8,0)</f>
        <v>70009110</v>
      </c>
      <c r="W524" s="4" t="str">
        <f>+VLOOKUP(V524,Sheet1!$A$2:$B$27,2,0)</f>
        <v>Biaya Survey dan Analisa</v>
      </c>
      <c r="X524" s="4" t="str">
        <f>+VLOOKUP(U524,'FBCJ Jul-Des 2025'!$G$10:$P$1302,9,0)</f>
        <v>P206D1SLSS</v>
      </c>
      <c r="Y524" s="2" t="s">
        <v>43</v>
      </c>
      <c r="Z524" s="2">
        <v>1631293</v>
      </c>
      <c r="AA524" s="2">
        <v>20250911</v>
      </c>
      <c r="AB524" s="3">
        <v>50000</v>
      </c>
    </row>
    <row r="525" spans="3:28" x14ac:dyDescent="0.25">
      <c r="C525" s="2">
        <v>10000001</v>
      </c>
      <c r="D525" s="2" t="s">
        <v>775</v>
      </c>
      <c r="F525" s="2">
        <v>12007425</v>
      </c>
      <c r="H525" s="2" t="s">
        <v>775</v>
      </c>
      <c r="I525" s="2" t="str">
        <f t="shared" si="8"/>
        <v>09</v>
      </c>
      <c r="J525" s="2">
        <v>50</v>
      </c>
      <c r="K525" s="3">
        <v>-50000</v>
      </c>
      <c r="L525" s="2" t="s">
        <v>26</v>
      </c>
      <c r="M525" s="3">
        <v>-50000</v>
      </c>
      <c r="N525" s="2" t="s">
        <v>26</v>
      </c>
      <c r="R525" s="2" t="s">
        <v>27</v>
      </c>
      <c r="S525" s="2" t="s">
        <v>780</v>
      </c>
      <c r="T525" s="2" t="s">
        <v>45</v>
      </c>
      <c r="U525" s="2" t="s">
        <v>783</v>
      </c>
      <c r="V525" s="4">
        <f>+VLOOKUP(U525,'FBCJ Jul-Des 2025'!$G$10:$P$1302,8,0)</f>
        <v>70009110</v>
      </c>
      <c r="W525" s="4" t="str">
        <f>+VLOOKUP(V525,Sheet1!$A$2:$B$27,2,0)</f>
        <v>Biaya Survey dan Analisa</v>
      </c>
      <c r="X525" s="4" t="str">
        <f>+VLOOKUP(U525,'FBCJ Jul-Des 2025'!$G$10:$P$1302,9,0)</f>
        <v>P206D1SLSS</v>
      </c>
      <c r="Y525" s="2" t="s">
        <v>43</v>
      </c>
      <c r="Z525" s="2">
        <v>1631293</v>
      </c>
      <c r="AA525" s="2">
        <v>20250911</v>
      </c>
      <c r="AB525" s="3">
        <v>50000</v>
      </c>
    </row>
    <row r="526" spans="3:28" x14ac:dyDescent="0.25">
      <c r="C526" s="2">
        <v>10000001</v>
      </c>
      <c r="D526" s="2" t="s">
        <v>775</v>
      </c>
      <c r="F526" s="2">
        <v>12007426</v>
      </c>
      <c r="H526" s="2" t="s">
        <v>775</v>
      </c>
      <c r="I526" s="2" t="str">
        <f t="shared" si="8"/>
        <v>09</v>
      </c>
      <c r="J526" s="2">
        <v>50</v>
      </c>
      <c r="K526" s="3">
        <v>-50000</v>
      </c>
      <c r="L526" s="2" t="s">
        <v>26</v>
      </c>
      <c r="M526" s="3">
        <v>-50000</v>
      </c>
      <c r="N526" s="2" t="s">
        <v>26</v>
      </c>
      <c r="R526" s="2" t="s">
        <v>27</v>
      </c>
      <c r="S526" s="2" t="s">
        <v>780</v>
      </c>
      <c r="T526" s="2" t="s">
        <v>45</v>
      </c>
      <c r="U526" s="2" t="s">
        <v>784</v>
      </c>
      <c r="V526" s="4">
        <f>+VLOOKUP(U526,'FBCJ Jul-Des 2025'!$G$10:$P$1302,8,0)</f>
        <v>70009110</v>
      </c>
      <c r="W526" s="4" t="str">
        <f>+VLOOKUP(V526,Sheet1!$A$2:$B$27,2,0)</f>
        <v>Biaya Survey dan Analisa</v>
      </c>
      <c r="X526" s="4" t="str">
        <f>+VLOOKUP(U526,'FBCJ Jul-Des 2025'!$G$10:$P$1302,9,0)</f>
        <v>P206D1SLSS</v>
      </c>
      <c r="Y526" s="2" t="s">
        <v>43</v>
      </c>
      <c r="Z526" s="2">
        <v>1631293</v>
      </c>
      <c r="AA526" s="2">
        <v>20250911</v>
      </c>
      <c r="AB526" s="3">
        <v>50000</v>
      </c>
    </row>
    <row r="527" spans="3:28" x14ac:dyDescent="0.25">
      <c r="C527" s="2">
        <v>10000001</v>
      </c>
      <c r="D527" s="2" t="s">
        <v>775</v>
      </c>
      <c r="F527" s="2">
        <v>12007427</v>
      </c>
      <c r="H527" s="2" t="s">
        <v>775</v>
      </c>
      <c r="I527" s="2" t="str">
        <f t="shared" si="8"/>
        <v>09</v>
      </c>
      <c r="J527" s="2">
        <v>50</v>
      </c>
      <c r="K527" s="3">
        <v>-24000</v>
      </c>
      <c r="L527" s="2" t="s">
        <v>26</v>
      </c>
      <c r="M527" s="3">
        <v>-24000</v>
      </c>
      <c r="N527" s="2" t="s">
        <v>26</v>
      </c>
      <c r="R527" s="2" t="s">
        <v>27</v>
      </c>
      <c r="S527" s="2" t="s">
        <v>785</v>
      </c>
      <c r="T527" s="2" t="s">
        <v>274</v>
      </c>
      <c r="U527" s="2" t="s">
        <v>786</v>
      </c>
      <c r="V527" s="4">
        <f>+VLOOKUP(U527,'FBCJ Jul-Des 2025'!$G$10:$P$1302,8,0)</f>
        <v>70108100</v>
      </c>
      <c r="W527" s="4" t="str">
        <f>+VLOOKUP(V527,Sheet1!$A$2:$B$27,2,0)</f>
        <v>Biaya Peralatan Dan Perabot Kantor</v>
      </c>
      <c r="X527" s="4" t="str">
        <f>+VLOOKUP(U527,'FBCJ Jul-Des 2025'!$G$10:$P$1302,9,0)</f>
        <v>R124WHRS</v>
      </c>
      <c r="Y527" s="2" t="s">
        <v>43</v>
      </c>
      <c r="Z527" s="2">
        <v>1631293</v>
      </c>
      <c r="AA527" s="2">
        <v>20250911</v>
      </c>
      <c r="AB527" s="3">
        <v>24000</v>
      </c>
    </row>
    <row r="528" spans="3:28" x14ac:dyDescent="0.25">
      <c r="C528" s="2">
        <v>10000001</v>
      </c>
      <c r="D528" s="2" t="s">
        <v>787</v>
      </c>
      <c r="F528" s="2">
        <v>12007428</v>
      </c>
      <c r="H528" s="2" t="s">
        <v>787</v>
      </c>
      <c r="I528" s="2" t="str">
        <f t="shared" si="8"/>
        <v>09</v>
      </c>
      <c r="J528" s="2">
        <v>50</v>
      </c>
      <c r="K528" s="3">
        <v>-50000</v>
      </c>
      <c r="L528" s="2" t="s">
        <v>26</v>
      </c>
      <c r="M528" s="3">
        <v>-50000</v>
      </c>
      <c r="N528" s="2" t="s">
        <v>26</v>
      </c>
      <c r="R528" s="2" t="s">
        <v>27</v>
      </c>
      <c r="S528" s="2" t="s">
        <v>788</v>
      </c>
      <c r="T528" s="2" t="s">
        <v>45</v>
      </c>
      <c r="U528" s="2" t="s">
        <v>789</v>
      </c>
      <c r="V528" s="4">
        <f>+VLOOKUP(U528,'FBCJ Jul-Des 2025'!$G$10:$P$1302,8,0)</f>
        <v>70009110</v>
      </c>
      <c r="W528" s="4" t="str">
        <f>+VLOOKUP(V528,Sheet1!$A$2:$B$27,2,0)</f>
        <v>Biaya Survey dan Analisa</v>
      </c>
      <c r="X528" s="4" t="str">
        <f>+VLOOKUP(U528,'FBCJ Jul-Des 2025'!$G$10:$P$1302,9,0)</f>
        <v>P206D1SLSS</v>
      </c>
      <c r="Y528" s="2" t="s">
        <v>43</v>
      </c>
      <c r="Z528" s="2">
        <v>1631293</v>
      </c>
      <c r="AA528" s="2">
        <v>20250912</v>
      </c>
      <c r="AB528" s="3">
        <v>50000</v>
      </c>
    </row>
    <row r="529" spans="3:28" x14ac:dyDescent="0.25">
      <c r="C529" s="2">
        <v>10000001</v>
      </c>
      <c r="D529" s="2" t="s">
        <v>787</v>
      </c>
      <c r="F529" s="2">
        <v>12007429</v>
      </c>
      <c r="H529" s="2" t="s">
        <v>787</v>
      </c>
      <c r="I529" s="2" t="str">
        <f t="shared" si="8"/>
        <v>09</v>
      </c>
      <c r="J529" s="2">
        <v>50</v>
      </c>
      <c r="K529" s="3">
        <v>-50000</v>
      </c>
      <c r="L529" s="2" t="s">
        <v>26</v>
      </c>
      <c r="M529" s="3">
        <v>-50000</v>
      </c>
      <c r="N529" s="2" t="s">
        <v>26</v>
      </c>
      <c r="R529" s="2" t="s">
        <v>27</v>
      </c>
      <c r="S529" s="2" t="s">
        <v>788</v>
      </c>
      <c r="T529" s="2" t="s">
        <v>45</v>
      </c>
      <c r="U529" s="2" t="s">
        <v>790</v>
      </c>
      <c r="V529" s="4">
        <f>+VLOOKUP(U529,'FBCJ Jul-Des 2025'!$G$10:$P$1302,8,0)</f>
        <v>70009110</v>
      </c>
      <c r="W529" s="4" t="str">
        <f>+VLOOKUP(V529,Sheet1!$A$2:$B$27,2,0)</f>
        <v>Biaya Survey dan Analisa</v>
      </c>
      <c r="X529" s="4" t="str">
        <f>+VLOOKUP(U529,'FBCJ Jul-Des 2025'!$G$10:$P$1302,9,0)</f>
        <v>M204D1COMM</v>
      </c>
      <c r="Y529" s="2" t="s">
        <v>43</v>
      </c>
      <c r="Z529" s="2">
        <v>1631293</v>
      </c>
      <c r="AA529" s="2">
        <v>20250912</v>
      </c>
      <c r="AB529" s="3">
        <v>50000</v>
      </c>
    </row>
    <row r="530" spans="3:28" x14ac:dyDescent="0.25">
      <c r="C530" s="2">
        <v>10000001</v>
      </c>
      <c r="D530" s="2" t="s">
        <v>787</v>
      </c>
      <c r="F530" s="2">
        <v>12007430</v>
      </c>
      <c r="H530" s="2" t="s">
        <v>787</v>
      </c>
      <c r="I530" s="2" t="str">
        <f t="shared" si="8"/>
        <v>09</v>
      </c>
      <c r="J530" s="2">
        <v>50</v>
      </c>
      <c r="K530" s="3">
        <v>-50000</v>
      </c>
      <c r="L530" s="2" t="s">
        <v>26</v>
      </c>
      <c r="M530" s="3">
        <v>-50000</v>
      </c>
      <c r="N530" s="2" t="s">
        <v>26</v>
      </c>
      <c r="R530" s="2" t="s">
        <v>27</v>
      </c>
      <c r="S530" s="2" t="s">
        <v>788</v>
      </c>
      <c r="T530" s="2" t="s">
        <v>45</v>
      </c>
      <c r="U530" s="2" t="s">
        <v>791</v>
      </c>
      <c r="V530" s="4">
        <f>+VLOOKUP(U530,'FBCJ Jul-Des 2025'!$G$10:$P$1302,8,0)</f>
        <v>70009110</v>
      </c>
      <c r="W530" s="4" t="str">
        <f>+VLOOKUP(V530,Sheet1!$A$2:$B$27,2,0)</f>
        <v>Biaya Survey dan Analisa</v>
      </c>
      <c r="X530" s="4" t="str">
        <f>+VLOOKUP(U530,'FBCJ Jul-Des 2025'!$G$10:$P$1302,9,0)</f>
        <v>P206D1SLSC</v>
      </c>
      <c r="Y530" s="2" t="s">
        <v>43</v>
      </c>
      <c r="Z530" s="2">
        <v>1631293</v>
      </c>
      <c r="AA530" s="2">
        <v>20250912</v>
      </c>
      <c r="AB530" s="3">
        <v>50000</v>
      </c>
    </row>
    <row r="531" spans="3:28" x14ac:dyDescent="0.25">
      <c r="C531" s="2">
        <v>10000001</v>
      </c>
      <c r="D531" s="2" t="s">
        <v>787</v>
      </c>
      <c r="F531" s="2">
        <v>12007431</v>
      </c>
      <c r="H531" s="2" t="s">
        <v>787</v>
      </c>
      <c r="I531" s="2" t="str">
        <f t="shared" si="8"/>
        <v>09</v>
      </c>
      <c r="J531" s="2">
        <v>50</v>
      </c>
      <c r="K531" s="3">
        <v>-50000</v>
      </c>
      <c r="L531" s="2" t="s">
        <v>26</v>
      </c>
      <c r="M531" s="3">
        <v>-50000</v>
      </c>
      <c r="N531" s="2" t="s">
        <v>26</v>
      </c>
      <c r="R531" s="2" t="s">
        <v>27</v>
      </c>
      <c r="S531" s="2" t="s">
        <v>788</v>
      </c>
      <c r="T531" s="2" t="s">
        <v>45</v>
      </c>
      <c r="U531" s="2" t="s">
        <v>792</v>
      </c>
      <c r="V531" s="4">
        <f>+VLOOKUP(U531,'FBCJ Jul-Des 2025'!$G$10:$P$1302,8,0)</f>
        <v>70009110</v>
      </c>
      <c r="W531" s="4" t="str">
        <f>+VLOOKUP(V531,Sheet1!$A$2:$B$27,2,0)</f>
        <v>Biaya Survey dan Analisa</v>
      </c>
      <c r="X531" s="4" t="str">
        <f>+VLOOKUP(U531,'FBCJ Jul-Des 2025'!$G$10:$P$1302,9,0)</f>
        <v>P206D1SLSC</v>
      </c>
      <c r="Y531" s="2" t="s">
        <v>43</v>
      </c>
      <c r="Z531" s="2">
        <v>1631293</v>
      </c>
      <c r="AA531" s="2">
        <v>20250912</v>
      </c>
      <c r="AB531" s="3">
        <v>50000</v>
      </c>
    </row>
    <row r="532" spans="3:28" x14ac:dyDescent="0.25">
      <c r="C532" s="2">
        <v>10000001</v>
      </c>
      <c r="D532" s="2" t="s">
        <v>787</v>
      </c>
      <c r="F532" s="2">
        <v>12007432</v>
      </c>
      <c r="H532" s="2" t="s">
        <v>787</v>
      </c>
      <c r="I532" s="2" t="str">
        <f t="shared" si="8"/>
        <v>09</v>
      </c>
      <c r="J532" s="2">
        <v>50</v>
      </c>
      <c r="K532" s="3">
        <v>-50000</v>
      </c>
      <c r="L532" s="2" t="s">
        <v>26</v>
      </c>
      <c r="M532" s="3">
        <v>-50000</v>
      </c>
      <c r="N532" s="2" t="s">
        <v>26</v>
      </c>
      <c r="R532" s="2" t="s">
        <v>27</v>
      </c>
      <c r="S532" s="2" t="s">
        <v>788</v>
      </c>
      <c r="T532" s="2" t="s">
        <v>45</v>
      </c>
      <c r="U532" s="2" t="s">
        <v>793</v>
      </c>
      <c r="V532" s="4">
        <f>+VLOOKUP(U532,'FBCJ Jul-Des 2025'!$G$10:$P$1302,8,0)</f>
        <v>70009110</v>
      </c>
      <c r="W532" s="4" t="str">
        <f>+VLOOKUP(V532,Sheet1!$A$2:$B$27,2,0)</f>
        <v>Biaya Survey dan Analisa</v>
      </c>
      <c r="X532" s="4" t="str">
        <f>+VLOOKUP(U532,'FBCJ Jul-Des 2025'!$G$10:$P$1302,9,0)</f>
        <v>P206D1SLSS</v>
      </c>
      <c r="Y532" s="2" t="s">
        <v>43</v>
      </c>
      <c r="Z532" s="2">
        <v>1631293</v>
      </c>
      <c r="AA532" s="2">
        <v>20250912</v>
      </c>
      <c r="AB532" s="3">
        <v>50000</v>
      </c>
    </row>
    <row r="533" spans="3:28" x14ac:dyDescent="0.25">
      <c r="C533" s="2">
        <v>10000001</v>
      </c>
      <c r="D533" s="2" t="s">
        <v>787</v>
      </c>
      <c r="F533" s="2">
        <v>12007433</v>
      </c>
      <c r="H533" s="2" t="s">
        <v>787</v>
      </c>
      <c r="I533" s="2" t="str">
        <f t="shared" si="8"/>
        <v>09</v>
      </c>
      <c r="J533" s="2">
        <v>50</v>
      </c>
      <c r="K533" s="3">
        <v>-50000</v>
      </c>
      <c r="L533" s="2" t="s">
        <v>26</v>
      </c>
      <c r="M533" s="3">
        <v>-50000</v>
      </c>
      <c r="N533" s="2" t="s">
        <v>26</v>
      </c>
      <c r="R533" s="2" t="s">
        <v>27</v>
      </c>
      <c r="S533" s="2" t="s">
        <v>794</v>
      </c>
      <c r="T533" s="2" t="s">
        <v>45</v>
      </c>
      <c r="U533" s="2" t="s">
        <v>795</v>
      </c>
      <c r="V533" s="4">
        <f>+VLOOKUP(U533,'FBCJ Jul-Des 2025'!$G$10:$P$1302,8,0)</f>
        <v>70009110</v>
      </c>
      <c r="W533" s="4" t="str">
        <f>+VLOOKUP(V533,Sheet1!$A$2:$B$27,2,0)</f>
        <v>Biaya Survey dan Analisa</v>
      </c>
      <c r="X533" s="4" t="str">
        <f>+VLOOKUP(U533,'FBCJ Jul-Des 2025'!$G$10:$P$1302,9,0)</f>
        <v>P206D1SLSC</v>
      </c>
      <c r="Y533" s="2" t="s">
        <v>43</v>
      </c>
      <c r="Z533" s="2">
        <v>1631293</v>
      </c>
      <c r="AA533" s="2">
        <v>20250912</v>
      </c>
      <c r="AB533" s="3">
        <v>50000</v>
      </c>
    </row>
    <row r="534" spans="3:28" x14ac:dyDescent="0.25">
      <c r="C534" s="2">
        <v>10000001</v>
      </c>
      <c r="D534" s="2" t="s">
        <v>787</v>
      </c>
      <c r="F534" s="2">
        <v>12007434</v>
      </c>
      <c r="H534" s="2" t="s">
        <v>787</v>
      </c>
      <c r="I534" s="2" t="str">
        <f t="shared" si="8"/>
        <v>09</v>
      </c>
      <c r="J534" s="2">
        <v>50</v>
      </c>
      <c r="K534" s="3">
        <v>-50000</v>
      </c>
      <c r="L534" s="2" t="s">
        <v>26</v>
      </c>
      <c r="M534" s="3">
        <v>-50000</v>
      </c>
      <c r="N534" s="2" t="s">
        <v>26</v>
      </c>
      <c r="R534" s="2" t="s">
        <v>27</v>
      </c>
      <c r="S534" s="2" t="s">
        <v>794</v>
      </c>
      <c r="T534" s="2" t="s">
        <v>45</v>
      </c>
      <c r="U534" s="2" t="s">
        <v>796</v>
      </c>
      <c r="V534" s="4">
        <f>+VLOOKUP(U534,'FBCJ Jul-Des 2025'!$G$10:$P$1302,8,0)</f>
        <v>70009110</v>
      </c>
      <c r="W534" s="4" t="str">
        <f>+VLOOKUP(V534,Sheet1!$A$2:$B$27,2,0)</f>
        <v>Biaya Survey dan Analisa</v>
      </c>
      <c r="X534" s="4" t="str">
        <f>+VLOOKUP(U534,'FBCJ Jul-Des 2025'!$G$10:$P$1302,9,0)</f>
        <v>P206D1SLSC</v>
      </c>
      <c r="Y534" s="2" t="s">
        <v>43</v>
      </c>
      <c r="Z534" s="2">
        <v>1631293</v>
      </c>
      <c r="AA534" s="2">
        <v>20250912</v>
      </c>
      <c r="AB534" s="3">
        <v>50000</v>
      </c>
    </row>
    <row r="535" spans="3:28" x14ac:dyDescent="0.25">
      <c r="C535" s="2">
        <v>10000001</v>
      </c>
      <c r="D535" s="2" t="s">
        <v>787</v>
      </c>
      <c r="F535" s="2">
        <v>12007435</v>
      </c>
      <c r="H535" s="2" t="s">
        <v>787</v>
      </c>
      <c r="I535" s="2" t="str">
        <f t="shared" si="8"/>
        <v>09</v>
      </c>
      <c r="J535" s="2">
        <v>50</v>
      </c>
      <c r="K535" s="3">
        <v>-50000</v>
      </c>
      <c r="L535" s="2" t="s">
        <v>26</v>
      </c>
      <c r="M535" s="3">
        <v>-50000</v>
      </c>
      <c r="N535" s="2" t="s">
        <v>26</v>
      </c>
      <c r="R535" s="2" t="s">
        <v>27</v>
      </c>
      <c r="S535" s="2" t="s">
        <v>794</v>
      </c>
      <c r="T535" s="2" t="s">
        <v>45</v>
      </c>
      <c r="U535" s="2" t="s">
        <v>797</v>
      </c>
      <c r="V535" s="4">
        <f>+VLOOKUP(U535,'FBCJ Jul-Des 2025'!$G$10:$P$1302,8,0)</f>
        <v>70009110</v>
      </c>
      <c r="W535" s="4" t="str">
        <f>+VLOOKUP(V535,Sheet1!$A$2:$B$27,2,0)</f>
        <v>Biaya Survey dan Analisa</v>
      </c>
      <c r="X535" s="4" t="str">
        <f>+VLOOKUP(U535,'FBCJ Jul-Des 2025'!$G$10:$P$1302,9,0)</f>
        <v>P206D1SLSS</v>
      </c>
      <c r="Y535" s="2" t="s">
        <v>43</v>
      </c>
      <c r="Z535" s="2">
        <v>1631293</v>
      </c>
      <c r="AA535" s="2">
        <v>20250912</v>
      </c>
      <c r="AB535" s="3">
        <v>50000</v>
      </c>
    </row>
    <row r="536" spans="3:28" x14ac:dyDescent="0.25">
      <c r="C536" s="2">
        <v>10000001</v>
      </c>
      <c r="D536" s="2" t="s">
        <v>787</v>
      </c>
      <c r="F536" s="2">
        <v>12007436</v>
      </c>
      <c r="H536" s="2" t="s">
        <v>787</v>
      </c>
      <c r="I536" s="2" t="str">
        <f t="shared" si="8"/>
        <v>09</v>
      </c>
      <c r="J536" s="2">
        <v>50</v>
      </c>
      <c r="K536" s="3">
        <v>-610000</v>
      </c>
      <c r="L536" s="2" t="s">
        <v>26</v>
      </c>
      <c r="M536" s="3">
        <v>-610000</v>
      </c>
      <c r="N536" s="2" t="s">
        <v>26</v>
      </c>
      <c r="R536" s="2" t="s">
        <v>27</v>
      </c>
      <c r="S536" s="2" t="s">
        <v>798</v>
      </c>
      <c r="T536" s="2" t="s">
        <v>96</v>
      </c>
      <c r="U536" s="2" t="s">
        <v>799</v>
      </c>
      <c r="V536" s="4">
        <f>+VLOOKUP(U536,'FBCJ Jul-Des 2025'!$G$10:$P$1302,8,0)</f>
        <v>70106400</v>
      </c>
      <c r="W536" s="4" t="str">
        <f>+VLOOKUP(V536,Sheet1!$A$2:$B$27,2,0)</f>
        <v>Biaya Bahan Bakar</v>
      </c>
      <c r="X536" s="4" t="str">
        <f>+VLOOKUP(U536,'FBCJ Jul-Des 2025'!$G$10:$P$1302,9,0)</f>
        <v>R124D1HRGA</v>
      </c>
      <c r="Y536" s="2" t="s">
        <v>43</v>
      </c>
      <c r="Z536" s="2">
        <v>1631293</v>
      </c>
      <c r="AA536" s="2">
        <v>20250912</v>
      </c>
      <c r="AB536" s="3">
        <v>610000</v>
      </c>
    </row>
    <row r="537" spans="3:28" x14ac:dyDescent="0.25">
      <c r="C537" s="2">
        <v>10000001</v>
      </c>
      <c r="D537" s="2" t="s">
        <v>787</v>
      </c>
      <c r="F537" s="2">
        <v>12007437</v>
      </c>
      <c r="H537" s="2" t="s">
        <v>787</v>
      </c>
      <c r="I537" s="2" t="str">
        <f t="shared" si="8"/>
        <v>09</v>
      </c>
      <c r="J537" s="2">
        <v>50</v>
      </c>
      <c r="K537" s="3">
        <v>-390000</v>
      </c>
      <c r="L537" s="2" t="s">
        <v>26</v>
      </c>
      <c r="M537" s="3">
        <v>-390000</v>
      </c>
      <c r="N537" s="2" t="s">
        <v>26</v>
      </c>
      <c r="R537" s="2" t="s">
        <v>27</v>
      </c>
      <c r="S537" s="2" t="s">
        <v>798</v>
      </c>
      <c r="T537" s="2" t="s">
        <v>67</v>
      </c>
      <c r="U537" s="2" t="s">
        <v>800</v>
      </c>
      <c r="V537" s="4">
        <f>+VLOOKUP(U537,'FBCJ Jul-Des 2025'!$G$10:$P$1302,8,0)</f>
        <v>70106100</v>
      </c>
      <c r="W537" s="4" t="str">
        <f>+VLOOKUP(V537,Sheet1!$A$2:$B$27,2,0)</f>
        <v>Biaya Transportasi Lokal</v>
      </c>
      <c r="X537" s="4" t="str">
        <f>+VLOOKUP(U537,'FBCJ Jul-Des 2025'!$G$10:$P$1302,9,0)</f>
        <v>R124D1HRGA</v>
      </c>
      <c r="Y537" s="2" t="s">
        <v>43</v>
      </c>
      <c r="Z537" s="2">
        <v>1631293</v>
      </c>
      <c r="AA537" s="2">
        <v>20250912</v>
      </c>
      <c r="AB537" s="3">
        <v>390000</v>
      </c>
    </row>
    <row r="538" spans="3:28" x14ac:dyDescent="0.25">
      <c r="C538" s="2">
        <v>10000001</v>
      </c>
      <c r="D538" s="2" t="s">
        <v>787</v>
      </c>
      <c r="F538" s="2">
        <v>12007438</v>
      </c>
      <c r="H538" s="2" t="s">
        <v>787</v>
      </c>
      <c r="I538" s="2" t="str">
        <f t="shared" si="8"/>
        <v>09</v>
      </c>
      <c r="J538" s="2">
        <v>50</v>
      </c>
      <c r="K538" s="3">
        <v>-100000</v>
      </c>
      <c r="L538" s="2" t="s">
        <v>26</v>
      </c>
      <c r="M538" s="3">
        <v>-100000</v>
      </c>
      <c r="N538" s="2" t="s">
        <v>26</v>
      </c>
      <c r="R538" s="2" t="s">
        <v>27</v>
      </c>
      <c r="S538" s="2" t="s">
        <v>801</v>
      </c>
      <c r="T538" s="2" t="s">
        <v>259</v>
      </c>
      <c r="U538" s="2" t="s">
        <v>802</v>
      </c>
      <c r="V538" s="4">
        <f>+VLOOKUP(U538,'FBCJ Jul-Des 2025'!$G$10:$P$1302,8,0)</f>
        <v>70119300</v>
      </c>
      <c r="W538" s="4" t="str">
        <f>+VLOOKUP(V538,Sheet1!$A$2:$B$27,2,0)</f>
        <v>Biaya Umum dan Administrasi</v>
      </c>
      <c r="X538" s="4" t="str">
        <f>+VLOOKUP(U538,'FBCJ Jul-Des 2025'!$G$10:$P$1302,9,0)</f>
        <v>R124D1MGMT</v>
      </c>
      <c r="Y538" s="2" t="s">
        <v>43</v>
      </c>
      <c r="Z538" s="2">
        <v>1631293</v>
      </c>
      <c r="AA538" s="2">
        <v>20250912</v>
      </c>
      <c r="AB538" s="3">
        <v>100000</v>
      </c>
    </row>
    <row r="539" spans="3:28" x14ac:dyDescent="0.25">
      <c r="C539" s="2">
        <v>10000001</v>
      </c>
      <c r="D539" s="2" t="s">
        <v>787</v>
      </c>
      <c r="F539" s="2">
        <v>12007439</v>
      </c>
      <c r="H539" s="2" t="s">
        <v>787</v>
      </c>
      <c r="I539" s="2" t="str">
        <f t="shared" si="8"/>
        <v>09</v>
      </c>
      <c r="J539" s="2">
        <v>50</v>
      </c>
      <c r="K539" s="3">
        <v>-166800</v>
      </c>
      <c r="L539" s="2" t="s">
        <v>26</v>
      </c>
      <c r="M539" s="3">
        <v>-166800</v>
      </c>
      <c r="N539" s="2" t="s">
        <v>26</v>
      </c>
      <c r="R539" s="2" t="s">
        <v>27</v>
      </c>
      <c r="S539" s="2" t="s">
        <v>803</v>
      </c>
      <c r="T539" s="2" t="s">
        <v>126</v>
      </c>
      <c r="U539" s="2" t="s">
        <v>804</v>
      </c>
      <c r="V539" s="4">
        <f>+VLOOKUP(U539,'FBCJ Jul-Des 2025'!$G$10:$P$1302,8,0)</f>
        <v>70107600</v>
      </c>
      <c r="W539" s="4" t="str">
        <f>+VLOOKUP(V539,Sheet1!$A$2:$B$27,2,0)</f>
        <v>Biaya Konsumsi Kantor</v>
      </c>
      <c r="X539" s="4" t="str">
        <f>+VLOOKUP(U539,'FBCJ Jul-Des 2025'!$G$10:$P$1302,9,0)</f>
        <v>R124D1MGMT</v>
      </c>
      <c r="Y539" s="2" t="s">
        <v>43</v>
      </c>
      <c r="Z539" s="2">
        <v>1631293</v>
      </c>
      <c r="AA539" s="2">
        <v>20250912</v>
      </c>
      <c r="AB539" s="3">
        <v>166800</v>
      </c>
    </row>
    <row r="540" spans="3:28" x14ac:dyDescent="0.25">
      <c r="C540" s="2">
        <v>10000001</v>
      </c>
      <c r="D540" s="2" t="s">
        <v>787</v>
      </c>
      <c r="F540" s="2">
        <v>12007440</v>
      </c>
      <c r="H540" s="2" t="s">
        <v>787</v>
      </c>
      <c r="I540" s="2" t="str">
        <f t="shared" si="8"/>
        <v>09</v>
      </c>
      <c r="J540" s="2">
        <v>50</v>
      </c>
      <c r="K540" s="3">
        <v>-105500</v>
      </c>
      <c r="L540" s="2" t="s">
        <v>26</v>
      </c>
      <c r="M540" s="3">
        <v>-105500</v>
      </c>
      <c r="N540" s="2" t="s">
        <v>26</v>
      </c>
      <c r="R540" s="2" t="s">
        <v>27</v>
      </c>
      <c r="S540" s="2" t="s">
        <v>803</v>
      </c>
      <c r="T540" s="2" t="s">
        <v>274</v>
      </c>
      <c r="U540" s="2" t="s">
        <v>805</v>
      </c>
      <c r="V540" s="4">
        <f>+VLOOKUP(U540,'FBCJ Jul-Des 2025'!$G$10:$P$1302,8,0)</f>
        <v>70108100</v>
      </c>
      <c r="W540" s="4" t="str">
        <f>+VLOOKUP(V540,Sheet1!$A$2:$B$27,2,0)</f>
        <v>Biaya Peralatan Dan Perabot Kantor</v>
      </c>
      <c r="X540" s="4" t="str">
        <f>+VLOOKUP(U540,'FBCJ Jul-Des 2025'!$G$10:$P$1302,9,0)</f>
        <v>R124D1MGMT</v>
      </c>
      <c r="Y540" s="2" t="s">
        <v>43</v>
      </c>
      <c r="Z540" s="2">
        <v>1631293</v>
      </c>
      <c r="AA540" s="2">
        <v>20250912</v>
      </c>
      <c r="AB540" s="3">
        <v>105500</v>
      </c>
    </row>
    <row r="541" spans="3:28" x14ac:dyDescent="0.25">
      <c r="C541" s="2">
        <v>10000001</v>
      </c>
      <c r="D541" s="2" t="s">
        <v>787</v>
      </c>
      <c r="F541" s="2">
        <v>12007441</v>
      </c>
      <c r="H541" s="2" t="s">
        <v>787</v>
      </c>
      <c r="I541" s="2" t="str">
        <f t="shared" si="8"/>
        <v>09</v>
      </c>
      <c r="J541" s="2">
        <v>50</v>
      </c>
      <c r="K541" s="3">
        <v>-246000</v>
      </c>
      <c r="L541" s="2" t="s">
        <v>26</v>
      </c>
      <c r="M541" s="3">
        <v>-246000</v>
      </c>
      <c r="N541" s="2" t="s">
        <v>26</v>
      </c>
      <c r="R541" s="2" t="s">
        <v>27</v>
      </c>
      <c r="S541" s="2" t="s">
        <v>806</v>
      </c>
      <c r="T541" s="2" t="s">
        <v>126</v>
      </c>
      <c r="U541" s="2" t="s">
        <v>807</v>
      </c>
      <c r="V541" s="4">
        <f>+VLOOKUP(U541,'FBCJ Jul-Des 2025'!$G$10:$P$1302,8,0)</f>
        <v>70107600</v>
      </c>
      <c r="W541" s="4" t="str">
        <f>+VLOOKUP(V541,Sheet1!$A$2:$B$27,2,0)</f>
        <v>Biaya Konsumsi Kantor</v>
      </c>
      <c r="X541" s="4" t="str">
        <f>+VLOOKUP(U541,'FBCJ Jul-Des 2025'!$G$10:$P$1302,9,0)</f>
        <v>R124D1MGMT</v>
      </c>
      <c r="Y541" s="2" t="s">
        <v>43</v>
      </c>
      <c r="Z541" s="2">
        <v>1631293</v>
      </c>
      <c r="AA541" s="2">
        <v>20250912</v>
      </c>
      <c r="AB541" s="3">
        <v>246000</v>
      </c>
    </row>
    <row r="542" spans="3:28" x14ac:dyDescent="0.25">
      <c r="C542" s="2">
        <v>10000001</v>
      </c>
      <c r="D542" s="2" t="s">
        <v>787</v>
      </c>
      <c r="F542" s="2">
        <v>12007442</v>
      </c>
      <c r="H542" s="2" t="s">
        <v>787</v>
      </c>
      <c r="I542" s="2" t="str">
        <f t="shared" si="8"/>
        <v>09</v>
      </c>
      <c r="J542" s="2">
        <v>50</v>
      </c>
      <c r="K542" s="3">
        <v>-350000</v>
      </c>
      <c r="L542" s="2" t="s">
        <v>26</v>
      </c>
      <c r="M542" s="3">
        <v>-350000</v>
      </c>
      <c r="N542" s="2" t="s">
        <v>26</v>
      </c>
      <c r="R542" s="2" t="s">
        <v>27</v>
      </c>
      <c r="S542" s="2" t="s">
        <v>808</v>
      </c>
      <c r="T542" s="2" t="s">
        <v>281</v>
      </c>
      <c r="U542" s="2" t="s">
        <v>809</v>
      </c>
      <c r="V542" s="4">
        <f>+VLOOKUP(U542,'FBCJ Jul-Des 2025'!$G$10:$P$1302,8,0)</f>
        <v>70110110</v>
      </c>
      <c r="W542" s="4" t="str">
        <f>+VLOOKUP(V542,Sheet1!$A$2:$B$27,2,0)</f>
        <v>Biaya Organisasi Professional Nasional</v>
      </c>
      <c r="X542" s="4" t="str">
        <f>+VLOOKUP(U542,'FBCJ Jul-Des 2025'!$G$10:$P$1302,9,0)</f>
        <v>R124D1HRDV</v>
      </c>
      <c r="Y542" s="2" t="s">
        <v>43</v>
      </c>
      <c r="Z542" s="2">
        <v>1631293</v>
      </c>
      <c r="AA542" s="2">
        <v>20250912</v>
      </c>
      <c r="AB542" s="3">
        <v>350000</v>
      </c>
    </row>
    <row r="543" spans="3:28" x14ac:dyDescent="0.25">
      <c r="C543" s="2">
        <v>10000001</v>
      </c>
      <c r="D543" s="2" t="s">
        <v>787</v>
      </c>
      <c r="F543" s="2">
        <v>12007443</v>
      </c>
      <c r="H543" s="2" t="s">
        <v>787</v>
      </c>
      <c r="I543" s="2" t="str">
        <f t="shared" si="8"/>
        <v>09</v>
      </c>
      <c r="J543" s="2">
        <v>50</v>
      </c>
      <c r="K543" s="3">
        <v>-350000</v>
      </c>
      <c r="L543" s="2" t="s">
        <v>26</v>
      </c>
      <c r="M543" s="3">
        <v>-350000</v>
      </c>
      <c r="N543" s="2" t="s">
        <v>26</v>
      </c>
      <c r="R543" s="2" t="s">
        <v>27</v>
      </c>
      <c r="S543" s="2" t="s">
        <v>808</v>
      </c>
      <c r="T543" s="2" t="s">
        <v>281</v>
      </c>
      <c r="U543" s="2" t="s">
        <v>810</v>
      </c>
      <c r="V543" s="4">
        <f>+VLOOKUP(U543,'FBCJ Jul-Des 2025'!$G$10:$P$1302,8,0)</f>
        <v>70110110</v>
      </c>
      <c r="W543" s="4" t="str">
        <f>+VLOOKUP(V543,Sheet1!$A$2:$B$27,2,0)</f>
        <v>Biaya Organisasi Professional Nasional</v>
      </c>
      <c r="X543" s="4" t="str">
        <f>+VLOOKUP(U543,'FBCJ Jul-Des 2025'!$G$10:$P$1302,9,0)</f>
        <v>R124D1HRDV</v>
      </c>
      <c r="Y543" s="2" t="s">
        <v>43</v>
      </c>
      <c r="Z543" s="2">
        <v>1631293</v>
      </c>
      <c r="AA543" s="2">
        <v>20250912</v>
      </c>
      <c r="AB543" s="3">
        <v>350000</v>
      </c>
    </row>
    <row r="544" spans="3:28" x14ac:dyDescent="0.25">
      <c r="C544" s="2">
        <v>10000001</v>
      </c>
      <c r="D544" s="2" t="s">
        <v>811</v>
      </c>
      <c r="F544" s="2">
        <v>12007444</v>
      </c>
      <c r="H544" s="2" t="s">
        <v>811</v>
      </c>
      <c r="I544" s="2" t="str">
        <f t="shared" si="8"/>
        <v>09</v>
      </c>
      <c r="J544" s="2">
        <v>50</v>
      </c>
      <c r="K544" s="3">
        <v>-405900</v>
      </c>
      <c r="L544" s="2" t="s">
        <v>26</v>
      </c>
      <c r="M544" s="3">
        <v>-405900</v>
      </c>
      <c r="N544" s="2" t="s">
        <v>26</v>
      </c>
      <c r="R544" s="2" t="s">
        <v>27</v>
      </c>
      <c r="S544" s="2" t="s">
        <v>812</v>
      </c>
      <c r="T544" s="2" t="s">
        <v>59</v>
      </c>
      <c r="U544" s="2" t="s">
        <v>813</v>
      </c>
      <c r="V544" s="4">
        <f>+VLOOKUP(U544,'FBCJ Jul-Des 2025'!$G$10:$P$1302,8,0)</f>
        <v>70101114</v>
      </c>
      <c r="W544" s="4" t="str">
        <f>+VLOOKUP(V544,Sheet1!$A$2:$B$27,2,0)</f>
        <v>By Perbaikan &amp; Perawatan Perabot Material Pihak3</v>
      </c>
      <c r="X544" s="4" t="str">
        <f>+VLOOKUP(U544,'FBCJ Jul-Des 2025'!$G$10:$P$1302,9,0)</f>
        <v>R124D1HRGA</v>
      </c>
      <c r="Y544" s="2" t="s">
        <v>43</v>
      </c>
      <c r="Z544" s="2">
        <v>1631293</v>
      </c>
      <c r="AA544" s="2">
        <v>20250915</v>
      </c>
      <c r="AB544" s="3">
        <v>405900</v>
      </c>
    </row>
    <row r="545" spans="3:28" x14ac:dyDescent="0.25">
      <c r="C545" s="2">
        <v>10000001</v>
      </c>
      <c r="D545" s="2" t="s">
        <v>811</v>
      </c>
      <c r="F545" s="2">
        <v>12007445</v>
      </c>
      <c r="H545" s="2" t="s">
        <v>811</v>
      </c>
      <c r="I545" s="2" t="str">
        <f t="shared" si="8"/>
        <v>09</v>
      </c>
      <c r="J545" s="2">
        <v>50</v>
      </c>
      <c r="K545" s="3">
        <v>-800000</v>
      </c>
      <c r="L545" s="2" t="s">
        <v>26</v>
      </c>
      <c r="M545" s="3">
        <v>-800000</v>
      </c>
      <c r="N545" s="2" t="s">
        <v>26</v>
      </c>
      <c r="R545" s="2" t="s">
        <v>27</v>
      </c>
      <c r="S545" s="2" t="s">
        <v>814</v>
      </c>
      <c r="T545" s="2" t="s">
        <v>57</v>
      </c>
      <c r="U545" s="2" t="s">
        <v>815</v>
      </c>
      <c r="V545" s="4">
        <f>+VLOOKUP(U545,'FBCJ Jul-Des 2025'!$G$10:$P$1302,8,0)</f>
        <v>70101202</v>
      </c>
      <c r="W545" s="4" t="str">
        <f>+VLOOKUP(V545,Sheet1!$A$2:$B$27,2,0)</f>
        <v>By Pemeliharaan Kend,ABerat,Mesin-Material Pihak3</v>
      </c>
      <c r="X545" s="4" t="str">
        <f>+VLOOKUP(U545,'FBCJ Jul-Des 2025'!$G$10:$P$1302,9,0)</f>
        <v>R124REF</v>
      </c>
      <c r="Y545" s="2" t="s">
        <v>43</v>
      </c>
      <c r="Z545" s="2">
        <v>1631293</v>
      </c>
      <c r="AA545" s="2">
        <v>20250915</v>
      </c>
      <c r="AB545" s="3">
        <v>800000</v>
      </c>
    </row>
    <row r="546" spans="3:28" x14ac:dyDescent="0.25">
      <c r="C546" s="2">
        <v>10000001</v>
      </c>
      <c r="D546" s="2" t="s">
        <v>811</v>
      </c>
      <c r="F546" s="2">
        <v>12007446</v>
      </c>
      <c r="H546" s="2" t="s">
        <v>811</v>
      </c>
      <c r="I546" s="2" t="str">
        <f t="shared" si="8"/>
        <v>09</v>
      </c>
      <c r="J546" s="2">
        <v>50</v>
      </c>
      <c r="K546" s="3">
        <v>-690000</v>
      </c>
      <c r="L546" s="2" t="s">
        <v>26</v>
      </c>
      <c r="M546" s="3">
        <v>-690000</v>
      </c>
      <c r="N546" s="2" t="s">
        <v>26</v>
      </c>
      <c r="R546" s="2" t="s">
        <v>27</v>
      </c>
      <c r="S546" s="2" t="s">
        <v>816</v>
      </c>
      <c r="T546" s="2" t="s">
        <v>375</v>
      </c>
      <c r="U546" s="2" t="s">
        <v>817</v>
      </c>
      <c r="V546" s="4">
        <v>15000900</v>
      </c>
      <c r="W546" s="4" t="str">
        <f>+VLOOKUP(V546,Sheet1!$A$2:$B$27,2,0)</f>
        <v>Biaya Lainnya Yang Dibayar Di Muka</v>
      </c>
      <c r="X546" s="4" t="s">
        <v>1913</v>
      </c>
      <c r="Y546" s="2" t="s">
        <v>43</v>
      </c>
      <c r="Z546" s="2">
        <v>1631293</v>
      </c>
      <c r="AA546" s="2">
        <v>20250915</v>
      </c>
      <c r="AB546" s="3">
        <v>690000</v>
      </c>
    </row>
    <row r="547" spans="3:28" x14ac:dyDescent="0.25">
      <c r="C547" s="2">
        <v>10000001</v>
      </c>
      <c r="D547" s="2" t="s">
        <v>811</v>
      </c>
      <c r="F547" s="2">
        <v>12007447</v>
      </c>
      <c r="H547" s="2" t="s">
        <v>811</v>
      </c>
      <c r="I547" s="2" t="str">
        <f t="shared" si="8"/>
        <v>09</v>
      </c>
      <c r="J547" s="2">
        <v>50</v>
      </c>
      <c r="K547" s="3">
        <v>-40770</v>
      </c>
      <c r="L547" s="2" t="s">
        <v>26</v>
      </c>
      <c r="M547" s="3">
        <v>-40770</v>
      </c>
      <c r="N547" s="2" t="s">
        <v>26</v>
      </c>
      <c r="R547" s="2" t="s">
        <v>27</v>
      </c>
      <c r="S547" s="2" t="s">
        <v>818</v>
      </c>
      <c r="T547" s="2" t="s">
        <v>375</v>
      </c>
      <c r="U547" s="2" t="s">
        <v>819</v>
      </c>
      <c r="V547" s="4">
        <v>15000900</v>
      </c>
      <c r="W547" s="4" t="str">
        <f>+VLOOKUP(V547,Sheet1!$A$2:$B$27,2,0)</f>
        <v>Biaya Lainnya Yang Dibayar Di Muka</v>
      </c>
      <c r="X547" s="4" t="s">
        <v>1913</v>
      </c>
      <c r="Y547" s="2" t="s">
        <v>43</v>
      </c>
      <c r="Z547" s="2">
        <v>1631293</v>
      </c>
      <c r="AA547" s="2">
        <v>20250915</v>
      </c>
      <c r="AB547" s="3">
        <v>40770</v>
      </c>
    </row>
    <row r="548" spans="3:28" x14ac:dyDescent="0.25">
      <c r="C548" s="2">
        <v>10000001</v>
      </c>
      <c r="D548" s="2" t="s">
        <v>811</v>
      </c>
      <c r="F548" s="2">
        <v>12007448</v>
      </c>
      <c r="H548" s="2" t="s">
        <v>811</v>
      </c>
      <c r="I548" s="2" t="str">
        <f t="shared" si="8"/>
        <v>09</v>
      </c>
      <c r="J548" s="2">
        <v>50</v>
      </c>
      <c r="K548" s="3">
        <v>-321404</v>
      </c>
      <c r="L548" s="2" t="s">
        <v>26</v>
      </c>
      <c r="M548" s="3">
        <v>-321404</v>
      </c>
      <c r="N548" s="2" t="s">
        <v>26</v>
      </c>
      <c r="R548" s="2" t="s">
        <v>27</v>
      </c>
      <c r="S548" s="2" t="s">
        <v>820</v>
      </c>
      <c r="T548" s="2" t="s">
        <v>375</v>
      </c>
      <c r="U548" s="2" t="s">
        <v>821</v>
      </c>
      <c r="V548" s="4">
        <v>15000900</v>
      </c>
      <c r="W548" s="4" t="str">
        <f>+VLOOKUP(V548,Sheet1!$A$2:$B$27,2,0)</f>
        <v>Biaya Lainnya Yang Dibayar Di Muka</v>
      </c>
      <c r="X548" s="4" t="s">
        <v>1913</v>
      </c>
      <c r="Y548" s="2" t="s">
        <v>43</v>
      </c>
      <c r="Z548" s="2">
        <v>1631293</v>
      </c>
      <c r="AA548" s="2">
        <v>20250915</v>
      </c>
      <c r="AB548" s="3">
        <v>321404</v>
      </c>
    </row>
    <row r="549" spans="3:28" x14ac:dyDescent="0.25">
      <c r="C549" s="2">
        <v>10000001</v>
      </c>
      <c r="D549" s="2" t="s">
        <v>811</v>
      </c>
      <c r="F549" s="2">
        <v>12007449</v>
      </c>
      <c r="H549" s="2" t="s">
        <v>811</v>
      </c>
      <c r="I549" s="2" t="str">
        <f t="shared" si="8"/>
        <v>09</v>
      </c>
      <c r="J549" s="2">
        <v>50</v>
      </c>
      <c r="K549" s="3">
        <v>-151679</v>
      </c>
      <c r="L549" s="2" t="s">
        <v>26</v>
      </c>
      <c r="M549" s="3">
        <v>-151679</v>
      </c>
      <c r="N549" s="2" t="s">
        <v>26</v>
      </c>
      <c r="R549" s="2" t="s">
        <v>27</v>
      </c>
      <c r="S549" s="2" t="s">
        <v>822</v>
      </c>
      <c r="T549" s="2" t="s">
        <v>375</v>
      </c>
      <c r="U549" s="2" t="s">
        <v>823</v>
      </c>
      <c r="V549" s="4">
        <v>15000900</v>
      </c>
      <c r="W549" s="4" t="str">
        <f>+VLOOKUP(V549,Sheet1!$A$2:$B$27,2,0)</f>
        <v>Biaya Lainnya Yang Dibayar Di Muka</v>
      </c>
      <c r="X549" s="4" t="s">
        <v>1913</v>
      </c>
      <c r="Y549" s="2" t="s">
        <v>43</v>
      </c>
      <c r="Z549" s="2">
        <v>1631293</v>
      </c>
      <c r="AA549" s="2">
        <v>20250915</v>
      </c>
      <c r="AB549" s="3">
        <v>151679</v>
      </c>
    </row>
    <row r="550" spans="3:28" x14ac:dyDescent="0.25">
      <c r="C550" s="2">
        <v>10000001</v>
      </c>
      <c r="D550" s="2" t="s">
        <v>811</v>
      </c>
      <c r="F550" s="2">
        <v>12007450</v>
      </c>
      <c r="H550" s="2" t="s">
        <v>811</v>
      </c>
      <c r="I550" s="2" t="str">
        <f t="shared" si="8"/>
        <v>09</v>
      </c>
      <c r="J550" s="2">
        <v>50</v>
      </c>
      <c r="K550" s="3">
        <v>-61000</v>
      </c>
      <c r="L550" s="2" t="s">
        <v>26</v>
      </c>
      <c r="M550" s="3">
        <v>-61000</v>
      </c>
      <c r="N550" s="2" t="s">
        <v>26</v>
      </c>
      <c r="R550" s="2" t="s">
        <v>27</v>
      </c>
      <c r="S550" s="2" t="s">
        <v>822</v>
      </c>
      <c r="T550" s="2" t="s">
        <v>59</v>
      </c>
      <c r="U550" s="2" t="s">
        <v>824</v>
      </c>
      <c r="V550" s="4">
        <f>+VLOOKUP(U550,'FBCJ Jul-Des 2025'!$G$10:$P$1302,8,0)</f>
        <v>70101114</v>
      </c>
      <c r="W550" s="4" t="str">
        <f>+VLOOKUP(V550,Sheet1!$A$2:$B$27,2,0)</f>
        <v>By Perbaikan &amp; Perawatan Perabot Material Pihak3</v>
      </c>
      <c r="X550" s="4" t="str">
        <f>+VLOOKUP(U550,'FBCJ Jul-Des 2025'!$G$10:$P$1302,9,0)</f>
        <v>R124FRA</v>
      </c>
      <c r="Y550" s="2" t="s">
        <v>43</v>
      </c>
      <c r="Z550" s="2">
        <v>1631293</v>
      </c>
      <c r="AA550" s="2">
        <v>20250915</v>
      </c>
      <c r="AB550" s="3">
        <v>61000</v>
      </c>
    </row>
    <row r="551" spans="3:28" x14ac:dyDescent="0.25">
      <c r="C551" s="2">
        <v>10000001</v>
      </c>
      <c r="D551" s="2" t="s">
        <v>811</v>
      </c>
      <c r="F551" s="2">
        <v>12007451</v>
      </c>
      <c r="H551" s="2" t="s">
        <v>811</v>
      </c>
      <c r="I551" s="2" t="str">
        <f t="shared" si="8"/>
        <v>09</v>
      </c>
      <c r="J551" s="2">
        <v>50</v>
      </c>
      <c r="K551" s="3">
        <v>-133500</v>
      </c>
      <c r="L551" s="2" t="s">
        <v>26</v>
      </c>
      <c r="M551" s="3">
        <v>-133500</v>
      </c>
      <c r="N551" s="2" t="s">
        <v>26</v>
      </c>
      <c r="R551" s="2" t="s">
        <v>27</v>
      </c>
      <c r="S551" s="2" t="s">
        <v>825</v>
      </c>
      <c r="T551" s="2" t="s">
        <v>57</v>
      </c>
      <c r="U551" s="2" t="s">
        <v>826</v>
      </c>
      <c r="V551" s="4">
        <f>+VLOOKUP(U551,'FBCJ Jul-Des 2025'!$G$10:$P$1302,8,0)</f>
        <v>70101202</v>
      </c>
      <c r="W551" s="4" t="str">
        <f>+VLOOKUP(V551,Sheet1!$A$2:$B$27,2,0)</f>
        <v>By Pemeliharaan Kend,ABerat,Mesin-Material Pihak3</v>
      </c>
      <c r="X551" s="4" t="str">
        <f>+VLOOKUP(U551,'FBCJ Jul-Des 2025'!$G$10:$P$1302,9,0)</f>
        <v>R124STTRK</v>
      </c>
      <c r="Y551" s="2" t="s">
        <v>43</v>
      </c>
      <c r="Z551" s="2">
        <v>1631293</v>
      </c>
      <c r="AA551" s="2">
        <v>20250915</v>
      </c>
      <c r="AB551" s="3">
        <v>133500</v>
      </c>
    </row>
    <row r="552" spans="3:28" x14ac:dyDescent="0.25">
      <c r="C552" s="2">
        <v>10000001</v>
      </c>
      <c r="D552" s="2" t="s">
        <v>811</v>
      </c>
      <c r="F552" s="2">
        <v>12007452</v>
      </c>
      <c r="H552" s="2" t="s">
        <v>811</v>
      </c>
      <c r="I552" s="2" t="str">
        <f t="shared" si="8"/>
        <v>09</v>
      </c>
      <c r="J552" s="2">
        <v>50</v>
      </c>
      <c r="K552" s="3">
        <v>-290500</v>
      </c>
      <c r="L552" s="2" t="s">
        <v>26</v>
      </c>
      <c r="M552" s="3">
        <v>-290500</v>
      </c>
      <c r="N552" s="2" t="s">
        <v>26</v>
      </c>
      <c r="R552" s="2" t="s">
        <v>27</v>
      </c>
      <c r="S552" s="2" t="s">
        <v>827</v>
      </c>
      <c r="T552" s="2" t="s">
        <v>254</v>
      </c>
      <c r="U552" s="2" t="s">
        <v>828</v>
      </c>
      <c r="V552" s="4">
        <f>+VLOOKUP(U552,'FBCJ Jul-Des 2025'!$G$10:$P$1302,8,0)</f>
        <v>70107100</v>
      </c>
      <c r="W552" s="4" t="str">
        <f>+VLOOKUP(V552,Sheet1!$A$2:$B$27,2,0)</f>
        <v>Biaya Mess</v>
      </c>
      <c r="X552" s="4" t="str">
        <f>+VLOOKUP(U552,'FBCJ Jul-Des 2025'!$G$10:$P$1302,9,0)</f>
        <v>R124D1HRGA</v>
      </c>
      <c r="Y552" s="2" t="s">
        <v>43</v>
      </c>
      <c r="Z552" s="2">
        <v>1631293</v>
      </c>
      <c r="AA552" s="2">
        <v>20250915</v>
      </c>
      <c r="AB552" s="3">
        <v>290500</v>
      </c>
    </row>
    <row r="553" spans="3:28" x14ac:dyDescent="0.25">
      <c r="C553" s="2">
        <v>10000001</v>
      </c>
      <c r="D553" s="2" t="s">
        <v>811</v>
      </c>
      <c r="F553" s="2">
        <v>12007453</v>
      </c>
      <c r="H553" s="2" t="s">
        <v>811</v>
      </c>
      <c r="I553" s="2" t="str">
        <f t="shared" si="8"/>
        <v>09</v>
      </c>
      <c r="J553" s="2">
        <v>50</v>
      </c>
      <c r="K553" s="3">
        <v>-430000</v>
      </c>
      <c r="L553" s="2" t="s">
        <v>26</v>
      </c>
      <c r="M553" s="3">
        <v>-430000</v>
      </c>
      <c r="N553" s="2" t="s">
        <v>26</v>
      </c>
      <c r="R553" s="2" t="s">
        <v>27</v>
      </c>
      <c r="S553" s="2" t="s">
        <v>829</v>
      </c>
      <c r="T553" s="2" t="s">
        <v>57</v>
      </c>
      <c r="U553" s="2" t="s">
        <v>830</v>
      </c>
      <c r="V553" s="4">
        <f>+VLOOKUP(U553,'FBCJ Jul-Des 2025'!$G$10:$P$1302,8,0)</f>
        <v>70101202</v>
      </c>
      <c r="W553" s="4" t="str">
        <f>+VLOOKUP(V553,Sheet1!$A$2:$B$27,2,0)</f>
        <v>By Pemeliharaan Kend,ABerat,Mesin-Material Pihak3</v>
      </c>
      <c r="X553" s="4" t="str">
        <f>+VLOOKUP(U553,'FBCJ Jul-Des 2025'!$G$10:$P$1302,9,0)</f>
        <v>C206D1SLSS</v>
      </c>
      <c r="Y553" s="2" t="s">
        <v>43</v>
      </c>
      <c r="Z553" s="2">
        <v>1631293</v>
      </c>
      <c r="AA553" s="2">
        <v>20250915</v>
      </c>
      <c r="AB553" s="3">
        <v>430000</v>
      </c>
    </row>
    <row r="554" spans="3:28" x14ac:dyDescent="0.25">
      <c r="C554" s="2">
        <v>10000001</v>
      </c>
      <c r="D554" s="2" t="s">
        <v>811</v>
      </c>
      <c r="F554" s="2">
        <v>12007454</v>
      </c>
      <c r="H554" s="2" t="s">
        <v>811</v>
      </c>
      <c r="I554" s="2" t="str">
        <f t="shared" si="8"/>
        <v>09</v>
      </c>
      <c r="J554" s="2">
        <v>50</v>
      </c>
      <c r="K554" s="3">
        <v>-298000</v>
      </c>
      <c r="L554" s="2" t="s">
        <v>26</v>
      </c>
      <c r="M554" s="3">
        <v>-298000</v>
      </c>
      <c r="N554" s="2" t="s">
        <v>26</v>
      </c>
      <c r="R554" s="2" t="s">
        <v>27</v>
      </c>
      <c r="S554" s="2" t="s">
        <v>831</v>
      </c>
      <c r="T554" s="2" t="s">
        <v>57</v>
      </c>
      <c r="U554" s="2" t="s">
        <v>832</v>
      </c>
      <c r="V554" s="4">
        <f>+VLOOKUP(U554,'FBCJ Jul-Des 2025'!$G$10:$P$1302,8,0)</f>
        <v>70101202</v>
      </c>
      <c r="W554" s="4" t="str">
        <f>+VLOOKUP(V554,Sheet1!$A$2:$B$27,2,0)</f>
        <v>By Pemeliharaan Kend,ABerat,Mesin-Material Pihak3</v>
      </c>
      <c r="X554" s="4" t="str">
        <f>+VLOOKUP(U554,'FBCJ Jul-Des 2025'!$G$10:$P$1302,9,0)</f>
        <v>P206D1SLSS</v>
      </c>
      <c r="Y554" s="2" t="s">
        <v>43</v>
      </c>
      <c r="Z554" s="2">
        <v>1631293</v>
      </c>
      <c r="AA554" s="2">
        <v>20250915</v>
      </c>
      <c r="AB554" s="3">
        <v>298000</v>
      </c>
    </row>
    <row r="555" spans="3:28" x14ac:dyDescent="0.25">
      <c r="C555" s="2">
        <v>10000001</v>
      </c>
      <c r="D555" s="2" t="s">
        <v>811</v>
      </c>
      <c r="F555" s="2">
        <v>12007455</v>
      </c>
      <c r="H555" s="2" t="s">
        <v>811</v>
      </c>
      <c r="I555" s="2" t="str">
        <f t="shared" si="8"/>
        <v>09</v>
      </c>
      <c r="J555" s="2">
        <v>40</v>
      </c>
      <c r="K555" s="3">
        <v>30159697</v>
      </c>
      <c r="L555" s="2" t="s">
        <v>26</v>
      </c>
      <c r="M555" s="3">
        <v>30159697</v>
      </c>
      <c r="N555" s="2" t="s">
        <v>26</v>
      </c>
      <c r="R555" s="2" t="s">
        <v>27</v>
      </c>
      <c r="T555" s="2" t="s">
        <v>249</v>
      </c>
      <c r="U555" s="2" t="s">
        <v>833</v>
      </c>
      <c r="Y555" s="2" t="s">
        <v>43</v>
      </c>
      <c r="Z555" s="2">
        <v>1631293</v>
      </c>
      <c r="AA555" s="2">
        <v>20250915</v>
      </c>
      <c r="AB555" s="3">
        <v>30159697</v>
      </c>
    </row>
    <row r="556" spans="3:28" x14ac:dyDescent="0.25">
      <c r="C556" s="2">
        <v>10000001</v>
      </c>
      <c r="D556" s="2" t="s">
        <v>836</v>
      </c>
      <c r="F556" s="2">
        <v>12008043</v>
      </c>
      <c r="H556" s="2" t="s">
        <v>836</v>
      </c>
      <c r="I556" s="2" t="str">
        <f t="shared" si="8"/>
        <v>10</v>
      </c>
      <c r="J556" s="2">
        <v>50</v>
      </c>
      <c r="K556" s="3">
        <v>-990000</v>
      </c>
      <c r="L556" s="2" t="s">
        <v>26</v>
      </c>
      <c r="M556" s="3">
        <v>-990000</v>
      </c>
      <c r="N556" s="2" t="s">
        <v>26</v>
      </c>
      <c r="R556" s="2" t="s">
        <v>27</v>
      </c>
      <c r="S556" s="2" t="s">
        <v>839</v>
      </c>
      <c r="T556" s="2" t="s">
        <v>129</v>
      </c>
      <c r="U556" s="2" t="s">
        <v>840</v>
      </c>
      <c r="V556" s="4">
        <f>+VLOOKUP(U556,'FBCJ Jul-Des 2025'!$G$10:$P$1302,8,0)</f>
        <v>70101102</v>
      </c>
      <c r="W556" s="4" t="str">
        <f>+VLOOKUP(V556,Sheet1!$A$2:$B$27,2,0)</f>
        <v>By Pemeliharaan BgnanPrasarana Material Pihak3</v>
      </c>
      <c r="X556" s="4" t="str">
        <f>+VLOOKUP(U556,'FBCJ Jul-Des 2025'!$G$10:$P$1302,9,0)</f>
        <v>R124D1HRGA</v>
      </c>
      <c r="Y556" s="2" t="s">
        <v>43</v>
      </c>
      <c r="Z556" s="2">
        <v>1719278</v>
      </c>
      <c r="AA556" s="2">
        <v>20251001</v>
      </c>
      <c r="AB556" s="3">
        <v>990000</v>
      </c>
    </row>
    <row r="557" spans="3:28" x14ac:dyDescent="0.25">
      <c r="C557" s="2">
        <v>10000001</v>
      </c>
      <c r="D557" s="2" t="s">
        <v>841</v>
      </c>
      <c r="F557" s="2">
        <v>12008044</v>
      </c>
      <c r="H557" s="2" t="s">
        <v>841</v>
      </c>
      <c r="I557" s="2" t="str">
        <f t="shared" si="8"/>
        <v>10</v>
      </c>
      <c r="J557" s="2">
        <v>50</v>
      </c>
      <c r="K557" s="3">
        <v>-1000000</v>
      </c>
      <c r="L557" s="2" t="s">
        <v>26</v>
      </c>
      <c r="M557" s="3">
        <v>-1000000</v>
      </c>
      <c r="N557" s="2" t="s">
        <v>26</v>
      </c>
      <c r="R557" s="2" t="s">
        <v>27</v>
      </c>
      <c r="S557" s="2" t="s">
        <v>842</v>
      </c>
      <c r="T557" s="2" t="s">
        <v>259</v>
      </c>
      <c r="U557" s="2" t="s">
        <v>843</v>
      </c>
      <c r="V557" s="4">
        <f>+VLOOKUP(U557,'FBCJ Jul-Des 2025'!$G$10:$P$1302,8,0)</f>
        <v>70119300</v>
      </c>
      <c r="W557" s="4" t="str">
        <f>+VLOOKUP(V557,Sheet1!$A$2:$B$27,2,0)</f>
        <v>Biaya Umum dan Administrasi</v>
      </c>
      <c r="X557" s="4" t="str">
        <f>+VLOOKUP(U557,'FBCJ Jul-Des 2025'!$G$10:$P$1302,9,0)</f>
        <v>P206D1SLSS</v>
      </c>
      <c r="Y557" s="2" t="s">
        <v>43</v>
      </c>
      <c r="Z557" s="2">
        <v>1719278</v>
      </c>
      <c r="AA557" s="2">
        <v>20251002</v>
      </c>
      <c r="AB557" s="3">
        <v>1000000</v>
      </c>
    </row>
    <row r="558" spans="3:28" x14ac:dyDescent="0.25">
      <c r="C558" s="2">
        <v>10000001</v>
      </c>
      <c r="D558" s="2" t="s">
        <v>841</v>
      </c>
      <c r="F558" s="2">
        <v>12008045</v>
      </c>
      <c r="H558" s="2" t="s">
        <v>841</v>
      </c>
      <c r="I558" s="2" t="str">
        <f t="shared" si="8"/>
        <v>10</v>
      </c>
      <c r="J558" s="2">
        <v>50</v>
      </c>
      <c r="K558" s="3">
        <v>-480000</v>
      </c>
      <c r="L558" s="2" t="s">
        <v>26</v>
      </c>
      <c r="M558" s="3">
        <v>-480000</v>
      </c>
      <c r="N558" s="2" t="s">
        <v>26</v>
      </c>
      <c r="R558" s="2" t="s">
        <v>27</v>
      </c>
      <c r="S558" s="2" t="s">
        <v>844</v>
      </c>
      <c r="T558" s="2" t="s">
        <v>41</v>
      </c>
      <c r="U558" s="2" t="s">
        <v>845</v>
      </c>
      <c r="V558" s="4">
        <f>+VLOOKUP(U558,'FBCJ Jul-Des 2025'!$G$10:$P$1302,8,0)</f>
        <v>70107300</v>
      </c>
      <c r="W558" s="4" t="str">
        <f>+VLOOKUP(V558,Sheet1!$A$2:$B$27,2,0)</f>
        <v>Biaya Olahraga Dan Permainan</v>
      </c>
      <c r="X558" s="4" t="str">
        <f>+VLOOKUP(U558,'FBCJ Jul-Des 2025'!$G$10:$P$1302,9,0)</f>
        <v>R124D1HRDV</v>
      </c>
      <c r="Y558" s="2" t="s">
        <v>43</v>
      </c>
      <c r="Z558" s="2">
        <v>1719278</v>
      </c>
      <c r="AA558" s="2">
        <v>20251002</v>
      </c>
      <c r="AB558" s="3">
        <v>480000</v>
      </c>
    </row>
    <row r="559" spans="3:28" x14ac:dyDescent="0.25">
      <c r="C559" s="2">
        <v>10000001</v>
      </c>
      <c r="D559" s="2" t="s">
        <v>841</v>
      </c>
      <c r="F559" s="2">
        <v>12008046</v>
      </c>
      <c r="H559" s="2" t="s">
        <v>841</v>
      </c>
      <c r="I559" s="2" t="str">
        <f t="shared" si="8"/>
        <v>10</v>
      </c>
      <c r="J559" s="2">
        <v>50</v>
      </c>
      <c r="K559" s="3">
        <v>-80000</v>
      </c>
      <c r="L559" s="2" t="s">
        <v>26</v>
      </c>
      <c r="M559" s="3">
        <v>-80000</v>
      </c>
      <c r="N559" s="2" t="s">
        <v>26</v>
      </c>
      <c r="R559" s="2" t="s">
        <v>27</v>
      </c>
      <c r="S559" s="2" t="s">
        <v>846</v>
      </c>
      <c r="T559" s="2" t="s">
        <v>57</v>
      </c>
      <c r="U559" s="2" t="s">
        <v>847</v>
      </c>
      <c r="V559" s="4">
        <f>+VLOOKUP(U559,'FBCJ Jul-Des 2025'!$G$10:$P$1302,8,0)</f>
        <v>70101202</v>
      </c>
      <c r="W559" s="4" t="str">
        <f>+VLOOKUP(V559,Sheet1!$A$2:$B$27,2,0)</f>
        <v>By Pemeliharaan Kend,ABerat,Mesin-Material Pihak3</v>
      </c>
      <c r="X559" s="4" t="str">
        <f>+VLOOKUP(U559,'FBCJ Jul-Des 2025'!$G$10:$P$1302,9,0)</f>
        <v>R124TCP</v>
      </c>
      <c r="Y559" s="2" t="s">
        <v>43</v>
      </c>
      <c r="Z559" s="2">
        <v>1719278</v>
      </c>
      <c r="AA559" s="2">
        <v>20251002</v>
      </c>
      <c r="AB559" s="3">
        <v>80000</v>
      </c>
    </row>
    <row r="560" spans="3:28" x14ac:dyDescent="0.25">
      <c r="C560" s="2">
        <v>10000001</v>
      </c>
      <c r="D560" s="2" t="s">
        <v>841</v>
      </c>
      <c r="F560" s="2">
        <v>12008047</v>
      </c>
      <c r="H560" s="2" t="s">
        <v>841</v>
      </c>
      <c r="I560" s="2" t="str">
        <f t="shared" si="8"/>
        <v>10</v>
      </c>
      <c r="J560" s="2">
        <v>50</v>
      </c>
      <c r="K560" s="3">
        <v>-990000</v>
      </c>
      <c r="L560" s="2" t="s">
        <v>26</v>
      </c>
      <c r="M560" s="3">
        <v>-990000</v>
      </c>
      <c r="N560" s="2" t="s">
        <v>26</v>
      </c>
      <c r="R560" s="2" t="s">
        <v>27</v>
      </c>
      <c r="S560" s="2" t="s">
        <v>848</v>
      </c>
      <c r="T560" s="2" t="s">
        <v>129</v>
      </c>
      <c r="U560" s="2" t="s">
        <v>849</v>
      </c>
      <c r="V560" s="4">
        <f>+VLOOKUP(U560,'FBCJ Jul-Des 2025'!$G$10:$P$1302,8,0)</f>
        <v>70101102</v>
      </c>
      <c r="W560" s="4" t="str">
        <f>+VLOOKUP(V560,Sheet1!$A$2:$B$27,2,0)</f>
        <v>By Pemeliharaan BgnanPrasarana Material Pihak3</v>
      </c>
      <c r="X560" s="4" t="str">
        <f>+VLOOKUP(U560,'FBCJ Jul-Des 2025'!$G$10:$P$1302,9,0)</f>
        <v>R124D1HRGA</v>
      </c>
      <c r="Y560" s="2" t="s">
        <v>43</v>
      </c>
      <c r="Z560" s="2">
        <v>1719278</v>
      </c>
      <c r="AA560" s="2">
        <v>20251002</v>
      </c>
      <c r="AB560" s="3">
        <v>990000</v>
      </c>
    </row>
    <row r="561" spans="3:28" x14ac:dyDescent="0.25">
      <c r="C561" s="2">
        <v>10000001</v>
      </c>
      <c r="D561" s="2" t="s">
        <v>841</v>
      </c>
      <c r="F561" s="2">
        <v>12008048</v>
      </c>
      <c r="H561" s="2" t="s">
        <v>841</v>
      </c>
      <c r="I561" s="2" t="str">
        <f t="shared" si="8"/>
        <v>10</v>
      </c>
      <c r="J561" s="2">
        <v>50</v>
      </c>
      <c r="K561" s="3">
        <v>-225000</v>
      </c>
      <c r="L561" s="2" t="s">
        <v>26</v>
      </c>
      <c r="M561" s="3">
        <v>-225000</v>
      </c>
      <c r="N561" s="2" t="s">
        <v>26</v>
      </c>
      <c r="R561" s="2" t="s">
        <v>27</v>
      </c>
      <c r="S561" s="2" t="s">
        <v>850</v>
      </c>
      <c r="T561" s="2" t="s">
        <v>59</v>
      </c>
      <c r="U561" s="2" t="s">
        <v>851</v>
      </c>
      <c r="V561" s="4">
        <f>+VLOOKUP(U561,'FBCJ Jul-Des 2025'!$G$10:$P$1302,8,0)</f>
        <v>70101114</v>
      </c>
      <c r="W561" s="4" t="str">
        <f>+VLOOKUP(V561,Sheet1!$A$2:$B$27,2,0)</f>
        <v>By Perbaikan &amp; Perawatan Perabot Material Pihak3</v>
      </c>
      <c r="X561" s="4" t="str">
        <f>+VLOOKUP(U561,'FBCJ Jul-Des 2025'!$G$10:$P$1302,9,0)</f>
        <v>R124D1HRGA</v>
      </c>
      <c r="Y561" s="2" t="s">
        <v>43</v>
      </c>
      <c r="Z561" s="2">
        <v>1719278</v>
      </c>
      <c r="AA561" s="2">
        <v>20251002</v>
      </c>
      <c r="AB561" s="3">
        <v>225000</v>
      </c>
    </row>
    <row r="562" spans="3:28" x14ac:dyDescent="0.25">
      <c r="C562" s="2">
        <v>10000001</v>
      </c>
      <c r="D562" s="2" t="s">
        <v>841</v>
      </c>
      <c r="F562" s="2">
        <v>12008049</v>
      </c>
      <c r="H562" s="2" t="s">
        <v>841</v>
      </c>
      <c r="I562" s="2" t="str">
        <f t="shared" si="8"/>
        <v>10</v>
      </c>
      <c r="J562" s="2">
        <v>50</v>
      </c>
      <c r="K562" s="3">
        <v>-100000</v>
      </c>
      <c r="L562" s="2" t="s">
        <v>26</v>
      </c>
      <c r="M562" s="3">
        <v>-100000</v>
      </c>
      <c r="N562" s="2" t="s">
        <v>26</v>
      </c>
      <c r="R562" s="2" t="s">
        <v>27</v>
      </c>
      <c r="S562" s="2" t="s">
        <v>852</v>
      </c>
      <c r="T562" s="2" t="s">
        <v>45</v>
      </c>
      <c r="U562" s="2" t="s">
        <v>853</v>
      </c>
      <c r="V562" s="4">
        <f>+VLOOKUP(U562,'FBCJ Jul-Des 2025'!$G$10:$P$1302,8,0)</f>
        <v>70009110</v>
      </c>
      <c r="W562" s="4" t="str">
        <f>+VLOOKUP(V562,Sheet1!$A$2:$B$27,2,0)</f>
        <v>Biaya Survey dan Analisa</v>
      </c>
      <c r="X562" s="4" t="str">
        <f>+VLOOKUP(U562,'FBCJ Jul-Des 2025'!$G$10:$P$1302,9,0)</f>
        <v>M204D1COMM</v>
      </c>
      <c r="Y562" s="2" t="s">
        <v>43</v>
      </c>
      <c r="Z562" s="2">
        <v>1719278</v>
      </c>
      <c r="AA562" s="2">
        <v>20251002</v>
      </c>
      <c r="AB562" s="3">
        <v>100000</v>
      </c>
    </row>
    <row r="563" spans="3:28" x14ac:dyDescent="0.25">
      <c r="C563" s="2">
        <v>10000001</v>
      </c>
      <c r="D563" s="2" t="s">
        <v>841</v>
      </c>
      <c r="F563" s="2">
        <v>12008050</v>
      </c>
      <c r="H563" s="2" t="s">
        <v>841</v>
      </c>
      <c r="I563" s="2" t="str">
        <f t="shared" si="8"/>
        <v>10</v>
      </c>
      <c r="J563" s="2">
        <v>50</v>
      </c>
      <c r="K563" s="3">
        <v>-350000</v>
      </c>
      <c r="L563" s="2" t="s">
        <v>26</v>
      </c>
      <c r="M563" s="3">
        <v>-350000</v>
      </c>
      <c r="N563" s="2" t="s">
        <v>26</v>
      </c>
      <c r="R563" s="2" t="s">
        <v>27</v>
      </c>
      <c r="S563" s="2" t="s">
        <v>852</v>
      </c>
      <c r="T563" s="2" t="s">
        <v>45</v>
      </c>
      <c r="U563" s="2" t="s">
        <v>854</v>
      </c>
      <c r="V563" s="4">
        <f>+VLOOKUP(U563,'FBCJ Jul-Des 2025'!$G$10:$P$1302,8,0)</f>
        <v>70009110</v>
      </c>
      <c r="W563" s="4" t="str">
        <f>+VLOOKUP(V563,Sheet1!$A$2:$B$27,2,0)</f>
        <v>Biaya Survey dan Analisa</v>
      </c>
      <c r="X563" s="4" t="str">
        <f>+VLOOKUP(U563,'FBCJ Jul-Des 2025'!$G$10:$P$1302,9,0)</f>
        <v>C206D1SLSS</v>
      </c>
      <c r="Y563" s="2" t="s">
        <v>43</v>
      </c>
      <c r="Z563" s="2">
        <v>1719278</v>
      </c>
      <c r="AA563" s="2">
        <v>20251002</v>
      </c>
      <c r="AB563" s="3">
        <v>350000</v>
      </c>
    </row>
    <row r="564" spans="3:28" x14ac:dyDescent="0.25">
      <c r="C564" s="2">
        <v>10000001</v>
      </c>
      <c r="D564" s="2" t="s">
        <v>841</v>
      </c>
      <c r="F564" s="2">
        <v>12008051</v>
      </c>
      <c r="H564" s="2" t="s">
        <v>841</v>
      </c>
      <c r="I564" s="2" t="str">
        <f t="shared" si="8"/>
        <v>10</v>
      </c>
      <c r="J564" s="2">
        <v>50</v>
      </c>
      <c r="K564" s="3">
        <v>-200000</v>
      </c>
      <c r="L564" s="2" t="s">
        <v>26</v>
      </c>
      <c r="M564" s="3">
        <v>-200000</v>
      </c>
      <c r="N564" s="2" t="s">
        <v>26</v>
      </c>
      <c r="R564" s="2" t="s">
        <v>27</v>
      </c>
      <c r="S564" s="2" t="s">
        <v>852</v>
      </c>
      <c r="T564" s="2" t="s">
        <v>45</v>
      </c>
      <c r="U564" s="2" t="s">
        <v>855</v>
      </c>
      <c r="V564" s="4">
        <f>+VLOOKUP(U564,'FBCJ Jul-Des 2025'!$G$10:$P$1302,8,0)</f>
        <v>70009110</v>
      </c>
      <c r="W564" s="4" t="str">
        <f>+VLOOKUP(V564,Sheet1!$A$2:$B$27,2,0)</f>
        <v>Biaya Survey dan Analisa</v>
      </c>
      <c r="X564" s="4" t="str">
        <f>+VLOOKUP(U564,'FBCJ Jul-Des 2025'!$G$10:$P$1302,9,0)</f>
        <v>P206D1SLSS</v>
      </c>
      <c r="Y564" s="2" t="s">
        <v>43</v>
      </c>
      <c r="Z564" s="2">
        <v>1719278</v>
      </c>
      <c r="AA564" s="2">
        <v>20251002</v>
      </c>
      <c r="AB564" s="3">
        <v>200000</v>
      </c>
    </row>
    <row r="565" spans="3:28" x14ac:dyDescent="0.25">
      <c r="C565" s="2">
        <v>10000001</v>
      </c>
      <c r="D565" s="2" t="s">
        <v>841</v>
      </c>
      <c r="F565" s="2">
        <v>12008052</v>
      </c>
      <c r="H565" s="2" t="s">
        <v>841</v>
      </c>
      <c r="I565" s="2" t="str">
        <f t="shared" si="8"/>
        <v>10</v>
      </c>
      <c r="J565" s="2">
        <v>50</v>
      </c>
      <c r="K565" s="3">
        <v>-50000</v>
      </c>
      <c r="L565" s="2" t="s">
        <v>26</v>
      </c>
      <c r="M565" s="3">
        <v>-50000</v>
      </c>
      <c r="N565" s="2" t="s">
        <v>26</v>
      </c>
      <c r="R565" s="2" t="s">
        <v>27</v>
      </c>
      <c r="S565" s="2" t="s">
        <v>856</v>
      </c>
      <c r="T565" s="2" t="s">
        <v>45</v>
      </c>
      <c r="U565" s="2" t="s">
        <v>857</v>
      </c>
      <c r="V565" s="4">
        <f>+VLOOKUP(U565,'FBCJ Jul-Des 2025'!$G$10:$P$1302,8,0)</f>
        <v>70009110</v>
      </c>
      <c r="W565" s="4" t="str">
        <f>+VLOOKUP(V565,Sheet1!$A$2:$B$27,2,0)</f>
        <v>Biaya Survey dan Analisa</v>
      </c>
      <c r="X565" s="4" t="str">
        <f>+VLOOKUP(U565,'FBCJ Jul-Des 2025'!$G$10:$P$1302,9,0)</f>
        <v>P206D1SLSS</v>
      </c>
      <c r="Y565" s="2" t="s">
        <v>43</v>
      </c>
      <c r="Z565" s="2">
        <v>1719278</v>
      </c>
      <c r="AA565" s="2">
        <v>20251002</v>
      </c>
      <c r="AB565" s="3">
        <v>50000</v>
      </c>
    </row>
    <row r="566" spans="3:28" x14ac:dyDescent="0.25">
      <c r="C566" s="2">
        <v>10000001</v>
      </c>
      <c r="D566" s="2" t="s">
        <v>841</v>
      </c>
      <c r="F566" s="2">
        <v>12008053</v>
      </c>
      <c r="H566" s="2" t="s">
        <v>841</v>
      </c>
      <c r="I566" s="2" t="str">
        <f t="shared" si="8"/>
        <v>10</v>
      </c>
      <c r="J566" s="2">
        <v>50</v>
      </c>
      <c r="K566" s="3">
        <v>-50000</v>
      </c>
      <c r="L566" s="2" t="s">
        <v>26</v>
      </c>
      <c r="M566" s="3">
        <v>-50000</v>
      </c>
      <c r="N566" s="2" t="s">
        <v>26</v>
      </c>
      <c r="R566" s="2" t="s">
        <v>27</v>
      </c>
      <c r="S566" s="2" t="s">
        <v>856</v>
      </c>
      <c r="T566" s="2" t="s">
        <v>45</v>
      </c>
      <c r="U566" s="2" t="s">
        <v>858</v>
      </c>
      <c r="V566" s="4">
        <f>+VLOOKUP(U566,'FBCJ Jul-Des 2025'!$G$10:$P$1302,8,0)</f>
        <v>70009110</v>
      </c>
      <c r="W566" s="4" t="str">
        <f>+VLOOKUP(V566,Sheet1!$A$2:$B$27,2,0)</f>
        <v>Biaya Survey dan Analisa</v>
      </c>
      <c r="X566" s="4" t="str">
        <f>+VLOOKUP(U566,'FBCJ Jul-Des 2025'!$G$10:$P$1302,9,0)</f>
        <v>P206D1SLSS</v>
      </c>
      <c r="Y566" s="2" t="s">
        <v>43</v>
      </c>
      <c r="Z566" s="2">
        <v>1719278</v>
      </c>
      <c r="AA566" s="2">
        <v>20251002</v>
      </c>
      <c r="AB566" s="3">
        <v>50000</v>
      </c>
    </row>
    <row r="567" spans="3:28" x14ac:dyDescent="0.25">
      <c r="C567" s="2">
        <v>10000001</v>
      </c>
      <c r="D567" s="2" t="s">
        <v>841</v>
      </c>
      <c r="F567" s="2">
        <v>12008054</v>
      </c>
      <c r="H567" s="2" t="s">
        <v>841</v>
      </c>
      <c r="I567" s="2" t="str">
        <f t="shared" si="8"/>
        <v>10</v>
      </c>
      <c r="J567" s="2">
        <v>50</v>
      </c>
      <c r="K567" s="3">
        <v>-50000</v>
      </c>
      <c r="L567" s="2" t="s">
        <v>26</v>
      </c>
      <c r="M567" s="3">
        <v>-50000</v>
      </c>
      <c r="N567" s="2" t="s">
        <v>26</v>
      </c>
      <c r="R567" s="2" t="s">
        <v>27</v>
      </c>
      <c r="S567" s="2" t="s">
        <v>856</v>
      </c>
      <c r="T567" s="2" t="s">
        <v>45</v>
      </c>
      <c r="U567" s="2" t="s">
        <v>859</v>
      </c>
      <c r="V567" s="4">
        <f>+VLOOKUP(U567,'FBCJ Jul-Des 2025'!$G$10:$P$1302,8,0)</f>
        <v>70009110</v>
      </c>
      <c r="W567" s="4" t="str">
        <f>+VLOOKUP(V567,Sheet1!$A$2:$B$27,2,0)</f>
        <v>Biaya Survey dan Analisa</v>
      </c>
      <c r="X567" s="4" t="str">
        <f>+VLOOKUP(U567,'FBCJ Jul-Des 2025'!$G$10:$P$1302,9,0)</f>
        <v>P206D1SLSS</v>
      </c>
      <c r="Y567" s="2" t="s">
        <v>43</v>
      </c>
      <c r="Z567" s="2">
        <v>1719278</v>
      </c>
      <c r="AA567" s="2">
        <v>20251002</v>
      </c>
      <c r="AB567" s="3">
        <v>50000</v>
      </c>
    </row>
    <row r="568" spans="3:28" x14ac:dyDescent="0.25">
      <c r="C568" s="2">
        <v>10000001</v>
      </c>
      <c r="D568" s="2" t="s">
        <v>841</v>
      </c>
      <c r="F568" s="2">
        <v>12008055</v>
      </c>
      <c r="H568" s="2" t="s">
        <v>841</v>
      </c>
      <c r="I568" s="2" t="str">
        <f t="shared" si="8"/>
        <v>10</v>
      </c>
      <c r="J568" s="2">
        <v>50</v>
      </c>
      <c r="K568" s="3">
        <v>-50000</v>
      </c>
      <c r="L568" s="2" t="s">
        <v>26</v>
      </c>
      <c r="M568" s="3">
        <v>-50000</v>
      </c>
      <c r="N568" s="2" t="s">
        <v>26</v>
      </c>
      <c r="R568" s="2" t="s">
        <v>27</v>
      </c>
      <c r="S568" s="2" t="s">
        <v>856</v>
      </c>
      <c r="T568" s="2" t="s">
        <v>45</v>
      </c>
      <c r="U568" s="2" t="s">
        <v>860</v>
      </c>
      <c r="V568" s="4">
        <f>+VLOOKUP(U568,'FBCJ Jul-Des 2025'!$G$10:$P$1302,8,0)</f>
        <v>70009110</v>
      </c>
      <c r="W568" s="4" t="str">
        <f>+VLOOKUP(V568,Sheet1!$A$2:$B$27,2,0)</f>
        <v>Biaya Survey dan Analisa</v>
      </c>
      <c r="X568" s="4" t="str">
        <f>+VLOOKUP(U568,'FBCJ Jul-Des 2025'!$G$10:$P$1302,9,0)</f>
        <v>P206D1SLSS</v>
      </c>
      <c r="Y568" s="2" t="s">
        <v>43</v>
      </c>
      <c r="Z568" s="2">
        <v>1719278</v>
      </c>
      <c r="AA568" s="2">
        <v>20251002</v>
      </c>
      <c r="AB568" s="3">
        <v>50000</v>
      </c>
    </row>
    <row r="569" spans="3:28" x14ac:dyDescent="0.25">
      <c r="C569" s="2">
        <v>10000001</v>
      </c>
      <c r="D569" s="2" t="s">
        <v>841</v>
      </c>
      <c r="F569" s="2">
        <v>12008056</v>
      </c>
      <c r="H569" s="2" t="s">
        <v>841</v>
      </c>
      <c r="I569" s="2" t="str">
        <f t="shared" si="8"/>
        <v>10</v>
      </c>
      <c r="J569" s="2">
        <v>50</v>
      </c>
      <c r="K569" s="3">
        <v>-50000</v>
      </c>
      <c r="L569" s="2" t="s">
        <v>26</v>
      </c>
      <c r="M569" s="3">
        <v>-50000</v>
      </c>
      <c r="N569" s="2" t="s">
        <v>26</v>
      </c>
      <c r="R569" s="2" t="s">
        <v>27</v>
      </c>
      <c r="S569" s="2" t="s">
        <v>856</v>
      </c>
      <c r="T569" s="2" t="s">
        <v>45</v>
      </c>
      <c r="U569" s="2" t="s">
        <v>861</v>
      </c>
      <c r="V569" s="4">
        <f>+VLOOKUP(U569,'FBCJ Jul-Des 2025'!$G$10:$P$1302,8,0)</f>
        <v>70009110</v>
      </c>
      <c r="W569" s="4" t="str">
        <f>+VLOOKUP(V569,Sheet1!$A$2:$B$27,2,0)</f>
        <v>Biaya Survey dan Analisa</v>
      </c>
      <c r="X569" s="4" t="str">
        <f>+VLOOKUP(U569,'FBCJ Jul-Des 2025'!$G$10:$P$1302,9,0)</f>
        <v>P206D1SLSS</v>
      </c>
      <c r="Y569" s="2" t="s">
        <v>43</v>
      </c>
      <c r="Z569" s="2">
        <v>1719278</v>
      </c>
      <c r="AA569" s="2">
        <v>20251002</v>
      </c>
      <c r="AB569" s="3">
        <v>50000</v>
      </c>
    </row>
    <row r="570" spans="3:28" x14ac:dyDescent="0.25">
      <c r="C570" s="2">
        <v>10000001</v>
      </c>
      <c r="D570" s="2" t="s">
        <v>841</v>
      </c>
      <c r="F570" s="2">
        <v>12008057</v>
      </c>
      <c r="H570" s="2" t="s">
        <v>841</v>
      </c>
      <c r="I570" s="2" t="str">
        <f t="shared" si="8"/>
        <v>10</v>
      </c>
      <c r="J570" s="2">
        <v>50</v>
      </c>
      <c r="K570" s="3">
        <v>-6000</v>
      </c>
      <c r="L570" s="2" t="s">
        <v>26</v>
      </c>
      <c r="M570" s="3">
        <v>-6000</v>
      </c>
      <c r="N570" s="2" t="s">
        <v>26</v>
      </c>
      <c r="R570" s="2" t="s">
        <v>27</v>
      </c>
      <c r="S570" s="2" t="s">
        <v>856</v>
      </c>
      <c r="T570" s="2" t="s">
        <v>334</v>
      </c>
      <c r="U570" s="2" t="s">
        <v>862</v>
      </c>
      <c r="V570" s="4">
        <f>+VLOOKUP(U570,'FBCJ Jul-Des 2025'!$G$10:$P$1302,8,0)</f>
        <v>70001110</v>
      </c>
      <c r="W570" s="4" t="str">
        <f>+VLOOKUP(V570,Sheet1!$A$2:$B$27,2,0)</f>
        <v>Biaya Ekspor lainnya</v>
      </c>
      <c r="X570" s="4" t="str">
        <f>+VLOOKUP(U570,'FBCJ Jul-Des 2025'!$G$10:$P$1302,9,0)</f>
        <v>M204D1COMM</v>
      </c>
      <c r="Y570" s="2" t="s">
        <v>43</v>
      </c>
      <c r="Z570" s="2">
        <v>1719278</v>
      </c>
      <c r="AA570" s="2">
        <v>20251002</v>
      </c>
      <c r="AB570" s="3">
        <v>6000</v>
      </c>
    </row>
    <row r="571" spans="3:28" x14ac:dyDescent="0.25">
      <c r="C571" s="2">
        <v>10000001</v>
      </c>
      <c r="D571" s="2" t="s">
        <v>841</v>
      </c>
      <c r="F571" s="2">
        <v>12008058</v>
      </c>
      <c r="H571" s="2" t="s">
        <v>841</v>
      </c>
      <c r="I571" s="2" t="str">
        <f t="shared" si="8"/>
        <v>10</v>
      </c>
      <c r="J571" s="2">
        <v>50</v>
      </c>
      <c r="K571" s="3">
        <v>-150000</v>
      </c>
      <c r="L571" s="2" t="s">
        <v>26</v>
      </c>
      <c r="M571" s="3">
        <v>-150000</v>
      </c>
      <c r="N571" s="2" t="s">
        <v>26</v>
      </c>
      <c r="R571" s="2" t="s">
        <v>27</v>
      </c>
      <c r="S571" s="2" t="s">
        <v>856</v>
      </c>
      <c r="T571" s="2" t="s">
        <v>274</v>
      </c>
      <c r="U571" s="2" t="s">
        <v>863</v>
      </c>
      <c r="V571" s="4">
        <f>+VLOOKUP(U571,'FBCJ Jul-Des 2025'!$G$10:$P$1302,8,0)</f>
        <v>70108100</v>
      </c>
      <c r="W571" s="4" t="str">
        <f>+VLOOKUP(V571,Sheet1!$A$2:$B$27,2,0)</f>
        <v>Biaya Peralatan Dan Perabot Kantor</v>
      </c>
      <c r="X571" s="4" t="str">
        <f>+VLOOKUP(U571,'FBCJ Jul-Des 2025'!$G$10:$P$1302,9,0)</f>
        <v>R124LOG</v>
      </c>
      <c r="Y571" s="2" t="s">
        <v>43</v>
      </c>
      <c r="Z571" s="2">
        <v>1719278</v>
      </c>
      <c r="AA571" s="2">
        <v>20251002</v>
      </c>
      <c r="AB571" s="3">
        <v>150000</v>
      </c>
    </row>
    <row r="572" spans="3:28" x14ac:dyDescent="0.25">
      <c r="C572" s="2">
        <v>10000001</v>
      </c>
      <c r="D572" s="2" t="s">
        <v>841</v>
      </c>
      <c r="F572" s="2">
        <v>12008059</v>
      </c>
      <c r="H572" s="2" t="s">
        <v>841</v>
      </c>
      <c r="I572" s="2" t="str">
        <f t="shared" si="8"/>
        <v>10</v>
      </c>
      <c r="J572" s="2">
        <v>50</v>
      </c>
      <c r="K572" s="3">
        <v>-100000</v>
      </c>
      <c r="L572" s="2" t="s">
        <v>26</v>
      </c>
      <c r="M572" s="3">
        <v>-100000</v>
      </c>
      <c r="N572" s="2" t="s">
        <v>26</v>
      </c>
      <c r="R572" s="2" t="s">
        <v>27</v>
      </c>
      <c r="S572" s="2" t="s">
        <v>864</v>
      </c>
      <c r="T572" s="2" t="s">
        <v>45</v>
      </c>
      <c r="U572" s="2" t="s">
        <v>865</v>
      </c>
      <c r="V572" s="4">
        <f>+VLOOKUP(U572,'FBCJ Jul-Des 2025'!$G$10:$P$1302,8,0)</f>
        <v>70009110</v>
      </c>
      <c r="W572" s="4" t="str">
        <f>+VLOOKUP(V572,Sheet1!$A$2:$B$27,2,0)</f>
        <v>Biaya Survey dan Analisa</v>
      </c>
      <c r="X572" s="4" t="str">
        <f>+VLOOKUP(U572,'FBCJ Jul-Des 2025'!$G$10:$P$1302,9,0)</f>
        <v>M204D1COMM</v>
      </c>
      <c r="Y572" s="2" t="s">
        <v>43</v>
      </c>
      <c r="Z572" s="2">
        <v>1719278</v>
      </c>
      <c r="AA572" s="2">
        <v>20251002</v>
      </c>
      <c r="AB572" s="3">
        <v>100000</v>
      </c>
    </row>
    <row r="573" spans="3:28" x14ac:dyDescent="0.25">
      <c r="C573" s="2">
        <v>10000001</v>
      </c>
      <c r="D573" s="2" t="s">
        <v>841</v>
      </c>
      <c r="F573" s="2">
        <v>12008060</v>
      </c>
      <c r="H573" s="2" t="s">
        <v>841</v>
      </c>
      <c r="I573" s="2" t="str">
        <f t="shared" si="8"/>
        <v>10</v>
      </c>
      <c r="J573" s="2">
        <v>50</v>
      </c>
      <c r="K573" s="3">
        <v>-780000</v>
      </c>
      <c r="L573" s="2" t="s">
        <v>26</v>
      </c>
      <c r="M573" s="3">
        <v>-780000</v>
      </c>
      <c r="N573" s="2" t="s">
        <v>26</v>
      </c>
      <c r="R573" s="2" t="s">
        <v>27</v>
      </c>
      <c r="S573" s="2" t="s">
        <v>866</v>
      </c>
      <c r="T573" s="2" t="s">
        <v>96</v>
      </c>
      <c r="U573" s="2" t="s">
        <v>867</v>
      </c>
      <c r="V573" s="4">
        <f>+VLOOKUP(U573,'FBCJ Jul-Des 2025'!$G$10:$P$1302,8,0)</f>
        <v>70106400</v>
      </c>
      <c r="W573" s="4" t="str">
        <f>+VLOOKUP(V573,Sheet1!$A$2:$B$27,2,0)</f>
        <v>Biaya Bahan Bakar</v>
      </c>
      <c r="X573" s="4" t="str">
        <f>+VLOOKUP(U573,'FBCJ Jul-Des 2025'!$G$10:$P$1302,9,0)</f>
        <v>R124D1HRGA</v>
      </c>
      <c r="Y573" s="2" t="s">
        <v>43</v>
      </c>
      <c r="Z573" s="2">
        <v>1719278</v>
      </c>
      <c r="AA573" s="2">
        <v>20251002</v>
      </c>
      <c r="AB573" s="3">
        <v>780000</v>
      </c>
    </row>
    <row r="574" spans="3:28" x14ac:dyDescent="0.25">
      <c r="C574" s="2">
        <v>10000001</v>
      </c>
      <c r="D574" s="2" t="s">
        <v>841</v>
      </c>
      <c r="F574" s="2">
        <v>12008061</v>
      </c>
      <c r="H574" s="2" t="s">
        <v>841</v>
      </c>
      <c r="I574" s="2" t="str">
        <f t="shared" si="8"/>
        <v>10</v>
      </c>
      <c r="J574" s="2">
        <v>50</v>
      </c>
      <c r="K574" s="3">
        <v>-220000</v>
      </c>
      <c r="L574" s="2" t="s">
        <v>26</v>
      </c>
      <c r="M574" s="3">
        <v>-220000</v>
      </c>
      <c r="N574" s="2" t="s">
        <v>26</v>
      </c>
      <c r="R574" s="2" t="s">
        <v>27</v>
      </c>
      <c r="S574" s="2" t="s">
        <v>866</v>
      </c>
      <c r="T574" s="2" t="s">
        <v>67</v>
      </c>
      <c r="U574" s="2" t="s">
        <v>98</v>
      </c>
      <c r="V574" s="4">
        <f>+VLOOKUP(U574,'FBCJ Jul-Des 2025'!$G$10:$P$1302,8,0)</f>
        <v>70106100</v>
      </c>
      <c r="W574" s="4" t="str">
        <f>+VLOOKUP(V574,Sheet1!$A$2:$B$27,2,0)</f>
        <v>Biaya Transportasi Lokal</v>
      </c>
      <c r="X574" s="4" t="str">
        <f>+VLOOKUP(U574,'FBCJ Jul-Des 2025'!$G$10:$P$1302,9,0)</f>
        <v>R124D1HRGA</v>
      </c>
      <c r="Y574" s="2" t="s">
        <v>43</v>
      </c>
      <c r="Z574" s="2">
        <v>1719278</v>
      </c>
      <c r="AA574" s="2">
        <v>20251002</v>
      </c>
      <c r="AB574" s="3">
        <v>220000</v>
      </c>
    </row>
    <row r="575" spans="3:28" x14ac:dyDescent="0.25">
      <c r="C575" s="2">
        <v>10000001</v>
      </c>
      <c r="D575" s="2" t="s">
        <v>841</v>
      </c>
      <c r="F575" s="2">
        <v>12008062</v>
      </c>
      <c r="H575" s="2" t="s">
        <v>841</v>
      </c>
      <c r="I575" s="2" t="str">
        <f t="shared" si="8"/>
        <v>10</v>
      </c>
      <c r="J575" s="2">
        <v>50</v>
      </c>
      <c r="K575" s="3">
        <v>-50000</v>
      </c>
      <c r="L575" s="2" t="s">
        <v>26</v>
      </c>
      <c r="M575" s="3">
        <v>-50000</v>
      </c>
      <c r="N575" s="2" t="s">
        <v>26</v>
      </c>
      <c r="R575" s="2" t="s">
        <v>27</v>
      </c>
      <c r="S575" s="2" t="s">
        <v>868</v>
      </c>
      <c r="T575" s="2" t="s">
        <v>45</v>
      </c>
      <c r="U575" s="2" t="s">
        <v>869</v>
      </c>
      <c r="V575" s="4">
        <f>+VLOOKUP(U575,'FBCJ Jul-Des 2025'!$G$10:$P$1302,8,0)</f>
        <v>70009110</v>
      </c>
      <c r="W575" s="4" t="str">
        <f>+VLOOKUP(V575,Sheet1!$A$2:$B$27,2,0)</f>
        <v>Biaya Survey dan Analisa</v>
      </c>
      <c r="X575" s="4" t="str">
        <f>+VLOOKUP(U575,'FBCJ Jul-Des 2025'!$G$10:$P$1302,9,0)</f>
        <v>P206D1SLSC</v>
      </c>
      <c r="Y575" s="2" t="s">
        <v>43</v>
      </c>
      <c r="Z575" s="2">
        <v>1719278</v>
      </c>
      <c r="AA575" s="2">
        <v>20251002</v>
      </c>
      <c r="AB575" s="3">
        <v>50000</v>
      </c>
    </row>
    <row r="576" spans="3:28" x14ac:dyDescent="0.25">
      <c r="C576" s="2">
        <v>10000001</v>
      </c>
      <c r="D576" s="2" t="s">
        <v>841</v>
      </c>
      <c r="F576" s="2">
        <v>12008063</v>
      </c>
      <c r="H576" s="2" t="s">
        <v>841</v>
      </c>
      <c r="I576" s="2" t="str">
        <f t="shared" si="8"/>
        <v>10</v>
      </c>
      <c r="J576" s="2">
        <v>50</v>
      </c>
      <c r="K576" s="3">
        <v>-50000</v>
      </c>
      <c r="L576" s="2" t="s">
        <v>26</v>
      </c>
      <c r="M576" s="3">
        <v>-50000</v>
      </c>
      <c r="N576" s="2" t="s">
        <v>26</v>
      </c>
      <c r="R576" s="2" t="s">
        <v>27</v>
      </c>
      <c r="S576" s="2" t="s">
        <v>868</v>
      </c>
      <c r="T576" s="2" t="s">
        <v>45</v>
      </c>
      <c r="U576" s="2" t="s">
        <v>870</v>
      </c>
      <c r="V576" s="4">
        <f>+VLOOKUP(U576,'FBCJ Jul-Des 2025'!$G$10:$P$1302,8,0)</f>
        <v>70009110</v>
      </c>
      <c r="W576" s="4" t="str">
        <f>+VLOOKUP(V576,Sheet1!$A$2:$B$27,2,0)</f>
        <v>Biaya Survey dan Analisa</v>
      </c>
      <c r="X576" s="4" t="str">
        <f>+VLOOKUP(U576,'FBCJ Jul-Des 2025'!$G$10:$P$1302,9,0)</f>
        <v>P206D1SLSS</v>
      </c>
      <c r="Y576" s="2" t="s">
        <v>43</v>
      </c>
      <c r="Z576" s="2">
        <v>1719278</v>
      </c>
      <c r="AA576" s="2">
        <v>20251002</v>
      </c>
      <c r="AB576" s="3">
        <v>50000</v>
      </c>
    </row>
    <row r="577" spans="3:28" x14ac:dyDescent="0.25">
      <c r="C577" s="2">
        <v>10000001</v>
      </c>
      <c r="D577" s="2" t="s">
        <v>841</v>
      </c>
      <c r="F577" s="2">
        <v>12008064</v>
      </c>
      <c r="H577" s="2" t="s">
        <v>841</v>
      </c>
      <c r="I577" s="2" t="str">
        <f t="shared" si="8"/>
        <v>10</v>
      </c>
      <c r="J577" s="2">
        <v>50</v>
      </c>
      <c r="K577" s="3">
        <v>-50000</v>
      </c>
      <c r="L577" s="2" t="s">
        <v>26</v>
      </c>
      <c r="M577" s="3">
        <v>-50000</v>
      </c>
      <c r="N577" s="2" t="s">
        <v>26</v>
      </c>
      <c r="R577" s="2" t="s">
        <v>27</v>
      </c>
      <c r="S577" s="2" t="s">
        <v>868</v>
      </c>
      <c r="T577" s="2" t="s">
        <v>45</v>
      </c>
      <c r="U577" s="2" t="s">
        <v>871</v>
      </c>
      <c r="V577" s="4">
        <f>+VLOOKUP(U577,'FBCJ Jul-Des 2025'!$G$10:$P$1302,8,0)</f>
        <v>70009110</v>
      </c>
      <c r="W577" s="4" t="str">
        <f>+VLOOKUP(V577,Sheet1!$A$2:$B$27,2,0)</f>
        <v>Biaya Survey dan Analisa</v>
      </c>
      <c r="X577" s="4" t="str">
        <f>+VLOOKUP(U577,'FBCJ Jul-Des 2025'!$G$10:$P$1302,9,0)</f>
        <v>M204D1COMM</v>
      </c>
      <c r="Y577" s="2" t="s">
        <v>43</v>
      </c>
      <c r="Z577" s="2">
        <v>1719278</v>
      </c>
      <c r="AA577" s="2">
        <v>20251002</v>
      </c>
      <c r="AB577" s="3">
        <v>50000</v>
      </c>
    </row>
    <row r="578" spans="3:28" x14ac:dyDescent="0.25">
      <c r="C578" s="2">
        <v>10000001</v>
      </c>
      <c r="D578" s="2" t="s">
        <v>841</v>
      </c>
      <c r="F578" s="2">
        <v>12008065</v>
      </c>
      <c r="H578" s="2" t="s">
        <v>841</v>
      </c>
      <c r="I578" s="2" t="str">
        <f t="shared" si="8"/>
        <v>10</v>
      </c>
      <c r="J578" s="2">
        <v>50</v>
      </c>
      <c r="K578" s="3">
        <v>-50000</v>
      </c>
      <c r="L578" s="2" t="s">
        <v>26</v>
      </c>
      <c r="M578" s="3">
        <v>-50000</v>
      </c>
      <c r="N578" s="2" t="s">
        <v>26</v>
      </c>
      <c r="R578" s="2" t="s">
        <v>27</v>
      </c>
      <c r="S578" s="2" t="s">
        <v>868</v>
      </c>
      <c r="T578" s="2" t="s">
        <v>45</v>
      </c>
      <c r="U578" s="2" t="s">
        <v>872</v>
      </c>
      <c r="V578" s="4">
        <f>+VLOOKUP(U578,'FBCJ Jul-Des 2025'!$G$10:$P$1302,8,0)</f>
        <v>70009110</v>
      </c>
      <c r="W578" s="4" t="str">
        <f>+VLOOKUP(V578,Sheet1!$A$2:$B$27,2,0)</f>
        <v>Biaya Survey dan Analisa</v>
      </c>
      <c r="X578" s="4" t="str">
        <f>+VLOOKUP(U578,'FBCJ Jul-Des 2025'!$G$10:$P$1302,9,0)</f>
        <v>P206D1SLSS</v>
      </c>
      <c r="Y578" s="2" t="s">
        <v>43</v>
      </c>
      <c r="Z578" s="2">
        <v>1719278</v>
      </c>
      <c r="AA578" s="2">
        <v>20251002</v>
      </c>
      <c r="AB578" s="3">
        <v>50000</v>
      </c>
    </row>
    <row r="579" spans="3:28" x14ac:dyDescent="0.25">
      <c r="C579" s="2">
        <v>10000001</v>
      </c>
      <c r="D579" s="2" t="s">
        <v>841</v>
      </c>
      <c r="F579" s="2">
        <v>12008066</v>
      </c>
      <c r="H579" s="2" t="s">
        <v>841</v>
      </c>
      <c r="I579" s="2" t="str">
        <f t="shared" si="8"/>
        <v>10</v>
      </c>
      <c r="J579" s="2">
        <v>50</v>
      </c>
      <c r="K579" s="3">
        <v>-50000</v>
      </c>
      <c r="L579" s="2" t="s">
        <v>26</v>
      </c>
      <c r="M579" s="3">
        <v>-50000</v>
      </c>
      <c r="N579" s="2" t="s">
        <v>26</v>
      </c>
      <c r="R579" s="2" t="s">
        <v>27</v>
      </c>
      <c r="S579" s="2" t="s">
        <v>868</v>
      </c>
      <c r="T579" s="2" t="s">
        <v>45</v>
      </c>
      <c r="U579" s="2" t="s">
        <v>873</v>
      </c>
      <c r="V579" s="4">
        <f>+VLOOKUP(U579,'FBCJ Jul-Des 2025'!$G$10:$P$1302,8,0)</f>
        <v>70009110</v>
      </c>
      <c r="W579" s="4" t="str">
        <f>+VLOOKUP(V579,Sheet1!$A$2:$B$27,2,0)</f>
        <v>Biaya Survey dan Analisa</v>
      </c>
      <c r="X579" s="4" t="str">
        <f>+VLOOKUP(U579,'FBCJ Jul-Des 2025'!$G$10:$P$1302,9,0)</f>
        <v>P206D1SLSS</v>
      </c>
      <c r="Y579" s="2" t="s">
        <v>43</v>
      </c>
      <c r="Z579" s="2">
        <v>1719278</v>
      </c>
      <c r="AA579" s="2">
        <v>20251002</v>
      </c>
      <c r="AB579" s="3">
        <v>50000</v>
      </c>
    </row>
    <row r="580" spans="3:28" x14ac:dyDescent="0.25">
      <c r="C580" s="2">
        <v>10000001</v>
      </c>
      <c r="D580" s="2" t="s">
        <v>841</v>
      </c>
      <c r="F580" s="2">
        <v>12008067</v>
      </c>
      <c r="H580" s="2" t="s">
        <v>841</v>
      </c>
      <c r="I580" s="2" t="str">
        <f t="shared" si="8"/>
        <v>10</v>
      </c>
      <c r="J580" s="2">
        <v>50</v>
      </c>
      <c r="K580" s="3">
        <v>-200000</v>
      </c>
      <c r="L580" s="2" t="s">
        <v>26</v>
      </c>
      <c r="M580" s="3">
        <v>-200000</v>
      </c>
      <c r="N580" s="2" t="s">
        <v>26</v>
      </c>
      <c r="R580" s="2" t="s">
        <v>27</v>
      </c>
      <c r="S580" s="2" t="s">
        <v>868</v>
      </c>
      <c r="T580" s="2" t="s">
        <v>45</v>
      </c>
      <c r="U580" s="2" t="s">
        <v>874</v>
      </c>
      <c r="V580" s="4">
        <f>+VLOOKUP(U580,'FBCJ Jul-Des 2025'!$G$10:$P$1302,8,0)</f>
        <v>70009110</v>
      </c>
      <c r="W580" s="4" t="str">
        <f>+VLOOKUP(V580,Sheet1!$A$2:$B$27,2,0)</f>
        <v>Biaya Survey dan Analisa</v>
      </c>
      <c r="X580" s="4" t="str">
        <f>+VLOOKUP(U580,'FBCJ Jul-Des 2025'!$G$10:$P$1302,9,0)</f>
        <v>P206D1SLSS</v>
      </c>
      <c r="Y580" s="2" t="s">
        <v>43</v>
      </c>
      <c r="Z580" s="2">
        <v>1719278</v>
      </c>
      <c r="AA580" s="2">
        <v>20251002</v>
      </c>
      <c r="AB580" s="3">
        <v>200000</v>
      </c>
    </row>
    <row r="581" spans="3:28" x14ac:dyDescent="0.25">
      <c r="C581" s="2">
        <v>10000001</v>
      </c>
      <c r="D581" s="2" t="s">
        <v>841</v>
      </c>
      <c r="F581" s="2">
        <v>12008068</v>
      </c>
      <c r="H581" s="2" t="s">
        <v>841</v>
      </c>
      <c r="I581" s="2" t="str">
        <f t="shared" si="8"/>
        <v>10</v>
      </c>
      <c r="J581" s="2">
        <v>50</v>
      </c>
      <c r="K581" s="3">
        <v>-200000</v>
      </c>
      <c r="L581" s="2" t="s">
        <v>26</v>
      </c>
      <c r="M581" s="3">
        <v>-200000</v>
      </c>
      <c r="N581" s="2" t="s">
        <v>26</v>
      </c>
      <c r="R581" s="2" t="s">
        <v>27</v>
      </c>
      <c r="S581" s="2" t="s">
        <v>868</v>
      </c>
      <c r="T581" s="2" t="s">
        <v>45</v>
      </c>
      <c r="U581" s="2" t="s">
        <v>875</v>
      </c>
      <c r="V581" s="4">
        <f>+VLOOKUP(U581,'FBCJ Jul-Des 2025'!$G$10:$P$1302,8,0)</f>
        <v>70009110</v>
      </c>
      <c r="W581" s="4" t="str">
        <f>+VLOOKUP(V581,Sheet1!$A$2:$B$27,2,0)</f>
        <v>Biaya Survey dan Analisa</v>
      </c>
      <c r="X581" s="4" t="str">
        <f>+VLOOKUP(U581,'FBCJ Jul-Des 2025'!$G$10:$P$1302,9,0)</f>
        <v>P206D1SLSS</v>
      </c>
      <c r="Y581" s="2" t="s">
        <v>43</v>
      </c>
      <c r="Z581" s="2">
        <v>1719278</v>
      </c>
      <c r="AA581" s="2">
        <v>20251002</v>
      </c>
      <c r="AB581" s="3">
        <v>200000</v>
      </c>
    </row>
    <row r="582" spans="3:28" x14ac:dyDescent="0.25">
      <c r="C582" s="2">
        <v>10000001</v>
      </c>
      <c r="D582" s="2" t="s">
        <v>841</v>
      </c>
      <c r="F582" s="2">
        <v>12008069</v>
      </c>
      <c r="H582" s="2" t="s">
        <v>841</v>
      </c>
      <c r="I582" s="2" t="str">
        <f t="shared" si="8"/>
        <v>10</v>
      </c>
      <c r="J582" s="2">
        <v>50</v>
      </c>
      <c r="K582" s="3">
        <v>-50000</v>
      </c>
      <c r="L582" s="2" t="s">
        <v>26</v>
      </c>
      <c r="M582" s="3">
        <v>-50000</v>
      </c>
      <c r="N582" s="2" t="s">
        <v>26</v>
      </c>
      <c r="R582" s="2" t="s">
        <v>27</v>
      </c>
      <c r="S582" s="2" t="s">
        <v>876</v>
      </c>
      <c r="T582" s="2" t="s">
        <v>45</v>
      </c>
      <c r="U582" s="2" t="s">
        <v>877</v>
      </c>
      <c r="V582" s="4">
        <f>+VLOOKUP(U582,'FBCJ Jul-Des 2025'!$G$10:$P$1302,8,0)</f>
        <v>70009110</v>
      </c>
      <c r="W582" s="4" t="str">
        <f>+VLOOKUP(V582,Sheet1!$A$2:$B$27,2,0)</f>
        <v>Biaya Survey dan Analisa</v>
      </c>
      <c r="X582" s="4" t="str">
        <f>+VLOOKUP(U582,'FBCJ Jul-Des 2025'!$G$10:$P$1302,9,0)</f>
        <v>P206D1SLSC</v>
      </c>
      <c r="Y582" s="2" t="s">
        <v>43</v>
      </c>
      <c r="Z582" s="2">
        <v>1719278</v>
      </c>
      <c r="AA582" s="2">
        <v>20251002</v>
      </c>
      <c r="AB582" s="3">
        <v>50000</v>
      </c>
    </row>
    <row r="583" spans="3:28" x14ac:dyDescent="0.25">
      <c r="C583" s="2">
        <v>10000001</v>
      </c>
      <c r="D583" s="2" t="s">
        <v>841</v>
      </c>
      <c r="F583" s="2">
        <v>12008070</v>
      </c>
      <c r="H583" s="2" t="s">
        <v>841</v>
      </c>
      <c r="I583" s="2" t="str">
        <f t="shared" si="8"/>
        <v>10</v>
      </c>
      <c r="J583" s="2">
        <v>50</v>
      </c>
      <c r="K583" s="3">
        <v>-50000</v>
      </c>
      <c r="L583" s="2" t="s">
        <v>26</v>
      </c>
      <c r="M583" s="3">
        <v>-50000</v>
      </c>
      <c r="N583" s="2" t="s">
        <v>26</v>
      </c>
      <c r="R583" s="2" t="s">
        <v>27</v>
      </c>
      <c r="S583" s="2" t="s">
        <v>876</v>
      </c>
      <c r="T583" s="2" t="s">
        <v>45</v>
      </c>
      <c r="U583" s="2" t="s">
        <v>878</v>
      </c>
      <c r="V583" s="4">
        <f>+VLOOKUP(U583,'FBCJ Jul-Des 2025'!$G$10:$P$1302,8,0)</f>
        <v>70009110</v>
      </c>
      <c r="W583" s="4" t="str">
        <f>+VLOOKUP(V583,Sheet1!$A$2:$B$27,2,0)</f>
        <v>Biaya Survey dan Analisa</v>
      </c>
      <c r="X583" s="4" t="str">
        <f>+VLOOKUP(U583,'FBCJ Jul-Des 2025'!$G$10:$P$1302,9,0)</f>
        <v>P206D1SLSS</v>
      </c>
      <c r="Y583" s="2" t="s">
        <v>43</v>
      </c>
      <c r="Z583" s="2">
        <v>1719278</v>
      </c>
      <c r="AA583" s="2">
        <v>20251002</v>
      </c>
      <c r="AB583" s="3">
        <v>50000</v>
      </c>
    </row>
    <row r="584" spans="3:28" x14ac:dyDescent="0.25">
      <c r="C584" s="2">
        <v>10000001</v>
      </c>
      <c r="D584" s="2" t="s">
        <v>841</v>
      </c>
      <c r="F584" s="2">
        <v>12008071</v>
      </c>
      <c r="H584" s="2" t="s">
        <v>841</v>
      </c>
      <c r="I584" s="2" t="str">
        <f t="shared" ref="I584:I647" si="9">+MID(H584,4,2)</f>
        <v>10</v>
      </c>
      <c r="J584" s="2">
        <v>50</v>
      </c>
      <c r="K584" s="3">
        <v>-50000</v>
      </c>
      <c r="L584" s="2" t="s">
        <v>26</v>
      </c>
      <c r="M584" s="3">
        <v>-50000</v>
      </c>
      <c r="N584" s="2" t="s">
        <v>26</v>
      </c>
      <c r="R584" s="2" t="s">
        <v>27</v>
      </c>
      <c r="S584" s="2" t="s">
        <v>876</v>
      </c>
      <c r="T584" s="2" t="s">
        <v>45</v>
      </c>
      <c r="U584" s="2" t="s">
        <v>879</v>
      </c>
      <c r="V584" s="4">
        <f>+VLOOKUP(U584,'FBCJ Jul-Des 2025'!$G$10:$P$1302,8,0)</f>
        <v>70009110</v>
      </c>
      <c r="W584" s="4" t="str">
        <f>+VLOOKUP(V584,Sheet1!$A$2:$B$27,2,0)</f>
        <v>Biaya Survey dan Analisa</v>
      </c>
      <c r="X584" s="4" t="str">
        <f>+VLOOKUP(U584,'FBCJ Jul-Des 2025'!$G$10:$P$1302,9,0)</f>
        <v>P206D1SLSC</v>
      </c>
      <c r="Y584" s="2" t="s">
        <v>43</v>
      </c>
      <c r="Z584" s="2">
        <v>1719278</v>
      </c>
      <c r="AA584" s="2">
        <v>20251002</v>
      </c>
      <c r="AB584" s="3">
        <v>50000</v>
      </c>
    </row>
    <row r="585" spans="3:28" x14ac:dyDescent="0.25">
      <c r="C585" s="2">
        <v>10000001</v>
      </c>
      <c r="D585" s="2" t="s">
        <v>841</v>
      </c>
      <c r="F585" s="2">
        <v>12008072</v>
      </c>
      <c r="H585" s="2" t="s">
        <v>841</v>
      </c>
      <c r="I585" s="2" t="str">
        <f t="shared" si="9"/>
        <v>10</v>
      </c>
      <c r="J585" s="2">
        <v>50</v>
      </c>
      <c r="K585" s="3">
        <v>-50000</v>
      </c>
      <c r="L585" s="2" t="s">
        <v>26</v>
      </c>
      <c r="M585" s="3">
        <v>-50000</v>
      </c>
      <c r="N585" s="2" t="s">
        <v>26</v>
      </c>
      <c r="R585" s="2" t="s">
        <v>27</v>
      </c>
      <c r="S585" s="2" t="s">
        <v>876</v>
      </c>
      <c r="T585" s="2" t="s">
        <v>45</v>
      </c>
      <c r="U585" s="2" t="s">
        <v>880</v>
      </c>
      <c r="V585" s="4">
        <f>+VLOOKUP(U585,'FBCJ Jul-Des 2025'!$G$10:$P$1302,8,0)</f>
        <v>70009110</v>
      </c>
      <c r="W585" s="4" t="str">
        <f>+VLOOKUP(V585,Sheet1!$A$2:$B$27,2,0)</f>
        <v>Biaya Survey dan Analisa</v>
      </c>
      <c r="X585" s="4" t="str">
        <f>+VLOOKUP(U585,'FBCJ Jul-Des 2025'!$G$10:$P$1302,9,0)</f>
        <v>P206D1SLSC</v>
      </c>
      <c r="Y585" s="2" t="s">
        <v>43</v>
      </c>
      <c r="Z585" s="2">
        <v>1719278</v>
      </c>
      <c r="AA585" s="2">
        <v>20251002</v>
      </c>
      <c r="AB585" s="3">
        <v>50000</v>
      </c>
    </row>
    <row r="586" spans="3:28" x14ac:dyDescent="0.25">
      <c r="C586" s="2">
        <v>10000001</v>
      </c>
      <c r="D586" s="2" t="s">
        <v>841</v>
      </c>
      <c r="F586" s="2">
        <v>12008073</v>
      </c>
      <c r="H586" s="2" t="s">
        <v>841</v>
      </c>
      <c r="I586" s="2" t="str">
        <f t="shared" si="9"/>
        <v>10</v>
      </c>
      <c r="J586" s="2">
        <v>50</v>
      </c>
      <c r="K586" s="3">
        <v>-50000</v>
      </c>
      <c r="L586" s="2" t="s">
        <v>26</v>
      </c>
      <c r="M586" s="3">
        <v>-50000</v>
      </c>
      <c r="N586" s="2" t="s">
        <v>26</v>
      </c>
      <c r="R586" s="2" t="s">
        <v>27</v>
      </c>
      <c r="S586" s="2" t="s">
        <v>881</v>
      </c>
      <c r="T586" s="2" t="s">
        <v>45</v>
      </c>
      <c r="U586" s="2" t="s">
        <v>882</v>
      </c>
      <c r="V586" s="4">
        <f>+VLOOKUP(U586,'FBCJ Jul-Des 2025'!$G$10:$P$1302,8,0)</f>
        <v>70009110</v>
      </c>
      <c r="W586" s="4" t="str">
        <f>+VLOOKUP(V586,Sheet1!$A$2:$B$27,2,0)</f>
        <v>Biaya Survey dan Analisa</v>
      </c>
      <c r="X586" s="4" t="str">
        <f>+VLOOKUP(U586,'FBCJ Jul-Des 2025'!$G$10:$P$1302,9,0)</f>
        <v>M204D1COMM</v>
      </c>
      <c r="Y586" s="2" t="s">
        <v>43</v>
      </c>
      <c r="Z586" s="2">
        <v>1719278</v>
      </c>
      <c r="AA586" s="2">
        <v>20251002</v>
      </c>
      <c r="AB586" s="3">
        <v>50000</v>
      </c>
    </row>
    <row r="587" spans="3:28" x14ac:dyDescent="0.25">
      <c r="C587" s="2">
        <v>10000001</v>
      </c>
      <c r="D587" s="2" t="s">
        <v>841</v>
      </c>
      <c r="F587" s="2">
        <v>12008074</v>
      </c>
      <c r="H587" s="2" t="s">
        <v>841</v>
      </c>
      <c r="I587" s="2" t="str">
        <f t="shared" si="9"/>
        <v>10</v>
      </c>
      <c r="J587" s="2">
        <v>50</v>
      </c>
      <c r="K587" s="3">
        <v>-50000</v>
      </c>
      <c r="L587" s="2" t="s">
        <v>26</v>
      </c>
      <c r="M587" s="3">
        <v>-50000</v>
      </c>
      <c r="N587" s="2" t="s">
        <v>26</v>
      </c>
      <c r="R587" s="2" t="s">
        <v>27</v>
      </c>
      <c r="S587" s="2" t="s">
        <v>881</v>
      </c>
      <c r="T587" s="2" t="s">
        <v>45</v>
      </c>
      <c r="U587" s="2" t="s">
        <v>883</v>
      </c>
      <c r="V587" s="4">
        <f>+VLOOKUP(U587,'FBCJ Jul-Des 2025'!$G$10:$P$1302,8,0)</f>
        <v>70009110</v>
      </c>
      <c r="W587" s="4" t="str">
        <f>+VLOOKUP(V587,Sheet1!$A$2:$B$27,2,0)</f>
        <v>Biaya Survey dan Analisa</v>
      </c>
      <c r="X587" s="4" t="str">
        <f>+VLOOKUP(U587,'FBCJ Jul-Des 2025'!$G$10:$P$1302,9,0)</f>
        <v>M204D1COMM</v>
      </c>
      <c r="Y587" s="2" t="s">
        <v>43</v>
      </c>
      <c r="Z587" s="2">
        <v>1719278</v>
      </c>
      <c r="AA587" s="2">
        <v>20251002</v>
      </c>
      <c r="AB587" s="3">
        <v>50000</v>
      </c>
    </row>
    <row r="588" spans="3:28" x14ac:dyDescent="0.25">
      <c r="C588" s="2">
        <v>10000001</v>
      </c>
      <c r="D588" s="2" t="s">
        <v>841</v>
      </c>
      <c r="F588" s="2">
        <v>12008075</v>
      </c>
      <c r="H588" s="2" t="s">
        <v>841</v>
      </c>
      <c r="I588" s="2" t="str">
        <f t="shared" si="9"/>
        <v>10</v>
      </c>
      <c r="J588" s="2">
        <v>50</v>
      </c>
      <c r="K588" s="3">
        <v>-50000</v>
      </c>
      <c r="L588" s="2" t="s">
        <v>26</v>
      </c>
      <c r="M588" s="3">
        <v>-50000</v>
      </c>
      <c r="N588" s="2" t="s">
        <v>26</v>
      </c>
      <c r="R588" s="2" t="s">
        <v>27</v>
      </c>
      <c r="S588" s="2" t="s">
        <v>881</v>
      </c>
      <c r="T588" s="2" t="s">
        <v>45</v>
      </c>
      <c r="U588" s="2" t="s">
        <v>884</v>
      </c>
      <c r="V588" s="4">
        <f>+VLOOKUP(U588,'FBCJ Jul-Des 2025'!$G$10:$P$1302,8,0)</f>
        <v>70009110</v>
      </c>
      <c r="W588" s="4" t="str">
        <f>+VLOOKUP(V588,Sheet1!$A$2:$B$27,2,0)</f>
        <v>Biaya Survey dan Analisa</v>
      </c>
      <c r="X588" s="4" t="str">
        <f>+VLOOKUP(U588,'FBCJ Jul-Des 2025'!$G$10:$P$1302,9,0)</f>
        <v>M204D1COMM</v>
      </c>
      <c r="Y588" s="2" t="s">
        <v>43</v>
      </c>
      <c r="Z588" s="2">
        <v>1719278</v>
      </c>
      <c r="AA588" s="2">
        <v>20251002</v>
      </c>
      <c r="AB588" s="3">
        <v>50000</v>
      </c>
    </row>
    <row r="589" spans="3:28" x14ac:dyDescent="0.25">
      <c r="C589" s="2">
        <v>10000001</v>
      </c>
      <c r="D589" s="2" t="s">
        <v>841</v>
      </c>
      <c r="F589" s="2">
        <v>12008076</v>
      </c>
      <c r="H589" s="2" t="s">
        <v>841</v>
      </c>
      <c r="I589" s="2" t="str">
        <f t="shared" si="9"/>
        <v>10</v>
      </c>
      <c r="J589" s="2">
        <v>50</v>
      </c>
      <c r="K589" s="3">
        <v>-50000</v>
      </c>
      <c r="L589" s="2" t="s">
        <v>26</v>
      </c>
      <c r="M589" s="3">
        <v>-50000</v>
      </c>
      <c r="N589" s="2" t="s">
        <v>26</v>
      </c>
      <c r="R589" s="2" t="s">
        <v>27</v>
      </c>
      <c r="S589" s="2" t="s">
        <v>885</v>
      </c>
      <c r="T589" s="2" t="s">
        <v>45</v>
      </c>
      <c r="U589" s="2" t="s">
        <v>886</v>
      </c>
      <c r="V589" s="4">
        <f>+VLOOKUP(U589,'FBCJ Jul-Des 2025'!$G$10:$P$1302,8,0)</f>
        <v>70009110</v>
      </c>
      <c r="W589" s="4" t="str">
        <f>+VLOOKUP(V589,Sheet1!$A$2:$B$27,2,0)</f>
        <v>Biaya Survey dan Analisa</v>
      </c>
      <c r="X589" s="4" t="str">
        <f>+VLOOKUP(U589,'FBCJ Jul-Des 2025'!$G$10:$P$1302,9,0)</f>
        <v>C206D1SLSS</v>
      </c>
      <c r="Y589" s="2" t="s">
        <v>43</v>
      </c>
      <c r="Z589" s="2">
        <v>1719278</v>
      </c>
      <c r="AA589" s="2">
        <v>20251002</v>
      </c>
      <c r="AB589" s="3">
        <v>50000</v>
      </c>
    </row>
    <row r="590" spans="3:28" x14ac:dyDescent="0.25">
      <c r="C590" s="2">
        <v>10000001</v>
      </c>
      <c r="D590" s="2" t="s">
        <v>841</v>
      </c>
      <c r="F590" s="2">
        <v>12008077</v>
      </c>
      <c r="H590" s="2" t="s">
        <v>841</v>
      </c>
      <c r="I590" s="2" t="str">
        <f t="shared" si="9"/>
        <v>10</v>
      </c>
      <c r="J590" s="2">
        <v>50</v>
      </c>
      <c r="K590" s="3">
        <v>-50000</v>
      </c>
      <c r="L590" s="2" t="s">
        <v>26</v>
      </c>
      <c r="M590" s="3">
        <v>-50000</v>
      </c>
      <c r="N590" s="2" t="s">
        <v>26</v>
      </c>
      <c r="R590" s="2" t="s">
        <v>27</v>
      </c>
      <c r="S590" s="2" t="s">
        <v>885</v>
      </c>
      <c r="T590" s="2" t="s">
        <v>45</v>
      </c>
      <c r="U590" s="2" t="s">
        <v>886</v>
      </c>
      <c r="V590" s="4">
        <f>+VLOOKUP(U590,'FBCJ Jul-Des 2025'!$G$10:$P$1302,8,0)</f>
        <v>70009110</v>
      </c>
      <c r="W590" s="4" t="str">
        <f>+VLOOKUP(V590,Sheet1!$A$2:$B$27,2,0)</f>
        <v>Biaya Survey dan Analisa</v>
      </c>
      <c r="X590" s="4" t="str">
        <f>+VLOOKUP(U590,'FBCJ Jul-Des 2025'!$G$10:$P$1302,9,0)</f>
        <v>C206D1SLSS</v>
      </c>
      <c r="Y590" s="2" t="s">
        <v>43</v>
      </c>
      <c r="Z590" s="2">
        <v>1719278</v>
      </c>
      <c r="AA590" s="2">
        <v>20251002</v>
      </c>
      <c r="AB590" s="3">
        <v>50000</v>
      </c>
    </row>
    <row r="591" spans="3:28" x14ac:dyDescent="0.25">
      <c r="C591" s="2">
        <v>10000001</v>
      </c>
      <c r="D591" s="2" t="s">
        <v>841</v>
      </c>
      <c r="F591" s="2">
        <v>12008078</v>
      </c>
      <c r="H591" s="2" t="s">
        <v>841</v>
      </c>
      <c r="I591" s="2" t="str">
        <f t="shared" si="9"/>
        <v>10</v>
      </c>
      <c r="J591" s="2">
        <v>50</v>
      </c>
      <c r="K591" s="3">
        <v>-50000</v>
      </c>
      <c r="L591" s="2" t="s">
        <v>26</v>
      </c>
      <c r="M591" s="3">
        <v>-50000</v>
      </c>
      <c r="N591" s="2" t="s">
        <v>26</v>
      </c>
      <c r="R591" s="2" t="s">
        <v>27</v>
      </c>
      <c r="S591" s="2" t="s">
        <v>885</v>
      </c>
      <c r="T591" s="2" t="s">
        <v>45</v>
      </c>
      <c r="U591" s="2" t="s">
        <v>886</v>
      </c>
      <c r="V591" s="4">
        <f>+VLOOKUP(U591,'FBCJ Jul-Des 2025'!$G$10:$P$1302,8,0)</f>
        <v>70009110</v>
      </c>
      <c r="W591" s="4" t="str">
        <f>+VLOOKUP(V591,Sheet1!$A$2:$B$27,2,0)</f>
        <v>Biaya Survey dan Analisa</v>
      </c>
      <c r="X591" s="4" t="str">
        <f>+VLOOKUP(U591,'FBCJ Jul-Des 2025'!$G$10:$P$1302,9,0)</f>
        <v>C206D1SLSS</v>
      </c>
      <c r="Y591" s="2" t="s">
        <v>43</v>
      </c>
      <c r="Z591" s="2">
        <v>1719278</v>
      </c>
      <c r="AA591" s="2">
        <v>20251002</v>
      </c>
      <c r="AB591" s="3">
        <v>50000</v>
      </c>
    </row>
    <row r="592" spans="3:28" x14ac:dyDescent="0.25">
      <c r="C592" s="2">
        <v>10000001</v>
      </c>
      <c r="D592" s="2" t="s">
        <v>841</v>
      </c>
      <c r="F592" s="2">
        <v>12008079</v>
      </c>
      <c r="H592" s="2" t="s">
        <v>841</v>
      </c>
      <c r="I592" s="2" t="str">
        <f t="shared" si="9"/>
        <v>10</v>
      </c>
      <c r="J592" s="2">
        <v>50</v>
      </c>
      <c r="K592" s="3">
        <v>-50000</v>
      </c>
      <c r="L592" s="2" t="s">
        <v>26</v>
      </c>
      <c r="M592" s="3">
        <v>-50000</v>
      </c>
      <c r="N592" s="2" t="s">
        <v>26</v>
      </c>
      <c r="R592" s="2" t="s">
        <v>27</v>
      </c>
      <c r="S592" s="2" t="s">
        <v>885</v>
      </c>
      <c r="T592" s="2" t="s">
        <v>45</v>
      </c>
      <c r="U592" s="2" t="s">
        <v>886</v>
      </c>
      <c r="V592" s="4">
        <f>+VLOOKUP(U592,'FBCJ Jul-Des 2025'!$G$10:$P$1302,8,0)</f>
        <v>70009110</v>
      </c>
      <c r="W592" s="4" t="str">
        <f>+VLOOKUP(V592,Sheet1!$A$2:$B$27,2,0)</f>
        <v>Biaya Survey dan Analisa</v>
      </c>
      <c r="X592" s="4" t="str">
        <f>+VLOOKUP(U592,'FBCJ Jul-Des 2025'!$G$10:$P$1302,9,0)</f>
        <v>C206D1SLSS</v>
      </c>
      <c r="Y592" s="2" t="s">
        <v>43</v>
      </c>
      <c r="Z592" s="2">
        <v>1719278</v>
      </c>
      <c r="AA592" s="2">
        <v>20251002</v>
      </c>
      <c r="AB592" s="3">
        <v>50000</v>
      </c>
    </row>
    <row r="593" spans="3:28" x14ac:dyDescent="0.25">
      <c r="C593" s="2">
        <v>10000001</v>
      </c>
      <c r="D593" s="2" t="s">
        <v>841</v>
      </c>
      <c r="F593" s="2">
        <v>12008080</v>
      </c>
      <c r="H593" s="2" t="s">
        <v>841</v>
      </c>
      <c r="I593" s="2" t="str">
        <f t="shared" si="9"/>
        <v>10</v>
      </c>
      <c r="J593" s="2">
        <v>50</v>
      </c>
      <c r="K593" s="3">
        <v>-800000</v>
      </c>
      <c r="L593" s="2" t="s">
        <v>26</v>
      </c>
      <c r="M593" s="3">
        <v>-800000</v>
      </c>
      <c r="N593" s="2" t="s">
        <v>26</v>
      </c>
      <c r="R593" s="2" t="s">
        <v>27</v>
      </c>
      <c r="S593" s="2" t="s">
        <v>887</v>
      </c>
      <c r="T593" s="2" t="s">
        <v>254</v>
      </c>
      <c r="U593" s="2" t="s">
        <v>888</v>
      </c>
      <c r="V593" s="4">
        <f>+VLOOKUP(U593,'FBCJ Jul-Des 2025'!$G$10:$P$1302,8,0)</f>
        <v>70107100</v>
      </c>
      <c r="W593" s="4" t="str">
        <f>+VLOOKUP(V593,Sheet1!$A$2:$B$27,2,0)</f>
        <v>Biaya Mess</v>
      </c>
      <c r="X593" s="4" t="str">
        <f>+VLOOKUP(U593,'FBCJ Jul-Des 2025'!$G$10:$P$1302,9,0)</f>
        <v>R124D1HRGA</v>
      </c>
      <c r="Y593" s="2" t="s">
        <v>43</v>
      </c>
      <c r="Z593" s="2">
        <v>1719278</v>
      </c>
      <c r="AA593" s="2">
        <v>20251002</v>
      </c>
      <c r="AB593" s="3">
        <v>800000</v>
      </c>
    </row>
    <row r="594" spans="3:28" x14ac:dyDescent="0.25">
      <c r="C594" s="2">
        <v>10000001</v>
      </c>
      <c r="D594" s="2" t="s">
        <v>841</v>
      </c>
      <c r="F594" s="2">
        <v>12008081</v>
      </c>
      <c r="H594" s="2" t="s">
        <v>841</v>
      </c>
      <c r="I594" s="2" t="str">
        <f t="shared" si="9"/>
        <v>10</v>
      </c>
      <c r="J594" s="2">
        <v>50</v>
      </c>
      <c r="K594" s="3">
        <v>-50000</v>
      </c>
      <c r="L594" s="2" t="s">
        <v>26</v>
      </c>
      <c r="M594" s="3">
        <v>-50000</v>
      </c>
      <c r="N594" s="2" t="s">
        <v>26</v>
      </c>
      <c r="R594" s="2" t="s">
        <v>27</v>
      </c>
      <c r="S594" s="2" t="s">
        <v>889</v>
      </c>
      <c r="T594" s="2" t="s">
        <v>45</v>
      </c>
      <c r="U594" s="2" t="s">
        <v>890</v>
      </c>
      <c r="V594" s="4">
        <f>+VLOOKUP(U594,'FBCJ Jul-Des 2025'!$G$10:$P$1302,8,0)</f>
        <v>70009110</v>
      </c>
      <c r="W594" s="4" t="str">
        <f>+VLOOKUP(V594,Sheet1!$A$2:$B$27,2,0)</f>
        <v>Biaya Survey dan Analisa</v>
      </c>
      <c r="X594" s="4" t="str">
        <f>+VLOOKUP(U594,'FBCJ Jul-Des 2025'!$G$10:$P$1302,9,0)</f>
        <v>P206D1SLSS</v>
      </c>
      <c r="Y594" s="2" t="s">
        <v>43</v>
      </c>
      <c r="Z594" s="2">
        <v>1719278</v>
      </c>
      <c r="AA594" s="2">
        <v>20251002</v>
      </c>
      <c r="AB594" s="3">
        <v>50000</v>
      </c>
    </row>
    <row r="595" spans="3:28" x14ac:dyDescent="0.25">
      <c r="C595" s="2">
        <v>10000001</v>
      </c>
      <c r="D595" s="2" t="s">
        <v>841</v>
      </c>
      <c r="F595" s="2">
        <v>12008082</v>
      </c>
      <c r="H595" s="2" t="s">
        <v>841</v>
      </c>
      <c r="I595" s="2" t="str">
        <f t="shared" si="9"/>
        <v>10</v>
      </c>
      <c r="J595" s="2">
        <v>50</v>
      </c>
      <c r="K595" s="3">
        <v>-957000</v>
      </c>
      <c r="L595" s="2" t="s">
        <v>26</v>
      </c>
      <c r="M595" s="3">
        <v>-957000</v>
      </c>
      <c r="N595" s="2" t="s">
        <v>26</v>
      </c>
      <c r="R595" s="2" t="s">
        <v>27</v>
      </c>
      <c r="S595" s="2" t="s">
        <v>891</v>
      </c>
      <c r="T595" s="2" t="s">
        <v>59</v>
      </c>
      <c r="U595" s="2" t="s">
        <v>892</v>
      </c>
      <c r="V595" s="4">
        <f>+VLOOKUP(U595,'FBCJ Jul-Des 2025'!$G$10:$P$1302,8,0)</f>
        <v>70101114</v>
      </c>
      <c r="W595" s="4" t="str">
        <f>+VLOOKUP(V595,Sheet1!$A$2:$B$27,2,0)</f>
        <v>By Perbaikan &amp; Perawatan Perabot Material Pihak3</v>
      </c>
      <c r="X595" s="4" t="str">
        <f>+VLOOKUP(U595,'FBCJ Jul-Des 2025'!$G$10:$P$1302,9,0)</f>
        <v>R124REF4</v>
      </c>
      <c r="Y595" s="2" t="s">
        <v>43</v>
      </c>
      <c r="Z595" s="2">
        <v>1719278</v>
      </c>
      <c r="AA595" s="2">
        <v>20251002</v>
      </c>
      <c r="AB595" s="3">
        <v>957000</v>
      </c>
    </row>
    <row r="596" spans="3:28" x14ac:dyDescent="0.25">
      <c r="C596" s="2">
        <v>10000001</v>
      </c>
      <c r="D596" s="2" t="s">
        <v>841</v>
      </c>
      <c r="F596" s="2">
        <v>12008083</v>
      </c>
      <c r="H596" s="2" t="s">
        <v>841</v>
      </c>
      <c r="I596" s="2" t="str">
        <f t="shared" si="9"/>
        <v>10</v>
      </c>
      <c r="J596" s="2">
        <v>50</v>
      </c>
      <c r="K596" s="3">
        <v>-50000</v>
      </c>
      <c r="L596" s="2" t="s">
        <v>26</v>
      </c>
      <c r="M596" s="3">
        <v>-50000</v>
      </c>
      <c r="N596" s="2" t="s">
        <v>26</v>
      </c>
      <c r="R596" s="2" t="s">
        <v>27</v>
      </c>
      <c r="S596" s="2" t="s">
        <v>893</v>
      </c>
      <c r="T596" s="2" t="s">
        <v>45</v>
      </c>
      <c r="U596" s="2" t="s">
        <v>894</v>
      </c>
      <c r="V596" s="4">
        <f>+VLOOKUP(U596,'FBCJ Jul-Des 2025'!$G$10:$P$1302,8,0)</f>
        <v>70009110</v>
      </c>
      <c r="W596" s="4" t="str">
        <f>+VLOOKUP(V596,Sheet1!$A$2:$B$27,2,0)</f>
        <v>Biaya Survey dan Analisa</v>
      </c>
      <c r="X596" s="4" t="str">
        <f>+VLOOKUP(U596,'FBCJ Jul-Des 2025'!$G$10:$P$1302,9,0)</f>
        <v>M204D1COMM</v>
      </c>
      <c r="Y596" s="2" t="s">
        <v>43</v>
      </c>
      <c r="Z596" s="2">
        <v>1719278</v>
      </c>
      <c r="AA596" s="2">
        <v>20251002</v>
      </c>
      <c r="AB596" s="3">
        <v>50000</v>
      </c>
    </row>
    <row r="597" spans="3:28" x14ac:dyDescent="0.25">
      <c r="C597" s="2">
        <v>10000001</v>
      </c>
      <c r="D597" s="2" t="s">
        <v>841</v>
      </c>
      <c r="F597" s="2">
        <v>12008084</v>
      </c>
      <c r="H597" s="2" t="s">
        <v>841</v>
      </c>
      <c r="I597" s="2" t="str">
        <f t="shared" si="9"/>
        <v>10</v>
      </c>
      <c r="J597" s="2">
        <v>50</v>
      </c>
      <c r="K597" s="3">
        <v>-50000</v>
      </c>
      <c r="L597" s="2" t="s">
        <v>26</v>
      </c>
      <c r="M597" s="3">
        <v>-50000</v>
      </c>
      <c r="N597" s="2" t="s">
        <v>26</v>
      </c>
      <c r="R597" s="2" t="s">
        <v>27</v>
      </c>
      <c r="S597" s="2" t="s">
        <v>893</v>
      </c>
      <c r="T597" s="2" t="s">
        <v>45</v>
      </c>
      <c r="U597" s="2" t="s">
        <v>895</v>
      </c>
      <c r="V597" s="4">
        <f>+VLOOKUP(U597,'FBCJ Jul-Des 2025'!$G$10:$P$1302,8,0)</f>
        <v>70009110</v>
      </c>
      <c r="W597" s="4" t="str">
        <f>+VLOOKUP(V597,Sheet1!$A$2:$B$27,2,0)</f>
        <v>Biaya Survey dan Analisa</v>
      </c>
      <c r="X597" s="4" t="str">
        <f>+VLOOKUP(U597,'FBCJ Jul-Des 2025'!$G$10:$P$1302,9,0)</f>
        <v>M204D1COMM</v>
      </c>
      <c r="Y597" s="2" t="s">
        <v>43</v>
      </c>
      <c r="Z597" s="2">
        <v>1719278</v>
      </c>
      <c r="AA597" s="2">
        <v>20251002</v>
      </c>
      <c r="AB597" s="3">
        <v>50000</v>
      </c>
    </row>
    <row r="598" spans="3:28" x14ac:dyDescent="0.25">
      <c r="C598" s="2">
        <v>10000001</v>
      </c>
      <c r="D598" s="2" t="s">
        <v>841</v>
      </c>
      <c r="F598" s="2">
        <v>12008085</v>
      </c>
      <c r="H598" s="2" t="s">
        <v>841</v>
      </c>
      <c r="I598" s="2" t="str">
        <f t="shared" si="9"/>
        <v>10</v>
      </c>
      <c r="J598" s="2">
        <v>50</v>
      </c>
      <c r="K598" s="3">
        <v>-50000</v>
      </c>
      <c r="L598" s="2" t="s">
        <v>26</v>
      </c>
      <c r="M598" s="3">
        <v>-50000</v>
      </c>
      <c r="N598" s="2" t="s">
        <v>26</v>
      </c>
      <c r="R598" s="2" t="s">
        <v>27</v>
      </c>
      <c r="S598" s="2" t="s">
        <v>893</v>
      </c>
      <c r="T598" s="2" t="s">
        <v>45</v>
      </c>
      <c r="U598" s="2" t="s">
        <v>896</v>
      </c>
      <c r="V598" s="4">
        <f>+VLOOKUP(U598,'FBCJ Jul-Des 2025'!$G$10:$P$1302,8,0)</f>
        <v>70009110</v>
      </c>
      <c r="W598" s="4" t="str">
        <f>+VLOOKUP(V598,Sheet1!$A$2:$B$27,2,0)</f>
        <v>Biaya Survey dan Analisa</v>
      </c>
      <c r="X598" s="4" t="str">
        <f>+VLOOKUP(U598,'FBCJ Jul-Des 2025'!$G$10:$P$1302,9,0)</f>
        <v>M204D1COMM</v>
      </c>
      <c r="Y598" s="2" t="s">
        <v>43</v>
      </c>
      <c r="Z598" s="2">
        <v>1719278</v>
      </c>
      <c r="AA598" s="2">
        <v>20251002</v>
      </c>
      <c r="AB598" s="3">
        <v>50000</v>
      </c>
    </row>
    <row r="599" spans="3:28" x14ac:dyDescent="0.25">
      <c r="C599" s="2">
        <v>10000001</v>
      </c>
      <c r="D599" s="2" t="s">
        <v>841</v>
      </c>
      <c r="F599" s="2">
        <v>12008086</v>
      </c>
      <c r="H599" s="2" t="s">
        <v>841</v>
      </c>
      <c r="I599" s="2" t="str">
        <f t="shared" si="9"/>
        <v>10</v>
      </c>
      <c r="J599" s="2">
        <v>50</v>
      </c>
      <c r="K599" s="3">
        <v>-50000</v>
      </c>
      <c r="L599" s="2" t="s">
        <v>26</v>
      </c>
      <c r="M599" s="3">
        <v>-50000</v>
      </c>
      <c r="N599" s="2" t="s">
        <v>26</v>
      </c>
      <c r="R599" s="2" t="s">
        <v>27</v>
      </c>
      <c r="S599" s="2" t="s">
        <v>893</v>
      </c>
      <c r="T599" s="2" t="s">
        <v>45</v>
      </c>
      <c r="U599" s="2" t="s">
        <v>897</v>
      </c>
      <c r="V599" s="4">
        <f>+VLOOKUP(U599,'FBCJ Jul-Des 2025'!$G$10:$P$1302,8,0)</f>
        <v>70009110</v>
      </c>
      <c r="W599" s="4" t="str">
        <f>+VLOOKUP(V599,Sheet1!$A$2:$B$27,2,0)</f>
        <v>Biaya Survey dan Analisa</v>
      </c>
      <c r="X599" s="4" t="str">
        <f>+VLOOKUP(U599,'FBCJ Jul-Des 2025'!$G$10:$P$1302,9,0)</f>
        <v>M204D1COMM</v>
      </c>
      <c r="Y599" s="2" t="s">
        <v>43</v>
      </c>
      <c r="Z599" s="2">
        <v>1719278</v>
      </c>
      <c r="AA599" s="2">
        <v>20251002</v>
      </c>
      <c r="AB599" s="3">
        <v>50000</v>
      </c>
    </row>
    <row r="600" spans="3:28" x14ac:dyDescent="0.25">
      <c r="C600" s="2">
        <v>10000001</v>
      </c>
      <c r="D600" s="2" t="s">
        <v>841</v>
      </c>
      <c r="F600" s="2">
        <v>12008087</v>
      </c>
      <c r="H600" s="2" t="s">
        <v>841</v>
      </c>
      <c r="I600" s="2" t="str">
        <f t="shared" si="9"/>
        <v>10</v>
      </c>
      <c r="J600" s="2">
        <v>50</v>
      </c>
      <c r="K600" s="3">
        <v>-560000</v>
      </c>
      <c r="L600" s="2" t="s">
        <v>26</v>
      </c>
      <c r="M600" s="3">
        <v>-560000</v>
      </c>
      <c r="N600" s="2" t="s">
        <v>26</v>
      </c>
      <c r="R600" s="2" t="s">
        <v>27</v>
      </c>
      <c r="S600" s="2" t="s">
        <v>898</v>
      </c>
      <c r="T600" s="2" t="s">
        <v>96</v>
      </c>
      <c r="U600" s="2" t="s">
        <v>899</v>
      </c>
      <c r="V600" s="4">
        <f>+VLOOKUP(U600,'FBCJ Jul-Des 2025'!$G$10:$P$1302,8,0)</f>
        <v>70106400</v>
      </c>
      <c r="W600" s="4" t="str">
        <f>+VLOOKUP(V600,Sheet1!$A$2:$B$27,2,0)</f>
        <v>Biaya Bahan Bakar</v>
      </c>
      <c r="X600" s="4" t="str">
        <f>+VLOOKUP(U600,'FBCJ Jul-Des 2025'!$G$10:$P$1302,9,0)</f>
        <v>R124D1HRGA</v>
      </c>
      <c r="Y600" s="2" t="s">
        <v>43</v>
      </c>
      <c r="Z600" s="2">
        <v>1719278</v>
      </c>
      <c r="AA600" s="2">
        <v>20251002</v>
      </c>
      <c r="AB600" s="3">
        <v>560000</v>
      </c>
    </row>
    <row r="601" spans="3:28" x14ac:dyDescent="0.25">
      <c r="C601" s="2">
        <v>10000001</v>
      </c>
      <c r="D601" s="2" t="s">
        <v>841</v>
      </c>
      <c r="F601" s="2">
        <v>12008088</v>
      </c>
      <c r="H601" s="2" t="s">
        <v>841</v>
      </c>
      <c r="I601" s="2" t="str">
        <f t="shared" si="9"/>
        <v>10</v>
      </c>
      <c r="J601" s="2">
        <v>50</v>
      </c>
      <c r="K601" s="3">
        <v>-439500</v>
      </c>
      <c r="L601" s="2" t="s">
        <v>26</v>
      </c>
      <c r="M601" s="3">
        <v>-439500</v>
      </c>
      <c r="N601" s="2" t="s">
        <v>26</v>
      </c>
      <c r="R601" s="2" t="s">
        <v>27</v>
      </c>
      <c r="S601" s="2" t="s">
        <v>898</v>
      </c>
      <c r="T601" s="2" t="s">
        <v>67</v>
      </c>
      <c r="U601" s="2" t="s">
        <v>98</v>
      </c>
      <c r="V601" s="4">
        <f>+VLOOKUP(U601,'FBCJ Jul-Des 2025'!$G$10:$P$1302,8,0)</f>
        <v>70106100</v>
      </c>
      <c r="W601" s="4" t="str">
        <f>+VLOOKUP(V601,Sheet1!$A$2:$B$27,2,0)</f>
        <v>Biaya Transportasi Lokal</v>
      </c>
      <c r="X601" s="4" t="str">
        <f>+VLOOKUP(U601,'FBCJ Jul-Des 2025'!$G$10:$P$1302,9,0)</f>
        <v>R124D1HRGA</v>
      </c>
      <c r="Y601" s="2" t="s">
        <v>43</v>
      </c>
      <c r="Z601" s="2">
        <v>1719278</v>
      </c>
      <c r="AA601" s="2">
        <v>20251002</v>
      </c>
      <c r="AB601" s="3">
        <v>439500</v>
      </c>
    </row>
    <row r="602" spans="3:28" x14ac:dyDescent="0.25">
      <c r="C602" s="2">
        <v>10000001</v>
      </c>
      <c r="D602" s="2" t="s">
        <v>841</v>
      </c>
      <c r="F602" s="2">
        <v>12008089</v>
      </c>
      <c r="H602" s="2" t="s">
        <v>841</v>
      </c>
      <c r="I602" s="2" t="str">
        <f t="shared" si="9"/>
        <v>10</v>
      </c>
      <c r="J602" s="2">
        <v>50</v>
      </c>
      <c r="K602" s="3">
        <v>-601025</v>
      </c>
      <c r="L602" s="2" t="s">
        <v>26</v>
      </c>
      <c r="M602" s="3">
        <v>-601025</v>
      </c>
      <c r="N602" s="2" t="s">
        <v>26</v>
      </c>
      <c r="R602" s="2" t="s">
        <v>27</v>
      </c>
      <c r="S602" s="2" t="s">
        <v>900</v>
      </c>
      <c r="T602" s="2" t="s">
        <v>146</v>
      </c>
      <c r="U602" s="2" t="s">
        <v>901</v>
      </c>
      <c r="V602" s="4">
        <f>+VLOOKUP(U602,'FBCJ Jul-Des 2025'!$G$10:$P$1302,8,0)</f>
        <v>70115100</v>
      </c>
      <c r="W602" s="4" t="str">
        <f>+VLOOKUP(V602,Sheet1!$A$2:$B$27,2,0)</f>
        <v>Biaya Riset, Pengembangan, dan Laboratorium</v>
      </c>
      <c r="X602" s="4" t="str">
        <f>+VLOOKUP(U602,'FBCJ Jul-Des 2025'!$G$10:$P$1302,9,0)</f>
        <v>R124QCA</v>
      </c>
      <c r="Y602" s="2" t="s">
        <v>43</v>
      </c>
      <c r="Z602" s="2">
        <v>1719278</v>
      </c>
      <c r="AA602" s="2">
        <v>20251002</v>
      </c>
      <c r="AB602" s="3">
        <v>601025</v>
      </c>
    </row>
    <row r="603" spans="3:28" x14ac:dyDescent="0.25">
      <c r="C603" s="2">
        <v>10000001</v>
      </c>
      <c r="D603" s="2" t="s">
        <v>841</v>
      </c>
      <c r="F603" s="2">
        <v>12008090</v>
      </c>
      <c r="H603" s="2" t="s">
        <v>841</v>
      </c>
      <c r="I603" s="2" t="str">
        <f t="shared" si="9"/>
        <v>10</v>
      </c>
      <c r="J603" s="2">
        <v>50</v>
      </c>
      <c r="K603" s="3">
        <v>-86000</v>
      </c>
      <c r="L603" s="2" t="s">
        <v>26</v>
      </c>
      <c r="M603" s="3">
        <v>-86000</v>
      </c>
      <c r="N603" s="2" t="s">
        <v>26</v>
      </c>
      <c r="R603" s="2" t="s">
        <v>27</v>
      </c>
      <c r="S603" s="2" t="s">
        <v>900</v>
      </c>
      <c r="T603" s="2" t="s">
        <v>518</v>
      </c>
      <c r="U603" s="2" t="s">
        <v>902</v>
      </c>
      <c r="V603" s="4">
        <f>+VLOOKUP(U603,'FBCJ Jul-Des 2025'!$G$10:$P$1302,8,0)</f>
        <v>70119300</v>
      </c>
      <c r="W603" s="4" t="str">
        <f>+VLOOKUP(V603,Sheet1!$A$2:$B$27,2,0)</f>
        <v>Biaya Umum dan Administrasi</v>
      </c>
      <c r="X603" s="4" t="str">
        <f>+VLOOKUP(U603,'FBCJ Jul-Des 2025'!$G$10:$P$1302,9,0)</f>
        <v>R124QCA</v>
      </c>
      <c r="Y603" s="2" t="s">
        <v>43</v>
      </c>
      <c r="Z603" s="2">
        <v>1719278</v>
      </c>
      <c r="AA603" s="2">
        <v>20251002</v>
      </c>
      <c r="AB603" s="3">
        <v>86000</v>
      </c>
    </row>
    <row r="604" spans="3:28" x14ac:dyDescent="0.25">
      <c r="C604" s="2">
        <v>10000001</v>
      </c>
      <c r="D604" s="2" t="s">
        <v>841</v>
      </c>
      <c r="F604" s="2">
        <v>12008091</v>
      </c>
      <c r="H604" s="2" t="s">
        <v>841</v>
      </c>
      <c r="I604" s="2" t="str">
        <f t="shared" si="9"/>
        <v>10</v>
      </c>
      <c r="J604" s="2">
        <v>50</v>
      </c>
      <c r="K604" s="3">
        <v>-999700</v>
      </c>
      <c r="L604" s="2" t="s">
        <v>26</v>
      </c>
      <c r="M604" s="3">
        <v>-999700</v>
      </c>
      <c r="N604" s="2" t="s">
        <v>26</v>
      </c>
      <c r="R604" s="2" t="s">
        <v>27</v>
      </c>
      <c r="S604" s="2" t="s">
        <v>903</v>
      </c>
      <c r="T604" s="2" t="s">
        <v>126</v>
      </c>
      <c r="U604" s="2" t="s">
        <v>904</v>
      </c>
      <c r="V604" s="4">
        <f>+VLOOKUP(U604,'FBCJ Jul-Des 2025'!$G$10:$P$1302,8,0)</f>
        <v>70107600</v>
      </c>
      <c r="W604" s="4" t="str">
        <f>+VLOOKUP(V604,Sheet1!$A$2:$B$27,2,0)</f>
        <v>Biaya Konsumsi Kantor</v>
      </c>
      <c r="X604" s="4" t="str">
        <f>+VLOOKUP(U604,'FBCJ Jul-Des 2025'!$G$10:$P$1302,9,0)</f>
        <v>R124D1EHFS</v>
      </c>
      <c r="Y604" s="2" t="s">
        <v>43</v>
      </c>
      <c r="Z604" s="2">
        <v>1719278</v>
      </c>
      <c r="AA604" s="2">
        <v>20251002</v>
      </c>
      <c r="AB604" s="3">
        <v>999700</v>
      </c>
    </row>
    <row r="605" spans="3:28" x14ac:dyDescent="0.25">
      <c r="C605" s="2">
        <v>10000001</v>
      </c>
      <c r="D605" s="2" t="s">
        <v>841</v>
      </c>
      <c r="F605" s="2">
        <v>12008092</v>
      </c>
      <c r="H605" s="2" t="s">
        <v>841</v>
      </c>
      <c r="I605" s="2" t="str">
        <f t="shared" si="9"/>
        <v>10</v>
      </c>
      <c r="J605" s="2">
        <v>50</v>
      </c>
      <c r="K605" s="3">
        <v>-400000</v>
      </c>
      <c r="L605" s="2" t="s">
        <v>26</v>
      </c>
      <c r="M605" s="3">
        <v>-400000</v>
      </c>
      <c r="N605" s="2" t="s">
        <v>26</v>
      </c>
      <c r="R605" s="2" t="s">
        <v>27</v>
      </c>
      <c r="S605" s="2" t="s">
        <v>905</v>
      </c>
      <c r="T605" s="2" t="s">
        <v>126</v>
      </c>
      <c r="U605" s="2" t="s">
        <v>906</v>
      </c>
      <c r="V605" s="4">
        <f>+VLOOKUP(U605,'FBCJ Jul-Des 2025'!$G$10:$P$1302,8,0)</f>
        <v>70107600</v>
      </c>
      <c r="W605" s="4" t="str">
        <f>+VLOOKUP(V605,Sheet1!$A$2:$B$27,2,0)</f>
        <v>Biaya Konsumsi Kantor</v>
      </c>
      <c r="X605" s="4" t="str">
        <f>+VLOOKUP(U605,'FBCJ Jul-Des 2025'!$G$10:$P$1302,9,0)</f>
        <v>R124D1MGMT</v>
      </c>
      <c r="Y605" s="2" t="s">
        <v>43</v>
      </c>
      <c r="Z605" s="2">
        <v>1719278</v>
      </c>
      <c r="AA605" s="2">
        <v>20251002</v>
      </c>
      <c r="AB605" s="3">
        <v>400000</v>
      </c>
    </row>
    <row r="606" spans="3:28" x14ac:dyDescent="0.25">
      <c r="C606" s="2">
        <v>10000001</v>
      </c>
      <c r="D606" s="2" t="s">
        <v>841</v>
      </c>
      <c r="F606" s="2">
        <v>12008093</v>
      </c>
      <c r="H606" s="2" t="s">
        <v>841</v>
      </c>
      <c r="I606" s="2" t="str">
        <f t="shared" si="9"/>
        <v>10</v>
      </c>
      <c r="J606" s="2">
        <v>50</v>
      </c>
      <c r="K606" s="3">
        <v>-150000</v>
      </c>
      <c r="L606" s="2" t="s">
        <v>26</v>
      </c>
      <c r="M606" s="3">
        <v>-150000</v>
      </c>
      <c r="N606" s="2" t="s">
        <v>26</v>
      </c>
      <c r="R606" s="2" t="s">
        <v>27</v>
      </c>
      <c r="S606" s="2" t="s">
        <v>907</v>
      </c>
      <c r="T606" s="2" t="s">
        <v>259</v>
      </c>
      <c r="U606" s="2" t="s">
        <v>908</v>
      </c>
      <c r="V606" s="4">
        <f>+VLOOKUP(U606,'FBCJ Jul-Des 2025'!$G$10:$P$1302,8,0)</f>
        <v>70119300</v>
      </c>
      <c r="W606" s="4" t="str">
        <f>+VLOOKUP(V606,Sheet1!$A$2:$B$27,2,0)</f>
        <v>Biaya Umum dan Administrasi</v>
      </c>
      <c r="X606" s="4" t="str">
        <f>+VLOOKUP(U606,'FBCJ Jul-Des 2025'!$G$10:$P$1302,9,0)</f>
        <v>P206D1SLSS</v>
      </c>
      <c r="Y606" s="2" t="s">
        <v>43</v>
      </c>
      <c r="Z606" s="2">
        <v>1719278</v>
      </c>
      <c r="AA606" s="2">
        <v>20251002</v>
      </c>
      <c r="AB606" s="3">
        <v>150000</v>
      </c>
    </row>
    <row r="607" spans="3:28" x14ac:dyDescent="0.25">
      <c r="C607" s="2">
        <v>10000001</v>
      </c>
      <c r="D607" s="2" t="s">
        <v>841</v>
      </c>
      <c r="F607" s="2">
        <v>12008094</v>
      </c>
      <c r="H607" s="2" t="s">
        <v>841</v>
      </c>
      <c r="I607" s="2" t="str">
        <f t="shared" si="9"/>
        <v>10</v>
      </c>
      <c r="J607" s="2">
        <v>50</v>
      </c>
      <c r="K607" s="3">
        <v>-50000</v>
      </c>
      <c r="L607" s="2" t="s">
        <v>26</v>
      </c>
      <c r="M607" s="3">
        <v>-50000</v>
      </c>
      <c r="N607" s="2" t="s">
        <v>26</v>
      </c>
      <c r="R607" s="2" t="s">
        <v>27</v>
      </c>
      <c r="S607" s="2" t="s">
        <v>909</v>
      </c>
      <c r="T607" s="2" t="s">
        <v>45</v>
      </c>
      <c r="U607" s="2" t="s">
        <v>910</v>
      </c>
      <c r="V607" s="4">
        <f>+VLOOKUP(U607,'FBCJ Jul-Des 2025'!$G$10:$P$1302,8,0)</f>
        <v>70009110</v>
      </c>
      <c r="W607" s="4" t="str">
        <f>+VLOOKUP(V607,Sheet1!$A$2:$B$27,2,0)</f>
        <v>Biaya Survey dan Analisa</v>
      </c>
      <c r="X607" s="4" t="str">
        <f>+VLOOKUP(U607,'FBCJ Jul-Des 2025'!$G$10:$P$1302,9,0)</f>
        <v>C206D1SLSS</v>
      </c>
      <c r="Y607" s="2" t="s">
        <v>43</v>
      </c>
      <c r="Z607" s="2">
        <v>1719278</v>
      </c>
      <c r="AA607" s="2">
        <v>20251002</v>
      </c>
      <c r="AB607" s="3">
        <v>50000</v>
      </c>
    </row>
    <row r="608" spans="3:28" x14ac:dyDescent="0.25">
      <c r="C608" s="2">
        <v>10000001</v>
      </c>
      <c r="D608" s="2" t="s">
        <v>841</v>
      </c>
      <c r="F608" s="2">
        <v>12008095</v>
      </c>
      <c r="H608" s="2" t="s">
        <v>841</v>
      </c>
      <c r="I608" s="2" t="str">
        <f t="shared" si="9"/>
        <v>10</v>
      </c>
      <c r="J608" s="2">
        <v>50</v>
      </c>
      <c r="K608" s="3">
        <v>-50000</v>
      </c>
      <c r="L608" s="2" t="s">
        <v>26</v>
      </c>
      <c r="M608" s="3">
        <v>-50000</v>
      </c>
      <c r="N608" s="2" t="s">
        <v>26</v>
      </c>
      <c r="R608" s="2" t="s">
        <v>27</v>
      </c>
      <c r="S608" s="2" t="s">
        <v>909</v>
      </c>
      <c r="T608" s="2" t="s">
        <v>45</v>
      </c>
      <c r="U608" s="2" t="s">
        <v>911</v>
      </c>
      <c r="V608" s="4">
        <f>+VLOOKUP(U608,'FBCJ Jul-Des 2025'!$G$10:$P$1302,8,0)</f>
        <v>70009110</v>
      </c>
      <c r="W608" s="4" t="str">
        <f>+VLOOKUP(V608,Sheet1!$A$2:$B$27,2,0)</f>
        <v>Biaya Survey dan Analisa</v>
      </c>
      <c r="X608" s="4" t="str">
        <f>+VLOOKUP(U608,'FBCJ Jul-Des 2025'!$G$10:$P$1302,9,0)</f>
        <v>P206D1SLSS</v>
      </c>
      <c r="Y608" s="2" t="s">
        <v>43</v>
      </c>
      <c r="Z608" s="2">
        <v>1719278</v>
      </c>
      <c r="AA608" s="2">
        <v>20251002</v>
      </c>
      <c r="AB608" s="3">
        <v>50000</v>
      </c>
    </row>
    <row r="609" spans="3:28" x14ac:dyDescent="0.25">
      <c r="C609" s="2">
        <v>10000001</v>
      </c>
      <c r="D609" s="2" t="s">
        <v>841</v>
      </c>
      <c r="F609" s="2">
        <v>12008096</v>
      </c>
      <c r="H609" s="2" t="s">
        <v>841</v>
      </c>
      <c r="I609" s="2" t="str">
        <f t="shared" si="9"/>
        <v>10</v>
      </c>
      <c r="J609" s="2">
        <v>50</v>
      </c>
      <c r="K609" s="3">
        <v>-50000</v>
      </c>
      <c r="L609" s="2" t="s">
        <v>26</v>
      </c>
      <c r="M609" s="3">
        <v>-50000</v>
      </c>
      <c r="N609" s="2" t="s">
        <v>26</v>
      </c>
      <c r="R609" s="2" t="s">
        <v>27</v>
      </c>
      <c r="S609" s="2" t="s">
        <v>909</v>
      </c>
      <c r="T609" s="2" t="s">
        <v>45</v>
      </c>
      <c r="U609" s="2" t="s">
        <v>912</v>
      </c>
      <c r="V609" s="4">
        <f>+VLOOKUP(U609,'FBCJ Jul-Des 2025'!$G$10:$P$1302,8,0)</f>
        <v>70009110</v>
      </c>
      <c r="W609" s="4" t="str">
        <f>+VLOOKUP(V609,Sheet1!$A$2:$B$27,2,0)</f>
        <v>Biaya Survey dan Analisa</v>
      </c>
      <c r="X609" s="4" t="str">
        <f>+VLOOKUP(U609,'FBCJ Jul-Des 2025'!$G$10:$P$1302,9,0)</f>
        <v>P206D1SLSS</v>
      </c>
      <c r="Y609" s="2" t="s">
        <v>43</v>
      </c>
      <c r="Z609" s="2">
        <v>1719278</v>
      </c>
      <c r="AA609" s="2">
        <v>20251002</v>
      </c>
      <c r="AB609" s="3">
        <v>50000</v>
      </c>
    </row>
    <row r="610" spans="3:28" x14ac:dyDescent="0.25">
      <c r="C610" s="2">
        <v>10000001</v>
      </c>
      <c r="D610" s="2" t="s">
        <v>841</v>
      </c>
      <c r="F610" s="2">
        <v>12008097</v>
      </c>
      <c r="H610" s="2" t="s">
        <v>841</v>
      </c>
      <c r="I610" s="2" t="str">
        <f t="shared" si="9"/>
        <v>10</v>
      </c>
      <c r="J610" s="2">
        <v>50</v>
      </c>
      <c r="K610" s="3">
        <v>-50000</v>
      </c>
      <c r="L610" s="2" t="s">
        <v>26</v>
      </c>
      <c r="M610" s="3">
        <v>-50000</v>
      </c>
      <c r="N610" s="2" t="s">
        <v>26</v>
      </c>
      <c r="R610" s="2" t="s">
        <v>27</v>
      </c>
      <c r="S610" s="2" t="s">
        <v>909</v>
      </c>
      <c r="T610" s="2" t="s">
        <v>45</v>
      </c>
      <c r="U610" s="2" t="s">
        <v>913</v>
      </c>
      <c r="V610" s="4">
        <f>+VLOOKUP(U610,'FBCJ Jul-Des 2025'!$G$10:$P$1302,8,0)</f>
        <v>70009110</v>
      </c>
      <c r="W610" s="4" t="str">
        <f>+VLOOKUP(V610,Sheet1!$A$2:$B$27,2,0)</f>
        <v>Biaya Survey dan Analisa</v>
      </c>
      <c r="X610" s="4" t="str">
        <f>+VLOOKUP(U610,'FBCJ Jul-Des 2025'!$G$10:$P$1302,9,0)</f>
        <v>P206D1SLSS</v>
      </c>
      <c r="Y610" s="2" t="s">
        <v>43</v>
      </c>
      <c r="Z610" s="2">
        <v>1719278</v>
      </c>
      <c r="AA610" s="2">
        <v>20251002</v>
      </c>
      <c r="AB610" s="3">
        <v>50000</v>
      </c>
    </row>
    <row r="611" spans="3:28" x14ac:dyDescent="0.25">
      <c r="C611" s="2">
        <v>10000001</v>
      </c>
      <c r="D611" s="2" t="s">
        <v>841</v>
      </c>
      <c r="F611" s="2">
        <v>12008098</v>
      </c>
      <c r="H611" s="2" t="s">
        <v>841</v>
      </c>
      <c r="I611" s="2" t="str">
        <f t="shared" si="9"/>
        <v>10</v>
      </c>
      <c r="J611" s="2">
        <v>50</v>
      </c>
      <c r="K611" s="3">
        <v>-932500</v>
      </c>
      <c r="L611" s="2" t="s">
        <v>26</v>
      </c>
      <c r="M611" s="3">
        <v>-932500</v>
      </c>
      <c r="N611" s="2" t="s">
        <v>26</v>
      </c>
      <c r="R611" s="2" t="s">
        <v>27</v>
      </c>
      <c r="S611" s="2" t="s">
        <v>914</v>
      </c>
      <c r="T611" s="2" t="s">
        <v>59</v>
      </c>
      <c r="U611" s="2" t="s">
        <v>915</v>
      </c>
      <c r="V611" s="4">
        <f>+VLOOKUP(U611,'FBCJ Jul-Des 2025'!$G$10:$P$1302,8,0)</f>
        <v>70101114</v>
      </c>
      <c r="W611" s="4" t="str">
        <f>+VLOOKUP(V611,Sheet1!$A$2:$B$27,2,0)</f>
        <v>By Perbaikan &amp; Perawatan Perabot Material Pihak3</v>
      </c>
      <c r="X611" s="4" t="str">
        <f>+VLOOKUP(U611,'FBCJ Jul-Des 2025'!$G$10:$P$1302,9,0)</f>
        <v>R124D1HRGA</v>
      </c>
      <c r="Y611" s="2" t="s">
        <v>43</v>
      </c>
      <c r="Z611" s="2">
        <v>1719278</v>
      </c>
      <c r="AA611" s="2">
        <v>20251002</v>
      </c>
      <c r="AB611" s="3">
        <v>932500</v>
      </c>
    </row>
    <row r="612" spans="3:28" x14ac:dyDescent="0.25">
      <c r="C612" s="2">
        <v>10000001</v>
      </c>
      <c r="D612" s="2" t="s">
        <v>841</v>
      </c>
      <c r="F612" s="2">
        <v>12008099</v>
      </c>
      <c r="H612" s="2" t="s">
        <v>841</v>
      </c>
      <c r="I612" s="2" t="str">
        <f t="shared" si="9"/>
        <v>10</v>
      </c>
      <c r="J612" s="2">
        <v>50</v>
      </c>
      <c r="K612" s="3">
        <v>-450000</v>
      </c>
      <c r="L612" s="2" t="s">
        <v>26</v>
      </c>
      <c r="M612" s="3">
        <v>-450000</v>
      </c>
      <c r="N612" s="2" t="s">
        <v>26</v>
      </c>
      <c r="R612" s="2" t="s">
        <v>27</v>
      </c>
      <c r="S612" s="2" t="s">
        <v>916</v>
      </c>
      <c r="T612" s="2" t="s">
        <v>41</v>
      </c>
      <c r="U612" s="2" t="s">
        <v>917</v>
      </c>
      <c r="V612" s="4">
        <f>+VLOOKUP(U612,'FBCJ Jul-Des 2025'!$G$10:$P$1302,8,0)</f>
        <v>70107300</v>
      </c>
      <c r="W612" s="4" t="str">
        <f>+VLOOKUP(V612,Sheet1!$A$2:$B$27,2,0)</f>
        <v>Biaya Olahraga Dan Permainan</v>
      </c>
      <c r="X612" s="4" t="str">
        <f>+VLOOKUP(U612,'FBCJ Jul-Des 2025'!$G$10:$P$1302,9,0)</f>
        <v>R124D1HRDV</v>
      </c>
      <c r="Y612" s="2" t="s">
        <v>43</v>
      </c>
      <c r="Z612" s="2">
        <v>1719278</v>
      </c>
      <c r="AA612" s="2">
        <v>20251002</v>
      </c>
      <c r="AB612" s="3">
        <v>450000</v>
      </c>
    </row>
    <row r="613" spans="3:28" x14ac:dyDescent="0.25">
      <c r="C613" s="2">
        <v>10000001</v>
      </c>
      <c r="D613" s="2" t="s">
        <v>841</v>
      </c>
      <c r="F613" s="2">
        <v>12008100</v>
      </c>
      <c r="H613" s="2" t="s">
        <v>841</v>
      </c>
      <c r="I613" s="2" t="str">
        <f t="shared" si="9"/>
        <v>10</v>
      </c>
      <c r="J613" s="2">
        <v>50</v>
      </c>
      <c r="K613" s="3">
        <v>-25000</v>
      </c>
      <c r="L613" s="2" t="s">
        <v>26</v>
      </c>
      <c r="M613" s="3">
        <v>-25000</v>
      </c>
      <c r="N613" s="2" t="s">
        <v>26</v>
      </c>
      <c r="R613" s="2" t="s">
        <v>27</v>
      </c>
      <c r="S613" s="2" t="s">
        <v>918</v>
      </c>
      <c r="T613" s="2" t="s">
        <v>126</v>
      </c>
      <c r="U613" s="2" t="s">
        <v>919</v>
      </c>
      <c r="V613" s="4">
        <f>+VLOOKUP(U613,'FBCJ Jul-Des 2025'!$G$10:$P$1302,8,0)</f>
        <v>70107600</v>
      </c>
      <c r="W613" s="4" t="str">
        <f>+VLOOKUP(V613,Sheet1!$A$2:$B$27,2,0)</f>
        <v>Biaya Konsumsi Kantor</v>
      </c>
      <c r="X613" s="4" t="str">
        <f>+VLOOKUP(U613,'FBCJ Jul-Des 2025'!$G$10:$P$1302,9,0)</f>
        <v>R124MNT</v>
      </c>
      <c r="Y613" s="2" t="s">
        <v>43</v>
      </c>
      <c r="Z613" s="2">
        <v>1719278</v>
      </c>
      <c r="AA613" s="2">
        <v>20251002</v>
      </c>
      <c r="AB613" s="3">
        <v>25000</v>
      </c>
    </row>
    <row r="614" spans="3:28" x14ac:dyDescent="0.25">
      <c r="C614" s="2">
        <v>10000001</v>
      </c>
      <c r="D614" s="2" t="s">
        <v>841</v>
      </c>
      <c r="F614" s="2">
        <v>12008101</v>
      </c>
      <c r="H614" s="2" t="s">
        <v>841</v>
      </c>
      <c r="I614" s="2" t="str">
        <f t="shared" si="9"/>
        <v>10</v>
      </c>
      <c r="J614" s="2">
        <v>50</v>
      </c>
      <c r="K614" s="3">
        <v>-100000</v>
      </c>
      <c r="L614" s="2" t="s">
        <v>26</v>
      </c>
      <c r="M614" s="3">
        <v>-100000</v>
      </c>
      <c r="N614" s="2" t="s">
        <v>26</v>
      </c>
      <c r="R614" s="2" t="s">
        <v>27</v>
      </c>
      <c r="S614" s="2" t="s">
        <v>920</v>
      </c>
      <c r="T614" s="2" t="s">
        <v>45</v>
      </c>
      <c r="U614" s="2" t="s">
        <v>921</v>
      </c>
      <c r="V614" s="4">
        <f>+VLOOKUP(U614,'FBCJ Jul-Des 2025'!$G$10:$P$1302,8,0)</f>
        <v>70009110</v>
      </c>
      <c r="W614" s="4" t="str">
        <f>+VLOOKUP(V614,Sheet1!$A$2:$B$27,2,0)</f>
        <v>Biaya Survey dan Analisa</v>
      </c>
      <c r="X614" s="4" t="str">
        <f>+VLOOKUP(U614,'FBCJ Jul-Des 2025'!$G$10:$P$1302,9,0)</f>
        <v>M204D1COMM</v>
      </c>
      <c r="Y614" s="2" t="s">
        <v>43</v>
      </c>
      <c r="Z614" s="2">
        <v>1719278</v>
      </c>
      <c r="AA614" s="2">
        <v>20251002</v>
      </c>
      <c r="AB614" s="3">
        <v>100000</v>
      </c>
    </row>
    <row r="615" spans="3:28" x14ac:dyDescent="0.25">
      <c r="C615" s="2">
        <v>10000001</v>
      </c>
      <c r="D615" s="2" t="s">
        <v>841</v>
      </c>
      <c r="F615" s="2">
        <v>12008102</v>
      </c>
      <c r="H615" s="2" t="s">
        <v>841</v>
      </c>
      <c r="I615" s="2" t="str">
        <f t="shared" si="9"/>
        <v>10</v>
      </c>
      <c r="J615" s="2">
        <v>50</v>
      </c>
      <c r="K615" s="3">
        <v>-710000</v>
      </c>
      <c r="L615" s="2" t="s">
        <v>26</v>
      </c>
      <c r="M615" s="3">
        <v>-710000</v>
      </c>
      <c r="N615" s="2" t="s">
        <v>26</v>
      </c>
      <c r="R615" s="2" t="s">
        <v>27</v>
      </c>
      <c r="S615" s="2" t="s">
        <v>922</v>
      </c>
      <c r="T615" s="2" t="s">
        <v>96</v>
      </c>
      <c r="U615" s="2" t="s">
        <v>923</v>
      </c>
      <c r="V615" s="4">
        <f>+VLOOKUP(U615,'FBCJ Jul-Des 2025'!$G$10:$P$1302,8,0)</f>
        <v>70106400</v>
      </c>
      <c r="W615" s="4" t="str">
        <f>+VLOOKUP(V615,Sheet1!$A$2:$B$27,2,0)</f>
        <v>Biaya Bahan Bakar</v>
      </c>
      <c r="X615" s="4" t="str">
        <f>+VLOOKUP(U615,'FBCJ Jul-Des 2025'!$G$10:$P$1302,9,0)</f>
        <v>R124D1HRGA</v>
      </c>
      <c r="Y615" s="2" t="s">
        <v>43</v>
      </c>
      <c r="Z615" s="2">
        <v>1719278</v>
      </c>
      <c r="AA615" s="2">
        <v>20251002</v>
      </c>
      <c r="AB615" s="3">
        <v>710000</v>
      </c>
    </row>
    <row r="616" spans="3:28" x14ac:dyDescent="0.25">
      <c r="C616" s="2">
        <v>10000001</v>
      </c>
      <c r="D616" s="2" t="s">
        <v>841</v>
      </c>
      <c r="F616" s="2">
        <v>12008103</v>
      </c>
      <c r="H616" s="2" t="s">
        <v>841</v>
      </c>
      <c r="I616" s="2" t="str">
        <f t="shared" si="9"/>
        <v>10</v>
      </c>
      <c r="J616" s="2">
        <v>50</v>
      </c>
      <c r="K616" s="3">
        <v>-290000</v>
      </c>
      <c r="L616" s="2" t="s">
        <v>26</v>
      </c>
      <c r="M616" s="3">
        <v>-290000</v>
      </c>
      <c r="N616" s="2" t="s">
        <v>26</v>
      </c>
      <c r="R616" s="2" t="s">
        <v>27</v>
      </c>
      <c r="S616" s="2" t="s">
        <v>922</v>
      </c>
      <c r="T616" s="2" t="s">
        <v>67</v>
      </c>
      <c r="U616" s="2" t="s">
        <v>98</v>
      </c>
      <c r="V616" s="4">
        <f>+VLOOKUP(U616,'FBCJ Jul-Des 2025'!$G$10:$P$1302,8,0)</f>
        <v>70106100</v>
      </c>
      <c r="W616" s="4" t="str">
        <f>+VLOOKUP(V616,Sheet1!$A$2:$B$27,2,0)</f>
        <v>Biaya Transportasi Lokal</v>
      </c>
      <c r="X616" s="4" t="str">
        <f>+VLOOKUP(U616,'FBCJ Jul-Des 2025'!$G$10:$P$1302,9,0)</f>
        <v>R124D1HRGA</v>
      </c>
      <c r="Y616" s="2" t="s">
        <v>43</v>
      </c>
      <c r="Z616" s="2">
        <v>1719278</v>
      </c>
      <c r="AA616" s="2">
        <v>20251002</v>
      </c>
      <c r="AB616" s="3">
        <v>290000</v>
      </c>
    </row>
    <row r="617" spans="3:28" x14ac:dyDescent="0.25">
      <c r="C617" s="2">
        <v>10000001</v>
      </c>
      <c r="D617" s="2" t="s">
        <v>841</v>
      </c>
      <c r="F617" s="2">
        <v>12008104</v>
      </c>
      <c r="H617" s="2" t="s">
        <v>841</v>
      </c>
      <c r="I617" s="2" t="str">
        <f t="shared" si="9"/>
        <v>10</v>
      </c>
      <c r="J617" s="2">
        <v>50</v>
      </c>
      <c r="K617" s="3">
        <v>-50000</v>
      </c>
      <c r="L617" s="2" t="s">
        <v>26</v>
      </c>
      <c r="M617" s="3">
        <v>-50000</v>
      </c>
      <c r="N617" s="2" t="s">
        <v>26</v>
      </c>
      <c r="R617" s="2" t="s">
        <v>27</v>
      </c>
      <c r="S617" s="2" t="s">
        <v>924</v>
      </c>
      <c r="T617" s="2" t="s">
        <v>45</v>
      </c>
      <c r="U617" s="2" t="s">
        <v>925</v>
      </c>
      <c r="V617" s="4">
        <f>+VLOOKUP(U617,'FBCJ Jul-Des 2025'!$G$10:$P$1302,8,0)</f>
        <v>70009110</v>
      </c>
      <c r="W617" s="4" t="str">
        <f>+VLOOKUP(V617,Sheet1!$A$2:$B$27,2,0)</f>
        <v>Biaya Survey dan Analisa</v>
      </c>
      <c r="X617" s="4" t="str">
        <f>+VLOOKUP(U617,'FBCJ Jul-Des 2025'!$G$10:$P$1302,9,0)</f>
        <v>M204D1COMM</v>
      </c>
      <c r="Y617" s="2" t="s">
        <v>43</v>
      </c>
      <c r="Z617" s="2">
        <v>1719278</v>
      </c>
      <c r="AA617" s="2">
        <v>20251002</v>
      </c>
      <c r="AB617" s="3">
        <v>50000</v>
      </c>
    </row>
    <row r="618" spans="3:28" x14ac:dyDescent="0.25">
      <c r="C618" s="2">
        <v>10000001</v>
      </c>
      <c r="D618" s="2" t="s">
        <v>841</v>
      </c>
      <c r="F618" s="2">
        <v>12008105</v>
      </c>
      <c r="H618" s="2" t="s">
        <v>841</v>
      </c>
      <c r="I618" s="2" t="str">
        <f t="shared" si="9"/>
        <v>10</v>
      </c>
      <c r="J618" s="2">
        <v>50</v>
      </c>
      <c r="K618" s="3">
        <v>-50000</v>
      </c>
      <c r="L618" s="2" t="s">
        <v>26</v>
      </c>
      <c r="M618" s="3">
        <v>-50000</v>
      </c>
      <c r="N618" s="2" t="s">
        <v>26</v>
      </c>
      <c r="R618" s="2" t="s">
        <v>27</v>
      </c>
      <c r="S618" s="2" t="s">
        <v>924</v>
      </c>
      <c r="T618" s="2" t="s">
        <v>45</v>
      </c>
      <c r="U618" s="2" t="s">
        <v>926</v>
      </c>
      <c r="V618" s="4">
        <f>+VLOOKUP(U618,'FBCJ Jul-Des 2025'!$G$10:$P$1302,8,0)</f>
        <v>70009110</v>
      </c>
      <c r="W618" s="4" t="str">
        <f>+VLOOKUP(V618,Sheet1!$A$2:$B$27,2,0)</f>
        <v>Biaya Survey dan Analisa</v>
      </c>
      <c r="X618" s="4" t="str">
        <f>+VLOOKUP(U618,'FBCJ Jul-Des 2025'!$G$10:$P$1302,9,0)</f>
        <v>M204D1COMM</v>
      </c>
      <c r="Y618" s="2" t="s">
        <v>43</v>
      </c>
      <c r="Z618" s="2">
        <v>1719278</v>
      </c>
      <c r="AA618" s="2">
        <v>20251002</v>
      </c>
      <c r="AB618" s="3">
        <v>50000</v>
      </c>
    </row>
    <row r="619" spans="3:28" x14ac:dyDescent="0.25">
      <c r="C619" s="2">
        <v>10000001</v>
      </c>
      <c r="D619" s="2" t="s">
        <v>841</v>
      </c>
      <c r="F619" s="2">
        <v>12008106</v>
      </c>
      <c r="H619" s="2" t="s">
        <v>841</v>
      </c>
      <c r="I619" s="2" t="str">
        <f t="shared" si="9"/>
        <v>10</v>
      </c>
      <c r="J619" s="2">
        <v>50</v>
      </c>
      <c r="K619" s="3">
        <v>-625000</v>
      </c>
      <c r="L619" s="2" t="s">
        <v>26</v>
      </c>
      <c r="M619" s="3">
        <v>-625000</v>
      </c>
      <c r="N619" s="2" t="s">
        <v>26</v>
      </c>
      <c r="R619" s="2" t="s">
        <v>27</v>
      </c>
      <c r="S619" s="2" t="s">
        <v>927</v>
      </c>
      <c r="T619" s="2" t="s">
        <v>59</v>
      </c>
      <c r="U619" s="2" t="s">
        <v>928</v>
      </c>
      <c r="V619" s="4">
        <f>+VLOOKUP(U619,'FBCJ Jul-Des 2025'!$G$10:$P$1302,8,0)</f>
        <v>70101114</v>
      </c>
      <c r="W619" s="4" t="str">
        <f>+VLOOKUP(V619,Sheet1!$A$2:$B$27,2,0)</f>
        <v>By Perbaikan &amp; Perawatan Perabot Material Pihak3</v>
      </c>
      <c r="X619" s="4" t="str">
        <f>+VLOOKUP(U619,'FBCJ Jul-Des 2025'!$G$10:$P$1302,9,0)</f>
        <v>R124FRA</v>
      </c>
      <c r="Y619" s="2" t="s">
        <v>43</v>
      </c>
      <c r="Z619" s="2">
        <v>1719278</v>
      </c>
      <c r="AA619" s="2">
        <v>20251002</v>
      </c>
      <c r="AB619" s="3">
        <v>625000</v>
      </c>
    </row>
    <row r="620" spans="3:28" x14ac:dyDescent="0.25">
      <c r="C620" s="2">
        <v>10000001</v>
      </c>
      <c r="D620" s="2" t="s">
        <v>841</v>
      </c>
      <c r="F620" s="2">
        <v>12008107</v>
      </c>
      <c r="H620" s="2" t="s">
        <v>841</v>
      </c>
      <c r="I620" s="2" t="str">
        <f t="shared" si="9"/>
        <v>10</v>
      </c>
      <c r="J620" s="2">
        <v>50</v>
      </c>
      <c r="K620" s="3">
        <v>-290470</v>
      </c>
      <c r="L620" s="2" t="s">
        <v>26</v>
      </c>
      <c r="M620" s="3">
        <v>-290470</v>
      </c>
      <c r="N620" s="2" t="s">
        <v>26</v>
      </c>
      <c r="R620" s="2" t="s">
        <v>27</v>
      </c>
      <c r="S620" s="2" t="s">
        <v>929</v>
      </c>
      <c r="T620" s="2" t="s">
        <v>59</v>
      </c>
      <c r="U620" s="2" t="s">
        <v>930</v>
      </c>
      <c r="V620" s="4">
        <f>+VLOOKUP(U620,'FBCJ Jul-Des 2025'!$G$10:$P$1302,8,0)</f>
        <v>70101114</v>
      </c>
      <c r="W620" s="4" t="str">
        <f>+VLOOKUP(V620,Sheet1!$A$2:$B$27,2,0)</f>
        <v>By Perbaikan &amp; Perawatan Perabot Material Pihak3</v>
      </c>
      <c r="X620" s="4" t="str">
        <f>+VLOOKUP(U620,'FBCJ Jul-Des 2025'!$G$10:$P$1302,9,0)</f>
        <v>R124WHP</v>
      </c>
      <c r="Y620" s="2" t="s">
        <v>43</v>
      </c>
      <c r="Z620" s="2">
        <v>1719278</v>
      </c>
      <c r="AA620" s="2">
        <v>20251002</v>
      </c>
      <c r="AB620" s="3">
        <v>290470</v>
      </c>
    </row>
    <row r="621" spans="3:28" x14ac:dyDescent="0.25">
      <c r="C621" s="2">
        <v>10000001</v>
      </c>
      <c r="D621" s="2" t="s">
        <v>841</v>
      </c>
      <c r="F621" s="2">
        <v>12008108</v>
      </c>
      <c r="H621" s="2" t="s">
        <v>841</v>
      </c>
      <c r="I621" s="2" t="str">
        <f t="shared" si="9"/>
        <v>10</v>
      </c>
      <c r="J621" s="2">
        <v>50</v>
      </c>
      <c r="K621" s="3">
        <v>-50000</v>
      </c>
      <c r="L621" s="2" t="s">
        <v>26</v>
      </c>
      <c r="M621" s="3">
        <v>-50000</v>
      </c>
      <c r="N621" s="2" t="s">
        <v>26</v>
      </c>
      <c r="R621" s="2" t="s">
        <v>27</v>
      </c>
      <c r="S621" s="2" t="s">
        <v>931</v>
      </c>
      <c r="T621" s="2" t="s">
        <v>45</v>
      </c>
      <c r="U621" s="2" t="s">
        <v>932</v>
      </c>
      <c r="V621" s="4">
        <f>+VLOOKUP(U621,'FBCJ Jul-Des 2025'!$G$10:$P$1302,8,0)</f>
        <v>70009110</v>
      </c>
      <c r="W621" s="4" t="str">
        <f>+VLOOKUP(V621,Sheet1!$A$2:$B$27,2,0)</f>
        <v>Biaya Survey dan Analisa</v>
      </c>
      <c r="X621" s="4" t="str">
        <f>+VLOOKUP(U621,'FBCJ Jul-Des 2025'!$G$10:$P$1302,9,0)</f>
        <v>P206D1SLSS</v>
      </c>
      <c r="Y621" s="2" t="s">
        <v>43</v>
      </c>
      <c r="Z621" s="2">
        <v>1719278</v>
      </c>
      <c r="AA621" s="2">
        <v>20251002</v>
      </c>
      <c r="AB621" s="3">
        <v>50000</v>
      </c>
    </row>
    <row r="622" spans="3:28" x14ac:dyDescent="0.25">
      <c r="C622" s="2">
        <v>10000001</v>
      </c>
      <c r="D622" s="2" t="s">
        <v>841</v>
      </c>
      <c r="F622" s="2">
        <v>12008109</v>
      </c>
      <c r="H622" s="2" t="s">
        <v>841</v>
      </c>
      <c r="I622" s="2" t="str">
        <f t="shared" si="9"/>
        <v>10</v>
      </c>
      <c r="J622" s="2">
        <v>50</v>
      </c>
      <c r="K622" s="3">
        <v>-50000</v>
      </c>
      <c r="L622" s="2" t="s">
        <v>26</v>
      </c>
      <c r="M622" s="3">
        <v>-50000</v>
      </c>
      <c r="N622" s="2" t="s">
        <v>26</v>
      </c>
      <c r="R622" s="2" t="s">
        <v>27</v>
      </c>
      <c r="S622" s="2" t="s">
        <v>931</v>
      </c>
      <c r="T622" s="2" t="s">
        <v>45</v>
      </c>
      <c r="U622" s="2" t="s">
        <v>933</v>
      </c>
      <c r="V622" s="4">
        <f>+VLOOKUP(U622,'FBCJ Jul-Des 2025'!$G$10:$P$1302,8,0)</f>
        <v>70009110</v>
      </c>
      <c r="W622" s="4" t="str">
        <f>+VLOOKUP(V622,Sheet1!$A$2:$B$27,2,0)</f>
        <v>Biaya Survey dan Analisa</v>
      </c>
      <c r="X622" s="4" t="str">
        <f>+VLOOKUP(U622,'FBCJ Jul-Des 2025'!$G$10:$P$1302,9,0)</f>
        <v>P206D1SLSS</v>
      </c>
      <c r="Y622" s="2" t="s">
        <v>43</v>
      </c>
      <c r="Z622" s="2">
        <v>1719278</v>
      </c>
      <c r="AA622" s="2">
        <v>20251002</v>
      </c>
      <c r="AB622" s="3">
        <v>50000</v>
      </c>
    </row>
    <row r="623" spans="3:28" x14ac:dyDescent="0.25">
      <c r="C623" s="2">
        <v>10000001</v>
      </c>
      <c r="D623" s="2" t="s">
        <v>841</v>
      </c>
      <c r="F623" s="2">
        <v>12008110</v>
      </c>
      <c r="H623" s="2" t="s">
        <v>841</v>
      </c>
      <c r="I623" s="2" t="str">
        <f t="shared" si="9"/>
        <v>10</v>
      </c>
      <c r="J623" s="2">
        <v>50</v>
      </c>
      <c r="K623" s="3">
        <v>-50000</v>
      </c>
      <c r="L623" s="2" t="s">
        <v>26</v>
      </c>
      <c r="M623" s="3">
        <v>-50000</v>
      </c>
      <c r="N623" s="2" t="s">
        <v>26</v>
      </c>
      <c r="R623" s="2" t="s">
        <v>27</v>
      </c>
      <c r="S623" s="2" t="s">
        <v>931</v>
      </c>
      <c r="T623" s="2" t="s">
        <v>45</v>
      </c>
      <c r="U623" s="2" t="s">
        <v>934</v>
      </c>
      <c r="V623" s="4">
        <f>+VLOOKUP(U623,'FBCJ Jul-Des 2025'!$G$10:$P$1302,8,0)</f>
        <v>70009110</v>
      </c>
      <c r="W623" s="4" t="str">
        <f>+VLOOKUP(V623,Sheet1!$A$2:$B$27,2,0)</f>
        <v>Biaya Survey dan Analisa</v>
      </c>
      <c r="X623" s="4" t="str">
        <f>+VLOOKUP(U623,'FBCJ Jul-Des 2025'!$G$10:$P$1302,9,0)</f>
        <v>M204D1COMM</v>
      </c>
      <c r="Y623" s="2" t="s">
        <v>43</v>
      </c>
      <c r="Z623" s="2">
        <v>1719278</v>
      </c>
      <c r="AA623" s="2">
        <v>20251002</v>
      </c>
      <c r="AB623" s="3">
        <v>50000</v>
      </c>
    </row>
    <row r="624" spans="3:28" x14ac:dyDescent="0.25">
      <c r="C624" s="2">
        <v>10000001</v>
      </c>
      <c r="D624" s="2" t="s">
        <v>841</v>
      </c>
      <c r="F624" s="2">
        <v>12008111</v>
      </c>
      <c r="H624" s="2" t="s">
        <v>841</v>
      </c>
      <c r="I624" s="2" t="str">
        <f t="shared" si="9"/>
        <v>10</v>
      </c>
      <c r="J624" s="2">
        <v>50</v>
      </c>
      <c r="K624" s="3">
        <v>-50000</v>
      </c>
      <c r="L624" s="2" t="s">
        <v>26</v>
      </c>
      <c r="M624" s="3">
        <v>-50000</v>
      </c>
      <c r="N624" s="2" t="s">
        <v>26</v>
      </c>
      <c r="R624" s="2" t="s">
        <v>27</v>
      </c>
      <c r="S624" s="2" t="s">
        <v>931</v>
      </c>
      <c r="T624" s="2" t="s">
        <v>45</v>
      </c>
      <c r="U624" s="2" t="s">
        <v>935</v>
      </c>
      <c r="V624" s="4">
        <f>+VLOOKUP(U624,'FBCJ Jul-Des 2025'!$G$10:$P$1302,8,0)</f>
        <v>70009110</v>
      </c>
      <c r="W624" s="4" t="str">
        <f>+VLOOKUP(V624,Sheet1!$A$2:$B$27,2,0)</f>
        <v>Biaya Survey dan Analisa</v>
      </c>
      <c r="X624" s="4" t="str">
        <f>+VLOOKUP(U624,'FBCJ Jul-Des 2025'!$G$10:$P$1302,9,0)</f>
        <v>M204D1COMM</v>
      </c>
      <c r="Y624" s="2" t="s">
        <v>43</v>
      </c>
      <c r="Z624" s="2">
        <v>1719278</v>
      </c>
      <c r="AA624" s="2">
        <v>20251002</v>
      </c>
      <c r="AB624" s="3">
        <v>50000</v>
      </c>
    </row>
    <row r="625" spans="3:28" x14ac:dyDescent="0.25">
      <c r="C625" s="2">
        <v>10000001</v>
      </c>
      <c r="D625" s="2" t="s">
        <v>841</v>
      </c>
      <c r="F625" s="2">
        <v>12008112</v>
      </c>
      <c r="H625" s="2" t="s">
        <v>841</v>
      </c>
      <c r="I625" s="2" t="str">
        <f t="shared" si="9"/>
        <v>10</v>
      </c>
      <c r="J625" s="2">
        <v>50</v>
      </c>
      <c r="K625" s="3">
        <v>-200000</v>
      </c>
      <c r="L625" s="2" t="s">
        <v>26</v>
      </c>
      <c r="M625" s="3">
        <v>-200000</v>
      </c>
      <c r="N625" s="2" t="s">
        <v>26</v>
      </c>
      <c r="R625" s="2" t="s">
        <v>27</v>
      </c>
      <c r="S625" s="2" t="s">
        <v>931</v>
      </c>
      <c r="T625" s="2" t="s">
        <v>45</v>
      </c>
      <c r="U625" s="2" t="s">
        <v>936</v>
      </c>
      <c r="V625" s="4">
        <f>+VLOOKUP(U625,'FBCJ Jul-Des 2025'!$G$10:$P$1302,8,0)</f>
        <v>70009110</v>
      </c>
      <c r="W625" s="4" t="str">
        <f>+VLOOKUP(V625,Sheet1!$A$2:$B$27,2,0)</f>
        <v>Biaya Survey dan Analisa</v>
      </c>
      <c r="X625" s="4" t="str">
        <f>+VLOOKUP(U625,'FBCJ Jul-Des 2025'!$G$10:$P$1302,9,0)</f>
        <v>M204D1COMM</v>
      </c>
      <c r="Y625" s="2" t="s">
        <v>43</v>
      </c>
      <c r="Z625" s="2">
        <v>1719278</v>
      </c>
      <c r="AA625" s="2">
        <v>20251002</v>
      </c>
      <c r="AB625" s="3">
        <v>200000</v>
      </c>
    </row>
    <row r="626" spans="3:28" x14ac:dyDescent="0.25">
      <c r="C626" s="2">
        <v>10000001</v>
      </c>
      <c r="D626" s="2" t="s">
        <v>841</v>
      </c>
      <c r="F626" s="2">
        <v>12008113</v>
      </c>
      <c r="H626" s="2" t="s">
        <v>841</v>
      </c>
      <c r="I626" s="2" t="str">
        <f t="shared" si="9"/>
        <v>10</v>
      </c>
      <c r="J626" s="2">
        <v>50</v>
      </c>
      <c r="K626" s="3">
        <v>-586500</v>
      </c>
      <c r="L626" s="2" t="s">
        <v>26</v>
      </c>
      <c r="M626" s="3">
        <v>-586500</v>
      </c>
      <c r="N626" s="2" t="s">
        <v>26</v>
      </c>
      <c r="R626" s="2" t="s">
        <v>27</v>
      </c>
      <c r="S626" s="2" t="s">
        <v>937</v>
      </c>
      <c r="T626" s="2" t="s">
        <v>64</v>
      </c>
      <c r="U626" s="2" t="s">
        <v>938</v>
      </c>
      <c r="V626" s="4">
        <f>+VLOOKUP(U626,'FBCJ Jul-Des 2025'!$G$10:$P$1302,8,0)</f>
        <v>70108110</v>
      </c>
      <c r="W626" s="4" t="str">
        <f>+VLOOKUP(V626,Sheet1!$A$2:$B$27,2,0)</f>
        <v>Biaya  Fotocopy</v>
      </c>
      <c r="X626" s="4" t="str">
        <f>+VLOOKUP(U626,'FBCJ Jul-Des 2025'!$G$10:$P$1302,9,0)</f>
        <v>R124QMR</v>
      </c>
      <c r="Y626" s="2" t="s">
        <v>43</v>
      </c>
      <c r="Z626" s="2">
        <v>1719278</v>
      </c>
      <c r="AA626" s="2">
        <v>20251002</v>
      </c>
      <c r="AB626" s="3">
        <v>586500</v>
      </c>
    </row>
    <row r="627" spans="3:28" x14ac:dyDescent="0.25">
      <c r="C627" s="2">
        <v>10000001</v>
      </c>
      <c r="D627" s="2" t="s">
        <v>841</v>
      </c>
      <c r="F627" s="2">
        <v>12008114</v>
      </c>
      <c r="H627" s="2" t="s">
        <v>841</v>
      </c>
      <c r="I627" s="2" t="str">
        <f t="shared" si="9"/>
        <v>10</v>
      </c>
      <c r="J627" s="2">
        <v>50</v>
      </c>
      <c r="K627" s="3">
        <v>-145000</v>
      </c>
      <c r="L627" s="2" t="s">
        <v>26</v>
      </c>
      <c r="M627" s="3">
        <v>-145000</v>
      </c>
      <c r="N627" s="2" t="s">
        <v>26</v>
      </c>
      <c r="R627" s="2" t="s">
        <v>27</v>
      </c>
      <c r="S627" s="2" t="s">
        <v>939</v>
      </c>
      <c r="T627" s="2" t="s">
        <v>126</v>
      </c>
      <c r="U627" s="2" t="s">
        <v>940</v>
      </c>
      <c r="V627" s="4">
        <f>+VLOOKUP(U627,'FBCJ Jul-Des 2025'!$G$10:$P$1302,8,0)</f>
        <v>70107600</v>
      </c>
      <c r="W627" s="4" t="str">
        <f>+VLOOKUP(V627,Sheet1!$A$2:$B$27,2,0)</f>
        <v>Biaya Konsumsi Kantor</v>
      </c>
      <c r="X627" s="4" t="str">
        <f>+VLOOKUP(U627,'FBCJ Jul-Des 2025'!$G$10:$P$1302,9,0)</f>
        <v>R124D1HRDV</v>
      </c>
      <c r="Y627" s="2" t="s">
        <v>43</v>
      </c>
      <c r="Z627" s="2">
        <v>1719278</v>
      </c>
      <c r="AA627" s="2">
        <v>20251002</v>
      </c>
      <c r="AB627" s="3">
        <v>145000</v>
      </c>
    </row>
    <row r="628" spans="3:28" x14ac:dyDescent="0.25">
      <c r="C628" s="2">
        <v>10000001</v>
      </c>
      <c r="D628" s="2" t="s">
        <v>841</v>
      </c>
      <c r="F628" s="2">
        <v>12008115</v>
      </c>
      <c r="H628" s="2" t="s">
        <v>841</v>
      </c>
      <c r="I628" s="2" t="str">
        <f t="shared" si="9"/>
        <v>10</v>
      </c>
      <c r="J628" s="2">
        <v>50</v>
      </c>
      <c r="K628" s="3">
        <v>-234000</v>
      </c>
      <c r="L628" s="2" t="s">
        <v>26</v>
      </c>
      <c r="M628" s="3">
        <v>-234000</v>
      </c>
      <c r="N628" s="2" t="s">
        <v>26</v>
      </c>
      <c r="R628" s="2" t="s">
        <v>27</v>
      </c>
      <c r="S628" s="2" t="s">
        <v>941</v>
      </c>
      <c r="T628" s="2" t="s">
        <v>67</v>
      </c>
      <c r="U628" s="2" t="s">
        <v>942</v>
      </c>
      <c r="V628" s="4">
        <f>+VLOOKUP(U628,'FBCJ Jul-Des 2025'!$G$10:$P$1302,8,0)</f>
        <v>70106100</v>
      </c>
      <c r="W628" s="4" t="str">
        <f>+VLOOKUP(V628,Sheet1!$A$2:$B$27,2,0)</f>
        <v>Biaya Transportasi Lokal</v>
      </c>
      <c r="X628" s="4" t="str">
        <f>+VLOOKUP(U628,'FBCJ Jul-Des 2025'!$G$10:$P$1302,9,0)</f>
        <v>P206D1SLSS</v>
      </c>
      <c r="Y628" s="2" t="s">
        <v>43</v>
      </c>
      <c r="Z628" s="2">
        <v>1719278</v>
      </c>
      <c r="AA628" s="2">
        <v>20251002</v>
      </c>
      <c r="AB628" s="3">
        <v>234000</v>
      </c>
    </row>
    <row r="629" spans="3:28" x14ac:dyDescent="0.25">
      <c r="C629" s="2">
        <v>10000001</v>
      </c>
      <c r="D629" s="2" t="s">
        <v>841</v>
      </c>
      <c r="F629" s="2">
        <v>12008116</v>
      </c>
      <c r="H629" s="2" t="s">
        <v>841</v>
      </c>
      <c r="I629" s="2" t="str">
        <f t="shared" si="9"/>
        <v>10</v>
      </c>
      <c r="J629" s="2">
        <v>50</v>
      </c>
      <c r="K629" s="3">
        <v>-15000</v>
      </c>
      <c r="L629" s="2" t="s">
        <v>26</v>
      </c>
      <c r="M629" s="3">
        <v>-15000</v>
      </c>
      <c r="N629" s="2" t="s">
        <v>26</v>
      </c>
      <c r="R629" s="2" t="s">
        <v>27</v>
      </c>
      <c r="S629" s="2" t="s">
        <v>941</v>
      </c>
      <c r="T629" s="2" t="s">
        <v>64</v>
      </c>
      <c r="U629" s="2" t="s">
        <v>943</v>
      </c>
      <c r="V629" s="4">
        <f>+VLOOKUP(U629,'FBCJ Jul-Des 2025'!$G$10:$P$1302,8,0)</f>
        <v>70108110</v>
      </c>
      <c r="W629" s="4" t="str">
        <f>+VLOOKUP(V629,Sheet1!$A$2:$B$27,2,0)</f>
        <v>Biaya  Fotocopy</v>
      </c>
      <c r="X629" s="4" t="str">
        <f>+VLOOKUP(U629,'FBCJ Jul-Des 2025'!$G$10:$P$1302,9,0)</f>
        <v>P206D1SLSS</v>
      </c>
      <c r="Y629" s="2" t="s">
        <v>43</v>
      </c>
      <c r="Z629" s="2">
        <v>1719278</v>
      </c>
      <c r="AA629" s="2">
        <v>20251002</v>
      </c>
      <c r="AB629" s="3">
        <v>15000</v>
      </c>
    </row>
    <row r="630" spans="3:28" x14ac:dyDescent="0.25">
      <c r="C630" s="2">
        <v>10000001</v>
      </c>
      <c r="D630" s="2" t="s">
        <v>841</v>
      </c>
      <c r="F630" s="2">
        <v>12008117</v>
      </c>
      <c r="H630" s="2" t="s">
        <v>841</v>
      </c>
      <c r="I630" s="2" t="str">
        <f t="shared" si="9"/>
        <v>10</v>
      </c>
      <c r="J630" s="2">
        <v>50</v>
      </c>
      <c r="K630" s="3">
        <v>-50000</v>
      </c>
      <c r="L630" s="2" t="s">
        <v>26</v>
      </c>
      <c r="M630" s="3">
        <v>-50000</v>
      </c>
      <c r="N630" s="2" t="s">
        <v>26</v>
      </c>
      <c r="R630" s="2" t="s">
        <v>27</v>
      </c>
      <c r="S630" s="2" t="s">
        <v>944</v>
      </c>
      <c r="T630" s="2" t="s">
        <v>45</v>
      </c>
      <c r="U630" s="2" t="s">
        <v>945</v>
      </c>
      <c r="V630" s="4">
        <f>+VLOOKUP(U630,'FBCJ Jul-Des 2025'!$G$10:$P$1302,8,0)</f>
        <v>70009110</v>
      </c>
      <c r="W630" s="4" t="str">
        <f>+VLOOKUP(V630,Sheet1!$A$2:$B$27,2,0)</f>
        <v>Biaya Survey dan Analisa</v>
      </c>
      <c r="X630" s="4" t="str">
        <f>+VLOOKUP(U630,'FBCJ Jul-Des 2025'!$G$10:$P$1302,9,0)</f>
        <v>M204D1COMM</v>
      </c>
      <c r="Y630" s="2" t="s">
        <v>43</v>
      </c>
      <c r="Z630" s="2">
        <v>1719278</v>
      </c>
      <c r="AA630" s="2">
        <v>20251002</v>
      </c>
      <c r="AB630" s="3">
        <v>50000</v>
      </c>
    </row>
    <row r="631" spans="3:28" x14ac:dyDescent="0.25">
      <c r="C631" s="2">
        <v>10000001</v>
      </c>
      <c r="D631" s="2" t="s">
        <v>841</v>
      </c>
      <c r="F631" s="2">
        <v>12008118</v>
      </c>
      <c r="H631" s="2" t="s">
        <v>841</v>
      </c>
      <c r="I631" s="2" t="str">
        <f t="shared" si="9"/>
        <v>10</v>
      </c>
      <c r="J631" s="2">
        <v>50</v>
      </c>
      <c r="K631" s="3">
        <v>-640000</v>
      </c>
      <c r="L631" s="2" t="s">
        <v>26</v>
      </c>
      <c r="M631" s="3">
        <v>-640000</v>
      </c>
      <c r="N631" s="2" t="s">
        <v>26</v>
      </c>
      <c r="R631" s="2" t="s">
        <v>27</v>
      </c>
      <c r="S631" s="2" t="s">
        <v>946</v>
      </c>
      <c r="T631" s="2" t="s">
        <v>96</v>
      </c>
      <c r="U631" s="2" t="s">
        <v>947</v>
      </c>
      <c r="V631" s="4">
        <f>+VLOOKUP(U631,'FBCJ Jul-Des 2025'!$G$10:$P$1302,8,0)</f>
        <v>70106400</v>
      </c>
      <c r="W631" s="4" t="str">
        <f>+VLOOKUP(V631,Sheet1!$A$2:$B$27,2,0)</f>
        <v>Biaya Bahan Bakar</v>
      </c>
      <c r="X631" s="4" t="str">
        <f>+VLOOKUP(U631,'FBCJ Jul-Des 2025'!$G$10:$P$1302,9,0)</f>
        <v>R124D1HRGA</v>
      </c>
      <c r="Y631" s="2" t="s">
        <v>43</v>
      </c>
      <c r="Z631" s="2">
        <v>1719278</v>
      </c>
      <c r="AA631" s="2">
        <v>20251002</v>
      </c>
      <c r="AB631" s="3">
        <v>640000</v>
      </c>
    </row>
    <row r="632" spans="3:28" x14ac:dyDescent="0.25">
      <c r="C632" s="2">
        <v>10000001</v>
      </c>
      <c r="D632" s="2" t="s">
        <v>841</v>
      </c>
      <c r="F632" s="2">
        <v>12008119</v>
      </c>
      <c r="H632" s="2" t="s">
        <v>841</v>
      </c>
      <c r="I632" s="2" t="str">
        <f t="shared" si="9"/>
        <v>10</v>
      </c>
      <c r="J632" s="2">
        <v>50</v>
      </c>
      <c r="K632" s="3">
        <v>-359500</v>
      </c>
      <c r="L632" s="2" t="s">
        <v>26</v>
      </c>
      <c r="M632" s="3">
        <v>-359500</v>
      </c>
      <c r="N632" s="2" t="s">
        <v>26</v>
      </c>
      <c r="R632" s="2" t="s">
        <v>27</v>
      </c>
      <c r="S632" s="2" t="s">
        <v>946</v>
      </c>
      <c r="T632" s="2" t="s">
        <v>67</v>
      </c>
      <c r="U632" s="2" t="s">
        <v>98</v>
      </c>
      <c r="V632" s="4">
        <f>+VLOOKUP(U632,'FBCJ Jul-Des 2025'!$G$10:$P$1302,8,0)</f>
        <v>70106100</v>
      </c>
      <c r="W632" s="4" t="str">
        <f>+VLOOKUP(V632,Sheet1!$A$2:$B$27,2,0)</f>
        <v>Biaya Transportasi Lokal</v>
      </c>
      <c r="X632" s="4" t="str">
        <f>+VLOOKUP(U632,'FBCJ Jul-Des 2025'!$G$10:$P$1302,9,0)</f>
        <v>R124D1HRGA</v>
      </c>
      <c r="Y632" s="2" t="s">
        <v>43</v>
      </c>
      <c r="Z632" s="2">
        <v>1719278</v>
      </c>
      <c r="AA632" s="2">
        <v>20251002</v>
      </c>
      <c r="AB632" s="3">
        <v>359500</v>
      </c>
    </row>
    <row r="633" spans="3:28" x14ac:dyDescent="0.25">
      <c r="C633" s="2">
        <v>10000001</v>
      </c>
      <c r="D633" s="2" t="s">
        <v>841</v>
      </c>
      <c r="F633" s="2">
        <v>12008185</v>
      </c>
      <c r="H633" s="2" t="s">
        <v>841</v>
      </c>
      <c r="I633" s="2" t="str">
        <f t="shared" si="9"/>
        <v>10</v>
      </c>
      <c r="J633" s="2">
        <v>50</v>
      </c>
      <c r="K633" s="3">
        <v>-50000</v>
      </c>
      <c r="L633" s="2" t="s">
        <v>26</v>
      </c>
      <c r="M633" s="3">
        <v>-50000</v>
      </c>
      <c r="N633" s="2" t="s">
        <v>26</v>
      </c>
      <c r="R633" s="2" t="s">
        <v>27</v>
      </c>
      <c r="S633" s="2" t="s">
        <v>931</v>
      </c>
      <c r="T633" s="2" t="s">
        <v>45</v>
      </c>
      <c r="U633" s="2" t="s">
        <v>948</v>
      </c>
      <c r="V633" s="4">
        <f>+VLOOKUP(U633,'FBCJ Jul-Des 2025'!$G$10:$P$1302,8,0)</f>
        <v>70009110</v>
      </c>
      <c r="W633" s="4" t="str">
        <f>+VLOOKUP(V633,Sheet1!$A$2:$B$27,2,0)</f>
        <v>Biaya Survey dan Analisa</v>
      </c>
      <c r="X633" s="4" t="str">
        <f>+VLOOKUP(U633,'FBCJ Jul-Des 2025'!$G$10:$P$1302,9,0)</f>
        <v>P206D1SLSS</v>
      </c>
      <c r="Y633" s="2" t="s">
        <v>43</v>
      </c>
      <c r="Z633" s="2">
        <v>1719278</v>
      </c>
      <c r="AA633" s="2">
        <v>20251002</v>
      </c>
      <c r="AB633" s="3">
        <v>50000</v>
      </c>
    </row>
    <row r="634" spans="3:28" x14ac:dyDescent="0.25">
      <c r="C634" s="2">
        <v>10000001</v>
      </c>
      <c r="D634" s="2" t="s">
        <v>838</v>
      </c>
      <c r="F634" s="2">
        <v>12008120</v>
      </c>
      <c r="H634" s="2" t="s">
        <v>838</v>
      </c>
      <c r="I634" s="2" t="str">
        <f t="shared" si="9"/>
        <v>10</v>
      </c>
      <c r="J634" s="2">
        <v>50</v>
      </c>
      <c r="K634" s="3">
        <v>-50000</v>
      </c>
      <c r="L634" s="2" t="s">
        <v>26</v>
      </c>
      <c r="M634" s="3">
        <v>-50000</v>
      </c>
      <c r="N634" s="2" t="s">
        <v>26</v>
      </c>
      <c r="R634" s="2" t="s">
        <v>27</v>
      </c>
      <c r="S634" s="2" t="s">
        <v>949</v>
      </c>
      <c r="T634" s="2" t="s">
        <v>45</v>
      </c>
      <c r="U634" s="2" t="s">
        <v>950</v>
      </c>
      <c r="V634" s="4">
        <f>+VLOOKUP(U634,'FBCJ Jul-Des 2025'!$G$10:$P$1302,8,0)</f>
        <v>70009110</v>
      </c>
      <c r="W634" s="4" t="str">
        <f>+VLOOKUP(V634,Sheet1!$A$2:$B$27,2,0)</f>
        <v>Biaya Survey dan Analisa</v>
      </c>
      <c r="X634" s="4" t="str">
        <f>+VLOOKUP(U634,'FBCJ Jul-Des 2025'!$G$10:$P$1302,9,0)</f>
        <v>P206D1SLSC</v>
      </c>
      <c r="Y634" s="2" t="s">
        <v>43</v>
      </c>
      <c r="Z634" s="2">
        <v>1719278</v>
      </c>
      <c r="AA634" s="2">
        <v>20251003</v>
      </c>
      <c r="AB634" s="3">
        <v>50000</v>
      </c>
    </row>
    <row r="635" spans="3:28" x14ac:dyDescent="0.25">
      <c r="C635" s="2">
        <v>10000001</v>
      </c>
      <c r="D635" s="2" t="s">
        <v>838</v>
      </c>
      <c r="F635" s="2">
        <v>12008121</v>
      </c>
      <c r="H635" s="2" t="s">
        <v>838</v>
      </c>
      <c r="I635" s="2" t="str">
        <f t="shared" si="9"/>
        <v>10</v>
      </c>
      <c r="J635" s="2">
        <v>50</v>
      </c>
      <c r="K635" s="3">
        <v>-50000</v>
      </c>
      <c r="L635" s="2" t="s">
        <v>26</v>
      </c>
      <c r="M635" s="3">
        <v>-50000</v>
      </c>
      <c r="N635" s="2" t="s">
        <v>26</v>
      </c>
      <c r="R635" s="2" t="s">
        <v>27</v>
      </c>
      <c r="S635" s="2" t="s">
        <v>949</v>
      </c>
      <c r="T635" s="2" t="s">
        <v>45</v>
      </c>
      <c r="U635" s="2" t="s">
        <v>951</v>
      </c>
      <c r="V635" s="4">
        <f>+VLOOKUP(U635,'FBCJ Jul-Des 2025'!$G$10:$P$1302,8,0)</f>
        <v>70009110</v>
      </c>
      <c r="W635" s="4" t="str">
        <f>+VLOOKUP(V635,Sheet1!$A$2:$B$27,2,0)</f>
        <v>Biaya Survey dan Analisa</v>
      </c>
      <c r="X635" s="4" t="str">
        <f>+VLOOKUP(U635,'FBCJ Jul-Des 2025'!$G$10:$P$1302,9,0)</f>
        <v>P206D1SLSS</v>
      </c>
      <c r="Y635" s="2" t="s">
        <v>43</v>
      </c>
      <c r="Z635" s="2">
        <v>1719278</v>
      </c>
      <c r="AA635" s="2">
        <v>20251003</v>
      </c>
      <c r="AB635" s="3">
        <v>50000</v>
      </c>
    </row>
    <row r="636" spans="3:28" x14ac:dyDescent="0.25">
      <c r="C636" s="2">
        <v>10000001</v>
      </c>
      <c r="D636" s="2" t="s">
        <v>838</v>
      </c>
      <c r="F636" s="2">
        <v>12008122</v>
      </c>
      <c r="H636" s="2" t="s">
        <v>838</v>
      </c>
      <c r="I636" s="2" t="str">
        <f t="shared" si="9"/>
        <v>10</v>
      </c>
      <c r="J636" s="2">
        <v>50</v>
      </c>
      <c r="K636" s="3">
        <v>-50000</v>
      </c>
      <c r="L636" s="2" t="s">
        <v>26</v>
      </c>
      <c r="M636" s="3">
        <v>-50000</v>
      </c>
      <c r="N636" s="2" t="s">
        <v>26</v>
      </c>
      <c r="R636" s="2" t="s">
        <v>27</v>
      </c>
      <c r="S636" s="2" t="s">
        <v>949</v>
      </c>
      <c r="T636" s="2" t="s">
        <v>45</v>
      </c>
      <c r="U636" s="2" t="s">
        <v>952</v>
      </c>
      <c r="V636" s="4">
        <f>+VLOOKUP(U636,'FBCJ Jul-Des 2025'!$G$10:$P$1302,8,0)</f>
        <v>70009110</v>
      </c>
      <c r="W636" s="4" t="str">
        <f>+VLOOKUP(V636,Sheet1!$A$2:$B$27,2,0)</f>
        <v>Biaya Survey dan Analisa</v>
      </c>
      <c r="X636" s="4" t="str">
        <f>+VLOOKUP(U636,'FBCJ Jul-Des 2025'!$G$10:$P$1302,9,0)</f>
        <v>P206D1SLSC</v>
      </c>
      <c r="Y636" s="2" t="s">
        <v>43</v>
      </c>
      <c r="Z636" s="2">
        <v>1719278</v>
      </c>
      <c r="AA636" s="2">
        <v>20251003</v>
      </c>
      <c r="AB636" s="3">
        <v>50000</v>
      </c>
    </row>
    <row r="637" spans="3:28" x14ac:dyDescent="0.25">
      <c r="C637" s="2">
        <v>10000001</v>
      </c>
      <c r="D637" s="2" t="s">
        <v>838</v>
      </c>
      <c r="F637" s="2">
        <v>12008123</v>
      </c>
      <c r="H637" s="2" t="s">
        <v>838</v>
      </c>
      <c r="I637" s="2" t="str">
        <f t="shared" si="9"/>
        <v>10</v>
      </c>
      <c r="J637" s="2">
        <v>50</v>
      </c>
      <c r="K637" s="3">
        <v>-50000</v>
      </c>
      <c r="L637" s="2" t="s">
        <v>26</v>
      </c>
      <c r="M637" s="3">
        <v>-50000</v>
      </c>
      <c r="N637" s="2" t="s">
        <v>26</v>
      </c>
      <c r="R637" s="2" t="s">
        <v>27</v>
      </c>
      <c r="S637" s="2" t="s">
        <v>949</v>
      </c>
      <c r="T637" s="2" t="s">
        <v>45</v>
      </c>
      <c r="U637" s="2" t="s">
        <v>953</v>
      </c>
      <c r="V637" s="4">
        <f>+VLOOKUP(U637,'FBCJ Jul-Des 2025'!$G$10:$P$1302,8,0)</f>
        <v>70009110</v>
      </c>
      <c r="W637" s="4" t="str">
        <f>+VLOOKUP(V637,Sheet1!$A$2:$B$27,2,0)</f>
        <v>Biaya Survey dan Analisa</v>
      </c>
      <c r="X637" s="4" t="str">
        <f>+VLOOKUP(U637,'FBCJ Jul-Des 2025'!$G$10:$P$1302,9,0)</f>
        <v>P206D1SLSS</v>
      </c>
      <c r="Y637" s="2" t="s">
        <v>43</v>
      </c>
      <c r="Z637" s="2">
        <v>1719278</v>
      </c>
      <c r="AA637" s="2">
        <v>20251003</v>
      </c>
      <c r="AB637" s="3">
        <v>50000</v>
      </c>
    </row>
    <row r="638" spans="3:28" x14ac:dyDescent="0.25">
      <c r="C638" s="2">
        <v>10000001</v>
      </c>
      <c r="D638" s="2" t="s">
        <v>838</v>
      </c>
      <c r="F638" s="2">
        <v>12008124</v>
      </c>
      <c r="H638" s="2" t="s">
        <v>838</v>
      </c>
      <c r="I638" s="2" t="str">
        <f t="shared" si="9"/>
        <v>10</v>
      </c>
      <c r="J638" s="2">
        <v>50</v>
      </c>
      <c r="K638" s="3">
        <v>-50000</v>
      </c>
      <c r="L638" s="2" t="s">
        <v>26</v>
      </c>
      <c r="M638" s="3">
        <v>-50000</v>
      </c>
      <c r="N638" s="2" t="s">
        <v>26</v>
      </c>
      <c r="R638" s="2" t="s">
        <v>27</v>
      </c>
      <c r="S638" s="2" t="s">
        <v>949</v>
      </c>
      <c r="T638" s="2" t="s">
        <v>45</v>
      </c>
      <c r="U638" s="2" t="s">
        <v>954</v>
      </c>
      <c r="V638" s="4">
        <f>+VLOOKUP(U638,'FBCJ Jul-Des 2025'!$G$10:$P$1302,8,0)</f>
        <v>70009110</v>
      </c>
      <c r="W638" s="4" t="str">
        <f>+VLOOKUP(V638,Sheet1!$A$2:$B$27,2,0)</f>
        <v>Biaya Survey dan Analisa</v>
      </c>
      <c r="X638" s="4" t="str">
        <f>+VLOOKUP(U638,'FBCJ Jul-Des 2025'!$G$10:$P$1302,9,0)</f>
        <v>P206D1SLSS</v>
      </c>
      <c r="Y638" s="2" t="s">
        <v>43</v>
      </c>
      <c r="Z638" s="2">
        <v>1719278</v>
      </c>
      <c r="AA638" s="2">
        <v>20251003</v>
      </c>
      <c r="AB638" s="3">
        <v>50000</v>
      </c>
    </row>
    <row r="639" spans="3:28" x14ac:dyDescent="0.25">
      <c r="C639" s="2">
        <v>10000001</v>
      </c>
      <c r="D639" s="2" t="s">
        <v>838</v>
      </c>
      <c r="F639" s="2">
        <v>12008125</v>
      </c>
      <c r="H639" s="2" t="s">
        <v>838</v>
      </c>
      <c r="I639" s="2" t="str">
        <f t="shared" si="9"/>
        <v>10</v>
      </c>
      <c r="J639" s="2">
        <v>50</v>
      </c>
      <c r="K639" s="3">
        <v>-14000</v>
      </c>
      <c r="L639" s="2" t="s">
        <v>26</v>
      </c>
      <c r="M639" s="3">
        <v>-14000</v>
      </c>
      <c r="N639" s="2" t="s">
        <v>26</v>
      </c>
      <c r="R639" s="2" t="s">
        <v>27</v>
      </c>
      <c r="S639" s="2" t="s">
        <v>949</v>
      </c>
      <c r="T639" s="2" t="s">
        <v>334</v>
      </c>
      <c r="U639" s="2" t="s">
        <v>955</v>
      </c>
      <c r="V639" s="4">
        <f>+VLOOKUP(U639,'FBCJ Jul-Des 2025'!$G$10:$P$1302,8,0)</f>
        <v>70001110</v>
      </c>
      <c r="W639" s="4" t="str">
        <f>+VLOOKUP(V639,Sheet1!$A$2:$B$27,2,0)</f>
        <v>Biaya Ekspor lainnya</v>
      </c>
      <c r="X639" s="4" t="str">
        <f>+VLOOKUP(U639,'FBCJ Jul-Des 2025'!$G$10:$P$1302,9,0)</f>
        <v>M204D1COMM</v>
      </c>
      <c r="Y639" s="2" t="s">
        <v>43</v>
      </c>
      <c r="Z639" s="2">
        <v>1719278</v>
      </c>
      <c r="AA639" s="2">
        <v>20251003</v>
      </c>
      <c r="AB639" s="3">
        <v>14000</v>
      </c>
    </row>
    <row r="640" spans="3:28" x14ac:dyDescent="0.25">
      <c r="C640" s="2">
        <v>10000001</v>
      </c>
      <c r="D640" s="2" t="s">
        <v>838</v>
      </c>
      <c r="F640" s="2">
        <v>12008126</v>
      </c>
      <c r="H640" s="2" t="s">
        <v>838</v>
      </c>
      <c r="I640" s="2" t="str">
        <f t="shared" si="9"/>
        <v>10</v>
      </c>
      <c r="J640" s="2">
        <v>50</v>
      </c>
      <c r="K640" s="3">
        <v>-80000</v>
      </c>
      <c r="L640" s="2" t="s">
        <v>26</v>
      </c>
      <c r="M640" s="3">
        <v>-80000</v>
      </c>
      <c r="N640" s="2" t="s">
        <v>26</v>
      </c>
      <c r="R640" s="2" t="s">
        <v>27</v>
      </c>
      <c r="S640" s="2" t="s">
        <v>956</v>
      </c>
      <c r="T640" s="2" t="s">
        <v>59</v>
      </c>
      <c r="U640" s="2" t="s">
        <v>957</v>
      </c>
      <c r="V640" s="4">
        <f>+VLOOKUP(U640,'FBCJ Jul-Des 2025'!$G$10:$P$1302,8,0)</f>
        <v>70101114</v>
      </c>
      <c r="W640" s="4" t="str">
        <f>+VLOOKUP(V640,Sheet1!$A$2:$B$27,2,0)</f>
        <v>By Perbaikan &amp; Perawatan Perabot Material Pihak3</v>
      </c>
      <c r="X640" s="4" t="str">
        <f>+VLOOKUP(U640,'FBCJ Jul-Des 2025'!$G$10:$P$1302,9,0)</f>
        <v>R124D1HRGA</v>
      </c>
      <c r="Y640" s="2" t="s">
        <v>43</v>
      </c>
      <c r="Z640" s="2">
        <v>1719278</v>
      </c>
      <c r="AA640" s="2">
        <v>20251003</v>
      </c>
      <c r="AB640" s="3">
        <v>80000</v>
      </c>
    </row>
    <row r="641" spans="3:28" x14ac:dyDescent="0.25">
      <c r="C641" s="2">
        <v>10000001</v>
      </c>
      <c r="D641" s="2" t="s">
        <v>838</v>
      </c>
      <c r="F641" s="2">
        <v>12008127</v>
      </c>
      <c r="H641" s="2" t="s">
        <v>838</v>
      </c>
      <c r="I641" s="2" t="str">
        <f t="shared" si="9"/>
        <v>10</v>
      </c>
      <c r="J641" s="2">
        <v>50</v>
      </c>
      <c r="K641" s="3">
        <v>-40000</v>
      </c>
      <c r="L641" s="2" t="s">
        <v>26</v>
      </c>
      <c r="M641" s="3">
        <v>-40000</v>
      </c>
      <c r="N641" s="2" t="s">
        <v>26</v>
      </c>
      <c r="R641" s="2" t="s">
        <v>27</v>
      </c>
      <c r="S641" s="2" t="s">
        <v>958</v>
      </c>
      <c r="T641" s="2" t="s">
        <v>59</v>
      </c>
      <c r="U641" s="2" t="s">
        <v>959</v>
      </c>
      <c r="V641" s="4">
        <f>+VLOOKUP(U641,'FBCJ Jul-Des 2025'!$G$10:$P$1302,8,0)</f>
        <v>70101114</v>
      </c>
      <c r="W641" s="4" t="str">
        <f>+VLOOKUP(V641,Sheet1!$A$2:$B$27,2,0)</f>
        <v>By Perbaikan &amp; Perawatan Perabot Material Pihak3</v>
      </c>
      <c r="X641" s="4" t="str">
        <f>+VLOOKUP(U641,'FBCJ Jul-Des 2025'!$G$10:$P$1302,9,0)</f>
        <v>R124WHFSB</v>
      </c>
      <c r="Y641" s="2" t="s">
        <v>43</v>
      </c>
      <c r="Z641" s="2">
        <v>1719278</v>
      </c>
      <c r="AA641" s="2">
        <v>20251003</v>
      </c>
      <c r="AB641" s="3">
        <v>40000</v>
      </c>
    </row>
    <row r="642" spans="3:28" x14ac:dyDescent="0.25">
      <c r="C642" s="2">
        <v>10000001</v>
      </c>
      <c r="D642" s="2" t="s">
        <v>838</v>
      </c>
      <c r="F642" s="2">
        <v>12008128</v>
      </c>
      <c r="H642" s="2" t="s">
        <v>838</v>
      </c>
      <c r="I642" s="2" t="str">
        <f t="shared" si="9"/>
        <v>10</v>
      </c>
      <c r="J642" s="2">
        <v>50</v>
      </c>
      <c r="K642" s="3">
        <v>-188000</v>
      </c>
      <c r="L642" s="2" t="s">
        <v>26</v>
      </c>
      <c r="M642" s="3">
        <v>-188000</v>
      </c>
      <c r="N642" s="2" t="s">
        <v>26</v>
      </c>
      <c r="R642" s="2" t="s">
        <v>27</v>
      </c>
      <c r="S642" s="2" t="s">
        <v>960</v>
      </c>
      <c r="T642" s="2" t="s">
        <v>67</v>
      </c>
      <c r="U642" s="2" t="s">
        <v>961</v>
      </c>
      <c r="V642" s="4">
        <f>+VLOOKUP(U642,'FBCJ Jul-Des 2025'!$G$10:$P$1302,8,0)</f>
        <v>70106100</v>
      </c>
      <c r="W642" s="4" t="str">
        <f>+VLOOKUP(V642,Sheet1!$A$2:$B$27,2,0)</f>
        <v>Biaya Transportasi Lokal</v>
      </c>
      <c r="X642" s="4" t="str">
        <f>+VLOOKUP(U642,'FBCJ Jul-Des 2025'!$G$10:$P$1302,9,0)</f>
        <v>P206D1SLSS</v>
      </c>
      <c r="Y642" s="2" t="s">
        <v>43</v>
      </c>
      <c r="Z642" s="2">
        <v>1719278</v>
      </c>
      <c r="AA642" s="2">
        <v>20251003</v>
      </c>
      <c r="AB642" s="3">
        <v>188000</v>
      </c>
    </row>
    <row r="643" spans="3:28" x14ac:dyDescent="0.25">
      <c r="C643" s="2">
        <v>10000001</v>
      </c>
      <c r="D643" s="2" t="s">
        <v>838</v>
      </c>
      <c r="F643" s="2">
        <v>12008129</v>
      </c>
      <c r="H643" s="2" t="s">
        <v>838</v>
      </c>
      <c r="I643" s="2" t="str">
        <f t="shared" si="9"/>
        <v>10</v>
      </c>
      <c r="J643" s="2">
        <v>50</v>
      </c>
      <c r="K643" s="3">
        <v>-50000</v>
      </c>
      <c r="L643" s="2" t="s">
        <v>26</v>
      </c>
      <c r="M643" s="3">
        <v>-50000</v>
      </c>
      <c r="N643" s="2" t="s">
        <v>26</v>
      </c>
      <c r="R643" s="2" t="s">
        <v>27</v>
      </c>
      <c r="S643" s="2" t="s">
        <v>962</v>
      </c>
      <c r="T643" s="2" t="s">
        <v>45</v>
      </c>
      <c r="U643" s="2" t="s">
        <v>963</v>
      </c>
      <c r="V643" s="4">
        <f>+VLOOKUP(U643,'FBCJ Jul-Des 2025'!$G$10:$P$1302,8,0)</f>
        <v>70009110</v>
      </c>
      <c r="W643" s="4" t="str">
        <f>+VLOOKUP(V643,Sheet1!$A$2:$B$27,2,0)</f>
        <v>Biaya Survey dan Analisa</v>
      </c>
      <c r="X643" s="4" t="str">
        <f>+VLOOKUP(U643,'FBCJ Jul-Des 2025'!$G$10:$P$1302,9,0)</f>
        <v>P206D1SLSS</v>
      </c>
      <c r="Y643" s="2" t="s">
        <v>43</v>
      </c>
      <c r="Z643" s="2">
        <v>1719278</v>
      </c>
      <c r="AA643" s="2">
        <v>20251003</v>
      </c>
      <c r="AB643" s="3">
        <v>50000</v>
      </c>
    </row>
    <row r="644" spans="3:28" x14ac:dyDescent="0.25">
      <c r="C644" s="2">
        <v>10000001</v>
      </c>
      <c r="D644" s="2" t="s">
        <v>838</v>
      </c>
      <c r="F644" s="2">
        <v>12008130</v>
      </c>
      <c r="H644" s="2" t="s">
        <v>838</v>
      </c>
      <c r="I644" s="2" t="str">
        <f t="shared" si="9"/>
        <v>10</v>
      </c>
      <c r="J644" s="2">
        <v>50</v>
      </c>
      <c r="K644" s="3">
        <v>-50000</v>
      </c>
      <c r="L644" s="2" t="s">
        <v>26</v>
      </c>
      <c r="M644" s="3">
        <v>-50000</v>
      </c>
      <c r="N644" s="2" t="s">
        <v>26</v>
      </c>
      <c r="R644" s="2" t="s">
        <v>27</v>
      </c>
      <c r="S644" s="2" t="s">
        <v>962</v>
      </c>
      <c r="T644" s="2" t="s">
        <v>45</v>
      </c>
      <c r="U644" s="2" t="s">
        <v>964</v>
      </c>
      <c r="V644" s="4">
        <f>+VLOOKUP(U644,'FBCJ Jul-Des 2025'!$G$10:$P$1302,8,0)</f>
        <v>70009110</v>
      </c>
      <c r="W644" s="4" t="str">
        <f>+VLOOKUP(V644,Sheet1!$A$2:$B$27,2,0)</f>
        <v>Biaya Survey dan Analisa</v>
      </c>
      <c r="X644" s="4" t="str">
        <f>+VLOOKUP(U644,'FBCJ Jul-Des 2025'!$G$10:$P$1302,9,0)</f>
        <v>P206D1SLSS</v>
      </c>
      <c r="Y644" s="2" t="s">
        <v>43</v>
      </c>
      <c r="Z644" s="2">
        <v>1719278</v>
      </c>
      <c r="AA644" s="2">
        <v>20251003</v>
      </c>
      <c r="AB644" s="3">
        <v>50000</v>
      </c>
    </row>
    <row r="645" spans="3:28" x14ac:dyDescent="0.25">
      <c r="C645" s="2">
        <v>10000001</v>
      </c>
      <c r="D645" s="2" t="s">
        <v>838</v>
      </c>
      <c r="F645" s="2">
        <v>12008131</v>
      </c>
      <c r="H645" s="2" t="s">
        <v>838</v>
      </c>
      <c r="I645" s="2" t="str">
        <f t="shared" si="9"/>
        <v>10</v>
      </c>
      <c r="J645" s="2">
        <v>50</v>
      </c>
      <c r="K645" s="3">
        <v>-50000</v>
      </c>
      <c r="L645" s="2" t="s">
        <v>26</v>
      </c>
      <c r="M645" s="3">
        <v>-50000</v>
      </c>
      <c r="N645" s="2" t="s">
        <v>26</v>
      </c>
      <c r="R645" s="2" t="s">
        <v>27</v>
      </c>
      <c r="S645" s="2" t="s">
        <v>962</v>
      </c>
      <c r="T645" s="2" t="s">
        <v>45</v>
      </c>
      <c r="U645" s="2" t="s">
        <v>965</v>
      </c>
      <c r="V645" s="4">
        <f>+VLOOKUP(U645,'FBCJ Jul-Des 2025'!$G$10:$P$1302,8,0)</f>
        <v>70009110</v>
      </c>
      <c r="W645" s="4" t="str">
        <f>+VLOOKUP(V645,Sheet1!$A$2:$B$27,2,0)</f>
        <v>Biaya Survey dan Analisa</v>
      </c>
      <c r="X645" s="4" t="str">
        <f>+VLOOKUP(U645,'FBCJ Jul-Des 2025'!$G$10:$P$1302,9,0)</f>
        <v>P206D1SLSS</v>
      </c>
      <c r="Y645" s="2" t="s">
        <v>43</v>
      </c>
      <c r="Z645" s="2">
        <v>1719278</v>
      </c>
      <c r="AA645" s="2">
        <v>20251003</v>
      </c>
      <c r="AB645" s="3">
        <v>50000</v>
      </c>
    </row>
    <row r="646" spans="3:28" x14ac:dyDescent="0.25">
      <c r="C646" s="2">
        <v>10000001</v>
      </c>
      <c r="D646" s="2" t="s">
        <v>838</v>
      </c>
      <c r="F646" s="2">
        <v>12008132</v>
      </c>
      <c r="H646" s="2" t="s">
        <v>838</v>
      </c>
      <c r="I646" s="2" t="str">
        <f t="shared" si="9"/>
        <v>10</v>
      </c>
      <c r="J646" s="2">
        <v>50</v>
      </c>
      <c r="K646" s="3">
        <v>-50000</v>
      </c>
      <c r="L646" s="2" t="s">
        <v>26</v>
      </c>
      <c r="M646" s="3">
        <v>-50000</v>
      </c>
      <c r="N646" s="2" t="s">
        <v>26</v>
      </c>
      <c r="R646" s="2" t="s">
        <v>27</v>
      </c>
      <c r="S646" s="2" t="s">
        <v>962</v>
      </c>
      <c r="T646" s="2" t="s">
        <v>45</v>
      </c>
      <c r="U646" s="2" t="s">
        <v>966</v>
      </c>
      <c r="V646" s="4">
        <f>+VLOOKUP(U646,'FBCJ Jul-Des 2025'!$G$10:$P$1302,8,0)</f>
        <v>70009110</v>
      </c>
      <c r="W646" s="4" t="str">
        <f>+VLOOKUP(V646,Sheet1!$A$2:$B$27,2,0)</f>
        <v>Biaya Survey dan Analisa</v>
      </c>
      <c r="X646" s="4" t="str">
        <f>+VLOOKUP(U646,'FBCJ Jul-Des 2025'!$G$10:$P$1302,9,0)</f>
        <v>P206D1SLSS</v>
      </c>
      <c r="Y646" s="2" t="s">
        <v>43</v>
      </c>
      <c r="Z646" s="2">
        <v>1719278</v>
      </c>
      <c r="AA646" s="2">
        <v>20251003</v>
      </c>
      <c r="AB646" s="3">
        <v>50000</v>
      </c>
    </row>
    <row r="647" spans="3:28" x14ac:dyDescent="0.25">
      <c r="C647" s="2">
        <v>10000001</v>
      </c>
      <c r="D647" s="2" t="s">
        <v>838</v>
      </c>
      <c r="F647" s="2">
        <v>12008133</v>
      </c>
      <c r="H647" s="2" t="s">
        <v>838</v>
      </c>
      <c r="I647" s="2" t="str">
        <f t="shared" si="9"/>
        <v>10</v>
      </c>
      <c r="J647" s="2">
        <v>50</v>
      </c>
      <c r="K647" s="3">
        <v>-50000</v>
      </c>
      <c r="L647" s="2" t="s">
        <v>26</v>
      </c>
      <c r="M647" s="3">
        <v>-50000</v>
      </c>
      <c r="N647" s="2" t="s">
        <v>26</v>
      </c>
      <c r="R647" s="2" t="s">
        <v>27</v>
      </c>
      <c r="S647" s="2" t="s">
        <v>967</v>
      </c>
      <c r="T647" s="2" t="s">
        <v>45</v>
      </c>
      <c r="U647" s="2" t="s">
        <v>968</v>
      </c>
      <c r="V647" s="4">
        <f>+VLOOKUP(U647,'FBCJ Jul-Des 2025'!$G$10:$P$1302,8,0)</f>
        <v>70009110</v>
      </c>
      <c r="W647" s="4" t="str">
        <f>+VLOOKUP(V647,Sheet1!$A$2:$B$27,2,0)</f>
        <v>Biaya Survey dan Analisa</v>
      </c>
      <c r="X647" s="4" t="str">
        <f>+VLOOKUP(U647,'FBCJ Jul-Des 2025'!$G$10:$P$1302,9,0)</f>
        <v>P206D1SLSS</v>
      </c>
      <c r="Y647" s="2" t="s">
        <v>43</v>
      </c>
      <c r="Z647" s="2">
        <v>1719278</v>
      </c>
      <c r="AA647" s="2">
        <v>20251003</v>
      </c>
      <c r="AB647" s="3">
        <v>50000</v>
      </c>
    </row>
    <row r="648" spans="3:28" x14ac:dyDescent="0.25">
      <c r="C648" s="2">
        <v>10000001</v>
      </c>
      <c r="D648" s="2" t="s">
        <v>838</v>
      </c>
      <c r="F648" s="2">
        <v>12008134</v>
      </c>
      <c r="H648" s="2" t="s">
        <v>838</v>
      </c>
      <c r="I648" s="2" t="str">
        <f t="shared" ref="I648:I711" si="10">+MID(H648,4,2)</f>
        <v>10</v>
      </c>
      <c r="J648" s="2">
        <v>50</v>
      </c>
      <c r="K648" s="3">
        <v>-50000</v>
      </c>
      <c r="L648" s="2" t="s">
        <v>26</v>
      </c>
      <c r="M648" s="3">
        <v>-50000</v>
      </c>
      <c r="N648" s="2" t="s">
        <v>26</v>
      </c>
      <c r="R648" s="2" t="s">
        <v>27</v>
      </c>
      <c r="S648" s="2" t="s">
        <v>967</v>
      </c>
      <c r="T648" s="2" t="s">
        <v>45</v>
      </c>
      <c r="U648" s="2" t="s">
        <v>969</v>
      </c>
      <c r="V648" s="4">
        <f>+VLOOKUP(U648,'FBCJ Jul-Des 2025'!$G$10:$P$1302,8,0)</f>
        <v>70009110</v>
      </c>
      <c r="W648" s="4" t="str">
        <f>+VLOOKUP(V648,Sheet1!$A$2:$B$27,2,0)</f>
        <v>Biaya Survey dan Analisa</v>
      </c>
      <c r="X648" s="4" t="str">
        <f>+VLOOKUP(U648,'FBCJ Jul-Des 2025'!$G$10:$P$1302,9,0)</f>
        <v>P206D1SLSS</v>
      </c>
      <c r="Y648" s="2" t="s">
        <v>43</v>
      </c>
      <c r="Z648" s="2">
        <v>1719278</v>
      </c>
      <c r="AA648" s="2">
        <v>20251003</v>
      </c>
      <c r="AB648" s="3">
        <v>50000</v>
      </c>
    </row>
    <row r="649" spans="3:28" x14ac:dyDescent="0.25">
      <c r="C649" s="2">
        <v>10000001</v>
      </c>
      <c r="D649" s="2" t="s">
        <v>838</v>
      </c>
      <c r="F649" s="2">
        <v>12008135</v>
      </c>
      <c r="H649" s="2" t="s">
        <v>838</v>
      </c>
      <c r="I649" s="2" t="str">
        <f t="shared" si="10"/>
        <v>10</v>
      </c>
      <c r="J649" s="2">
        <v>50</v>
      </c>
      <c r="K649" s="3">
        <v>-942500</v>
      </c>
      <c r="L649" s="2" t="s">
        <v>26</v>
      </c>
      <c r="M649" s="3">
        <v>-942500</v>
      </c>
      <c r="N649" s="2" t="s">
        <v>26</v>
      </c>
      <c r="R649" s="2" t="s">
        <v>27</v>
      </c>
      <c r="S649" s="2" t="s">
        <v>970</v>
      </c>
      <c r="T649" s="2" t="s">
        <v>57</v>
      </c>
      <c r="U649" s="2" t="s">
        <v>971</v>
      </c>
      <c r="V649" s="4">
        <f>+VLOOKUP(U649,'FBCJ Jul-Des 2025'!$G$10:$P$1302,8,0)</f>
        <v>70101202</v>
      </c>
      <c r="W649" s="4" t="str">
        <f>+VLOOKUP(V649,Sheet1!$A$2:$B$27,2,0)</f>
        <v>By Pemeliharaan Kend,ABerat,Mesin-Material Pihak3</v>
      </c>
      <c r="X649" s="4" t="str">
        <f>+VLOOKUP(U649,'FBCJ Jul-Des 2025'!$G$10:$P$1302,9,0)</f>
        <v>R124FRA3</v>
      </c>
      <c r="Y649" s="2" t="s">
        <v>43</v>
      </c>
      <c r="Z649" s="2">
        <v>1719278</v>
      </c>
      <c r="AA649" s="2">
        <v>20251003</v>
      </c>
      <c r="AB649" s="3">
        <v>942500</v>
      </c>
    </row>
    <row r="650" spans="3:28" x14ac:dyDescent="0.25">
      <c r="C650" s="2">
        <v>10000001</v>
      </c>
      <c r="D650" s="2" t="s">
        <v>838</v>
      </c>
      <c r="F650" s="2">
        <v>12008136</v>
      </c>
      <c r="H650" s="2" t="s">
        <v>838</v>
      </c>
      <c r="I650" s="2" t="str">
        <f t="shared" si="10"/>
        <v>10</v>
      </c>
      <c r="J650" s="2">
        <v>50</v>
      </c>
      <c r="K650" s="3">
        <v>-997235</v>
      </c>
      <c r="L650" s="2" t="s">
        <v>26</v>
      </c>
      <c r="M650" s="3">
        <v>-997235</v>
      </c>
      <c r="N650" s="2" t="s">
        <v>26</v>
      </c>
      <c r="R650" s="2" t="s">
        <v>27</v>
      </c>
      <c r="S650" s="2" t="s">
        <v>972</v>
      </c>
      <c r="T650" s="2" t="s">
        <v>126</v>
      </c>
      <c r="U650" s="2" t="s">
        <v>973</v>
      </c>
      <c r="V650" s="4">
        <f>+VLOOKUP(U650,'FBCJ Jul-Des 2025'!$G$10:$P$1302,8,0)</f>
        <v>70107600</v>
      </c>
      <c r="W650" s="4" t="str">
        <f>+VLOOKUP(V650,Sheet1!$A$2:$B$27,2,0)</f>
        <v>Biaya Konsumsi Kantor</v>
      </c>
      <c r="X650" s="4" t="str">
        <f>+VLOOKUP(U650,'FBCJ Jul-Des 2025'!$G$10:$P$1302,9,0)</f>
        <v>R124D1HRDV</v>
      </c>
      <c r="Y650" s="2" t="s">
        <v>43</v>
      </c>
      <c r="Z650" s="2">
        <v>1719278</v>
      </c>
      <c r="AA650" s="2">
        <v>20251003</v>
      </c>
      <c r="AB650" s="3">
        <v>997235</v>
      </c>
    </row>
    <row r="651" spans="3:28" x14ac:dyDescent="0.25">
      <c r="C651" s="2">
        <v>10000001</v>
      </c>
      <c r="D651" s="2" t="s">
        <v>838</v>
      </c>
      <c r="F651" s="2">
        <v>12008137</v>
      </c>
      <c r="H651" s="2" t="s">
        <v>838</v>
      </c>
      <c r="I651" s="2" t="str">
        <f t="shared" si="10"/>
        <v>10</v>
      </c>
      <c r="J651" s="2">
        <v>50</v>
      </c>
      <c r="K651" s="3">
        <v>-400000</v>
      </c>
      <c r="L651" s="2" t="s">
        <v>26</v>
      </c>
      <c r="M651" s="3">
        <v>-400000</v>
      </c>
      <c r="N651" s="2" t="s">
        <v>26</v>
      </c>
      <c r="R651" s="2" t="s">
        <v>27</v>
      </c>
      <c r="S651" s="2" t="s">
        <v>974</v>
      </c>
      <c r="T651" s="2" t="s">
        <v>41</v>
      </c>
      <c r="U651" s="2" t="s">
        <v>975</v>
      </c>
      <c r="V651" s="4">
        <f>+VLOOKUP(U651,'FBCJ Jul-Des 2025'!$G$10:$P$1302,8,0)</f>
        <v>70107300</v>
      </c>
      <c r="W651" s="4" t="str">
        <f>+VLOOKUP(V651,Sheet1!$A$2:$B$27,2,0)</f>
        <v>Biaya Olahraga Dan Permainan</v>
      </c>
      <c r="X651" s="4" t="str">
        <f>+VLOOKUP(U651,'FBCJ Jul-Des 2025'!$G$10:$P$1302,9,0)</f>
        <v>R124D1HRDV</v>
      </c>
      <c r="Y651" s="2" t="s">
        <v>43</v>
      </c>
      <c r="Z651" s="2">
        <v>1719278</v>
      </c>
      <c r="AA651" s="2">
        <v>20251003</v>
      </c>
      <c r="AB651" s="3">
        <v>400000</v>
      </c>
    </row>
    <row r="652" spans="3:28" x14ac:dyDescent="0.25">
      <c r="C652" s="2">
        <v>10000001</v>
      </c>
      <c r="D652" s="2" t="s">
        <v>838</v>
      </c>
      <c r="F652" s="2">
        <v>12008138</v>
      </c>
      <c r="H652" s="2" t="s">
        <v>838</v>
      </c>
      <c r="I652" s="2" t="str">
        <f t="shared" si="10"/>
        <v>10</v>
      </c>
      <c r="J652" s="2">
        <v>50</v>
      </c>
      <c r="K652" s="3">
        <v>-50000</v>
      </c>
      <c r="L652" s="2" t="s">
        <v>26</v>
      </c>
      <c r="M652" s="3">
        <v>-50000</v>
      </c>
      <c r="N652" s="2" t="s">
        <v>26</v>
      </c>
      <c r="R652" s="2" t="s">
        <v>27</v>
      </c>
      <c r="S652" s="2" t="s">
        <v>976</v>
      </c>
      <c r="T652" s="2" t="s">
        <v>45</v>
      </c>
      <c r="U652" s="2" t="s">
        <v>977</v>
      </c>
      <c r="V652" s="4">
        <f>+VLOOKUP(U652,'FBCJ Jul-Des 2025'!$G$10:$P$1302,8,0)</f>
        <v>70009110</v>
      </c>
      <c r="W652" s="4" t="str">
        <f>+VLOOKUP(V652,Sheet1!$A$2:$B$27,2,0)</f>
        <v>Biaya Survey dan Analisa</v>
      </c>
      <c r="X652" s="4" t="str">
        <f>+VLOOKUP(U652,'FBCJ Jul-Des 2025'!$G$10:$P$1302,9,0)</f>
        <v>P206D1SLSS</v>
      </c>
      <c r="Y652" s="2" t="s">
        <v>43</v>
      </c>
      <c r="Z652" s="2">
        <v>1719278</v>
      </c>
      <c r="AA652" s="2">
        <v>20251003</v>
      </c>
      <c r="AB652" s="3">
        <v>50000</v>
      </c>
    </row>
    <row r="653" spans="3:28" x14ac:dyDescent="0.25">
      <c r="C653" s="2">
        <v>10000001</v>
      </c>
      <c r="D653" s="2" t="s">
        <v>838</v>
      </c>
      <c r="F653" s="2">
        <v>12008139</v>
      </c>
      <c r="H653" s="2" t="s">
        <v>838</v>
      </c>
      <c r="I653" s="2" t="str">
        <f t="shared" si="10"/>
        <v>10</v>
      </c>
      <c r="J653" s="2">
        <v>50</v>
      </c>
      <c r="K653" s="3">
        <v>-348280</v>
      </c>
      <c r="L653" s="2" t="s">
        <v>26</v>
      </c>
      <c r="M653" s="3">
        <v>-348280</v>
      </c>
      <c r="N653" s="2" t="s">
        <v>26</v>
      </c>
      <c r="R653" s="2" t="s">
        <v>27</v>
      </c>
      <c r="S653" s="2" t="s">
        <v>978</v>
      </c>
      <c r="T653" s="2" t="s">
        <v>57</v>
      </c>
      <c r="U653" s="2" t="s">
        <v>979</v>
      </c>
      <c r="V653" s="4">
        <f>+VLOOKUP(U653,'FBCJ Jul-Des 2025'!$G$10:$P$1302,8,0)</f>
        <v>70101202</v>
      </c>
      <c r="W653" s="4" t="str">
        <f>+VLOOKUP(V653,Sheet1!$A$2:$B$27,2,0)</f>
        <v>By Pemeliharaan Kend,ABerat,Mesin-Material Pihak3</v>
      </c>
      <c r="X653" s="4" t="str">
        <f>+VLOOKUP(U653,'FBCJ Jul-Des 2025'!$G$10:$P$1302,9,0)</f>
        <v>R124MIN</v>
      </c>
      <c r="Y653" s="2" t="s">
        <v>43</v>
      </c>
      <c r="Z653" s="2">
        <v>1719278</v>
      </c>
      <c r="AA653" s="2">
        <v>20251003</v>
      </c>
      <c r="AB653" s="3">
        <v>348280</v>
      </c>
    </row>
    <row r="654" spans="3:28" x14ac:dyDescent="0.25">
      <c r="C654" s="2">
        <v>10000001</v>
      </c>
      <c r="D654" s="2" t="s">
        <v>838</v>
      </c>
      <c r="F654" s="2">
        <v>12008140</v>
      </c>
      <c r="H654" s="2" t="s">
        <v>838</v>
      </c>
      <c r="I654" s="2" t="str">
        <f t="shared" si="10"/>
        <v>10</v>
      </c>
      <c r="J654" s="2">
        <v>50</v>
      </c>
      <c r="K654" s="3">
        <v>-463000</v>
      </c>
      <c r="L654" s="2" t="s">
        <v>26</v>
      </c>
      <c r="M654" s="3">
        <v>-463000</v>
      </c>
      <c r="N654" s="2" t="s">
        <v>26</v>
      </c>
      <c r="R654" s="2" t="s">
        <v>27</v>
      </c>
      <c r="S654" s="2" t="s">
        <v>980</v>
      </c>
      <c r="T654" s="2" t="s">
        <v>129</v>
      </c>
      <c r="U654" s="2" t="s">
        <v>981</v>
      </c>
      <c r="V654" s="4">
        <f>+VLOOKUP(U654,'FBCJ Jul-Des 2025'!$G$10:$P$1302,8,0)</f>
        <v>70101102</v>
      </c>
      <c r="W654" s="4" t="str">
        <f>+VLOOKUP(V654,Sheet1!$A$2:$B$27,2,0)</f>
        <v>By Pemeliharaan BgnanPrasarana Material Pihak3</v>
      </c>
      <c r="X654" s="4" t="str">
        <f>+VLOOKUP(U654,'FBCJ Jul-Des 2025'!$G$10:$P$1302,9,0)</f>
        <v>R124FPO</v>
      </c>
      <c r="Y654" s="2" t="s">
        <v>43</v>
      </c>
      <c r="Z654" s="2">
        <v>1719278</v>
      </c>
      <c r="AA654" s="2">
        <v>20251003</v>
      </c>
      <c r="AB654" s="3">
        <v>463000</v>
      </c>
    </row>
    <row r="655" spans="3:28" x14ac:dyDescent="0.25">
      <c r="C655" s="2">
        <v>10000001</v>
      </c>
      <c r="D655" s="2" t="s">
        <v>838</v>
      </c>
      <c r="F655" s="2">
        <v>12008141</v>
      </c>
      <c r="H655" s="2" t="s">
        <v>838</v>
      </c>
      <c r="I655" s="2" t="str">
        <f t="shared" si="10"/>
        <v>10</v>
      </c>
      <c r="J655" s="2">
        <v>50</v>
      </c>
      <c r="K655" s="3">
        <v>-50000</v>
      </c>
      <c r="L655" s="2" t="s">
        <v>26</v>
      </c>
      <c r="M655" s="3">
        <v>-50000</v>
      </c>
      <c r="N655" s="2" t="s">
        <v>26</v>
      </c>
      <c r="R655" s="2" t="s">
        <v>27</v>
      </c>
      <c r="S655" s="2" t="s">
        <v>982</v>
      </c>
      <c r="T655" s="2" t="s">
        <v>45</v>
      </c>
      <c r="U655" s="2" t="s">
        <v>983</v>
      </c>
      <c r="V655" s="4">
        <f>+VLOOKUP(U655,'FBCJ Jul-Des 2025'!$G$10:$P$1302,8,0)</f>
        <v>70009110</v>
      </c>
      <c r="W655" s="4" t="str">
        <f>+VLOOKUP(V655,Sheet1!$A$2:$B$27,2,0)</f>
        <v>Biaya Survey dan Analisa</v>
      </c>
      <c r="X655" s="4" t="str">
        <f>+VLOOKUP(U655,'FBCJ Jul-Des 2025'!$G$10:$P$1302,9,0)</f>
        <v>M204D1COMM</v>
      </c>
      <c r="Y655" s="2" t="s">
        <v>43</v>
      </c>
      <c r="Z655" s="2">
        <v>1719278</v>
      </c>
      <c r="AA655" s="2">
        <v>20251003</v>
      </c>
      <c r="AB655" s="3">
        <v>50000</v>
      </c>
    </row>
    <row r="656" spans="3:28" x14ac:dyDescent="0.25">
      <c r="C656" s="2">
        <v>10000001</v>
      </c>
      <c r="D656" s="2" t="s">
        <v>838</v>
      </c>
      <c r="F656" s="2">
        <v>12008142</v>
      </c>
      <c r="H656" s="2" t="s">
        <v>838</v>
      </c>
      <c r="I656" s="2" t="str">
        <f t="shared" si="10"/>
        <v>10</v>
      </c>
      <c r="J656" s="2">
        <v>50</v>
      </c>
      <c r="K656" s="3">
        <v>-50000</v>
      </c>
      <c r="L656" s="2" t="s">
        <v>26</v>
      </c>
      <c r="M656" s="3">
        <v>-50000</v>
      </c>
      <c r="N656" s="2" t="s">
        <v>26</v>
      </c>
      <c r="R656" s="2" t="s">
        <v>27</v>
      </c>
      <c r="S656" s="2" t="s">
        <v>982</v>
      </c>
      <c r="T656" s="2" t="s">
        <v>45</v>
      </c>
      <c r="U656" s="2" t="s">
        <v>984</v>
      </c>
      <c r="V656" s="4">
        <f>+VLOOKUP(U656,'FBCJ Jul-Des 2025'!$G$10:$P$1302,8,0)</f>
        <v>70009110</v>
      </c>
      <c r="W656" s="4" t="str">
        <f>+VLOOKUP(V656,Sheet1!$A$2:$B$27,2,0)</f>
        <v>Biaya Survey dan Analisa</v>
      </c>
      <c r="X656" s="4" t="str">
        <f>+VLOOKUP(U656,'FBCJ Jul-Des 2025'!$G$10:$P$1302,9,0)</f>
        <v>M204D1COMM</v>
      </c>
      <c r="Y656" s="2" t="s">
        <v>43</v>
      </c>
      <c r="Z656" s="2">
        <v>1719278</v>
      </c>
      <c r="AA656" s="2">
        <v>20251003</v>
      </c>
      <c r="AB656" s="3">
        <v>50000</v>
      </c>
    </row>
    <row r="657" spans="3:28" x14ac:dyDescent="0.25">
      <c r="C657" s="2">
        <v>10000001</v>
      </c>
      <c r="D657" s="2" t="s">
        <v>838</v>
      </c>
      <c r="F657" s="2">
        <v>12008143</v>
      </c>
      <c r="H657" s="2" t="s">
        <v>838</v>
      </c>
      <c r="I657" s="2" t="str">
        <f t="shared" si="10"/>
        <v>10</v>
      </c>
      <c r="J657" s="2">
        <v>50</v>
      </c>
      <c r="K657" s="3">
        <v>-50000</v>
      </c>
      <c r="L657" s="2" t="s">
        <v>26</v>
      </c>
      <c r="M657" s="3">
        <v>-50000</v>
      </c>
      <c r="N657" s="2" t="s">
        <v>26</v>
      </c>
      <c r="R657" s="2" t="s">
        <v>27</v>
      </c>
      <c r="S657" s="2" t="s">
        <v>982</v>
      </c>
      <c r="T657" s="2" t="s">
        <v>45</v>
      </c>
      <c r="U657" s="2" t="s">
        <v>985</v>
      </c>
      <c r="V657" s="4">
        <f>+VLOOKUP(U657,'FBCJ Jul-Des 2025'!$G$10:$P$1302,8,0)</f>
        <v>70009110</v>
      </c>
      <c r="W657" s="4" t="str">
        <f>+VLOOKUP(V657,Sheet1!$A$2:$B$27,2,0)</f>
        <v>Biaya Survey dan Analisa</v>
      </c>
      <c r="X657" s="4" t="str">
        <f>+VLOOKUP(U657,'FBCJ Jul-Des 2025'!$G$10:$P$1302,9,0)</f>
        <v>M204D1COMM</v>
      </c>
      <c r="Y657" s="2" t="s">
        <v>43</v>
      </c>
      <c r="Z657" s="2">
        <v>1719278</v>
      </c>
      <c r="AA657" s="2">
        <v>20251003</v>
      </c>
      <c r="AB657" s="3">
        <v>50000</v>
      </c>
    </row>
    <row r="658" spans="3:28" x14ac:dyDescent="0.25">
      <c r="C658" s="2">
        <v>10000001</v>
      </c>
      <c r="D658" s="2" t="s">
        <v>838</v>
      </c>
      <c r="F658" s="2">
        <v>12008144</v>
      </c>
      <c r="H658" s="2" t="s">
        <v>838</v>
      </c>
      <c r="I658" s="2" t="str">
        <f t="shared" si="10"/>
        <v>10</v>
      </c>
      <c r="J658" s="2">
        <v>50</v>
      </c>
      <c r="K658" s="3">
        <v>-740000</v>
      </c>
      <c r="L658" s="2" t="s">
        <v>26</v>
      </c>
      <c r="M658" s="3">
        <v>-740000</v>
      </c>
      <c r="N658" s="2" t="s">
        <v>26</v>
      </c>
      <c r="R658" s="2" t="s">
        <v>27</v>
      </c>
      <c r="S658" s="2" t="s">
        <v>986</v>
      </c>
      <c r="T658" s="2" t="s">
        <v>96</v>
      </c>
      <c r="U658" s="2" t="s">
        <v>987</v>
      </c>
      <c r="V658" s="4">
        <f>+VLOOKUP(U658,'FBCJ Jul-Des 2025'!$G$10:$P$1302,8,0)</f>
        <v>70106400</v>
      </c>
      <c r="W658" s="4" t="str">
        <f>+VLOOKUP(V658,Sheet1!$A$2:$B$27,2,0)</f>
        <v>Biaya Bahan Bakar</v>
      </c>
      <c r="X658" s="4" t="str">
        <f>+VLOOKUP(U658,'FBCJ Jul-Des 2025'!$G$10:$P$1302,9,0)</f>
        <v>R124D1HRGA</v>
      </c>
      <c r="Y658" s="2" t="s">
        <v>43</v>
      </c>
      <c r="Z658" s="2">
        <v>1719278</v>
      </c>
      <c r="AA658" s="2">
        <v>20251003</v>
      </c>
      <c r="AB658" s="3">
        <v>740000</v>
      </c>
    </row>
    <row r="659" spans="3:28" x14ac:dyDescent="0.25">
      <c r="C659" s="2">
        <v>10000001</v>
      </c>
      <c r="D659" s="2" t="s">
        <v>838</v>
      </c>
      <c r="F659" s="2">
        <v>12008145</v>
      </c>
      <c r="H659" s="2" t="s">
        <v>838</v>
      </c>
      <c r="I659" s="2" t="str">
        <f t="shared" si="10"/>
        <v>10</v>
      </c>
      <c r="J659" s="2">
        <v>50</v>
      </c>
      <c r="K659" s="3">
        <v>-260000</v>
      </c>
      <c r="L659" s="2" t="s">
        <v>26</v>
      </c>
      <c r="M659" s="3">
        <v>-260000</v>
      </c>
      <c r="N659" s="2" t="s">
        <v>26</v>
      </c>
      <c r="R659" s="2" t="s">
        <v>27</v>
      </c>
      <c r="S659" s="2" t="s">
        <v>986</v>
      </c>
      <c r="T659" s="2" t="s">
        <v>67</v>
      </c>
      <c r="U659" s="2" t="s">
        <v>98</v>
      </c>
      <c r="V659" s="4">
        <f>+VLOOKUP(U659,'FBCJ Jul-Des 2025'!$G$10:$P$1302,8,0)</f>
        <v>70106100</v>
      </c>
      <c r="W659" s="4" t="str">
        <f>+VLOOKUP(V659,Sheet1!$A$2:$B$27,2,0)</f>
        <v>Biaya Transportasi Lokal</v>
      </c>
      <c r="X659" s="4" t="str">
        <f>+VLOOKUP(U659,'FBCJ Jul-Des 2025'!$G$10:$P$1302,9,0)</f>
        <v>R124D1HRGA</v>
      </c>
      <c r="Y659" s="2" t="s">
        <v>43</v>
      </c>
      <c r="Z659" s="2">
        <v>1719278</v>
      </c>
      <c r="AA659" s="2">
        <v>20251003</v>
      </c>
      <c r="AB659" s="3">
        <v>260000</v>
      </c>
    </row>
    <row r="660" spans="3:28" x14ac:dyDescent="0.25">
      <c r="C660" s="2">
        <v>10000001</v>
      </c>
      <c r="D660" s="2" t="s">
        <v>838</v>
      </c>
      <c r="F660" s="2">
        <v>12008146</v>
      </c>
      <c r="H660" s="2" t="s">
        <v>838</v>
      </c>
      <c r="I660" s="2" t="str">
        <f t="shared" si="10"/>
        <v>10</v>
      </c>
      <c r="J660" s="2">
        <v>50</v>
      </c>
      <c r="K660" s="3">
        <v>-862500</v>
      </c>
      <c r="L660" s="2" t="s">
        <v>26</v>
      </c>
      <c r="M660" s="3">
        <v>-862500</v>
      </c>
      <c r="N660" s="2" t="s">
        <v>26</v>
      </c>
      <c r="R660" s="2" t="s">
        <v>27</v>
      </c>
      <c r="S660" s="2" t="s">
        <v>988</v>
      </c>
      <c r="T660" s="2" t="s">
        <v>126</v>
      </c>
      <c r="U660" s="2" t="s">
        <v>989</v>
      </c>
      <c r="V660" s="4">
        <f>+VLOOKUP(U660,'FBCJ Jul-Des 2025'!$G$10:$P$1302,8,0)</f>
        <v>70107600</v>
      </c>
      <c r="W660" s="4" t="str">
        <f>+VLOOKUP(V660,Sheet1!$A$2:$B$27,2,0)</f>
        <v>Biaya Konsumsi Kantor</v>
      </c>
      <c r="X660" s="4" t="str">
        <f>+VLOOKUP(U660,'FBCJ Jul-Des 2025'!$G$10:$P$1302,9,0)</f>
        <v>R124BLR</v>
      </c>
      <c r="Y660" s="2" t="s">
        <v>43</v>
      </c>
      <c r="Z660" s="2">
        <v>1719278</v>
      </c>
      <c r="AA660" s="2">
        <v>20251003</v>
      </c>
      <c r="AB660" s="3">
        <v>862500</v>
      </c>
    </row>
    <row r="661" spans="3:28" x14ac:dyDescent="0.25">
      <c r="C661" s="2">
        <v>10000001</v>
      </c>
      <c r="D661" s="2" t="s">
        <v>838</v>
      </c>
      <c r="F661" s="2">
        <v>12008147</v>
      </c>
      <c r="H661" s="2" t="s">
        <v>838</v>
      </c>
      <c r="I661" s="2" t="str">
        <f t="shared" si="10"/>
        <v>10</v>
      </c>
      <c r="J661" s="2">
        <v>50</v>
      </c>
      <c r="K661" s="3">
        <v>-600000</v>
      </c>
      <c r="L661" s="2" t="s">
        <v>26</v>
      </c>
      <c r="M661" s="3">
        <v>-600000</v>
      </c>
      <c r="N661" s="2" t="s">
        <v>26</v>
      </c>
      <c r="R661" s="2" t="s">
        <v>27</v>
      </c>
      <c r="S661" s="2" t="s">
        <v>990</v>
      </c>
      <c r="T661" s="2" t="s">
        <v>57</v>
      </c>
      <c r="U661" s="2" t="s">
        <v>991</v>
      </c>
      <c r="V661" s="4">
        <f>+VLOOKUP(U661,'FBCJ Jul-Des 2025'!$G$10:$P$1302,8,0)</f>
        <v>70101202</v>
      </c>
      <c r="W661" s="4" t="str">
        <f>+VLOOKUP(V661,Sheet1!$A$2:$B$27,2,0)</f>
        <v>By Pemeliharaan Kend,ABerat,Mesin-Material Pihak3</v>
      </c>
      <c r="X661" s="4" t="str">
        <f>+VLOOKUP(U661,'FBCJ Jul-Des 2025'!$G$10:$P$1302,9,0)</f>
        <v>R124WHP</v>
      </c>
      <c r="Y661" s="2" t="s">
        <v>43</v>
      </c>
      <c r="Z661" s="2">
        <v>1719278</v>
      </c>
      <c r="AA661" s="2">
        <v>20251003</v>
      </c>
      <c r="AB661" s="3">
        <v>600000</v>
      </c>
    </row>
    <row r="662" spans="3:28" x14ac:dyDescent="0.25">
      <c r="C662" s="2">
        <v>10000001</v>
      </c>
      <c r="D662" s="2" t="s">
        <v>838</v>
      </c>
      <c r="F662" s="2">
        <v>12008148</v>
      </c>
      <c r="H662" s="2" t="s">
        <v>838</v>
      </c>
      <c r="I662" s="2" t="str">
        <f t="shared" si="10"/>
        <v>10</v>
      </c>
      <c r="J662" s="2">
        <v>50</v>
      </c>
      <c r="K662" s="3">
        <v>-163700</v>
      </c>
      <c r="L662" s="2" t="s">
        <v>26</v>
      </c>
      <c r="M662" s="3">
        <v>-163700</v>
      </c>
      <c r="N662" s="2" t="s">
        <v>26</v>
      </c>
      <c r="R662" s="2" t="s">
        <v>27</v>
      </c>
      <c r="S662" s="2" t="s">
        <v>992</v>
      </c>
      <c r="T662" s="2" t="s">
        <v>146</v>
      </c>
      <c r="U662" s="2" t="s">
        <v>993</v>
      </c>
      <c r="V662" s="4">
        <f>+VLOOKUP(U662,'FBCJ Jul-Des 2025'!$G$10:$P$1302,8,0)</f>
        <v>70115100</v>
      </c>
      <c r="W662" s="4" t="str">
        <f>+VLOOKUP(V662,Sheet1!$A$2:$B$27,2,0)</f>
        <v>Biaya Riset, Pengembangan, dan Laboratorium</v>
      </c>
      <c r="X662" s="4" t="str">
        <f>+VLOOKUP(U662,'FBCJ Jul-Des 2025'!$G$10:$P$1302,9,0)</f>
        <v>R124QCA</v>
      </c>
      <c r="Y662" s="2" t="s">
        <v>43</v>
      </c>
      <c r="Z662" s="2">
        <v>1719278</v>
      </c>
      <c r="AA662" s="2">
        <v>20251003</v>
      </c>
      <c r="AB662" s="3">
        <v>163700</v>
      </c>
    </row>
    <row r="663" spans="3:28" x14ac:dyDescent="0.25">
      <c r="C663" s="2">
        <v>10000001</v>
      </c>
      <c r="D663" s="2" t="s">
        <v>838</v>
      </c>
      <c r="F663" s="2">
        <v>12008149</v>
      </c>
      <c r="H663" s="2" t="s">
        <v>838</v>
      </c>
      <c r="I663" s="2" t="str">
        <f t="shared" si="10"/>
        <v>10</v>
      </c>
      <c r="J663" s="2">
        <v>50</v>
      </c>
      <c r="K663" s="3">
        <v>-86000</v>
      </c>
      <c r="L663" s="2" t="s">
        <v>26</v>
      </c>
      <c r="M663" s="3">
        <v>-86000</v>
      </c>
      <c r="N663" s="2" t="s">
        <v>26</v>
      </c>
      <c r="R663" s="2" t="s">
        <v>27</v>
      </c>
      <c r="S663" s="2" t="s">
        <v>992</v>
      </c>
      <c r="T663" s="2" t="s">
        <v>518</v>
      </c>
      <c r="U663" s="2" t="s">
        <v>902</v>
      </c>
      <c r="V663" s="4">
        <f>+VLOOKUP(U663,'FBCJ Jul-Des 2025'!$G$10:$P$1302,8,0)</f>
        <v>70119300</v>
      </c>
      <c r="W663" s="4" t="str">
        <f>+VLOOKUP(V663,Sheet1!$A$2:$B$27,2,0)</f>
        <v>Biaya Umum dan Administrasi</v>
      </c>
      <c r="X663" s="4" t="str">
        <f>+VLOOKUP(U663,'FBCJ Jul-Des 2025'!$G$10:$P$1302,9,0)</f>
        <v>R124QCA</v>
      </c>
      <c r="Y663" s="2" t="s">
        <v>43</v>
      </c>
      <c r="Z663" s="2">
        <v>1719278</v>
      </c>
      <c r="AA663" s="2">
        <v>20251003</v>
      </c>
      <c r="AB663" s="3">
        <v>86000</v>
      </c>
    </row>
    <row r="664" spans="3:28" x14ac:dyDescent="0.25">
      <c r="C664" s="2">
        <v>10000001</v>
      </c>
      <c r="D664" s="2" t="s">
        <v>838</v>
      </c>
      <c r="F664" s="2">
        <v>12008150</v>
      </c>
      <c r="H664" s="2" t="s">
        <v>838</v>
      </c>
      <c r="I664" s="2" t="str">
        <f t="shared" si="10"/>
        <v>10</v>
      </c>
      <c r="J664" s="2">
        <v>50</v>
      </c>
      <c r="K664" s="3">
        <v>-190700</v>
      </c>
      <c r="L664" s="2" t="s">
        <v>26</v>
      </c>
      <c r="M664" s="3">
        <v>-190700</v>
      </c>
      <c r="N664" s="2" t="s">
        <v>26</v>
      </c>
      <c r="R664" s="2" t="s">
        <v>27</v>
      </c>
      <c r="S664" s="2" t="s">
        <v>992</v>
      </c>
      <c r="T664" s="2" t="s">
        <v>59</v>
      </c>
      <c r="U664" s="2" t="s">
        <v>994</v>
      </c>
      <c r="V664" s="4">
        <f>+VLOOKUP(U664,'FBCJ Jul-Des 2025'!$G$10:$P$1302,8,0)</f>
        <v>70101114</v>
      </c>
      <c r="W664" s="4" t="str">
        <f>+VLOOKUP(V664,Sheet1!$A$2:$B$27,2,0)</f>
        <v>By Perbaikan &amp; Perawatan Perabot Material Pihak3</v>
      </c>
      <c r="X664" s="4" t="str">
        <f>+VLOOKUP(U664,'FBCJ Jul-Des 2025'!$G$10:$P$1302,9,0)</f>
        <v>R124QCA</v>
      </c>
      <c r="Y664" s="2" t="s">
        <v>43</v>
      </c>
      <c r="Z664" s="2">
        <v>1719278</v>
      </c>
      <c r="AA664" s="2">
        <v>20251003</v>
      </c>
      <c r="AB664" s="3">
        <v>190700</v>
      </c>
    </row>
    <row r="665" spans="3:28" x14ac:dyDescent="0.25">
      <c r="C665" s="2">
        <v>10000001</v>
      </c>
      <c r="D665" s="2" t="s">
        <v>838</v>
      </c>
      <c r="F665" s="2">
        <v>12008151</v>
      </c>
      <c r="H665" s="2" t="s">
        <v>838</v>
      </c>
      <c r="I665" s="2" t="str">
        <f t="shared" si="10"/>
        <v>10</v>
      </c>
      <c r="J665" s="2">
        <v>50</v>
      </c>
      <c r="K665" s="3">
        <v>-185500</v>
      </c>
      <c r="L665" s="2" t="s">
        <v>26</v>
      </c>
      <c r="M665" s="3">
        <v>-185500</v>
      </c>
      <c r="N665" s="2" t="s">
        <v>26</v>
      </c>
      <c r="R665" s="2" t="s">
        <v>27</v>
      </c>
      <c r="S665" s="2" t="s">
        <v>992</v>
      </c>
      <c r="T665" s="2" t="s">
        <v>126</v>
      </c>
      <c r="U665" s="2" t="s">
        <v>995</v>
      </c>
      <c r="V665" s="4">
        <f>+VLOOKUP(U665,'FBCJ Jul-Des 2025'!$G$10:$P$1302,8,0)</f>
        <v>70107600</v>
      </c>
      <c r="W665" s="4" t="str">
        <f>+VLOOKUP(V665,Sheet1!$A$2:$B$27,2,0)</f>
        <v>Biaya Konsumsi Kantor</v>
      </c>
      <c r="X665" s="4" t="str">
        <f>+VLOOKUP(U665,'FBCJ Jul-Des 2025'!$G$10:$P$1302,9,0)</f>
        <v>R124QCA</v>
      </c>
      <c r="Y665" s="2" t="s">
        <v>43</v>
      </c>
      <c r="Z665" s="2">
        <v>1719278</v>
      </c>
      <c r="AA665" s="2">
        <v>20251003</v>
      </c>
      <c r="AB665" s="3">
        <v>185500</v>
      </c>
    </row>
    <row r="666" spans="3:28" x14ac:dyDescent="0.25">
      <c r="C666" s="2">
        <v>10000001</v>
      </c>
      <c r="D666" s="2" t="s">
        <v>838</v>
      </c>
      <c r="F666" s="2">
        <v>12008152</v>
      </c>
      <c r="H666" s="2" t="s">
        <v>838</v>
      </c>
      <c r="I666" s="2" t="str">
        <f t="shared" si="10"/>
        <v>10</v>
      </c>
      <c r="J666" s="2">
        <v>50</v>
      </c>
      <c r="K666" s="3">
        <v>-604000</v>
      </c>
      <c r="L666" s="2" t="s">
        <v>26</v>
      </c>
      <c r="M666" s="3">
        <v>-604000</v>
      </c>
      <c r="N666" s="2" t="s">
        <v>26</v>
      </c>
      <c r="R666" s="2" t="s">
        <v>27</v>
      </c>
      <c r="S666" s="2" t="s">
        <v>996</v>
      </c>
      <c r="T666" s="2" t="s">
        <v>59</v>
      </c>
      <c r="U666" s="2" t="s">
        <v>997</v>
      </c>
      <c r="V666" s="4">
        <f>+VLOOKUP(U666,'FBCJ Jul-Des 2025'!$G$10:$P$1302,8,0)</f>
        <v>70101114</v>
      </c>
      <c r="W666" s="4" t="str">
        <f>+VLOOKUP(V666,Sheet1!$A$2:$B$27,2,0)</f>
        <v>By Perbaikan &amp; Perawatan Perabot Material Pihak3</v>
      </c>
      <c r="X666" s="4" t="str">
        <f>+VLOOKUP(U666,'FBCJ Jul-Des 2025'!$G$10:$P$1302,9,0)</f>
        <v>R124QCA</v>
      </c>
      <c r="Y666" s="2" t="s">
        <v>43</v>
      </c>
      <c r="Z666" s="2">
        <v>1719278</v>
      </c>
      <c r="AA666" s="2">
        <v>20251003</v>
      </c>
      <c r="AB666" s="3">
        <v>604000</v>
      </c>
    </row>
    <row r="667" spans="3:28" x14ac:dyDescent="0.25">
      <c r="C667" s="2">
        <v>10000001</v>
      </c>
      <c r="D667" s="2" t="s">
        <v>838</v>
      </c>
      <c r="F667" s="2">
        <v>12008153</v>
      </c>
      <c r="H667" s="2" t="s">
        <v>838</v>
      </c>
      <c r="I667" s="2" t="str">
        <f t="shared" si="10"/>
        <v>10</v>
      </c>
      <c r="J667" s="2">
        <v>50</v>
      </c>
      <c r="K667" s="3">
        <v>-50000</v>
      </c>
      <c r="L667" s="2" t="s">
        <v>26</v>
      </c>
      <c r="M667" s="3">
        <v>-50000</v>
      </c>
      <c r="N667" s="2" t="s">
        <v>26</v>
      </c>
      <c r="R667" s="2" t="s">
        <v>27</v>
      </c>
      <c r="S667" s="2" t="s">
        <v>998</v>
      </c>
      <c r="T667" s="2" t="s">
        <v>45</v>
      </c>
      <c r="U667" s="2" t="s">
        <v>999</v>
      </c>
      <c r="V667" s="4">
        <f>+VLOOKUP(U667,'FBCJ Jul-Des 2025'!$G$10:$P$1302,8,0)</f>
        <v>70009110</v>
      </c>
      <c r="W667" s="4" t="str">
        <f>+VLOOKUP(V667,Sheet1!$A$2:$B$27,2,0)</f>
        <v>Biaya Survey dan Analisa</v>
      </c>
      <c r="X667" s="4" t="str">
        <f>+VLOOKUP(U667,'FBCJ Jul-Des 2025'!$G$10:$P$1302,9,0)</f>
        <v>P206D1SLSS</v>
      </c>
      <c r="Y667" s="2" t="s">
        <v>43</v>
      </c>
      <c r="Z667" s="2">
        <v>1719278</v>
      </c>
      <c r="AA667" s="2">
        <v>20251003</v>
      </c>
      <c r="AB667" s="3">
        <v>50000</v>
      </c>
    </row>
    <row r="668" spans="3:28" x14ac:dyDescent="0.25">
      <c r="C668" s="2">
        <v>10000001</v>
      </c>
      <c r="D668" s="2" t="s">
        <v>838</v>
      </c>
      <c r="F668" s="2">
        <v>12008154</v>
      </c>
      <c r="H668" s="2" t="s">
        <v>838</v>
      </c>
      <c r="I668" s="2" t="str">
        <f t="shared" si="10"/>
        <v>10</v>
      </c>
      <c r="J668" s="2">
        <v>50</v>
      </c>
      <c r="K668" s="3">
        <v>-50000</v>
      </c>
      <c r="L668" s="2" t="s">
        <v>26</v>
      </c>
      <c r="M668" s="3">
        <v>-50000</v>
      </c>
      <c r="N668" s="2" t="s">
        <v>26</v>
      </c>
      <c r="R668" s="2" t="s">
        <v>27</v>
      </c>
      <c r="S668" s="2" t="s">
        <v>998</v>
      </c>
      <c r="T668" s="2" t="s">
        <v>45</v>
      </c>
      <c r="U668" s="2" t="s">
        <v>1000</v>
      </c>
      <c r="V668" s="4">
        <f>+VLOOKUP(U668,'FBCJ Jul-Des 2025'!$G$10:$P$1302,8,0)</f>
        <v>70009110</v>
      </c>
      <c r="W668" s="4" t="str">
        <f>+VLOOKUP(V668,Sheet1!$A$2:$B$27,2,0)</f>
        <v>Biaya Survey dan Analisa</v>
      </c>
      <c r="X668" s="4" t="str">
        <f>+VLOOKUP(U668,'FBCJ Jul-Des 2025'!$G$10:$P$1302,9,0)</f>
        <v>P206D1SLSS</v>
      </c>
      <c r="Y668" s="2" t="s">
        <v>43</v>
      </c>
      <c r="Z668" s="2">
        <v>1719278</v>
      </c>
      <c r="AA668" s="2">
        <v>20251003</v>
      </c>
      <c r="AB668" s="3">
        <v>50000</v>
      </c>
    </row>
    <row r="669" spans="3:28" x14ac:dyDescent="0.25">
      <c r="C669" s="2">
        <v>10000001</v>
      </c>
      <c r="D669" s="2" t="s">
        <v>838</v>
      </c>
      <c r="F669" s="2">
        <v>12008155</v>
      </c>
      <c r="H669" s="2" t="s">
        <v>838</v>
      </c>
      <c r="I669" s="2" t="str">
        <f t="shared" si="10"/>
        <v>10</v>
      </c>
      <c r="J669" s="2">
        <v>50</v>
      </c>
      <c r="K669" s="3">
        <v>-50000</v>
      </c>
      <c r="L669" s="2" t="s">
        <v>26</v>
      </c>
      <c r="M669" s="3">
        <v>-50000</v>
      </c>
      <c r="N669" s="2" t="s">
        <v>26</v>
      </c>
      <c r="R669" s="2" t="s">
        <v>27</v>
      </c>
      <c r="S669" s="2" t="s">
        <v>998</v>
      </c>
      <c r="T669" s="2" t="s">
        <v>45</v>
      </c>
      <c r="U669" s="2" t="s">
        <v>1001</v>
      </c>
      <c r="V669" s="4">
        <f>+VLOOKUP(U669,'FBCJ Jul-Des 2025'!$G$10:$P$1302,8,0)</f>
        <v>70009110</v>
      </c>
      <c r="W669" s="4" t="str">
        <f>+VLOOKUP(V669,Sheet1!$A$2:$B$27,2,0)</f>
        <v>Biaya Survey dan Analisa</v>
      </c>
      <c r="X669" s="4" t="str">
        <f>+VLOOKUP(U669,'FBCJ Jul-Des 2025'!$G$10:$P$1302,9,0)</f>
        <v>C206D1SLSS</v>
      </c>
      <c r="Y669" s="2" t="s">
        <v>43</v>
      </c>
      <c r="Z669" s="2">
        <v>1719278</v>
      </c>
      <c r="AA669" s="2">
        <v>20251003</v>
      </c>
      <c r="AB669" s="3">
        <v>50000</v>
      </c>
    </row>
    <row r="670" spans="3:28" x14ac:dyDescent="0.25">
      <c r="C670" s="2">
        <v>10000001</v>
      </c>
      <c r="D670" s="2" t="s">
        <v>838</v>
      </c>
      <c r="F670" s="2">
        <v>12008156</v>
      </c>
      <c r="H670" s="2" t="s">
        <v>838</v>
      </c>
      <c r="I670" s="2" t="str">
        <f t="shared" si="10"/>
        <v>10</v>
      </c>
      <c r="J670" s="2">
        <v>50</v>
      </c>
      <c r="K670" s="3">
        <v>-50000</v>
      </c>
      <c r="L670" s="2" t="s">
        <v>26</v>
      </c>
      <c r="M670" s="3">
        <v>-50000</v>
      </c>
      <c r="N670" s="2" t="s">
        <v>26</v>
      </c>
      <c r="R670" s="2" t="s">
        <v>27</v>
      </c>
      <c r="S670" s="2" t="s">
        <v>998</v>
      </c>
      <c r="T670" s="2" t="s">
        <v>45</v>
      </c>
      <c r="U670" s="2" t="s">
        <v>1002</v>
      </c>
      <c r="V670" s="4">
        <f>+VLOOKUP(U670,'FBCJ Jul-Des 2025'!$G$10:$P$1302,8,0)</f>
        <v>70009110</v>
      </c>
      <c r="W670" s="4" t="str">
        <f>+VLOOKUP(V670,Sheet1!$A$2:$B$27,2,0)</f>
        <v>Biaya Survey dan Analisa</v>
      </c>
      <c r="X670" s="4" t="str">
        <f>+VLOOKUP(U670,'FBCJ Jul-Des 2025'!$G$10:$P$1302,9,0)</f>
        <v>P206D1SLSC</v>
      </c>
      <c r="Y670" s="2" t="s">
        <v>43</v>
      </c>
      <c r="Z670" s="2">
        <v>1719278</v>
      </c>
      <c r="AA670" s="2">
        <v>20251003</v>
      </c>
      <c r="AB670" s="3">
        <v>50000</v>
      </c>
    </row>
    <row r="671" spans="3:28" x14ac:dyDescent="0.25">
      <c r="C671" s="2">
        <v>10000001</v>
      </c>
      <c r="D671" s="2" t="s">
        <v>838</v>
      </c>
      <c r="F671" s="2">
        <v>12008157</v>
      </c>
      <c r="H671" s="2" t="s">
        <v>838</v>
      </c>
      <c r="I671" s="2" t="str">
        <f t="shared" si="10"/>
        <v>10</v>
      </c>
      <c r="J671" s="2">
        <v>50</v>
      </c>
      <c r="K671" s="3">
        <v>-50000</v>
      </c>
      <c r="L671" s="2" t="s">
        <v>26</v>
      </c>
      <c r="M671" s="3">
        <v>-50000</v>
      </c>
      <c r="N671" s="2" t="s">
        <v>26</v>
      </c>
      <c r="R671" s="2" t="s">
        <v>27</v>
      </c>
      <c r="S671" s="2" t="s">
        <v>998</v>
      </c>
      <c r="T671" s="2" t="s">
        <v>45</v>
      </c>
      <c r="U671" s="2" t="s">
        <v>1003</v>
      </c>
      <c r="V671" s="4">
        <f>+VLOOKUP(U671,'FBCJ Jul-Des 2025'!$G$10:$P$1302,8,0)</f>
        <v>70009110</v>
      </c>
      <c r="W671" s="4" t="str">
        <f>+VLOOKUP(V671,Sheet1!$A$2:$B$27,2,0)</f>
        <v>Biaya Survey dan Analisa</v>
      </c>
      <c r="X671" s="4" t="str">
        <f>+VLOOKUP(U671,'FBCJ Jul-Des 2025'!$G$10:$P$1302,9,0)</f>
        <v>P206D1SLSS</v>
      </c>
      <c r="Y671" s="2" t="s">
        <v>43</v>
      </c>
      <c r="Z671" s="2">
        <v>1719278</v>
      </c>
      <c r="AA671" s="2">
        <v>20251003</v>
      </c>
      <c r="AB671" s="3">
        <v>50000</v>
      </c>
    </row>
    <row r="672" spans="3:28" x14ac:dyDescent="0.25">
      <c r="C672" s="2">
        <v>10000001</v>
      </c>
      <c r="D672" s="2" t="s">
        <v>838</v>
      </c>
      <c r="F672" s="2">
        <v>12008158</v>
      </c>
      <c r="H672" s="2" t="s">
        <v>838</v>
      </c>
      <c r="I672" s="2" t="str">
        <f t="shared" si="10"/>
        <v>10</v>
      </c>
      <c r="J672" s="2">
        <v>50</v>
      </c>
      <c r="K672" s="3">
        <v>-50000</v>
      </c>
      <c r="L672" s="2" t="s">
        <v>26</v>
      </c>
      <c r="M672" s="3">
        <v>-50000</v>
      </c>
      <c r="N672" s="2" t="s">
        <v>26</v>
      </c>
      <c r="R672" s="2" t="s">
        <v>27</v>
      </c>
      <c r="S672" s="2" t="s">
        <v>998</v>
      </c>
      <c r="T672" s="2" t="s">
        <v>45</v>
      </c>
      <c r="U672" s="2" t="s">
        <v>1004</v>
      </c>
      <c r="V672" s="4">
        <f>+VLOOKUP(U672,'FBCJ Jul-Des 2025'!$G$10:$P$1302,8,0)</f>
        <v>70009110</v>
      </c>
      <c r="W672" s="4" t="str">
        <f>+VLOOKUP(V672,Sheet1!$A$2:$B$27,2,0)</f>
        <v>Biaya Survey dan Analisa</v>
      </c>
      <c r="X672" s="4" t="str">
        <f>+VLOOKUP(U672,'FBCJ Jul-Des 2025'!$G$10:$P$1302,9,0)</f>
        <v>M204D1COMM</v>
      </c>
      <c r="Y672" s="2" t="s">
        <v>43</v>
      </c>
      <c r="Z672" s="2">
        <v>1719278</v>
      </c>
      <c r="AA672" s="2">
        <v>20251003</v>
      </c>
      <c r="AB672" s="3">
        <v>50000</v>
      </c>
    </row>
    <row r="673" spans="3:28" x14ac:dyDescent="0.25">
      <c r="C673" s="2">
        <v>10000001</v>
      </c>
      <c r="D673" s="2" t="s">
        <v>838</v>
      </c>
      <c r="F673" s="2">
        <v>12008159</v>
      </c>
      <c r="H673" s="2" t="s">
        <v>838</v>
      </c>
      <c r="I673" s="2" t="str">
        <f t="shared" si="10"/>
        <v>10</v>
      </c>
      <c r="J673" s="2">
        <v>50</v>
      </c>
      <c r="K673" s="3">
        <v>-200000</v>
      </c>
      <c r="L673" s="2" t="s">
        <v>26</v>
      </c>
      <c r="M673" s="3">
        <v>-200000</v>
      </c>
      <c r="N673" s="2" t="s">
        <v>26</v>
      </c>
      <c r="R673" s="2" t="s">
        <v>27</v>
      </c>
      <c r="S673" s="2" t="s">
        <v>998</v>
      </c>
      <c r="T673" s="2" t="s">
        <v>45</v>
      </c>
      <c r="U673" s="2" t="s">
        <v>1005</v>
      </c>
      <c r="V673" s="4">
        <f>+VLOOKUP(U673,'FBCJ Jul-Des 2025'!$G$10:$P$1302,8,0)</f>
        <v>70009110</v>
      </c>
      <c r="W673" s="4" t="str">
        <f>+VLOOKUP(V673,Sheet1!$A$2:$B$27,2,0)</f>
        <v>Biaya Survey dan Analisa</v>
      </c>
      <c r="X673" s="4" t="str">
        <f>+VLOOKUP(U673,'FBCJ Jul-Des 2025'!$G$10:$P$1302,9,0)</f>
        <v>P206D1SLSS</v>
      </c>
      <c r="Y673" s="2" t="s">
        <v>43</v>
      </c>
      <c r="Z673" s="2">
        <v>1719278</v>
      </c>
      <c r="AA673" s="2">
        <v>20251003</v>
      </c>
      <c r="AB673" s="3">
        <v>200000</v>
      </c>
    </row>
    <row r="674" spans="3:28" x14ac:dyDescent="0.25">
      <c r="C674" s="2">
        <v>10000001</v>
      </c>
      <c r="D674" s="2" t="s">
        <v>838</v>
      </c>
      <c r="F674" s="2">
        <v>12008160</v>
      </c>
      <c r="H674" s="2" t="s">
        <v>838</v>
      </c>
      <c r="I674" s="2" t="str">
        <f t="shared" si="10"/>
        <v>10</v>
      </c>
      <c r="J674" s="2">
        <v>50</v>
      </c>
      <c r="K674" s="3">
        <v>-932000</v>
      </c>
      <c r="L674" s="2" t="s">
        <v>26</v>
      </c>
      <c r="M674" s="3">
        <v>-932000</v>
      </c>
      <c r="N674" s="2" t="s">
        <v>26</v>
      </c>
      <c r="R674" s="2" t="s">
        <v>27</v>
      </c>
      <c r="S674" s="2" t="s">
        <v>1006</v>
      </c>
      <c r="T674" s="2" t="s">
        <v>57</v>
      </c>
      <c r="U674" s="2" t="s">
        <v>1007</v>
      </c>
      <c r="V674" s="4">
        <f>+VLOOKUP(U674,'FBCJ Jul-Des 2025'!$G$10:$P$1302,8,0)</f>
        <v>70101202</v>
      </c>
      <c r="W674" s="4" t="str">
        <f>+VLOOKUP(V674,Sheet1!$A$2:$B$27,2,0)</f>
        <v>By Pemeliharaan Kend,ABerat,Mesin-Material Pihak3</v>
      </c>
      <c r="X674" s="4" t="str">
        <f>+VLOOKUP(U674,'FBCJ Jul-Des 2025'!$G$10:$P$1302,9,0)</f>
        <v>R124FRA3</v>
      </c>
      <c r="Y674" s="2" t="s">
        <v>43</v>
      </c>
      <c r="Z674" s="2">
        <v>1719278</v>
      </c>
      <c r="AA674" s="2">
        <v>20251003</v>
      </c>
      <c r="AB674" s="3">
        <v>932000</v>
      </c>
    </row>
    <row r="675" spans="3:28" x14ac:dyDescent="0.25">
      <c r="C675" s="2">
        <v>10000001</v>
      </c>
      <c r="D675" s="2" t="s">
        <v>838</v>
      </c>
      <c r="F675" s="2">
        <v>12008161</v>
      </c>
      <c r="H675" s="2" t="s">
        <v>838</v>
      </c>
      <c r="I675" s="2" t="str">
        <f t="shared" si="10"/>
        <v>10</v>
      </c>
      <c r="J675" s="2">
        <v>50</v>
      </c>
      <c r="K675" s="3">
        <v>-927000</v>
      </c>
      <c r="L675" s="2" t="s">
        <v>26</v>
      </c>
      <c r="M675" s="3">
        <v>-927000</v>
      </c>
      <c r="N675" s="2" t="s">
        <v>26</v>
      </c>
      <c r="R675" s="2" t="s">
        <v>27</v>
      </c>
      <c r="S675" s="2" t="s">
        <v>1008</v>
      </c>
      <c r="T675" s="2" t="s">
        <v>57</v>
      </c>
      <c r="U675" s="2" t="s">
        <v>1009</v>
      </c>
      <c r="V675" s="4">
        <f>+VLOOKUP(U675,'FBCJ Jul-Des 2025'!$G$10:$P$1302,8,0)</f>
        <v>70101202</v>
      </c>
      <c r="W675" s="4" t="str">
        <f>+VLOOKUP(V675,Sheet1!$A$2:$B$27,2,0)</f>
        <v>By Pemeliharaan Kend,ABerat,Mesin-Material Pihak3</v>
      </c>
      <c r="X675" s="4" t="str">
        <f>+VLOOKUP(U675,'FBCJ Jul-Des 2025'!$G$10:$P$1302,9,0)</f>
        <v>R124NSS</v>
      </c>
      <c r="Y675" s="2" t="s">
        <v>43</v>
      </c>
      <c r="Z675" s="2">
        <v>1719278</v>
      </c>
      <c r="AA675" s="2">
        <v>20251003</v>
      </c>
      <c r="AB675" s="3">
        <v>927000</v>
      </c>
    </row>
    <row r="676" spans="3:28" x14ac:dyDescent="0.25">
      <c r="C676" s="2">
        <v>10000001</v>
      </c>
      <c r="D676" s="2" t="s">
        <v>838</v>
      </c>
      <c r="F676" s="2">
        <v>12008162</v>
      </c>
      <c r="H676" s="2" t="s">
        <v>838</v>
      </c>
      <c r="I676" s="2" t="str">
        <f t="shared" si="10"/>
        <v>10</v>
      </c>
      <c r="J676" s="2">
        <v>50</v>
      </c>
      <c r="K676" s="3">
        <v>-50000</v>
      </c>
      <c r="L676" s="2" t="s">
        <v>26</v>
      </c>
      <c r="M676" s="3">
        <v>-50000</v>
      </c>
      <c r="N676" s="2" t="s">
        <v>26</v>
      </c>
      <c r="R676" s="2" t="s">
        <v>27</v>
      </c>
      <c r="S676" s="2" t="s">
        <v>1010</v>
      </c>
      <c r="T676" s="2" t="s">
        <v>45</v>
      </c>
      <c r="U676" s="2" t="s">
        <v>1011</v>
      </c>
      <c r="V676" s="4">
        <f>+VLOOKUP(U676,'FBCJ Jul-Des 2025'!$G$10:$P$1302,8,0)</f>
        <v>70009110</v>
      </c>
      <c r="W676" s="4" t="str">
        <f>+VLOOKUP(V676,Sheet1!$A$2:$B$27,2,0)</f>
        <v>Biaya Survey dan Analisa</v>
      </c>
      <c r="X676" s="4" t="str">
        <f>+VLOOKUP(U676,'FBCJ Jul-Des 2025'!$G$10:$P$1302,9,0)</f>
        <v>P206D1SLSS</v>
      </c>
      <c r="Y676" s="2" t="s">
        <v>43</v>
      </c>
      <c r="Z676" s="2">
        <v>1719278</v>
      </c>
      <c r="AA676" s="2">
        <v>20251003</v>
      </c>
      <c r="AB676" s="3">
        <v>50000</v>
      </c>
    </row>
    <row r="677" spans="3:28" x14ac:dyDescent="0.25">
      <c r="C677" s="2">
        <v>10000001</v>
      </c>
      <c r="D677" s="2" t="s">
        <v>838</v>
      </c>
      <c r="F677" s="2">
        <v>12008163</v>
      </c>
      <c r="H677" s="2" t="s">
        <v>838</v>
      </c>
      <c r="I677" s="2" t="str">
        <f t="shared" si="10"/>
        <v>10</v>
      </c>
      <c r="J677" s="2">
        <v>50</v>
      </c>
      <c r="K677" s="3">
        <v>-50000</v>
      </c>
      <c r="L677" s="2" t="s">
        <v>26</v>
      </c>
      <c r="M677" s="3">
        <v>-50000</v>
      </c>
      <c r="N677" s="2" t="s">
        <v>26</v>
      </c>
      <c r="R677" s="2" t="s">
        <v>27</v>
      </c>
      <c r="S677" s="2" t="s">
        <v>1010</v>
      </c>
      <c r="T677" s="2" t="s">
        <v>45</v>
      </c>
      <c r="U677" s="2" t="s">
        <v>1012</v>
      </c>
      <c r="V677" s="4">
        <f>+VLOOKUP(U677,'FBCJ Jul-Des 2025'!$G$10:$P$1302,8,0)</f>
        <v>70009110</v>
      </c>
      <c r="W677" s="4" t="str">
        <f>+VLOOKUP(V677,Sheet1!$A$2:$B$27,2,0)</f>
        <v>Biaya Survey dan Analisa</v>
      </c>
      <c r="X677" s="4" t="str">
        <f>+VLOOKUP(U677,'FBCJ Jul-Des 2025'!$G$10:$P$1302,9,0)</f>
        <v>P206D1SLSS</v>
      </c>
      <c r="Y677" s="2" t="s">
        <v>43</v>
      </c>
      <c r="Z677" s="2">
        <v>1719278</v>
      </c>
      <c r="AA677" s="2">
        <v>20251003</v>
      </c>
      <c r="AB677" s="3">
        <v>50000</v>
      </c>
    </row>
    <row r="678" spans="3:28" x14ac:dyDescent="0.25">
      <c r="C678" s="2">
        <v>10000001</v>
      </c>
      <c r="D678" s="2" t="s">
        <v>838</v>
      </c>
      <c r="F678" s="2">
        <v>12008164</v>
      </c>
      <c r="H678" s="2" t="s">
        <v>838</v>
      </c>
      <c r="I678" s="2" t="str">
        <f t="shared" si="10"/>
        <v>10</v>
      </c>
      <c r="J678" s="2">
        <v>50</v>
      </c>
      <c r="K678" s="3">
        <v>-50000</v>
      </c>
      <c r="L678" s="2" t="s">
        <v>26</v>
      </c>
      <c r="M678" s="3">
        <v>-50000</v>
      </c>
      <c r="N678" s="2" t="s">
        <v>26</v>
      </c>
      <c r="R678" s="2" t="s">
        <v>27</v>
      </c>
      <c r="S678" s="2" t="s">
        <v>1010</v>
      </c>
      <c r="T678" s="2" t="s">
        <v>45</v>
      </c>
      <c r="U678" s="2" t="s">
        <v>1013</v>
      </c>
      <c r="V678" s="4">
        <f>+VLOOKUP(U678,'FBCJ Jul-Des 2025'!$G$10:$P$1302,8,0)</f>
        <v>70009110</v>
      </c>
      <c r="W678" s="4" t="str">
        <f>+VLOOKUP(V678,Sheet1!$A$2:$B$27,2,0)</f>
        <v>Biaya Survey dan Analisa</v>
      </c>
      <c r="X678" s="4" t="str">
        <f>+VLOOKUP(U678,'FBCJ Jul-Des 2025'!$G$10:$P$1302,9,0)</f>
        <v>M204D1COMM</v>
      </c>
      <c r="Y678" s="2" t="s">
        <v>43</v>
      </c>
      <c r="Z678" s="2">
        <v>1719278</v>
      </c>
      <c r="AA678" s="2">
        <v>20251003</v>
      </c>
      <c r="AB678" s="3">
        <v>50000</v>
      </c>
    </row>
    <row r="679" spans="3:28" x14ac:dyDescent="0.25">
      <c r="C679" s="2">
        <v>10000001</v>
      </c>
      <c r="D679" s="2" t="s">
        <v>838</v>
      </c>
      <c r="F679" s="2">
        <v>12008165</v>
      </c>
      <c r="H679" s="2" t="s">
        <v>838</v>
      </c>
      <c r="I679" s="2" t="str">
        <f t="shared" si="10"/>
        <v>10</v>
      </c>
      <c r="J679" s="2">
        <v>50</v>
      </c>
      <c r="K679" s="3">
        <v>-50000</v>
      </c>
      <c r="L679" s="2" t="s">
        <v>26</v>
      </c>
      <c r="M679" s="3">
        <v>-50000</v>
      </c>
      <c r="N679" s="2" t="s">
        <v>26</v>
      </c>
      <c r="R679" s="2" t="s">
        <v>27</v>
      </c>
      <c r="S679" s="2" t="s">
        <v>1010</v>
      </c>
      <c r="T679" s="2" t="s">
        <v>45</v>
      </c>
      <c r="U679" s="2" t="s">
        <v>1014</v>
      </c>
      <c r="V679" s="4">
        <f>+VLOOKUP(U679,'FBCJ Jul-Des 2025'!$G$10:$P$1302,8,0)</f>
        <v>70009110</v>
      </c>
      <c r="W679" s="4" t="str">
        <f>+VLOOKUP(V679,Sheet1!$A$2:$B$27,2,0)</f>
        <v>Biaya Survey dan Analisa</v>
      </c>
      <c r="X679" s="4" t="str">
        <f>+VLOOKUP(U679,'FBCJ Jul-Des 2025'!$G$10:$P$1302,9,0)</f>
        <v>M204D1COMM</v>
      </c>
      <c r="Y679" s="2" t="s">
        <v>43</v>
      </c>
      <c r="Z679" s="2">
        <v>1719278</v>
      </c>
      <c r="AA679" s="2">
        <v>20251003</v>
      </c>
      <c r="AB679" s="3">
        <v>50000</v>
      </c>
    </row>
    <row r="680" spans="3:28" x14ac:dyDescent="0.25">
      <c r="C680" s="2">
        <v>10000001</v>
      </c>
      <c r="D680" s="2" t="s">
        <v>838</v>
      </c>
      <c r="F680" s="2">
        <v>12008166</v>
      </c>
      <c r="H680" s="2" t="s">
        <v>838</v>
      </c>
      <c r="I680" s="2" t="str">
        <f t="shared" si="10"/>
        <v>10</v>
      </c>
      <c r="J680" s="2">
        <v>50</v>
      </c>
      <c r="K680" s="3">
        <v>-665500</v>
      </c>
      <c r="L680" s="2" t="s">
        <v>26</v>
      </c>
      <c r="M680" s="3">
        <v>-665500</v>
      </c>
      <c r="N680" s="2" t="s">
        <v>26</v>
      </c>
      <c r="R680" s="2" t="s">
        <v>27</v>
      </c>
      <c r="S680" s="2" t="s">
        <v>1015</v>
      </c>
      <c r="T680" s="2" t="s">
        <v>126</v>
      </c>
      <c r="U680" s="2" t="s">
        <v>1016</v>
      </c>
      <c r="V680" s="4">
        <f>+VLOOKUP(U680,'FBCJ Jul-Des 2025'!$G$10:$P$1302,8,0)</f>
        <v>70107600</v>
      </c>
      <c r="W680" s="4" t="str">
        <f>+VLOOKUP(V680,Sheet1!$A$2:$B$27,2,0)</f>
        <v>Biaya Konsumsi Kantor</v>
      </c>
      <c r="X680" s="4" t="str">
        <f>+VLOOKUP(U680,'FBCJ Jul-Des 2025'!$G$10:$P$1302,9,0)</f>
        <v>R124WHRS</v>
      </c>
      <c r="Y680" s="2" t="s">
        <v>43</v>
      </c>
      <c r="Z680" s="2">
        <v>1719278</v>
      </c>
      <c r="AA680" s="2">
        <v>20251003</v>
      </c>
      <c r="AB680" s="3">
        <v>665500</v>
      </c>
    </row>
    <row r="681" spans="3:28" x14ac:dyDescent="0.25">
      <c r="C681" s="2">
        <v>10000001</v>
      </c>
      <c r="D681" s="2" t="s">
        <v>838</v>
      </c>
      <c r="F681" s="2">
        <v>12008167</v>
      </c>
      <c r="H681" s="2" t="s">
        <v>838</v>
      </c>
      <c r="I681" s="2" t="str">
        <f t="shared" si="10"/>
        <v>10</v>
      </c>
      <c r="J681" s="2">
        <v>50</v>
      </c>
      <c r="K681" s="3">
        <v>-35000</v>
      </c>
      <c r="L681" s="2" t="s">
        <v>26</v>
      </c>
      <c r="M681" s="3">
        <v>-35000</v>
      </c>
      <c r="N681" s="2" t="s">
        <v>26</v>
      </c>
      <c r="R681" s="2" t="s">
        <v>27</v>
      </c>
      <c r="S681" s="2" t="s">
        <v>1017</v>
      </c>
      <c r="T681" s="2" t="s">
        <v>59</v>
      </c>
      <c r="U681" s="2" t="s">
        <v>1018</v>
      </c>
      <c r="V681" s="4">
        <f>+VLOOKUP(U681,'FBCJ Jul-Des 2025'!$G$10:$P$1302,8,0)</f>
        <v>70101114</v>
      </c>
      <c r="W681" s="4" t="str">
        <f>+VLOOKUP(V681,Sheet1!$A$2:$B$27,2,0)</f>
        <v>By Perbaikan &amp; Perawatan Perabot Material Pihak3</v>
      </c>
      <c r="X681" s="4" t="str">
        <f>+VLOOKUP(U681,'FBCJ Jul-Des 2025'!$G$10:$P$1302,9,0)</f>
        <v>R124WHFSB</v>
      </c>
      <c r="Y681" s="2" t="s">
        <v>43</v>
      </c>
      <c r="Z681" s="2">
        <v>1719278</v>
      </c>
      <c r="AA681" s="2">
        <v>20251003</v>
      </c>
      <c r="AB681" s="3">
        <v>35000</v>
      </c>
    </row>
    <row r="682" spans="3:28" x14ac:dyDescent="0.25">
      <c r="C682" s="2">
        <v>10000001</v>
      </c>
      <c r="D682" s="2" t="s">
        <v>838</v>
      </c>
      <c r="F682" s="2">
        <v>12008168</v>
      </c>
      <c r="H682" s="2" t="s">
        <v>838</v>
      </c>
      <c r="I682" s="2" t="str">
        <f t="shared" si="10"/>
        <v>10</v>
      </c>
      <c r="J682" s="2">
        <v>50</v>
      </c>
      <c r="K682" s="3">
        <v>-147000</v>
      </c>
      <c r="L682" s="2" t="s">
        <v>26</v>
      </c>
      <c r="M682" s="3">
        <v>-147000</v>
      </c>
      <c r="N682" s="2" t="s">
        <v>26</v>
      </c>
      <c r="R682" s="2" t="s">
        <v>27</v>
      </c>
      <c r="S682" s="2" t="s">
        <v>1019</v>
      </c>
      <c r="T682" s="2" t="s">
        <v>59</v>
      </c>
      <c r="U682" s="2" t="s">
        <v>1020</v>
      </c>
      <c r="V682" s="4">
        <f>+VLOOKUP(U682,'FBCJ Jul-Des 2025'!$G$10:$P$1302,8,0)</f>
        <v>70101114</v>
      </c>
      <c r="W682" s="4" t="str">
        <f>+VLOOKUP(V682,Sheet1!$A$2:$B$27,2,0)</f>
        <v>By Perbaikan &amp; Perawatan Perabot Material Pihak3</v>
      </c>
      <c r="X682" s="4" t="str">
        <f>+VLOOKUP(U682,'FBCJ Jul-Des 2025'!$G$10:$P$1302,9,0)</f>
        <v>R124WHFSB</v>
      </c>
      <c r="Y682" s="2" t="s">
        <v>43</v>
      </c>
      <c r="Z682" s="2">
        <v>1719278</v>
      </c>
      <c r="AA682" s="2">
        <v>20251003</v>
      </c>
      <c r="AB682" s="3">
        <v>147000</v>
      </c>
    </row>
    <row r="683" spans="3:28" x14ac:dyDescent="0.25">
      <c r="C683" s="2">
        <v>10000001</v>
      </c>
      <c r="D683" s="2" t="s">
        <v>838</v>
      </c>
      <c r="F683" s="2">
        <v>12008169</v>
      </c>
      <c r="H683" s="2" t="s">
        <v>838</v>
      </c>
      <c r="I683" s="2" t="str">
        <f t="shared" si="10"/>
        <v>10</v>
      </c>
      <c r="J683" s="2">
        <v>50</v>
      </c>
      <c r="K683" s="3">
        <v>-350000</v>
      </c>
      <c r="L683" s="2" t="s">
        <v>26</v>
      </c>
      <c r="M683" s="3">
        <v>-350000</v>
      </c>
      <c r="N683" s="2" t="s">
        <v>26</v>
      </c>
      <c r="R683" s="2" t="s">
        <v>27</v>
      </c>
      <c r="S683" s="2" t="s">
        <v>1021</v>
      </c>
      <c r="T683" s="2" t="s">
        <v>45</v>
      </c>
      <c r="U683" s="2" t="s">
        <v>1022</v>
      </c>
      <c r="V683" s="4">
        <f>+VLOOKUP(U683,'FBCJ Jul-Des 2025'!$G$10:$P$1302,8,0)</f>
        <v>70009110</v>
      </c>
      <c r="W683" s="4" t="str">
        <f>+VLOOKUP(V683,Sheet1!$A$2:$B$27,2,0)</f>
        <v>Biaya Survey dan Analisa</v>
      </c>
      <c r="X683" s="4" t="str">
        <f>+VLOOKUP(U683,'FBCJ Jul-Des 2025'!$G$10:$P$1302,9,0)</f>
        <v>C206D1SLSS</v>
      </c>
      <c r="Y683" s="2" t="s">
        <v>43</v>
      </c>
      <c r="Z683" s="2">
        <v>1719278</v>
      </c>
      <c r="AA683" s="2">
        <v>20251003</v>
      </c>
      <c r="AB683" s="3">
        <v>350000</v>
      </c>
    </row>
    <row r="684" spans="3:28" x14ac:dyDescent="0.25">
      <c r="C684" s="2">
        <v>10000001</v>
      </c>
      <c r="D684" s="2" t="s">
        <v>838</v>
      </c>
      <c r="F684" s="2">
        <v>12008170</v>
      </c>
      <c r="H684" s="2" t="s">
        <v>838</v>
      </c>
      <c r="I684" s="2" t="str">
        <f t="shared" si="10"/>
        <v>10</v>
      </c>
      <c r="J684" s="2">
        <v>50</v>
      </c>
      <c r="K684" s="3">
        <v>-150000</v>
      </c>
      <c r="L684" s="2" t="s">
        <v>26</v>
      </c>
      <c r="M684" s="3">
        <v>-150000</v>
      </c>
      <c r="N684" s="2" t="s">
        <v>26</v>
      </c>
      <c r="R684" s="2" t="s">
        <v>27</v>
      </c>
      <c r="S684" s="2" t="s">
        <v>1021</v>
      </c>
      <c r="T684" s="2" t="s">
        <v>45</v>
      </c>
      <c r="U684" s="2" t="s">
        <v>1023</v>
      </c>
      <c r="V684" s="4">
        <f>+VLOOKUP(U684,'FBCJ Jul-Des 2025'!$G$10:$P$1302,8,0)</f>
        <v>70009110</v>
      </c>
      <c r="W684" s="4" t="str">
        <f>+VLOOKUP(V684,Sheet1!$A$2:$B$27,2,0)</f>
        <v>Biaya Survey dan Analisa</v>
      </c>
      <c r="X684" s="4" t="str">
        <f>+VLOOKUP(U684,'FBCJ Jul-Des 2025'!$G$10:$P$1302,9,0)</f>
        <v>C206D1SLSS</v>
      </c>
      <c r="Y684" s="2" t="s">
        <v>43</v>
      </c>
      <c r="Z684" s="2">
        <v>1719278</v>
      </c>
      <c r="AA684" s="2">
        <v>20251003</v>
      </c>
      <c r="AB684" s="3">
        <v>150000</v>
      </c>
    </row>
    <row r="685" spans="3:28" x14ac:dyDescent="0.25">
      <c r="C685" s="2">
        <v>10000001</v>
      </c>
      <c r="D685" s="2" t="s">
        <v>838</v>
      </c>
      <c r="F685" s="2">
        <v>12008171</v>
      </c>
      <c r="H685" s="2" t="s">
        <v>838</v>
      </c>
      <c r="I685" s="2" t="str">
        <f t="shared" si="10"/>
        <v>10</v>
      </c>
      <c r="J685" s="2">
        <v>50</v>
      </c>
      <c r="K685" s="3">
        <v>-100000</v>
      </c>
      <c r="L685" s="2" t="s">
        <v>26</v>
      </c>
      <c r="M685" s="3">
        <v>-100000</v>
      </c>
      <c r="N685" s="2" t="s">
        <v>26</v>
      </c>
      <c r="R685" s="2" t="s">
        <v>27</v>
      </c>
      <c r="S685" s="2" t="s">
        <v>1021</v>
      </c>
      <c r="T685" s="2" t="s">
        <v>45</v>
      </c>
      <c r="U685" s="2" t="s">
        <v>1024</v>
      </c>
      <c r="V685" s="4">
        <f>+VLOOKUP(U685,'FBCJ Jul-Des 2025'!$G$10:$P$1302,8,0)</f>
        <v>70009110</v>
      </c>
      <c r="W685" s="4" t="str">
        <f>+VLOOKUP(V685,Sheet1!$A$2:$B$27,2,0)</f>
        <v>Biaya Survey dan Analisa</v>
      </c>
      <c r="X685" s="4" t="str">
        <f>+VLOOKUP(U685,'FBCJ Jul-Des 2025'!$G$10:$P$1302,9,0)</f>
        <v>M204D1COMM</v>
      </c>
      <c r="Y685" s="2" t="s">
        <v>43</v>
      </c>
      <c r="Z685" s="2">
        <v>1719278</v>
      </c>
      <c r="AA685" s="2">
        <v>20251003</v>
      </c>
      <c r="AB685" s="3">
        <v>100000</v>
      </c>
    </row>
    <row r="686" spans="3:28" x14ac:dyDescent="0.25">
      <c r="C686" s="2">
        <v>10000001</v>
      </c>
      <c r="D686" s="2" t="s">
        <v>838</v>
      </c>
      <c r="F686" s="2">
        <v>12008172</v>
      </c>
      <c r="H686" s="2" t="s">
        <v>838</v>
      </c>
      <c r="I686" s="2" t="str">
        <f t="shared" si="10"/>
        <v>10</v>
      </c>
      <c r="J686" s="2">
        <v>50</v>
      </c>
      <c r="K686" s="3">
        <v>-100000</v>
      </c>
      <c r="L686" s="2" t="s">
        <v>26</v>
      </c>
      <c r="M686" s="3">
        <v>-100000</v>
      </c>
      <c r="N686" s="2" t="s">
        <v>26</v>
      </c>
      <c r="R686" s="2" t="s">
        <v>27</v>
      </c>
      <c r="S686" s="2" t="s">
        <v>1021</v>
      </c>
      <c r="T686" s="2" t="s">
        <v>45</v>
      </c>
      <c r="U686" s="2" t="s">
        <v>1025</v>
      </c>
      <c r="V686" s="4">
        <f>+VLOOKUP(U686,'FBCJ Jul-Des 2025'!$G$10:$P$1302,8,0)</f>
        <v>70009110</v>
      </c>
      <c r="W686" s="4" t="str">
        <f>+VLOOKUP(V686,Sheet1!$A$2:$B$27,2,0)</f>
        <v>Biaya Survey dan Analisa</v>
      </c>
      <c r="X686" s="4" t="str">
        <f>+VLOOKUP(U686,'FBCJ Jul-Des 2025'!$G$10:$P$1302,9,0)</f>
        <v>M204D1COMM</v>
      </c>
      <c r="Y686" s="2" t="s">
        <v>43</v>
      </c>
      <c r="Z686" s="2">
        <v>1719278</v>
      </c>
      <c r="AA686" s="2">
        <v>20251003</v>
      </c>
      <c r="AB686" s="3">
        <v>100000</v>
      </c>
    </row>
    <row r="687" spans="3:28" x14ac:dyDescent="0.25">
      <c r="C687" s="2">
        <v>10000001</v>
      </c>
      <c r="D687" s="2" t="s">
        <v>838</v>
      </c>
      <c r="F687" s="2">
        <v>12008173</v>
      </c>
      <c r="H687" s="2" t="s">
        <v>838</v>
      </c>
      <c r="I687" s="2" t="str">
        <f t="shared" si="10"/>
        <v>10</v>
      </c>
      <c r="J687" s="2">
        <v>50</v>
      </c>
      <c r="K687" s="3">
        <v>-100000</v>
      </c>
      <c r="L687" s="2" t="s">
        <v>26</v>
      </c>
      <c r="M687" s="3">
        <v>-100000</v>
      </c>
      <c r="N687" s="2" t="s">
        <v>26</v>
      </c>
      <c r="R687" s="2" t="s">
        <v>27</v>
      </c>
      <c r="S687" s="2" t="s">
        <v>1021</v>
      </c>
      <c r="T687" s="2" t="s">
        <v>45</v>
      </c>
      <c r="U687" s="2" t="s">
        <v>1026</v>
      </c>
      <c r="V687" s="4">
        <f>+VLOOKUP(U687,'FBCJ Jul-Des 2025'!$G$10:$P$1302,8,0)</f>
        <v>70009110</v>
      </c>
      <c r="W687" s="4" t="str">
        <f>+VLOOKUP(V687,Sheet1!$A$2:$B$27,2,0)</f>
        <v>Biaya Survey dan Analisa</v>
      </c>
      <c r="X687" s="4" t="str">
        <f>+VLOOKUP(U687,'FBCJ Jul-Des 2025'!$G$10:$P$1302,9,0)</f>
        <v>M204D1COMM</v>
      </c>
      <c r="Y687" s="2" t="s">
        <v>43</v>
      </c>
      <c r="Z687" s="2">
        <v>1719278</v>
      </c>
      <c r="AA687" s="2">
        <v>20251003</v>
      </c>
      <c r="AB687" s="3">
        <v>100000</v>
      </c>
    </row>
    <row r="688" spans="3:28" x14ac:dyDescent="0.25">
      <c r="C688" s="2">
        <v>10000001</v>
      </c>
      <c r="D688" s="2" t="s">
        <v>838</v>
      </c>
      <c r="F688" s="2">
        <v>12008174</v>
      </c>
      <c r="H688" s="2" t="s">
        <v>838</v>
      </c>
      <c r="I688" s="2" t="str">
        <f t="shared" si="10"/>
        <v>10</v>
      </c>
      <c r="J688" s="2">
        <v>50</v>
      </c>
      <c r="K688" s="3">
        <v>-50000</v>
      </c>
      <c r="L688" s="2" t="s">
        <v>26</v>
      </c>
      <c r="M688" s="3">
        <v>-50000</v>
      </c>
      <c r="N688" s="2" t="s">
        <v>26</v>
      </c>
      <c r="R688" s="2" t="s">
        <v>27</v>
      </c>
      <c r="S688" s="2" t="s">
        <v>1027</v>
      </c>
      <c r="T688" s="2" t="s">
        <v>45</v>
      </c>
      <c r="U688" s="2" t="s">
        <v>1028</v>
      </c>
      <c r="V688" s="4">
        <f>+VLOOKUP(U688,'FBCJ Jul-Des 2025'!$G$10:$P$1302,8,0)</f>
        <v>70009110</v>
      </c>
      <c r="W688" s="4" t="str">
        <f>+VLOOKUP(V688,Sheet1!$A$2:$B$27,2,0)</f>
        <v>Biaya Survey dan Analisa</v>
      </c>
      <c r="X688" s="4" t="str">
        <f>+VLOOKUP(U688,'FBCJ Jul-Des 2025'!$G$10:$P$1302,9,0)</f>
        <v>M204D1COMM</v>
      </c>
      <c r="Y688" s="2" t="s">
        <v>43</v>
      </c>
      <c r="Z688" s="2">
        <v>1719278</v>
      </c>
      <c r="AA688" s="2">
        <v>20251003</v>
      </c>
      <c r="AB688" s="3">
        <v>50000</v>
      </c>
    </row>
    <row r="689" spans="3:28" x14ac:dyDescent="0.25">
      <c r="C689" s="2">
        <v>10000001</v>
      </c>
      <c r="D689" s="2" t="s">
        <v>838</v>
      </c>
      <c r="F689" s="2">
        <v>12008175</v>
      </c>
      <c r="H689" s="2" t="s">
        <v>838</v>
      </c>
      <c r="I689" s="2" t="str">
        <f t="shared" si="10"/>
        <v>10</v>
      </c>
      <c r="J689" s="2">
        <v>50</v>
      </c>
      <c r="K689" s="3">
        <v>-50000</v>
      </c>
      <c r="L689" s="2" t="s">
        <v>26</v>
      </c>
      <c r="M689" s="3">
        <v>-50000</v>
      </c>
      <c r="N689" s="2" t="s">
        <v>26</v>
      </c>
      <c r="R689" s="2" t="s">
        <v>27</v>
      </c>
      <c r="S689" s="2" t="s">
        <v>1029</v>
      </c>
      <c r="T689" s="2" t="s">
        <v>45</v>
      </c>
      <c r="U689" s="2" t="s">
        <v>1030</v>
      </c>
      <c r="V689" s="4">
        <f>+VLOOKUP(U689,'FBCJ Jul-Des 2025'!$G$10:$P$1302,8,0)</f>
        <v>70009110</v>
      </c>
      <c r="W689" s="4" t="str">
        <f>+VLOOKUP(V689,Sheet1!$A$2:$B$27,2,0)</f>
        <v>Biaya Survey dan Analisa</v>
      </c>
      <c r="X689" s="4" t="str">
        <f>+VLOOKUP(U689,'FBCJ Jul-Des 2025'!$G$10:$P$1302,9,0)</f>
        <v>P206D1SLSS</v>
      </c>
      <c r="Y689" s="2" t="s">
        <v>43</v>
      </c>
      <c r="Z689" s="2">
        <v>1719278</v>
      </c>
      <c r="AA689" s="2">
        <v>20251003</v>
      </c>
      <c r="AB689" s="3">
        <v>50000</v>
      </c>
    </row>
    <row r="690" spans="3:28" x14ac:dyDescent="0.25">
      <c r="C690" s="2">
        <v>10000001</v>
      </c>
      <c r="D690" s="2" t="s">
        <v>838</v>
      </c>
      <c r="F690" s="2">
        <v>12008176</v>
      </c>
      <c r="H690" s="2" t="s">
        <v>838</v>
      </c>
      <c r="I690" s="2" t="str">
        <f t="shared" si="10"/>
        <v>10</v>
      </c>
      <c r="J690" s="2">
        <v>50</v>
      </c>
      <c r="K690" s="3">
        <v>-50000</v>
      </c>
      <c r="L690" s="2" t="s">
        <v>26</v>
      </c>
      <c r="M690" s="3">
        <v>-50000</v>
      </c>
      <c r="N690" s="2" t="s">
        <v>26</v>
      </c>
      <c r="R690" s="2" t="s">
        <v>27</v>
      </c>
      <c r="S690" s="2" t="s">
        <v>1029</v>
      </c>
      <c r="T690" s="2" t="s">
        <v>45</v>
      </c>
      <c r="U690" s="2" t="s">
        <v>1031</v>
      </c>
      <c r="V690" s="4">
        <f>+VLOOKUP(U690,'FBCJ Jul-Des 2025'!$G$10:$P$1302,8,0)</f>
        <v>70009110</v>
      </c>
      <c r="W690" s="4" t="str">
        <f>+VLOOKUP(V690,Sheet1!$A$2:$B$27,2,0)</f>
        <v>Biaya Survey dan Analisa</v>
      </c>
      <c r="X690" s="4" t="str">
        <f>+VLOOKUP(U690,'FBCJ Jul-Des 2025'!$G$10:$P$1302,9,0)</f>
        <v>P206D1SLSS</v>
      </c>
      <c r="Y690" s="2" t="s">
        <v>43</v>
      </c>
      <c r="Z690" s="2">
        <v>1719278</v>
      </c>
      <c r="AA690" s="2">
        <v>20251003</v>
      </c>
      <c r="AB690" s="3">
        <v>50000</v>
      </c>
    </row>
    <row r="691" spans="3:28" x14ac:dyDescent="0.25">
      <c r="C691" s="2">
        <v>10000001</v>
      </c>
      <c r="D691" s="2" t="s">
        <v>838</v>
      </c>
      <c r="F691" s="2">
        <v>12008177</v>
      </c>
      <c r="H691" s="2" t="s">
        <v>838</v>
      </c>
      <c r="I691" s="2" t="str">
        <f t="shared" si="10"/>
        <v>10</v>
      </c>
      <c r="J691" s="2">
        <v>50</v>
      </c>
      <c r="K691" s="3">
        <v>-50000</v>
      </c>
      <c r="L691" s="2" t="s">
        <v>26</v>
      </c>
      <c r="M691" s="3">
        <v>-50000</v>
      </c>
      <c r="N691" s="2" t="s">
        <v>26</v>
      </c>
      <c r="R691" s="2" t="s">
        <v>27</v>
      </c>
      <c r="S691" s="2" t="s">
        <v>1029</v>
      </c>
      <c r="T691" s="2" t="s">
        <v>45</v>
      </c>
      <c r="U691" s="2" t="s">
        <v>1032</v>
      </c>
      <c r="V691" s="4">
        <f>+VLOOKUP(U691,'FBCJ Jul-Des 2025'!$G$10:$P$1302,8,0)</f>
        <v>70009110</v>
      </c>
      <c r="W691" s="4" t="str">
        <f>+VLOOKUP(V691,Sheet1!$A$2:$B$27,2,0)</f>
        <v>Biaya Survey dan Analisa</v>
      </c>
      <c r="X691" s="4" t="str">
        <f>+VLOOKUP(U691,'FBCJ Jul-Des 2025'!$G$10:$P$1302,9,0)</f>
        <v>P206D1SLSS</v>
      </c>
      <c r="Y691" s="2" t="s">
        <v>43</v>
      </c>
      <c r="Z691" s="2">
        <v>1719278</v>
      </c>
      <c r="AA691" s="2">
        <v>20251003</v>
      </c>
      <c r="AB691" s="3">
        <v>50000</v>
      </c>
    </row>
    <row r="692" spans="3:28" x14ac:dyDescent="0.25">
      <c r="C692" s="2">
        <v>10000001</v>
      </c>
      <c r="D692" s="2" t="s">
        <v>838</v>
      </c>
      <c r="F692" s="2">
        <v>12008178</v>
      </c>
      <c r="H692" s="2" t="s">
        <v>838</v>
      </c>
      <c r="I692" s="2" t="str">
        <f t="shared" si="10"/>
        <v>10</v>
      </c>
      <c r="J692" s="2">
        <v>50</v>
      </c>
      <c r="K692" s="3">
        <v>-50000</v>
      </c>
      <c r="L692" s="2" t="s">
        <v>26</v>
      </c>
      <c r="M692" s="3">
        <v>-50000</v>
      </c>
      <c r="N692" s="2" t="s">
        <v>26</v>
      </c>
      <c r="R692" s="2" t="s">
        <v>27</v>
      </c>
      <c r="S692" s="2" t="s">
        <v>1029</v>
      </c>
      <c r="T692" s="2" t="s">
        <v>45</v>
      </c>
      <c r="U692" s="2" t="s">
        <v>1033</v>
      </c>
      <c r="V692" s="4">
        <f>+VLOOKUP(U692,'FBCJ Jul-Des 2025'!$G$10:$P$1302,8,0)</f>
        <v>70009110</v>
      </c>
      <c r="W692" s="4" t="str">
        <f>+VLOOKUP(V692,Sheet1!$A$2:$B$27,2,0)</f>
        <v>Biaya Survey dan Analisa</v>
      </c>
      <c r="X692" s="4" t="str">
        <f>+VLOOKUP(U692,'FBCJ Jul-Des 2025'!$G$10:$P$1302,9,0)</f>
        <v>P206D1SLSS</v>
      </c>
      <c r="Y692" s="2" t="s">
        <v>43</v>
      </c>
      <c r="Z692" s="2">
        <v>1719278</v>
      </c>
      <c r="AA692" s="2">
        <v>20251003</v>
      </c>
      <c r="AB692" s="3">
        <v>50000</v>
      </c>
    </row>
    <row r="693" spans="3:28" x14ac:dyDescent="0.25">
      <c r="C693" s="2">
        <v>10000001</v>
      </c>
      <c r="D693" s="2" t="s">
        <v>838</v>
      </c>
      <c r="F693" s="2">
        <v>12008179</v>
      </c>
      <c r="H693" s="2" t="s">
        <v>838</v>
      </c>
      <c r="I693" s="2" t="str">
        <f t="shared" si="10"/>
        <v>10</v>
      </c>
      <c r="J693" s="2">
        <v>50</v>
      </c>
      <c r="K693" s="3">
        <v>-50000</v>
      </c>
      <c r="L693" s="2" t="s">
        <v>26</v>
      </c>
      <c r="M693" s="3">
        <v>-50000</v>
      </c>
      <c r="N693" s="2" t="s">
        <v>26</v>
      </c>
      <c r="R693" s="2" t="s">
        <v>27</v>
      </c>
      <c r="S693" s="2" t="s">
        <v>1029</v>
      </c>
      <c r="T693" s="2" t="s">
        <v>45</v>
      </c>
      <c r="U693" s="2" t="s">
        <v>1034</v>
      </c>
      <c r="V693" s="4">
        <f>+VLOOKUP(U693,'FBCJ Jul-Des 2025'!$G$10:$P$1302,8,0)</f>
        <v>70009110</v>
      </c>
      <c r="W693" s="4" t="str">
        <f>+VLOOKUP(V693,Sheet1!$A$2:$B$27,2,0)</f>
        <v>Biaya Survey dan Analisa</v>
      </c>
      <c r="X693" s="4" t="str">
        <f>+VLOOKUP(U693,'FBCJ Jul-Des 2025'!$G$10:$P$1302,9,0)</f>
        <v>P206D1SLSS</v>
      </c>
      <c r="Y693" s="2" t="s">
        <v>43</v>
      </c>
      <c r="Z693" s="2">
        <v>1719278</v>
      </c>
      <c r="AA693" s="2">
        <v>20251003</v>
      </c>
      <c r="AB693" s="3">
        <v>50000</v>
      </c>
    </row>
    <row r="694" spans="3:28" x14ac:dyDescent="0.25">
      <c r="C694" s="2">
        <v>10000001</v>
      </c>
      <c r="D694" s="2" t="s">
        <v>838</v>
      </c>
      <c r="F694" s="2">
        <v>12008180</v>
      </c>
      <c r="H694" s="2" t="s">
        <v>838</v>
      </c>
      <c r="I694" s="2" t="str">
        <f t="shared" si="10"/>
        <v>10</v>
      </c>
      <c r="J694" s="2">
        <v>50</v>
      </c>
      <c r="K694" s="3">
        <v>-50000</v>
      </c>
      <c r="L694" s="2" t="s">
        <v>26</v>
      </c>
      <c r="M694" s="3">
        <v>-50000</v>
      </c>
      <c r="N694" s="2" t="s">
        <v>26</v>
      </c>
      <c r="R694" s="2" t="s">
        <v>27</v>
      </c>
      <c r="S694" s="2" t="s">
        <v>1029</v>
      </c>
      <c r="T694" s="2" t="s">
        <v>45</v>
      </c>
      <c r="U694" s="2" t="s">
        <v>1035</v>
      </c>
      <c r="V694" s="4">
        <f>+VLOOKUP(U694,'FBCJ Jul-Des 2025'!$G$10:$P$1302,8,0)</f>
        <v>70009110</v>
      </c>
      <c r="W694" s="4" t="str">
        <f>+VLOOKUP(V694,Sheet1!$A$2:$B$27,2,0)</f>
        <v>Biaya Survey dan Analisa</v>
      </c>
      <c r="X694" s="4" t="str">
        <f>+VLOOKUP(U694,'FBCJ Jul-Des 2025'!$G$10:$P$1302,9,0)</f>
        <v>P206D1SLSS</v>
      </c>
      <c r="Y694" s="2" t="s">
        <v>43</v>
      </c>
      <c r="Z694" s="2">
        <v>1719278</v>
      </c>
      <c r="AA694" s="2">
        <v>20251003</v>
      </c>
      <c r="AB694" s="3">
        <v>50000</v>
      </c>
    </row>
    <row r="695" spans="3:28" x14ac:dyDescent="0.25">
      <c r="C695" s="2">
        <v>10000001</v>
      </c>
      <c r="D695" s="2" t="s">
        <v>838</v>
      </c>
      <c r="F695" s="2">
        <v>12008181</v>
      </c>
      <c r="H695" s="2" t="s">
        <v>838</v>
      </c>
      <c r="I695" s="2" t="str">
        <f t="shared" si="10"/>
        <v>10</v>
      </c>
      <c r="J695" s="2">
        <v>50</v>
      </c>
      <c r="K695" s="3">
        <v>-545000</v>
      </c>
      <c r="L695" s="2" t="s">
        <v>26</v>
      </c>
      <c r="M695" s="3">
        <v>-545000</v>
      </c>
      <c r="N695" s="2" t="s">
        <v>26</v>
      </c>
      <c r="R695" s="2" t="s">
        <v>27</v>
      </c>
      <c r="S695" s="2" t="s">
        <v>1029</v>
      </c>
      <c r="T695" s="2" t="s">
        <v>375</v>
      </c>
      <c r="U695" s="2" t="s">
        <v>1036</v>
      </c>
      <c r="V695" s="4">
        <v>15000900</v>
      </c>
      <c r="W695" s="4" t="str">
        <f>+VLOOKUP(V695,Sheet1!$A$2:$B$27,2,0)</f>
        <v>Biaya Lainnya Yang Dibayar Di Muka</v>
      </c>
      <c r="X695" s="4" t="s">
        <v>1913</v>
      </c>
      <c r="Y695" s="2" t="s">
        <v>43</v>
      </c>
      <c r="Z695" s="2">
        <v>1719278</v>
      </c>
      <c r="AA695" s="2">
        <v>20251003</v>
      </c>
      <c r="AB695" s="3">
        <v>545000</v>
      </c>
    </row>
    <row r="696" spans="3:28" x14ac:dyDescent="0.25">
      <c r="C696" s="2">
        <v>10000001</v>
      </c>
      <c r="D696" s="2" t="s">
        <v>838</v>
      </c>
      <c r="F696" s="2">
        <v>12008182</v>
      </c>
      <c r="H696" s="2" t="s">
        <v>838</v>
      </c>
      <c r="I696" s="2" t="str">
        <f t="shared" si="10"/>
        <v>10</v>
      </c>
      <c r="J696" s="2">
        <v>50</v>
      </c>
      <c r="K696" s="3">
        <v>-198106</v>
      </c>
      <c r="L696" s="2" t="s">
        <v>26</v>
      </c>
      <c r="M696" s="3">
        <v>-198106</v>
      </c>
      <c r="N696" s="2" t="s">
        <v>26</v>
      </c>
      <c r="R696" s="2" t="s">
        <v>27</v>
      </c>
      <c r="S696" s="2" t="s">
        <v>1037</v>
      </c>
      <c r="T696" s="2" t="s">
        <v>375</v>
      </c>
      <c r="U696" s="2" t="s">
        <v>1038</v>
      </c>
      <c r="V696" s="4">
        <v>15000900</v>
      </c>
      <c r="W696" s="4" t="str">
        <f>+VLOOKUP(V696,Sheet1!$A$2:$B$27,2,0)</f>
        <v>Biaya Lainnya Yang Dibayar Di Muka</v>
      </c>
      <c r="X696" s="4" t="s">
        <v>1913</v>
      </c>
      <c r="Y696" s="2" t="s">
        <v>43</v>
      </c>
      <c r="Z696" s="2">
        <v>1719278</v>
      </c>
      <c r="AA696" s="2">
        <v>20251003</v>
      </c>
      <c r="AB696" s="3">
        <v>198106</v>
      </c>
    </row>
    <row r="697" spans="3:28" x14ac:dyDescent="0.25">
      <c r="C697" s="2">
        <v>10000001</v>
      </c>
      <c r="D697" s="2" t="s">
        <v>838</v>
      </c>
      <c r="F697" s="2">
        <v>12008183</v>
      </c>
      <c r="H697" s="2" t="s">
        <v>838</v>
      </c>
      <c r="I697" s="2" t="str">
        <f t="shared" si="10"/>
        <v>10</v>
      </c>
      <c r="J697" s="2">
        <v>50</v>
      </c>
      <c r="K697" s="3">
        <v>-516150</v>
      </c>
      <c r="L697" s="2" t="s">
        <v>26</v>
      </c>
      <c r="M697" s="3">
        <v>-516150</v>
      </c>
      <c r="N697" s="2" t="s">
        <v>26</v>
      </c>
      <c r="R697" s="2" t="s">
        <v>27</v>
      </c>
      <c r="S697" s="2" t="s">
        <v>1039</v>
      </c>
      <c r="T697" s="2" t="s">
        <v>375</v>
      </c>
      <c r="U697" s="2" t="s">
        <v>1040</v>
      </c>
      <c r="V697" s="4">
        <v>15000900</v>
      </c>
      <c r="W697" s="4" t="str">
        <f>+VLOOKUP(V697,Sheet1!$A$2:$B$27,2,0)</f>
        <v>Biaya Lainnya Yang Dibayar Di Muka</v>
      </c>
      <c r="X697" s="4" t="s">
        <v>1913</v>
      </c>
      <c r="Y697" s="2" t="s">
        <v>43</v>
      </c>
      <c r="Z697" s="2">
        <v>1719278</v>
      </c>
      <c r="AA697" s="2">
        <v>20251003</v>
      </c>
      <c r="AB697" s="3">
        <v>516150</v>
      </c>
    </row>
    <row r="698" spans="3:28" x14ac:dyDescent="0.25">
      <c r="C698" s="2">
        <v>10000001</v>
      </c>
      <c r="D698" s="2" t="s">
        <v>838</v>
      </c>
      <c r="F698" s="2">
        <v>12008184</v>
      </c>
      <c r="H698" s="2" t="s">
        <v>838</v>
      </c>
      <c r="I698" s="2" t="str">
        <f t="shared" si="10"/>
        <v>10</v>
      </c>
      <c r="J698" s="2">
        <v>50</v>
      </c>
      <c r="K698" s="3">
        <v>-80000</v>
      </c>
      <c r="L698" s="2" t="s">
        <v>26</v>
      </c>
      <c r="M698" s="3">
        <v>-80000</v>
      </c>
      <c r="N698" s="2" t="s">
        <v>26</v>
      </c>
      <c r="R698" s="2" t="s">
        <v>27</v>
      </c>
      <c r="S698" s="2" t="s">
        <v>1041</v>
      </c>
      <c r="T698" s="2" t="s">
        <v>375</v>
      </c>
      <c r="U698" s="2" t="s">
        <v>1042</v>
      </c>
      <c r="V698" s="4">
        <v>15000900</v>
      </c>
      <c r="W698" s="4" t="str">
        <f>+VLOOKUP(V698,Sheet1!$A$2:$B$27,2,0)</f>
        <v>Biaya Lainnya Yang Dibayar Di Muka</v>
      </c>
      <c r="X698" s="4" t="s">
        <v>1913</v>
      </c>
      <c r="Y698" s="2" t="s">
        <v>43</v>
      </c>
      <c r="Z698" s="2">
        <v>1719278</v>
      </c>
      <c r="AA698" s="2">
        <v>20251003</v>
      </c>
      <c r="AB698" s="3">
        <v>80000</v>
      </c>
    </row>
    <row r="699" spans="3:28" x14ac:dyDescent="0.25">
      <c r="C699" s="2">
        <v>10000001</v>
      </c>
      <c r="D699" s="2" t="s">
        <v>1043</v>
      </c>
      <c r="F699" s="2">
        <v>12008186</v>
      </c>
      <c r="H699" s="2" t="s">
        <v>1043</v>
      </c>
      <c r="I699" s="2" t="str">
        <f t="shared" si="10"/>
        <v>10</v>
      </c>
      <c r="J699" s="2">
        <v>40</v>
      </c>
      <c r="K699" s="3">
        <v>32378366</v>
      </c>
      <c r="L699" s="2" t="s">
        <v>26</v>
      </c>
      <c r="M699" s="3">
        <v>32378366</v>
      </c>
      <c r="N699" s="2" t="s">
        <v>26</v>
      </c>
      <c r="R699" s="2" t="s">
        <v>27</v>
      </c>
      <c r="T699" s="2" t="s">
        <v>249</v>
      </c>
      <c r="U699" s="2" t="s">
        <v>1044</v>
      </c>
      <c r="Y699" s="2" t="s">
        <v>43</v>
      </c>
      <c r="Z699" s="2">
        <v>1719278</v>
      </c>
      <c r="AA699" s="2">
        <v>20251006</v>
      </c>
      <c r="AB699" s="3">
        <v>32378366</v>
      </c>
    </row>
    <row r="700" spans="3:28" x14ac:dyDescent="0.25">
      <c r="C700" s="2">
        <v>10000001</v>
      </c>
      <c r="D700" s="2" t="s">
        <v>1045</v>
      </c>
      <c r="F700" s="2">
        <v>12008511</v>
      </c>
      <c r="H700" s="2" t="s">
        <v>1045</v>
      </c>
      <c r="I700" s="2" t="str">
        <f t="shared" si="10"/>
        <v>10</v>
      </c>
      <c r="J700" s="2">
        <v>50</v>
      </c>
      <c r="K700" s="3">
        <v>-977000</v>
      </c>
      <c r="L700" s="2" t="s">
        <v>26</v>
      </c>
      <c r="M700" s="3">
        <v>-977000</v>
      </c>
      <c r="N700" s="2" t="s">
        <v>26</v>
      </c>
      <c r="R700" s="2" t="s">
        <v>27</v>
      </c>
      <c r="S700" s="2" t="s">
        <v>1046</v>
      </c>
      <c r="T700" s="2" t="s">
        <v>57</v>
      </c>
      <c r="U700" s="2" t="s">
        <v>1047</v>
      </c>
      <c r="V700" s="4">
        <f>+VLOOKUP(U700,'FBCJ Jul-Des 2025'!$G$10:$P$1302,8,0)</f>
        <v>70101202</v>
      </c>
      <c r="W700" s="4" t="str">
        <f>+VLOOKUP(V700,Sheet1!$A$2:$B$27,2,0)</f>
        <v>By Pemeliharaan Kend,ABerat,Mesin-Material Pihak3</v>
      </c>
      <c r="X700" s="4" t="str">
        <f>+VLOOKUP(U700,'FBCJ Jul-Des 2025'!$G$10:$P$1302,9,0)</f>
        <v>R124NSS</v>
      </c>
      <c r="Y700" s="2" t="s">
        <v>43</v>
      </c>
      <c r="Z700" s="2">
        <v>1719278</v>
      </c>
      <c r="AA700" s="2">
        <v>20251014</v>
      </c>
      <c r="AB700" s="3">
        <v>977000</v>
      </c>
    </row>
    <row r="701" spans="3:28" x14ac:dyDescent="0.25">
      <c r="C701" s="2">
        <v>10000001</v>
      </c>
      <c r="D701" s="2" t="s">
        <v>1045</v>
      </c>
      <c r="F701" s="2">
        <v>12008512</v>
      </c>
      <c r="H701" s="2" t="s">
        <v>1045</v>
      </c>
      <c r="I701" s="2" t="str">
        <f t="shared" si="10"/>
        <v>10</v>
      </c>
      <c r="J701" s="2">
        <v>50</v>
      </c>
      <c r="K701" s="3">
        <v>-900000</v>
      </c>
      <c r="L701" s="2" t="s">
        <v>26</v>
      </c>
      <c r="M701" s="3">
        <v>-900000</v>
      </c>
      <c r="N701" s="2" t="s">
        <v>26</v>
      </c>
      <c r="R701" s="2" t="s">
        <v>27</v>
      </c>
      <c r="S701" s="2" t="s">
        <v>1048</v>
      </c>
      <c r="T701" s="2" t="s">
        <v>57</v>
      </c>
      <c r="U701" s="2" t="s">
        <v>1049</v>
      </c>
      <c r="V701" s="4">
        <f>+VLOOKUP(U701,'FBCJ Jul-Des 2025'!$G$10:$P$1302,8,0)</f>
        <v>70101202</v>
      </c>
      <c r="W701" s="4" t="str">
        <f>+VLOOKUP(V701,Sheet1!$A$2:$B$27,2,0)</f>
        <v>By Pemeliharaan Kend,ABerat,Mesin-Material Pihak3</v>
      </c>
      <c r="X701" s="4" t="str">
        <f>+VLOOKUP(U701,'FBCJ Jul-Des 2025'!$G$10:$P$1302,9,0)</f>
        <v>R124NSS</v>
      </c>
      <c r="Y701" s="2" t="s">
        <v>43</v>
      </c>
      <c r="Z701" s="2">
        <v>1719278</v>
      </c>
      <c r="AA701" s="2">
        <v>20251014</v>
      </c>
      <c r="AB701" s="3">
        <v>900000</v>
      </c>
    </row>
    <row r="702" spans="3:28" x14ac:dyDescent="0.25">
      <c r="C702" s="2">
        <v>10000001</v>
      </c>
      <c r="D702" s="2" t="s">
        <v>1045</v>
      </c>
      <c r="F702" s="2">
        <v>12008513</v>
      </c>
      <c r="H702" s="2" t="s">
        <v>1045</v>
      </c>
      <c r="I702" s="2" t="str">
        <f t="shared" si="10"/>
        <v>10</v>
      </c>
      <c r="J702" s="2">
        <v>50</v>
      </c>
      <c r="K702" s="3">
        <v>-728000</v>
      </c>
      <c r="L702" s="2" t="s">
        <v>26</v>
      </c>
      <c r="M702" s="3">
        <v>-728000</v>
      </c>
      <c r="N702" s="2" t="s">
        <v>26</v>
      </c>
      <c r="R702" s="2" t="s">
        <v>27</v>
      </c>
      <c r="S702" s="2" t="s">
        <v>1050</v>
      </c>
      <c r="T702" s="2" t="s">
        <v>59</v>
      </c>
      <c r="U702" s="2" t="s">
        <v>1051</v>
      </c>
      <c r="V702" s="4">
        <f>+VLOOKUP(U702,'FBCJ Jul-Des 2025'!$G$10:$P$1302,8,0)</f>
        <v>70101114</v>
      </c>
      <c r="W702" s="4" t="str">
        <f>+VLOOKUP(V702,Sheet1!$A$2:$B$27,2,0)</f>
        <v>By Perbaikan &amp; Perawatan Perabot Material Pihak3</v>
      </c>
      <c r="X702" s="4" t="str">
        <f>+VLOOKUP(U702,'FBCJ Jul-Des 2025'!$G$10:$P$1302,9,0)</f>
        <v>R124FRA</v>
      </c>
      <c r="Y702" s="2" t="s">
        <v>43</v>
      </c>
      <c r="Z702" s="2">
        <v>1719278</v>
      </c>
      <c r="AA702" s="2">
        <v>20251014</v>
      </c>
      <c r="AB702" s="3">
        <v>728000</v>
      </c>
    </row>
    <row r="703" spans="3:28" x14ac:dyDescent="0.25">
      <c r="C703" s="2">
        <v>10000001</v>
      </c>
      <c r="D703" s="2" t="s">
        <v>1045</v>
      </c>
      <c r="F703" s="2">
        <v>12008514</v>
      </c>
      <c r="H703" s="2" t="s">
        <v>1045</v>
      </c>
      <c r="I703" s="2" t="str">
        <f t="shared" si="10"/>
        <v>10</v>
      </c>
      <c r="J703" s="2">
        <v>50</v>
      </c>
      <c r="K703" s="3">
        <v>-859500</v>
      </c>
      <c r="L703" s="2" t="s">
        <v>26</v>
      </c>
      <c r="M703" s="3">
        <v>-859500</v>
      </c>
      <c r="N703" s="2" t="s">
        <v>26</v>
      </c>
      <c r="R703" s="2" t="s">
        <v>27</v>
      </c>
      <c r="S703" s="2" t="s">
        <v>1052</v>
      </c>
      <c r="T703" s="2" t="s">
        <v>57</v>
      </c>
      <c r="U703" s="2" t="s">
        <v>1053</v>
      </c>
      <c r="V703" s="4">
        <f>+VLOOKUP(U703,'FBCJ Jul-Des 2025'!$G$10:$P$1302,8,0)</f>
        <v>70101202</v>
      </c>
      <c r="W703" s="4" t="str">
        <f>+VLOOKUP(V703,Sheet1!$A$2:$B$27,2,0)</f>
        <v>By Pemeliharaan Kend,ABerat,Mesin-Material Pihak3</v>
      </c>
      <c r="X703" s="4" t="str">
        <f>+VLOOKUP(U703,'FBCJ Jul-Des 2025'!$G$10:$P$1302,9,0)</f>
        <v>R124REF3</v>
      </c>
      <c r="Y703" s="2" t="s">
        <v>43</v>
      </c>
      <c r="Z703" s="2">
        <v>1719278</v>
      </c>
      <c r="AA703" s="2">
        <v>20251014</v>
      </c>
      <c r="AB703" s="3">
        <v>859500</v>
      </c>
    </row>
    <row r="704" spans="3:28" x14ac:dyDescent="0.25">
      <c r="C704" s="2">
        <v>10000001</v>
      </c>
      <c r="D704" s="2" t="s">
        <v>1045</v>
      </c>
      <c r="F704" s="2">
        <v>12008515</v>
      </c>
      <c r="H704" s="2" t="s">
        <v>1045</v>
      </c>
      <c r="I704" s="2" t="str">
        <f t="shared" si="10"/>
        <v>10</v>
      </c>
      <c r="J704" s="2">
        <v>50</v>
      </c>
      <c r="K704" s="3">
        <v>-375000</v>
      </c>
      <c r="L704" s="2" t="s">
        <v>26</v>
      </c>
      <c r="M704" s="3">
        <v>-375000</v>
      </c>
      <c r="N704" s="2" t="s">
        <v>26</v>
      </c>
      <c r="R704" s="2" t="s">
        <v>27</v>
      </c>
      <c r="S704" s="2" t="s">
        <v>1054</v>
      </c>
      <c r="T704" s="2" t="s">
        <v>57</v>
      </c>
      <c r="U704" s="2" t="s">
        <v>179</v>
      </c>
      <c r="V704" s="4">
        <f>+VLOOKUP(U704,'FBCJ Jul-Des 2025'!$G$10:$P$1302,8,0)</f>
        <v>70101202</v>
      </c>
      <c r="W704" s="4" t="str">
        <f>+VLOOKUP(V704,Sheet1!$A$2:$B$27,2,0)</f>
        <v>By Pemeliharaan Kend,ABerat,Mesin-Material Pihak3</v>
      </c>
      <c r="X704" s="4" t="str">
        <f>+VLOOKUP(U704,'FBCJ Jul-Des 2025'!$G$10:$P$1302,9,0)</f>
        <v>C206D1SLSS</v>
      </c>
      <c r="Y704" s="2" t="s">
        <v>43</v>
      </c>
      <c r="Z704" s="2">
        <v>1719278</v>
      </c>
      <c r="AA704" s="2">
        <v>20251014</v>
      </c>
      <c r="AB704" s="3">
        <v>375000</v>
      </c>
    </row>
    <row r="705" spans="3:28" x14ac:dyDescent="0.25">
      <c r="C705" s="2">
        <v>10000001</v>
      </c>
      <c r="D705" s="2" t="s">
        <v>1045</v>
      </c>
      <c r="F705" s="2">
        <v>12008516</v>
      </c>
      <c r="H705" s="2" t="s">
        <v>1045</v>
      </c>
      <c r="I705" s="2" t="str">
        <f t="shared" si="10"/>
        <v>10</v>
      </c>
      <c r="J705" s="2">
        <v>50</v>
      </c>
      <c r="K705" s="3">
        <v>-477000</v>
      </c>
      <c r="L705" s="2" t="s">
        <v>26</v>
      </c>
      <c r="M705" s="3">
        <v>-477000</v>
      </c>
      <c r="N705" s="2" t="s">
        <v>26</v>
      </c>
      <c r="R705" s="2" t="s">
        <v>27</v>
      </c>
      <c r="S705" s="2" t="s">
        <v>1055</v>
      </c>
      <c r="T705" s="2" t="s">
        <v>126</v>
      </c>
      <c r="U705" s="2" t="s">
        <v>1056</v>
      </c>
      <c r="V705" s="4">
        <f>+VLOOKUP(U705,'FBCJ Jul-Des 2025'!$G$10:$P$1302,8,0)</f>
        <v>70107600</v>
      </c>
      <c r="W705" s="4" t="str">
        <f>+VLOOKUP(V705,Sheet1!$A$2:$B$27,2,0)</f>
        <v>Biaya Konsumsi Kantor</v>
      </c>
      <c r="X705" s="4" t="str">
        <f>+VLOOKUP(U705,'FBCJ Jul-Des 2025'!$G$10:$P$1302,9,0)</f>
        <v>R124MIN</v>
      </c>
      <c r="Y705" s="2" t="s">
        <v>43</v>
      </c>
      <c r="Z705" s="2">
        <v>1719278</v>
      </c>
      <c r="AA705" s="2">
        <v>20251014</v>
      </c>
      <c r="AB705" s="3">
        <v>477000</v>
      </c>
    </row>
    <row r="706" spans="3:28" x14ac:dyDescent="0.25">
      <c r="C706" s="2">
        <v>10000001</v>
      </c>
      <c r="D706" s="2" t="s">
        <v>1045</v>
      </c>
      <c r="F706" s="2">
        <v>12008517</v>
      </c>
      <c r="H706" s="2" t="s">
        <v>1045</v>
      </c>
      <c r="I706" s="2" t="str">
        <f t="shared" si="10"/>
        <v>10</v>
      </c>
      <c r="J706" s="2">
        <v>50</v>
      </c>
      <c r="K706" s="3">
        <v>-995000</v>
      </c>
      <c r="L706" s="2" t="s">
        <v>26</v>
      </c>
      <c r="M706" s="3">
        <v>-995000</v>
      </c>
      <c r="N706" s="2" t="s">
        <v>26</v>
      </c>
      <c r="R706" s="2" t="s">
        <v>27</v>
      </c>
      <c r="S706" s="2" t="s">
        <v>1057</v>
      </c>
      <c r="T706" s="2" t="s">
        <v>57</v>
      </c>
      <c r="U706" s="2" t="s">
        <v>1058</v>
      </c>
      <c r="V706" s="4">
        <f>+VLOOKUP(U706,'FBCJ Jul-Des 2025'!$G$10:$P$1302,8,0)</f>
        <v>70101202</v>
      </c>
      <c r="W706" s="4" t="str">
        <f>+VLOOKUP(V706,Sheet1!$A$2:$B$27,2,0)</f>
        <v>By Pemeliharaan Kend,ABerat,Mesin-Material Pihak3</v>
      </c>
      <c r="X706" s="4" t="str">
        <f>+VLOOKUP(U706,'FBCJ Jul-Des 2025'!$G$10:$P$1302,9,0)</f>
        <v>R124FRA3</v>
      </c>
      <c r="Y706" s="2" t="s">
        <v>43</v>
      </c>
      <c r="Z706" s="2">
        <v>1719278</v>
      </c>
      <c r="AA706" s="2">
        <v>20251014</v>
      </c>
      <c r="AB706" s="3">
        <v>995000</v>
      </c>
    </row>
    <row r="707" spans="3:28" x14ac:dyDescent="0.25">
      <c r="C707" s="2">
        <v>10000001</v>
      </c>
      <c r="D707" s="2" t="s">
        <v>1045</v>
      </c>
      <c r="F707" s="2">
        <v>12008518</v>
      </c>
      <c r="H707" s="2" t="s">
        <v>1045</v>
      </c>
      <c r="I707" s="2" t="str">
        <f t="shared" si="10"/>
        <v>10</v>
      </c>
      <c r="J707" s="2">
        <v>50</v>
      </c>
      <c r="K707" s="3">
        <v>-908000</v>
      </c>
      <c r="L707" s="2" t="s">
        <v>26</v>
      </c>
      <c r="M707" s="3">
        <v>-908000</v>
      </c>
      <c r="N707" s="2" t="s">
        <v>26</v>
      </c>
      <c r="R707" s="2" t="s">
        <v>27</v>
      </c>
      <c r="S707" s="2" t="s">
        <v>1059</v>
      </c>
      <c r="T707" s="2" t="s">
        <v>57</v>
      </c>
      <c r="U707" s="2" t="s">
        <v>1060</v>
      </c>
      <c r="V707" s="4">
        <f>+VLOOKUP(U707,'FBCJ Jul-Des 2025'!$G$10:$P$1302,8,0)</f>
        <v>70101202</v>
      </c>
      <c r="W707" s="4" t="str">
        <f>+VLOOKUP(V707,Sheet1!$A$2:$B$27,2,0)</f>
        <v>By Pemeliharaan Kend,ABerat,Mesin-Material Pihak3</v>
      </c>
      <c r="X707" s="4" t="str">
        <f>+VLOOKUP(U707,'FBCJ Jul-Des 2025'!$G$10:$P$1302,9,0)</f>
        <v>R124REF3</v>
      </c>
      <c r="Y707" s="2" t="s">
        <v>43</v>
      </c>
      <c r="Z707" s="2">
        <v>1719278</v>
      </c>
      <c r="AA707" s="2">
        <v>20251014</v>
      </c>
      <c r="AB707" s="3">
        <v>908000</v>
      </c>
    </row>
    <row r="708" spans="3:28" x14ac:dyDescent="0.25">
      <c r="C708" s="2">
        <v>10000001</v>
      </c>
      <c r="D708" s="2" t="s">
        <v>1045</v>
      </c>
      <c r="F708" s="2">
        <v>12008519</v>
      </c>
      <c r="H708" s="2" t="s">
        <v>1045</v>
      </c>
      <c r="I708" s="2" t="str">
        <f t="shared" si="10"/>
        <v>10</v>
      </c>
      <c r="J708" s="2">
        <v>50</v>
      </c>
      <c r="K708" s="3">
        <v>-57800</v>
      </c>
      <c r="L708" s="2" t="s">
        <v>26</v>
      </c>
      <c r="M708" s="3">
        <v>-57800</v>
      </c>
      <c r="N708" s="2" t="s">
        <v>26</v>
      </c>
      <c r="R708" s="2" t="s">
        <v>27</v>
      </c>
      <c r="S708" s="2" t="s">
        <v>1061</v>
      </c>
      <c r="T708" s="2" t="s">
        <v>193</v>
      </c>
      <c r="U708" s="2" t="s">
        <v>1062</v>
      </c>
      <c r="V708" s="4">
        <f>+VLOOKUP(U708,'FBCJ Jul-Des 2025'!$G$10:$P$1302,8,0)</f>
        <v>70105300</v>
      </c>
      <c r="W708" s="4" t="str">
        <f>+VLOOKUP(V708,Sheet1!$A$2:$B$27,2,0)</f>
        <v>Biaya Perizinan Pemerintah</v>
      </c>
      <c r="X708" s="4" t="str">
        <f>+VLOOKUP(U708,'FBCJ Jul-Des 2025'!$G$10:$P$1302,9,0)</f>
        <v>R124D1HRGA</v>
      </c>
      <c r="Y708" s="2" t="s">
        <v>43</v>
      </c>
      <c r="Z708" s="2">
        <v>1719278</v>
      </c>
      <c r="AA708" s="2">
        <v>20251014</v>
      </c>
      <c r="AB708" s="3">
        <v>57800</v>
      </c>
    </row>
    <row r="709" spans="3:28" x14ac:dyDescent="0.25">
      <c r="C709" s="2">
        <v>10000001</v>
      </c>
      <c r="D709" s="2" t="s">
        <v>1045</v>
      </c>
      <c r="F709" s="2">
        <v>12008520</v>
      </c>
      <c r="H709" s="2" t="s">
        <v>1045</v>
      </c>
      <c r="I709" s="2" t="str">
        <f t="shared" si="10"/>
        <v>10</v>
      </c>
      <c r="J709" s="2">
        <v>50</v>
      </c>
      <c r="K709" s="3">
        <v>-740000</v>
      </c>
      <c r="L709" s="2" t="s">
        <v>26</v>
      </c>
      <c r="M709" s="3">
        <v>-740000</v>
      </c>
      <c r="N709" s="2" t="s">
        <v>26</v>
      </c>
      <c r="R709" s="2" t="s">
        <v>27</v>
      </c>
      <c r="S709" s="2" t="s">
        <v>1063</v>
      </c>
      <c r="T709" s="2" t="s">
        <v>96</v>
      </c>
      <c r="U709" s="2" t="s">
        <v>1064</v>
      </c>
      <c r="V709" s="4">
        <f>+VLOOKUP(U709,'FBCJ Jul-Des 2025'!$G$10:$P$1302,8,0)</f>
        <v>70106400</v>
      </c>
      <c r="W709" s="4" t="str">
        <f>+VLOOKUP(V709,Sheet1!$A$2:$B$27,2,0)</f>
        <v>Biaya Bahan Bakar</v>
      </c>
      <c r="X709" s="4" t="str">
        <f>+VLOOKUP(U709,'FBCJ Jul-Des 2025'!$G$10:$P$1302,9,0)</f>
        <v>R124D1HRGA</v>
      </c>
      <c r="Y709" s="2" t="s">
        <v>43</v>
      </c>
      <c r="Z709" s="2">
        <v>1719278</v>
      </c>
      <c r="AA709" s="2">
        <v>20251014</v>
      </c>
      <c r="AB709" s="3">
        <v>740000</v>
      </c>
    </row>
    <row r="710" spans="3:28" x14ac:dyDescent="0.25">
      <c r="C710" s="2">
        <v>10000001</v>
      </c>
      <c r="D710" s="2" t="s">
        <v>1045</v>
      </c>
      <c r="F710" s="2">
        <v>12008521</v>
      </c>
      <c r="H710" s="2" t="s">
        <v>1045</v>
      </c>
      <c r="I710" s="2" t="str">
        <f t="shared" si="10"/>
        <v>10</v>
      </c>
      <c r="J710" s="2">
        <v>50</v>
      </c>
      <c r="K710" s="3">
        <v>-260000</v>
      </c>
      <c r="L710" s="2" t="s">
        <v>26</v>
      </c>
      <c r="M710" s="3">
        <v>-260000</v>
      </c>
      <c r="N710" s="2" t="s">
        <v>26</v>
      </c>
      <c r="R710" s="2" t="s">
        <v>27</v>
      </c>
      <c r="S710" s="2" t="s">
        <v>1063</v>
      </c>
      <c r="T710" s="2" t="s">
        <v>67</v>
      </c>
      <c r="U710" s="2" t="s">
        <v>98</v>
      </c>
      <c r="V710" s="4">
        <f>+VLOOKUP(U710,'FBCJ Jul-Des 2025'!$G$10:$P$1302,8,0)</f>
        <v>70106100</v>
      </c>
      <c r="W710" s="4" t="str">
        <f>+VLOOKUP(V710,Sheet1!$A$2:$B$27,2,0)</f>
        <v>Biaya Transportasi Lokal</v>
      </c>
      <c r="X710" s="4" t="str">
        <f>+VLOOKUP(U710,'FBCJ Jul-Des 2025'!$G$10:$P$1302,9,0)</f>
        <v>R124D1HRGA</v>
      </c>
      <c r="Y710" s="2" t="s">
        <v>43</v>
      </c>
      <c r="Z710" s="2">
        <v>1719278</v>
      </c>
      <c r="AA710" s="2">
        <v>20251014</v>
      </c>
      <c r="AB710" s="3">
        <v>260000</v>
      </c>
    </row>
    <row r="711" spans="3:28" x14ac:dyDescent="0.25">
      <c r="C711" s="2">
        <v>10000001</v>
      </c>
      <c r="D711" s="2" t="s">
        <v>1045</v>
      </c>
      <c r="F711" s="2">
        <v>12008522</v>
      </c>
      <c r="H711" s="2" t="s">
        <v>1045</v>
      </c>
      <c r="I711" s="2" t="str">
        <f t="shared" si="10"/>
        <v>10</v>
      </c>
      <c r="J711" s="2">
        <v>50</v>
      </c>
      <c r="K711" s="3">
        <v>-50000</v>
      </c>
      <c r="L711" s="2" t="s">
        <v>26</v>
      </c>
      <c r="M711" s="3">
        <v>-50000</v>
      </c>
      <c r="N711" s="2" t="s">
        <v>26</v>
      </c>
      <c r="R711" s="2" t="s">
        <v>27</v>
      </c>
      <c r="S711" s="2" t="s">
        <v>1065</v>
      </c>
      <c r="T711" s="2" t="s">
        <v>45</v>
      </c>
      <c r="U711" s="2" t="s">
        <v>1066</v>
      </c>
      <c r="V711" s="4">
        <f>+VLOOKUP(U711,'FBCJ Jul-Des 2025'!$G$10:$P$1302,8,0)</f>
        <v>70009110</v>
      </c>
      <c r="W711" s="4" t="str">
        <f>+VLOOKUP(V711,Sheet1!$A$2:$B$27,2,0)</f>
        <v>Biaya Survey dan Analisa</v>
      </c>
      <c r="X711" s="4" t="str">
        <f>+VLOOKUP(U711,'FBCJ Jul-Des 2025'!$G$10:$P$1302,9,0)</f>
        <v>P206D1SLSS</v>
      </c>
      <c r="Y711" s="2" t="s">
        <v>43</v>
      </c>
      <c r="Z711" s="2">
        <v>1719278</v>
      </c>
      <c r="AA711" s="2">
        <v>20251014</v>
      </c>
      <c r="AB711" s="3">
        <v>50000</v>
      </c>
    </row>
    <row r="712" spans="3:28" x14ac:dyDescent="0.25">
      <c r="C712" s="2">
        <v>10000001</v>
      </c>
      <c r="D712" s="2" t="s">
        <v>1045</v>
      </c>
      <c r="F712" s="2">
        <v>12008523</v>
      </c>
      <c r="H712" s="2" t="s">
        <v>1045</v>
      </c>
      <c r="I712" s="2" t="str">
        <f t="shared" ref="I712:I775" si="11">+MID(H712,4,2)</f>
        <v>10</v>
      </c>
      <c r="J712" s="2">
        <v>50</v>
      </c>
      <c r="K712" s="3">
        <v>-50000</v>
      </c>
      <c r="L712" s="2" t="s">
        <v>26</v>
      </c>
      <c r="M712" s="3">
        <v>-50000</v>
      </c>
      <c r="N712" s="2" t="s">
        <v>26</v>
      </c>
      <c r="R712" s="2" t="s">
        <v>27</v>
      </c>
      <c r="S712" s="2" t="s">
        <v>1065</v>
      </c>
      <c r="T712" s="2" t="s">
        <v>45</v>
      </c>
      <c r="U712" s="2" t="s">
        <v>1067</v>
      </c>
      <c r="V712" s="4">
        <f>+VLOOKUP(U712,'FBCJ Jul-Des 2025'!$G$10:$P$1302,8,0)</f>
        <v>70009110</v>
      </c>
      <c r="W712" s="4" t="str">
        <f>+VLOOKUP(V712,Sheet1!$A$2:$B$27,2,0)</f>
        <v>Biaya Survey dan Analisa</v>
      </c>
      <c r="X712" s="4" t="str">
        <f>+VLOOKUP(U712,'FBCJ Jul-Des 2025'!$G$10:$P$1302,9,0)</f>
        <v>P206D1SLSS</v>
      </c>
      <c r="Y712" s="2" t="s">
        <v>43</v>
      </c>
      <c r="Z712" s="2">
        <v>1719278</v>
      </c>
      <c r="AA712" s="2">
        <v>20251014</v>
      </c>
      <c r="AB712" s="3">
        <v>50000</v>
      </c>
    </row>
    <row r="713" spans="3:28" x14ac:dyDescent="0.25">
      <c r="C713" s="2">
        <v>10000001</v>
      </c>
      <c r="D713" s="2" t="s">
        <v>1045</v>
      </c>
      <c r="F713" s="2">
        <v>12008524</v>
      </c>
      <c r="H713" s="2" t="s">
        <v>1045</v>
      </c>
      <c r="I713" s="2" t="str">
        <f t="shared" si="11"/>
        <v>10</v>
      </c>
      <c r="J713" s="2">
        <v>50</v>
      </c>
      <c r="K713" s="3">
        <v>-50000</v>
      </c>
      <c r="L713" s="2" t="s">
        <v>26</v>
      </c>
      <c r="M713" s="3">
        <v>-50000</v>
      </c>
      <c r="N713" s="2" t="s">
        <v>26</v>
      </c>
      <c r="R713" s="2" t="s">
        <v>27</v>
      </c>
      <c r="S713" s="2" t="s">
        <v>1068</v>
      </c>
      <c r="T713" s="2" t="s">
        <v>45</v>
      </c>
      <c r="U713" s="2" t="s">
        <v>1069</v>
      </c>
      <c r="V713" s="4">
        <f>+VLOOKUP(U713,'FBCJ Jul-Des 2025'!$G$10:$P$1302,8,0)</f>
        <v>70009110</v>
      </c>
      <c r="W713" s="4" t="str">
        <f>+VLOOKUP(V713,Sheet1!$A$2:$B$27,2,0)</f>
        <v>Biaya Survey dan Analisa</v>
      </c>
      <c r="X713" s="4" t="str">
        <f>+VLOOKUP(U713,'FBCJ Jul-Des 2025'!$G$10:$P$1302,9,0)</f>
        <v>P206D1SLSS</v>
      </c>
      <c r="Y713" s="2" t="s">
        <v>43</v>
      </c>
      <c r="Z713" s="2">
        <v>1719278</v>
      </c>
      <c r="AA713" s="2">
        <v>20251014</v>
      </c>
      <c r="AB713" s="3">
        <v>50000</v>
      </c>
    </row>
    <row r="714" spans="3:28" x14ac:dyDescent="0.25">
      <c r="C714" s="2">
        <v>10000001</v>
      </c>
      <c r="D714" s="2" t="s">
        <v>1045</v>
      </c>
      <c r="F714" s="2">
        <v>12008525</v>
      </c>
      <c r="H714" s="2" t="s">
        <v>1045</v>
      </c>
      <c r="I714" s="2" t="str">
        <f t="shared" si="11"/>
        <v>10</v>
      </c>
      <c r="J714" s="2">
        <v>50</v>
      </c>
      <c r="K714" s="3">
        <v>-100000</v>
      </c>
      <c r="L714" s="2" t="s">
        <v>26</v>
      </c>
      <c r="M714" s="3">
        <v>-100000</v>
      </c>
      <c r="N714" s="2" t="s">
        <v>26</v>
      </c>
      <c r="R714" s="2" t="s">
        <v>27</v>
      </c>
      <c r="S714" s="2" t="s">
        <v>1068</v>
      </c>
      <c r="T714" s="2" t="s">
        <v>45</v>
      </c>
      <c r="U714" s="2" t="s">
        <v>1070</v>
      </c>
      <c r="V714" s="4">
        <f>+VLOOKUP(U714,'FBCJ Jul-Des 2025'!$G$10:$P$1302,8,0)</f>
        <v>70009110</v>
      </c>
      <c r="W714" s="4" t="str">
        <f>+VLOOKUP(V714,Sheet1!$A$2:$B$27,2,0)</f>
        <v>Biaya Survey dan Analisa</v>
      </c>
      <c r="X714" s="4" t="str">
        <f>+VLOOKUP(U714,'FBCJ Jul-Des 2025'!$G$10:$P$1302,9,0)</f>
        <v>M204D1COMM</v>
      </c>
      <c r="Y714" s="2" t="s">
        <v>43</v>
      </c>
      <c r="Z714" s="2">
        <v>1719278</v>
      </c>
      <c r="AA714" s="2">
        <v>20251014</v>
      </c>
      <c r="AB714" s="3">
        <v>100000</v>
      </c>
    </row>
    <row r="715" spans="3:28" x14ac:dyDescent="0.25">
      <c r="C715" s="2">
        <v>10000001</v>
      </c>
      <c r="D715" s="2" t="s">
        <v>1045</v>
      </c>
      <c r="F715" s="2">
        <v>12008526</v>
      </c>
      <c r="H715" s="2" t="s">
        <v>1045</v>
      </c>
      <c r="I715" s="2" t="str">
        <f t="shared" si="11"/>
        <v>10</v>
      </c>
      <c r="J715" s="2">
        <v>50</v>
      </c>
      <c r="K715" s="3">
        <v>-50000</v>
      </c>
      <c r="L715" s="2" t="s">
        <v>26</v>
      </c>
      <c r="M715" s="3">
        <v>-50000</v>
      </c>
      <c r="N715" s="2" t="s">
        <v>26</v>
      </c>
      <c r="R715" s="2" t="s">
        <v>27</v>
      </c>
      <c r="S715" s="2" t="s">
        <v>1071</v>
      </c>
      <c r="T715" s="2" t="s">
        <v>45</v>
      </c>
      <c r="U715" s="2" t="s">
        <v>1072</v>
      </c>
      <c r="V715" s="4">
        <f>+VLOOKUP(U715,'FBCJ Jul-Des 2025'!$G$10:$P$1302,8,0)</f>
        <v>70009110</v>
      </c>
      <c r="W715" s="4" t="str">
        <f>+VLOOKUP(V715,Sheet1!$A$2:$B$27,2,0)</f>
        <v>Biaya Survey dan Analisa</v>
      </c>
      <c r="X715" s="4" t="str">
        <f>+VLOOKUP(U715,'FBCJ Jul-Des 2025'!$G$10:$P$1302,9,0)</f>
        <v>P206D1SLSS</v>
      </c>
      <c r="Y715" s="2" t="s">
        <v>43</v>
      </c>
      <c r="Z715" s="2">
        <v>1719278</v>
      </c>
      <c r="AA715" s="2">
        <v>20251014</v>
      </c>
      <c r="AB715" s="3">
        <v>50000</v>
      </c>
    </row>
    <row r="716" spans="3:28" x14ac:dyDescent="0.25">
      <c r="C716" s="2">
        <v>10000001</v>
      </c>
      <c r="D716" s="2" t="s">
        <v>1045</v>
      </c>
      <c r="F716" s="2">
        <v>12008527</v>
      </c>
      <c r="H716" s="2" t="s">
        <v>1045</v>
      </c>
      <c r="I716" s="2" t="str">
        <f t="shared" si="11"/>
        <v>10</v>
      </c>
      <c r="J716" s="2">
        <v>50</v>
      </c>
      <c r="K716" s="3">
        <v>-50000</v>
      </c>
      <c r="L716" s="2" t="s">
        <v>26</v>
      </c>
      <c r="M716" s="3">
        <v>-50000</v>
      </c>
      <c r="N716" s="2" t="s">
        <v>26</v>
      </c>
      <c r="R716" s="2" t="s">
        <v>27</v>
      </c>
      <c r="S716" s="2" t="s">
        <v>1071</v>
      </c>
      <c r="T716" s="2" t="s">
        <v>45</v>
      </c>
      <c r="U716" s="2" t="s">
        <v>1073</v>
      </c>
      <c r="V716" s="4">
        <f>+VLOOKUP(U716,'FBCJ Jul-Des 2025'!$G$10:$P$1302,8,0)</f>
        <v>70009110</v>
      </c>
      <c r="W716" s="4" t="str">
        <f>+VLOOKUP(V716,Sheet1!$A$2:$B$27,2,0)</f>
        <v>Biaya Survey dan Analisa</v>
      </c>
      <c r="X716" s="4" t="str">
        <f>+VLOOKUP(U716,'FBCJ Jul-Des 2025'!$G$10:$P$1302,9,0)</f>
        <v>P206D1SLSS</v>
      </c>
      <c r="Y716" s="2" t="s">
        <v>43</v>
      </c>
      <c r="Z716" s="2">
        <v>1719278</v>
      </c>
      <c r="AA716" s="2">
        <v>20251014</v>
      </c>
      <c r="AB716" s="3">
        <v>50000</v>
      </c>
    </row>
    <row r="717" spans="3:28" x14ac:dyDescent="0.25">
      <c r="C717" s="2">
        <v>10000001</v>
      </c>
      <c r="D717" s="2" t="s">
        <v>1074</v>
      </c>
      <c r="F717" s="2">
        <v>12008528</v>
      </c>
      <c r="H717" s="2" t="s">
        <v>1074</v>
      </c>
      <c r="I717" s="2" t="str">
        <f t="shared" si="11"/>
        <v>10</v>
      </c>
      <c r="J717" s="2">
        <v>50</v>
      </c>
      <c r="K717" s="3">
        <v>-50000</v>
      </c>
      <c r="L717" s="2" t="s">
        <v>26</v>
      </c>
      <c r="M717" s="3">
        <v>-50000</v>
      </c>
      <c r="N717" s="2" t="s">
        <v>26</v>
      </c>
      <c r="R717" s="2" t="s">
        <v>27</v>
      </c>
      <c r="S717" s="2" t="s">
        <v>1075</v>
      </c>
      <c r="T717" s="2" t="s">
        <v>45</v>
      </c>
      <c r="U717" s="2" t="s">
        <v>1076</v>
      </c>
      <c r="V717" s="4">
        <f>+VLOOKUP(U717,'FBCJ Jul-Des 2025'!$G$10:$P$1302,8,0)</f>
        <v>70009110</v>
      </c>
      <c r="W717" s="4" t="str">
        <f>+VLOOKUP(V717,Sheet1!$A$2:$B$27,2,0)</f>
        <v>Biaya Survey dan Analisa</v>
      </c>
      <c r="X717" s="4" t="str">
        <f>+VLOOKUP(U717,'FBCJ Jul-Des 2025'!$G$10:$P$1302,9,0)</f>
        <v>P206D1SLSS</v>
      </c>
      <c r="Y717" s="2" t="s">
        <v>43</v>
      </c>
      <c r="Z717" s="2">
        <v>1719278</v>
      </c>
      <c r="AA717" s="2">
        <v>20251015</v>
      </c>
      <c r="AB717" s="3">
        <v>50000</v>
      </c>
    </row>
    <row r="718" spans="3:28" x14ac:dyDescent="0.25">
      <c r="C718" s="2">
        <v>10000001</v>
      </c>
      <c r="D718" s="2" t="s">
        <v>1074</v>
      </c>
      <c r="F718" s="2">
        <v>12008529</v>
      </c>
      <c r="H718" s="2" t="s">
        <v>1074</v>
      </c>
      <c r="I718" s="2" t="str">
        <f t="shared" si="11"/>
        <v>10</v>
      </c>
      <c r="J718" s="2">
        <v>50</v>
      </c>
      <c r="K718" s="3">
        <v>-50000</v>
      </c>
      <c r="L718" s="2" t="s">
        <v>26</v>
      </c>
      <c r="M718" s="3">
        <v>-50000</v>
      </c>
      <c r="N718" s="2" t="s">
        <v>26</v>
      </c>
      <c r="R718" s="2" t="s">
        <v>27</v>
      </c>
      <c r="S718" s="2" t="s">
        <v>1075</v>
      </c>
      <c r="T718" s="2" t="s">
        <v>45</v>
      </c>
      <c r="U718" s="2" t="s">
        <v>1077</v>
      </c>
      <c r="V718" s="4">
        <f>+VLOOKUP(U718,'FBCJ Jul-Des 2025'!$G$10:$P$1302,8,0)</f>
        <v>70009110</v>
      </c>
      <c r="W718" s="4" t="str">
        <f>+VLOOKUP(V718,Sheet1!$A$2:$B$27,2,0)</f>
        <v>Biaya Survey dan Analisa</v>
      </c>
      <c r="X718" s="4" t="str">
        <f>+VLOOKUP(U718,'FBCJ Jul-Des 2025'!$G$10:$P$1302,9,0)</f>
        <v>P206D1SLSS</v>
      </c>
      <c r="Y718" s="2" t="s">
        <v>43</v>
      </c>
      <c r="Z718" s="2">
        <v>1719278</v>
      </c>
      <c r="AA718" s="2">
        <v>20251015</v>
      </c>
      <c r="AB718" s="3">
        <v>50000</v>
      </c>
    </row>
    <row r="719" spans="3:28" x14ac:dyDescent="0.25">
      <c r="C719" s="2">
        <v>10000001</v>
      </c>
      <c r="D719" s="2" t="s">
        <v>1074</v>
      </c>
      <c r="F719" s="2">
        <v>12008530</v>
      </c>
      <c r="H719" s="2" t="s">
        <v>1074</v>
      </c>
      <c r="I719" s="2" t="str">
        <f t="shared" si="11"/>
        <v>10</v>
      </c>
      <c r="J719" s="2">
        <v>50</v>
      </c>
      <c r="K719" s="3">
        <v>-50000</v>
      </c>
      <c r="L719" s="2" t="s">
        <v>26</v>
      </c>
      <c r="M719" s="3">
        <v>-50000</v>
      </c>
      <c r="N719" s="2" t="s">
        <v>26</v>
      </c>
      <c r="R719" s="2" t="s">
        <v>27</v>
      </c>
      <c r="S719" s="2" t="s">
        <v>1075</v>
      </c>
      <c r="T719" s="2" t="s">
        <v>45</v>
      </c>
      <c r="U719" s="2" t="s">
        <v>1078</v>
      </c>
      <c r="V719" s="4">
        <f>+VLOOKUP(U719,'FBCJ Jul-Des 2025'!$G$10:$P$1302,8,0)</f>
        <v>70009110</v>
      </c>
      <c r="W719" s="4" t="str">
        <f>+VLOOKUP(V719,Sheet1!$A$2:$B$27,2,0)</f>
        <v>Biaya Survey dan Analisa</v>
      </c>
      <c r="X719" s="4" t="str">
        <f>+VLOOKUP(U719,'FBCJ Jul-Des 2025'!$G$10:$P$1302,9,0)</f>
        <v>P206D1SLSS</v>
      </c>
      <c r="Y719" s="2" t="s">
        <v>43</v>
      </c>
      <c r="Z719" s="2">
        <v>1719278</v>
      </c>
      <c r="AA719" s="2">
        <v>20251015</v>
      </c>
      <c r="AB719" s="3">
        <v>50000</v>
      </c>
    </row>
    <row r="720" spans="3:28" x14ac:dyDescent="0.25">
      <c r="C720" s="2">
        <v>10000001</v>
      </c>
      <c r="D720" s="2" t="s">
        <v>1074</v>
      </c>
      <c r="F720" s="2">
        <v>12008531</v>
      </c>
      <c r="H720" s="2" t="s">
        <v>1074</v>
      </c>
      <c r="I720" s="2" t="str">
        <f t="shared" si="11"/>
        <v>10</v>
      </c>
      <c r="J720" s="2">
        <v>50</v>
      </c>
      <c r="K720" s="3">
        <v>-50000</v>
      </c>
      <c r="L720" s="2" t="s">
        <v>26</v>
      </c>
      <c r="M720" s="3">
        <v>-50000</v>
      </c>
      <c r="N720" s="2" t="s">
        <v>26</v>
      </c>
      <c r="R720" s="2" t="s">
        <v>27</v>
      </c>
      <c r="S720" s="2" t="s">
        <v>1075</v>
      </c>
      <c r="T720" s="2" t="s">
        <v>45</v>
      </c>
      <c r="U720" s="2" t="s">
        <v>1079</v>
      </c>
      <c r="V720" s="4">
        <f>+VLOOKUP(U720,'FBCJ Jul-Des 2025'!$G$10:$P$1302,8,0)</f>
        <v>70009110</v>
      </c>
      <c r="W720" s="4" t="str">
        <f>+VLOOKUP(V720,Sheet1!$A$2:$B$27,2,0)</f>
        <v>Biaya Survey dan Analisa</v>
      </c>
      <c r="X720" s="4" t="str">
        <f>+VLOOKUP(U720,'FBCJ Jul-Des 2025'!$G$10:$P$1302,9,0)</f>
        <v>P206D1SLSS</v>
      </c>
      <c r="Y720" s="2" t="s">
        <v>43</v>
      </c>
      <c r="Z720" s="2">
        <v>1719278</v>
      </c>
      <c r="AA720" s="2">
        <v>20251015</v>
      </c>
      <c r="AB720" s="3">
        <v>50000</v>
      </c>
    </row>
    <row r="721" spans="3:28" x14ac:dyDescent="0.25">
      <c r="C721" s="2">
        <v>10000001</v>
      </c>
      <c r="D721" s="2" t="s">
        <v>1074</v>
      </c>
      <c r="F721" s="2">
        <v>12008532</v>
      </c>
      <c r="H721" s="2" t="s">
        <v>1074</v>
      </c>
      <c r="I721" s="2" t="str">
        <f t="shared" si="11"/>
        <v>10</v>
      </c>
      <c r="J721" s="2">
        <v>50</v>
      </c>
      <c r="K721" s="3">
        <v>-50000</v>
      </c>
      <c r="L721" s="2" t="s">
        <v>26</v>
      </c>
      <c r="M721" s="3">
        <v>-50000</v>
      </c>
      <c r="N721" s="2" t="s">
        <v>26</v>
      </c>
      <c r="R721" s="2" t="s">
        <v>27</v>
      </c>
      <c r="S721" s="2" t="s">
        <v>1075</v>
      </c>
      <c r="T721" s="2" t="s">
        <v>45</v>
      </c>
      <c r="U721" s="2" t="s">
        <v>1080</v>
      </c>
      <c r="V721" s="4">
        <f>+VLOOKUP(U721,'FBCJ Jul-Des 2025'!$G$10:$P$1302,8,0)</f>
        <v>70009110</v>
      </c>
      <c r="W721" s="4" t="str">
        <f>+VLOOKUP(V721,Sheet1!$A$2:$B$27,2,0)</f>
        <v>Biaya Survey dan Analisa</v>
      </c>
      <c r="X721" s="4" t="str">
        <f>+VLOOKUP(U721,'FBCJ Jul-Des 2025'!$G$10:$P$1302,9,0)</f>
        <v>P206D1SLSC</v>
      </c>
      <c r="Y721" s="2" t="s">
        <v>43</v>
      </c>
      <c r="Z721" s="2">
        <v>1719278</v>
      </c>
      <c r="AA721" s="2">
        <v>20251015</v>
      </c>
      <c r="AB721" s="3">
        <v>50000</v>
      </c>
    </row>
    <row r="722" spans="3:28" x14ac:dyDescent="0.25">
      <c r="C722" s="2">
        <v>10000001</v>
      </c>
      <c r="D722" s="2" t="s">
        <v>1074</v>
      </c>
      <c r="F722" s="2">
        <v>12008533</v>
      </c>
      <c r="H722" s="2" t="s">
        <v>1074</v>
      </c>
      <c r="I722" s="2" t="str">
        <f t="shared" si="11"/>
        <v>10</v>
      </c>
      <c r="J722" s="2">
        <v>50</v>
      </c>
      <c r="K722" s="3">
        <v>-50000</v>
      </c>
      <c r="L722" s="2" t="s">
        <v>26</v>
      </c>
      <c r="M722" s="3">
        <v>-50000</v>
      </c>
      <c r="N722" s="2" t="s">
        <v>26</v>
      </c>
      <c r="R722" s="2" t="s">
        <v>27</v>
      </c>
      <c r="S722" s="2" t="s">
        <v>1075</v>
      </c>
      <c r="T722" s="2" t="s">
        <v>45</v>
      </c>
      <c r="U722" s="2" t="s">
        <v>1081</v>
      </c>
      <c r="V722" s="4">
        <f>+VLOOKUP(U722,'FBCJ Jul-Des 2025'!$G$10:$P$1302,8,0)</f>
        <v>70009110</v>
      </c>
      <c r="W722" s="4" t="str">
        <f>+VLOOKUP(V722,Sheet1!$A$2:$B$27,2,0)</f>
        <v>Biaya Survey dan Analisa</v>
      </c>
      <c r="X722" s="4" t="str">
        <f>+VLOOKUP(U722,'FBCJ Jul-Des 2025'!$G$10:$P$1302,9,0)</f>
        <v>P206D1SLSS</v>
      </c>
      <c r="Y722" s="2" t="s">
        <v>43</v>
      </c>
      <c r="Z722" s="2">
        <v>1719278</v>
      </c>
      <c r="AA722" s="2">
        <v>20251015</v>
      </c>
      <c r="AB722" s="3">
        <v>50000</v>
      </c>
    </row>
    <row r="723" spans="3:28" x14ac:dyDescent="0.25">
      <c r="C723" s="2">
        <v>10000001</v>
      </c>
      <c r="D723" s="2" t="s">
        <v>1074</v>
      </c>
      <c r="F723" s="2">
        <v>12008534</v>
      </c>
      <c r="H723" s="2" t="s">
        <v>1074</v>
      </c>
      <c r="I723" s="2" t="str">
        <f t="shared" si="11"/>
        <v>10</v>
      </c>
      <c r="J723" s="2">
        <v>50</v>
      </c>
      <c r="K723" s="3">
        <v>-50000</v>
      </c>
      <c r="L723" s="2" t="s">
        <v>26</v>
      </c>
      <c r="M723" s="3">
        <v>-50000</v>
      </c>
      <c r="N723" s="2" t="s">
        <v>26</v>
      </c>
      <c r="R723" s="2" t="s">
        <v>27</v>
      </c>
      <c r="S723" s="2" t="s">
        <v>1075</v>
      </c>
      <c r="T723" s="2" t="s">
        <v>45</v>
      </c>
      <c r="U723" s="2" t="s">
        <v>1082</v>
      </c>
      <c r="V723" s="4">
        <f>+VLOOKUP(U723,'FBCJ Jul-Des 2025'!$G$10:$P$1302,8,0)</f>
        <v>70009110</v>
      </c>
      <c r="W723" s="4" t="str">
        <f>+VLOOKUP(V723,Sheet1!$A$2:$B$27,2,0)</f>
        <v>Biaya Survey dan Analisa</v>
      </c>
      <c r="X723" s="4" t="str">
        <f>+VLOOKUP(U723,'FBCJ Jul-Des 2025'!$G$10:$P$1302,9,0)</f>
        <v>P206D1SLSS</v>
      </c>
      <c r="Y723" s="2" t="s">
        <v>43</v>
      </c>
      <c r="Z723" s="2">
        <v>1719278</v>
      </c>
      <c r="AA723" s="2">
        <v>20251015</v>
      </c>
      <c r="AB723" s="3">
        <v>50000</v>
      </c>
    </row>
    <row r="724" spans="3:28" x14ac:dyDescent="0.25">
      <c r="C724" s="2">
        <v>10000001</v>
      </c>
      <c r="D724" s="2" t="s">
        <v>1074</v>
      </c>
      <c r="F724" s="2">
        <v>12008535</v>
      </c>
      <c r="H724" s="2" t="s">
        <v>1074</v>
      </c>
      <c r="I724" s="2" t="str">
        <f t="shared" si="11"/>
        <v>10</v>
      </c>
      <c r="J724" s="2">
        <v>50</v>
      </c>
      <c r="K724" s="3">
        <v>-50000</v>
      </c>
      <c r="L724" s="2" t="s">
        <v>26</v>
      </c>
      <c r="M724" s="3">
        <v>-50000</v>
      </c>
      <c r="N724" s="2" t="s">
        <v>26</v>
      </c>
      <c r="R724" s="2" t="s">
        <v>27</v>
      </c>
      <c r="S724" s="2" t="s">
        <v>1075</v>
      </c>
      <c r="T724" s="2" t="s">
        <v>45</v>
      </c>
      <c r="U724" s="2" t="s">
        <v>1083</v>
      </c>
      <c r="V724" s="4">
        <f>+VLOOKUP(U724,'FBCJ Jul-Des 2025'!$G$10:$P$1302,8,0)</f>
        <v>70009110</v>
      </c>
      <c r="W724" s="4" t="str">
        <f>+VLOOKUP(V724,Sheet1!$A$2:$B$27,2,0)</f>
        <v>Biaya Survey dan Analisa</v>
      </c>
      <c r="X724" s="4" t="str">
        <f>+VLOOKUP(U724,'FBCJ Jul-Des 2025'!$G$10:$P$1302,9,0)</f>
        <v>P206D1SLSS</v>
      </c>
      <c r="Y724" s="2" t="s">
        <v>43</v>
      </c>
      <c r="Z724" s="2">
        <v>1719278</v>
      </c>
      <c r="AA724" s="2">
        <v>20251015</v>
      </c>
      <c r="AB724" s="3">
        <v>50000</v>
      </c>
    </row>
    <row r="725" spans="3:28" x14ac:dyDescent="0.25">
      <c r="C725" s="2">
        <v>10000001</v>
      </c>
      <c r="D725" s="2" t="s">
        <v>1074</v>
      </c>
      <c r="F725" s="2">
        <v>12008536</v>
      </c>
      <c r="H725" s="2" t="s">
        <v>1074</v>
      </c>
      <c r="I725" s="2" t="str">
        <f t="shared" si="11"/>
        <v>10</v>
      </c>
      <c r="J725" s="2">
        <v>50</v>
      </c>
      <c r="K725" s="3">
        <v>-50000</v>
      </c>
      <c r="L725" s="2" t="s">
        <v>26</v>
      </c>
      <c r="M725" s="3">
        <v>-50000</v>
      </c>
      <c r="N725" s="2" t="s">
        <v>26</v>
      </c>
      <c r="R725" s="2" t="s">
        <v>27</v>
      </c>
      <c r="S725" s="2" t="s">
        <v>1075</v>
      </c>
      <c r="T725" s="2" t="s">
        <v>45</v>
      </c>
      <c r="U725" s="2" t="s">
        <v>1084</v>
      </c>
      <c r="V725" s="4">
        <f>+VLOOKUP(U725,'FBCJ Jul-Des 2025'!$G$10:$P$1302,8,0)</f>
        <v>70009110</v>
      </c>
      <c r="W725" s="4" t="str">
        <f>+VLOOKUP(V725,Sheet1!$A$2:$B$27,2,0)</f>
        <v>Biaya Survey dan Analisa</v>
      </c>
      <c r="X725" s="4" t="str">
        <f>+VLOOKUP(U725,'FBCJ Jul-Des 2025'!$G$10:$P$1302,9,0)</f>
        <v>P206D1SLSS</v>
      </c>
      <c r="Y725" s="2" t="s">
        <v>43</v>
      </c>
      <c r="Z725" s="2">
        <v>1719278</v>
      </c>
      <c r="AA725" s="2">
        <v>20251015</v>
      </c>
      <c r="AB725" s="3">
        <v>50000</v>
      </c>
    </row>
    <row r="726" spans="3:28" x14ac:dyDescent="0.25">
      <c r="C726" s="2">
        <v>10000001</v>
      </c>
      <c r="D726" s="2" t="s">
        <v>1074</v>
      </c>
      <c r="F726" s="2">
        <v>12008537</v>
      </c>
      <c r="H726" s="2" t="s">
        <v>1074</v>
      </c>
      <c r="I726" s="2" t="str">
        <f t="shared" si="11"/>
        <v>10</v>
      </c>
      <c r="J726" s="2">
        <v>50</v>
      </c>
      <c r="K726" s="3">
        <v>-4000</v>
      </c>
      <c r="L726" s="2" t="s">
        <v>26</v>
      </c>
      <c r="M726" s="3">
        <v>-4000</v>
      </c>
      <c r="N726" s="2" t="s">
        <v>26</v>
      </c>
      <c r="R726" s="2" t="s">
        <v>27</v>
      </c>
      <c r="S726" s="2" t="s">
        <v>1075</v>
      </c>
      <c r="T726" s="2" t="s">
        <v>334</v>
      </c>
      <c r="U726" s="2" t="s">
        <v>1085</v>
      </c>
      <c r="V726" s="4">
        <f>+VLOOKUP(U726,'FBCJ Jul-Des 2025'!$G$10:$P$1302,8,0)</f>
        <v>70001110</v>
      </c>
      <c r="W726" s="4" t="str">
        <f>+VLOOKUP(V726,Sheet1!$A$2:$B$27,2,0)</f>
        <v>Biaya Ekspor lainnya</v>
      </c>
      <c r="X726" s="4" t="str">
        <f>+VLOOKUP(U726,'FBCJ Jul-Des 2025'!$G$10:$P$1302,9,0)</f>
        <v>M204D1COMM</v>
      </c>
      <c r="Y726" s="2" t="s">
        <v>43</v>
      </c>
      <c r="Z726" s="2">
        <v>1719278</v>
      </c>
      <c r="AA726" s="2">
        <v>20251015</v>
      </c>
      <c r="AB726" s="3">
        <v>4000</v>
      </c>
    </row>
    <row r="727" spans="3:28" x14ac:dyDescent="0.25">
      <c r="C727" s="2">
        <v>10000001</v>
      </c>
      <c r="D727" s="2" t="s">
        <v>1074</v>
      </c>
      <c r="F727" s="2">
        <v>12008538</v>
      </c>
      <c r="H727" s="2" t="s">
        <v>1074</v>
      </c>
      <c r="I727" s="2" t="str">
        <f t="shared" si="11"/>
        <v>10</v>
      </c>
      <c r="J727" s="2">
        <v>50</v>
      </c>
      <c r="K727" s="3">
        <v>-200000</v>
      </c>
      <c r="L727" s="2" t="s">
        <v>26</v>
      </c>
      <c r="M727" s="3">
        <v>-200000</v>
      </c>
      <c r="N727" s="2" t="s">
        <v>26</v>
      </c>
      <c r="R727" s="2" t="s">
        <v>27</v>
      </c>
      <c r="S727" s="2" t="s">
        <v>1086</v>
      </c>
      <c r="T727" s="2" t="s">
        <v>126</v>
      </c>
      <c r="U727" s="2" t="s">
        <v>1087</v>
      </c>
      <c r="V727" s="4">
        <f>+VLOOKUP(U727,'FBCJ Jul-Des 2025'!$G$10:$P$1302,8,0)</f>
        <v>70107600</v>
      </c>
      <c r="W727" s="4" t="str">
        <f>+VLOOKUP(V727,Sheet1!$A$2:$B$27,2,0)</f>
        <v>Biaya Konsumsi Kantor</v>
      </c>
      <c r="X727" s="4" t="str">
        <f>+VLOOKUP(U727,'FBCJ Jul-Des 2025'!$G$10:$P$1302,9,0)</f>
        <v>R124BLR</v>
      </c>
      <c r="Y727" s="2" t="s">
        <v>43</v>
      </c>
      <c r="Z727" s="2">
        <v>1719278</v>
      </c>
      <c r="AA727" s="2">
        <v>20251015</v>
      </c>
      <c r="AB727" s="3">
        <v>200000</v>
      </c>
    </row>
    <row r="728" spans="3:28" x14ac:dyDescent="0.25">
      <c r="C728" s="2">
        <v>10000001</v>
      </c>
      <c r="D728" s="2" t="s">
        <v>1074</v>
      </c>
      <c r="F728" s="2">
        <v>12008539</v>
      </c>
      <c r="H728" s="2" t="s">
        <v>1074</v>
      </c>
      <c r="I728" s="2" t="str">
        <f t="shared" si="11"/>
        <v>10</v>
      </c>
      <c r="J728" s="2">
        <v>50</v>
      </c>
      <c r="K728" s="3">
        <v>-331000</v>
      </c>
      <c r="L728" s="2" t="s">
        <v>26</v>
      </c>
      <c r="M728" s="3">
        <v>-331000</v>
      </c>
      <c r="N728" s="2" t="s">
        <v>26</v>
      </c>
      <c r="R728" s="2" t="s">
        <v>27</v>
      </c>
      <c r="S728" s="2" t="s">
        <v>1086</v>
      </c>
      <c r="T728" s="2" t="s">
        <v>59</v>
      </c>
      <c r="U728" s="2" t="s">
        <v>1088</v>
      </c>
      <c r="V728" s="4">
        <f>+VLOOKUP(U728,'FBCJ Jul-Des 2025'!$G$10:$P$1302,8,0)</f>
        <v>70101114</v>
      </c>
      <c r="W728" s="4" t="str">
        <f>+VLOOKUP(V728,Sheet1!$A$2:$B$27,2,0)</f>
        <v>By Perbaikan &amp; Perawatan Perabot Material Pihak3</v>
      </c>
      <c r="X728" s="4" t="str">
        <f>+VLOOKUP(U728,'FBCJ Jul-Des 2025'!$G$10:$P$1302,9,0)</f>
        <v>R124BLR</v>
      </c>
      <c r="Y728" s="2" t="s">
        <v>43</v>
      </c>
      <c r="Z728" s="2">
        <v>1719278</v>
      </c>
      <c r="AA728" s="2">
        <v>20251015</v>
      </c>
      <c r="AB728" s="3">
        <v>331000</v>
      </c>
    </row>
    <row r="729" spans="3:28" x14ac:dyDescent="0.25">
      <c r="C729" s="2">
        <v>10000001</v>
      </c>
      <c r="D729" s="2" t="s">
        <v>1074</v>
      </c>
      <c r="F729" s="2">
        <v>12008540</v>
      </c>
      <c r="H729" s="2" t="s">
        <v>1074</v>
      </c>
      <c r="I729" s="2" t="str">
        <f t="shared" si="11"/>
        <v>10</v>
      </c>
      <c r="J729" s="2">
        <v>50</v>
      </c>
      <c r="K729" s="3">
        <v>-931500</v>
      </c>
      <c r="L729" s="2" t="s">
        <v>26</v>
      </c>
      <c r="M729" s="3">
        <v>-931500</v>
      </c>
      <c r="N729" s="2" t="s">
        <v>26</v>
      </c>
      <c r="R729" s="2" t="s">
        <v>27</v>
      </c>
      <c r="S729" s="2" t="s">
        <v>1089</v>
      </c>
      <c r="T729" s="2" t="s">
        <v>67</v>
      </c>
      <c r="U729" s="2" t="s">
        <v>1090</v>
      </c>
      <c r="V729" s="4">
        <f>+VLOOKUP(U729,'FBCJ Jul-Des 2025'!$G$10:$P$1302,8,0)</f>
        <v>70106100</v>
      </c>
      <c r="W729" s="4" t="str">
        <f>+VLOOKUP(V729,Sheet1!$A$2:$B$27,2,0)</f>
        <v>Biaya Transportasi Lokal</v>
      </c>
      <c r="X729" s="4" t="str">
        <f>+VLOOKUP(U729,'FBCJ Jul-Des 2025'!$G$10:$P$1302,9,0)</f>
        <v>R124BLR</v>
      </c>
      <c r="Y729" s="2" t="s">
        <v>43</v>
      </c>
      <c r="Z729" s="2">
        <v>1719278</v>
      </c>
      <c r="AA729" s="2">
        <v>20251015</v>
      </c>
      <c r="AB729" s="3">
        <v>931500</v>
      </c>
    </row>
    <row r="730" spans="3:28" x14ac:dyDescent="0.25">
      <c r="C730" s="2">
        <v>10000001</v>
      </c>
      <c r="D730" s="2" t="s">
        <v>1074</v>
      </c>
      <c r="F730" s="2">
        <v>12008541</v>
      </c>
      <c r="H730" s="2" t="s">
        <v>1074</v>
      </c>
      <c r="I730" s="2" t="str">
        <f t="shared" si="11"/>
        <v>10</v>
      </c>
      <c r="J730" s="2">
        <v>50</v>
      </c>
      <c r="K730" s="3">
        <v>-590000</v>
      </c>
      <c r="L730" s="2" t="s">
        <v>26</v>
      </c>
      <c r="M730" s="3">
        <v>-590000</v>
      </c>
      <c r="N730" s="2" t="s">
        <v>26</v>
      </c>
      <c r="R730" s="2" t="s">
        <v>27</v>
      </c>
      <c r="S730" s="2" t="s">
        <v>1091</v>
      </c>
      <c r="T730" s="2" t="s">
        <v>96</v>
      </c>
      <c r="U730" s="2" t="s">
        <v>1092</v>
      </c>
      <c r="V730" s="4">
        <f>+VLOOKUP(U730,'FBCJ Jul-Des 2025'!$G$10:$P$1302,8,0)</f>
        <v>70106400</v>
      </c>
      <c r="W730" s="4" t="str">
        <f>+VLOOKUP(V730,Sheet1!$A$2:$B$27,2,0)</f>
        <v>Biaya Bahan Bakar</v>
      </c>
      <c r="X730" s="4" t="str">
        <f>+VLOOKUP(U730,'FBCJ Jul-Des 2025'!$G$10:$P$1302,9,0)</f>
        <v>R124D1HRGA</v>
      </c>
      <c r="Y730" s="2" t="s">
        <v>43</v>
      </c>
      <c r="Z730" s="2">
        <v>1719278</v>
      </c>
      <c r="AA730" s="2">
        <v>20251015</v>
      </c>
      <c r="AB730" s="3">
        <v>590000</v>
      </c>
    </row>
    <row r="731" spans="3:28" x14ac:dyDescent="0.25">
      <c r="C731" s="2">
        <v>10000001</v>
      </c>
      <c r="D731" s="2" t="s">
        <v>1074</v>
      </c>
      <c r="F731" s="2">
        <v>12008542</v>
      </c>
      <c r="H731" s="2" t="s">
        <v>1074</v>
      </c>
      <c r="I731" s="2" t="str">
        <f t="shared" si="11"/>
        <v>10</v>
      </c>
      <c r="J731" s="2">
        <v>50</v>
      </c>
      <c r="K731" s="3">
        <v>-409000</v>
      </c>
      <c r="L731" s="2" t="s">
        <v>26</v>
      </c>
      <c r="M731" s="3">
        <v>-409000</v>
      </c>
      <c r="N731" s="2" t="s">
        <v>26</v>
      </c>
      <c r="R731" s="2" t="s">
        <v>27</v>
      </c>
      <c r="S731" s="2" t="s">
        <v>1091</v>
      </c>
      <c r="T731" s="2" t="s">
        <v>67</v>
      </c>
      <c r="U731" s="2" t="s">
        <v>98</v>
      </c>
      <c r="V731" s="4">
        <f>+VLOOKUP(U731,'FBCJ Jul-Des 2025'!$G$10:$P$1302,8,0)</f>
        <v>70106100</v>
      </c>
      <c r="W731" s="4" t="str">
        <f>+VLOOKUP(V731,Sheet1!$A$2:$B$27,2,0)</f>
        <v>Biaya Transportasi Lokal</v>
      </c>
      <c r="X731" s="4" t="str">
        <f>+VLOOKUP(U731,'FBCJ Jul-Des 2025'!$G$10:$P$1302,9,0)</f>
        <v>R124D1HRGA</v>
      </c>
      <c r="Y731" s="2" t="s">
        <v>43</v>
      </c>
      <c r="Z731" s="2">
        <v>1719278</v>
      </c>
      <c r="AA731" s="2">
        <v>20251015</v>
      </c>
      <c r="AB731" s="3">
        <v>409000</v>
      </c>
    </row>
    <row r="732" spans="3:28" x14ac:dyDescent="0.25">
      <c r="C732" s="2">
        <v>10000001</v>
      </c>
      <c r="D732" s="2" t="s">
        <v>1074</v>
      </c>
      <c r="F732" s="2">
        <v>12008543</v>
      </c>
      <c r="H732" s="2" t="s">
        <v>1074</v>
      </c>
      <c r="I732" s="2" t="str">
        <f t="shared" si="11"/>
        <v>10</v>
      </c>
      <c r="J732" s="2">
        <v>50</v>
      </c>
      <c r="K732" s="3">
        <v>-300000</v>
      </c>
      <c r="L732" s="2" t="s">
        <v>26</v>
      </c>
      <c r="M732" s="3">
        <v>-300000</v>
      </c>
      <c r="N732" s="2" t="s">
        <v>26</v>
      </c>
      <c r="R732" s="2" t="s">
        <v>27</v>
      </c>
      <c r="S732" s="2" t="s">
        <v>1093</v>
      </c>
      <c r="T732" s="2" t="s">
        <v>57</v>
      </c>
      <c r="U732" s="2" t="s">
        <v>181</v>
      </c>
      <c r="V732" s="4">
        <f>+VLOOKUP(U732,'FBCJ Jul-Des 2025'!$G$10:$P$1302,8,0)</f>
        <v>70101202</v>
      </c>
      <c r="W732" s="4" t="str">
        <f>+VLOOKUP(V732,Sheet1!$A$2:$B$27,2,0)</f>
        <v>By Pemeliharaan Kend,ABerat,Mesin-Material Pihak3</v>
      </c>
      <c r="X732" s="4" t="str">
        <f>+VLOOKUP(U732,'FBCJ Jul-Des 2025'!$G$10:$P$1302,9,0)</f>
        <v>P206D1SLSS</v>
      </c>
      <c r="Y732" s="2" t="s">
        <v>43</v>
      </c>
      <c r="Z732" s="2">
        <v>1719278</v>
      </c>
      <c r="AA732" s="2">
        <v>20251015</v>
      </c>
      <c r="AB732" s="3">
        <v>300000</v>
      </c>
    </row>
    <row r="733" spans="3:28" x14ac:dyDescent="0.25">
      <c r="C733" s="2">
        <v>10000001</v>
      </c>
      <c r="D733" s="2" t="s">
        <v>1074</v>
      </c>
      <c r="F733" s="2">
        <v>12008544</v>
      </c>
      <c r="H733" s="2" t="s">
        <v>1074</v>
      </c>
      <c r="I733" s="2" t="str">
        <f t="shared" si="11"/>
        <v>10</v>
      </c>
      <c r="J733" s="2">
        <v>50</v>
      </c>
      <c r="K733" s="3">
        <v>-361000</v>
      </c>
      <c r="L733" s="2" t="s">
        <v>26</v>
      </c>
      <c r="M733" s="3">
        <v>-361000</v>
      </c>
      <c r="N733" s="2" t="s">
        <v>26</v>
      </c>
      <c r="R733" s="2" t="s">
        <v>27</v>
      </c>
      <c r="S733" s="2" t="s">
        <v>1094</v>
      </c>
      <c r="T733" s="2" t="s">
        <v>57</v>
      </c>
      <c r="U733" s="2" t="s">
        <v>1095</v>
      </c>
      <c r="V733" s="4">
        <f>+VLOOKUP(U733,'FBCJ Jul-Des 2025'!$G$10:$P$1302,8,0)</f>
        <v>70101202</v>
      </c>
      <c r="W733" s="4" t="str">
        <f>+VLOOKUP(V733,Sheet1!$A$2:$B$27,2,0)</f>
        <v>By Pemeliharaan Kend,ABerat,Mesin-Material Pihak3</v>
      </c>
      <c r="X733" s="4" t="str">
        <f>+VLOOKUP(U733,'FBCJ Jul-Des 2025'!$G$10:$P$1302,9,0)</f>
        <v>R124D1FRCO</v>
      </c>
      <c r="Y733" s="2" t="s">
        <v>43</v>
      </c>
      <c r="Z733" s="2">
        <v>1719278</v>
      </c>
      <c r="AA733" s="2">
        <v>20251015</v>
      </c>
      <c r="AB733" s="3">
        <v>361000</v>
      </c>
    </row>
    <row r="734" spans="3:28" x14ac:dyDescent="0.25">
      <c r="C734" s="2">
        <v>10000001</v>
      </c>
      <c r="D734" s="2" t="s">
        <v>1074</v>
      </c>
      <c r="F734" s="2">
        <v>12008545</v>
      </c>
      <c r="H734" s="2" t="s">
        <v>1074</v>
      </c>
      <c r="I734" s="2" t="str">
        <f t="shared" si="11"/>
        <v>10</v>
      </c>
      <c r="J734" s="2">
        <v>50</v>
      </c>
      <c r="K734" s="3">
        <v>-610000</v>
      </c>
      <c r="L734" s="2" t="s">
        <v>26</v>
      </c>
      <c r="M734" s="3">
        <v>-610000</v>
      </c>
      <c r="N734" s="2" t="s">
        <v>26</v>
      </c>
      <c r="R734" s="2" t="s">
        <v>27</v>
      </c>
      <c r="S734" s="2" t="s">
        <v>1096</v>
      </c>
      <c r="T734" s="2" t="s">
        <v>96</v>
      </c>
      <c r="U734" s="2" t="s">
        <v>1097</v>
      </c>
      <c r="V734" s="4">
        <f>+VLOOKUP(U734,'FBCJ Jul-Des 2025'!$G$10:$P$1302,8,0)</f>
        <v>70106400</v>
      </c>
      <c r="W734" s="4" t="str">
        <f>+VLOOKUP(V734,Sheet1!$A$2:$B$27,2,0)</f>
        <v>Biaya Bahan Bakar</v>
      </c>
      <c r="X734" s="4" t="str">
        <f>+VLOOKUP(U734,'FBCJ Jul-Des 2025'!$G$10:$P$1302,9,0)</f>
        <v>R124D1HRGA</v>
      </c>
      <c r="Y734" s="2" t="s">
        <v>43</v>
      </c>
      <c r="Z734" s="2">
        <v>1719278</v>
      </c>
      <c r="AA734" s="2">
        <v>20251015</v>
      </c>
      <c r="AB734" s="3">
        <v>610000</v>
      </c>
    </row>
    <row r="735" spans="3:28" x14ac:dyDescent="0.25">
      <c r="C735" s="2">
        <v>10000001</v>
      </c>
      <c r="D735" s="2" t="s">
        <v>1074</v>
      </c>
      <c r="F735" s="2">
        <v>12008546</v>
      </c>
      <c r="H735" s="2" t="s">
        <v>1074</v>
      </c>
      <c r="I735" s="2" t="str">
        <f t="shared" si="11"/>
        <v>10</v>
      </c>
      <c r="J735" s="2">
        <v>50</v>
      </c>
      <c r="K735" s="3">
        <v>-389500</v>
      </c>
      <c r="L735" s="2" t="s">
        <v>26</v>
      </c>
      <c r="M735" s="3">
        <v>-389500</v>
      </c>
      <c r="N735" s="2" t="s">
        <v>26</v>
      </c>
      <c r="R735" s="2" t="s">
        <v>27</v>
      </c>
      <c r="S735" s="2" t="s">
        <v>1096</v>
      </c>
      <c r="T735" s="2" t="s">
        <v>67</v>
      </c>
      <c r="U735" s="2" t="s">
        <v>98</v>
      </c>
      <c r="V735" s="4">
        <f>+VLOOKUP(U735,'FBCJ Jul-Des 2025'!$G$10:$P$1302,8,0)</f>
        <v>70106100</v>
      </c>
      <c r="W735" s="4" t="str">
        <f>+VLOOKUP(V735,Sheet1!$A$2:$B$27,2,0)</f>
        <v>Biaya Transportasi Lokal</v>
      </c>
      <c r="X735" s="4" t="str">
        <f>+VLOOKUP(U735,'FBCJ Jul-Des 2025'!$G$10:$P$1302,9,0)</f>
        <v>R124D1HRGA</v>
      </c>
      <c r="Y735" s="2" t="s">
        <v>43</v>
      </c>
      <c r="Z735" s="2">
        <v>1719278</v>
      </c>
      <c r="AA735" s="2">
        <v>20251015</v>
      </c>
      <c r="AB735" s="3">
        <v>389500</v>
      </c>
    </row>
    <row r="736" spans="3:28" x14ac:dyDescent="0.25">
      <c r="C736" s="2">
        <v>10000001</v>
      </c>
      <c r="D736" s="2" t="s">
        <v>1074</v>
      </c>
      <c r="F736" s="2">
        <v>12008547</v>
      </c>
      <c r="H736" s="2" t="s">
        <v>1074</v>
      </c>
      <c r="I736" s="2" t="str">
        <f t="shared" si="11"/>
        <v>10</v>
      </c>
      <c r="J736" s="2">
        <v>50</v>
      </c>
      <c r="K736" s="3">
        <v>-100000</v>
      </c>
      <c r="L736" s="2" t="s">
        <v>26</v>
      </c>
      <c r="M736" s="3">
        <v>-100000</v>
      </c>
      <c r="N736" s="2" t="s">
        <v>26</v>
      </c>
      <c r="R736" s="2" t="s">
        <v>27</v>
      </c>
      <c r="S736" s="2" t="s">
        <v>1098</v>
      </c>
      <c r="T736" s="2" t="s">
        <v>45</v>
      </c>
      <c r="U736" s="2" t="s">
        <v>1099</v>
      </c>
      <c r="V736" s="4">
        <f>+VLOOKUP(U736,'FBCJ Jul-Des 2025'!$G$10:$P$1302,8,0)</f>
        <v>70009110</v>
      </c>
      <c r="W736" s="4" t="str">
        <f>+VLOOKUP(V736,Sheet1!$A$2:$B$27,2,0)</f>
        <v>Biaya Survey dan Analisa</v>
      </c>
      <c r="X736" s="4" t="str">
        <f>+VLOOKUP(U736,'FBCJ Jul-Des 2025'!$G$10:$P$1302,9,0)</f>
        <v>C206D1SLSS</v>
      </c>
      <c r="Y736" s="2" t="s">
        <v>43</v>
      </c>
      <c r="Z736" s="2">
        <v>1719278</v>
      </c>
      <c r="AA736" s="2">
        <v>20251015</v>
      </c>
      <c r="AB736" s="3">
        <v>100000</v>
      </c>
    </row>
    <row r="737" spans="3:28" x14ac:dyDescent="0.25">
      <c r="C737" s="2">
        <v>10000001</v>
      </c>
      <c r="D737" s="2" t="s">
        <v>1074</v>
      </c>
      <c r="F737" s="2">
        <v>12008548</v>
      </c>
      <c r="H737" s="2" t="s">
        <v>1074</v>
      </c>
      <c r="I737" s="2" t="str">
        <f t="shared" si="11"/>
        <v>10</v>
      </c>
      <c r="J737" s="2">
        <v>50</v>
      </c>
      <c r="K737" s="3">
        <v>-100000</v>
      </c>
      <c r="L737" s="2" t="s">
        <v>26</v>
      </c>
      <c r="M737" s="3">
        <v>-100000</v>
      </c>
      <c r="N737" s="2" t="s">
        <v>26</v>
      </c>
      <c r="R737" s="2" t="s">
        <v>27</v>
      </c>
      <c r="S737" s="2" t="s">
        <v>1098</v>
      </c>
      <c r="T737" s="2" t="s">
        <v>45</v>
      </c>
      <c r="U737" s="2" t="s">
        <v>1100</v>
      </c>
      <c r="V737" s="4">
        <f>+VLOOKUP(U737,'FBCJ Jul-Des 2025'!$G$10:$P$1302,8,0)</f>
        <v>70009110</v>
      </c>
      <c r="W737" s="4" t="str">
        <f>+VLOOKUP(V737,Sheet1!$A$2:$B$27,2,0)</f>
        <v>Biaya Survey dan Analisa</v>
      </c>
      <c r="X737" s="4" t="str">
        <f>+VLOOKUP(U737,'FBCJ Jul-Des 2025'!$G$10:$P$1302,9,0)</f>
        <v>C206D1SLSS</v>
      </c>
      <c r="Y737" s="2" t="s">
        <v>43</v>
      </c>
      <c r="Z737" s="2">
        <v>1719278</v>
      </c>
      <c r="AA737" s="2">
        <v>20251015</v>
      </c>
      <c r="AB737" s="3">
        <v>100000</v>
      </c>
    </row>
    <row r="738" spans="3:28" x14ac:dyDescent="0.25">
      <c r="C738" s="2">
        <v>10000001</v>
      </c>
      <c r="D738" s="2" t="s">
        <v>1074</v>
      </c>
      <c r="F738" s="2">
        <v>12008549</v>
      </c>
      <c r="H738" s="2" t="s">
        <v>1074</v>
      </c>
      <c r="I738" s="2" t="str">
        <f t="shared" si="11"/>
        <v>10</v>
      </c>
      <c r="J738" s="2">
        <v>50</v>
      </c>
      <c r="K738" s="3">
        <v>-75000</v>
      </c>
      <c r="L738" s="2" t="s">
        <v>26</v>
      </c>
      <c r="M738" s="3">
        <v>-75000</v>
      </c>
      <c r="N738" s="2" t="s">
        <v>26</v>
      </c>
      <c r="R738" s="2" t="s">
        <v>27</v>
      </c>
      <c r="S738" s="2" t="s">
        <v>1101</v>
      </c>
      <c r="T738" s="2" t="s">
        <v>126</v>
      </c>
      <c r="U738" s="2" t="s">
        <v>1102</v>
      </c>
      <c r="V738" s="4">
        <f>+VLOOKUP(U738,'FBCJ Jul-Des 2025'!$G$10:$P$1302,8,0)</f>
        <v>70107600</v>
      </c>
      <c r="W738" s="4" t="str">
        <f>+VLOOKUP(V738,Sheet1!$A$2:$B$27,2,0)</f>
        <v>Biaya Konsumsi Kantor</v>
      </c>
      <c r="X738" s="4" t="str">
        <f>+VLOOKUP(U738,'FBCJ Jul-Des 2025'!$G$10:$P$1302,9,0)</f>
        <v>R124MNT</v>
      </c>
      <c r="Y738" s="2" t="s">
        <v>43</v>
      </c>
      <c r="Z738" s="2">
        <v>1719278</v>
      </c>
      <c r="AA738" s="2">
        <v>20251015</v>
      </c>
      <c r="AB738" s="3">
        <v>75000</v>
      </c>
    </row>
    <row r="739" spans="3:28" x14ac:dyDescent="0.25">
      <c r="C739" s="2">
        <v>10000001</v>
      </c>
      <c r="D739" s="2" t="s">
        <v>1074</v>
      </c>
      <c r="F739" s="2">
        <v>12008550</v>
      </c>
      <c r="H739" s="2" t="s">
        <v>1074</v>
      </c>
      <c r="I739" s="2" t="str">
        <f t="shared" si="11"/>
        <v>10</v>
      </c>
      <c r="J739" s="2">
        <v>50</v>
      </c>
      <c r="K739" s="3">
        <v>-50000</v>
      </c>
      <c r="L739" s="2" t="s">
        <v>26</v>
      </c>
      <c r="M739" s="3">
        <v>-50000</v>
      </c>
      <c r="N739" s="2" t="s">
        <v>26</v>
      </c>
      <c r="R739" s="2" t="s">
        <v>27</v>
      </c>
      <c r="S739" s="2" t="s">
        <v>1103</v>
      </c>
      <c r="T739" s="2" t="s">
        <v>126</v>
      </c>
      <c r="U739" s="2" t="s">
        <v>1104</v>
      </c>
      <c r="V739" s="4">
        <f>+VLOOKUP(U739,'FBCJ Jul-Des 2025'!$G$10:$P$1302,8,0)</f>
        <v>70107600</v>
      </c>
      <c r="W739" s="4" t="str">
        <f>+VLOOKUP(V739,Sheet1!$A$2:$B$27,2,0)</f>
        <v>Biaya Konsumsi Kantor</v>
      </c>
      <c r="X739" s="4" t="str">
        <f>+VLOOKUP(U739,'FBCJ Jul-Des 2025'!$G$10:$P$1302,9,0)</f>
        <v>R124MNT</v>
      </c>
      <c r="Y739" s="2" t="s">
        <v>43</v>
      </c>
      <c r="Z739" s="2">
        <v>1719278</v>
      </c>
      <c r="AA739" s="2">
        <v>20251015</v>
      </c>
      <c r="AB739" s="3">
        <v>50000</v>
      </c>
    </row>
    <row r="740" spans="3:28" x14ac:dyDescent="0.25">
      <c r="C740" s="2">
        <v>10000001</v>
      </c>
      <c r="D740" s="2" t="s">
        <v>1074</v>
      </c>
      <c r="F740" s="2">
        <v>12008551</v>
      </c>
      <c r="H740" s="2" t="s">
        <v>1074</v>
      </c>
      <c r="I740" s="2" t="str">
        <f t="shared" si="11"/>
        <v>10</v>
      </c>
      <c r="J740" s="2">
        <v>50</v>
      </c>
      <c r="K740" s="3">
        <v>-202500</v>
      </c>
      <c r="L740" s="2" t="s">
        <v>26</v>
      </c>
      <c r="M740" s="3">
        <v>-202500</v>
      </c>
      <c r="N740" s="2" t="s">
        <v>26</v>
      </c>
      <c r="R740" s="2" t="s">
        <v>27</v>
      </c>
      <c r="S740" s="2" t="s">
        <v>1103</v>
      </c>
      <c r="T740" s="2" t="s">
        <v>67</v>
      </c>
      <c r="U740" s="2" t="s">
        <v>1105</v>
      </c>
      <c r="V740" s="4">
        <f>+VLOOKUP(U740,'FBCJ Jul-Des 2025'!$G$10:$P$1302,8,0)</f>
        <v>70106100</v>
      </c>
      <c r="W740" s="4" t="str">
        <f>+VLOOKUP(V740,Sheet1!$A$2:$B$27,2,0)</f>
        <v>Biaya Transportasi Lokal</v>
      </c>
      <c r="X740" s="4" t="str">
        <f>+VLOOKUP(U740,'FBCJ Jul-Des 2025'!$G$10:$P$1302,9,0)</f>
        <v>R124MNT</v>
      </c>
      <c r="Y740" s="2" t="s">
        <v>43</v>
      </c>
      <c r="Z740" s="2">
        <v>1719278</v>
      </c>
      <c r="AA740" s="2">
        <v>20251015</v>
      </c>
      <c r="AB740" s="3">
        <v>202500</v>
      </c>
    </row>
    <row r="741" spans="3:28" x14ac:dyDescent="0.25">
      <c r="C741" s="2">
        <v>10000001</v>
      </c>
      <c r="D741" s="2" t="s">
        <v>1074</v>
      </c>
      <c r="F741" s="2">
        <v>12008552</v>
      </c>
      <c r="H741" s="2" t="s">
        <v>1074</v>
      </c>
      <c r="I741" s="2" t="str">
        <f t="shared" si="11"/>
        <v>10</v>
      </c>
      <c r="J741" s="2">
        <v>50</v>
      </c>
      <c r="K741" s="3">
        <v>-25000</v>
      </c>
      <c r="L741" s="2" t="s">
        <v>26</v>
      </c>
      <c r="M741" s="3">
        <v>-25000</v>
      </c>
      <c r="N741" s="2" t="s">
        <v>26</v>
      </c>
      <c r="R741" s="2" t="s">
        <v>27</v>
      </c>
      <c r="S741" s="2" t="s">
        <v>1106</v>
      </c>
      <c r="T741" s="2" t="s">
        <v>126</v>
      </c>
      <c r="U741" s="2" t="s">
        <v>1107</v>
      </c>
      <c r="V741" s="4">
        <f>+VLOOKUP(U741,'FBCJ Jul-Des 2025'!$G$10:$P$1302,8,0)</f>
        <v>70107600</v>
      </c>
      <c r="W741" s="4" t="str">
        <f>+VLOOKUP(V741,Sheet1!$A$2:$B$27,2,0)</f>
        <v>Biaya Konsumsi Kantor</v>
      </c>
      <c r="X741" s="4" t="str">
        <f>+VLOOKUP(U741,'FBCJ Jul-Des 2025'!$G$10:$P$1302,9,0)</f>
        <v>R124MNT</v>
      </c>
      <c r="Y741" s="2" t="s">
        <v>43</v>
      </c>
      <c r="Z741" s="2">
        <v>1719278</v>
      </c>
      <c r="AA741" s="2">
        <v>20251015</v>
      </c>
      <c r="AB741" s="3">
        <v>25000</v>
      </c>
    </row>
    <row r="742" spans="3:28" x14ac:dyDescent="0.25">
      <c r="C742" s="2">
        <v>10000001</v>
      </c>
      <c r="D742" s="2" t="s">
        <v>1074</v>
      </c>
      <c r="F742" s="2">
        <v>12008553</v>
      </c>
      <c r="H742" s="2" t="s">
        <v>1074</v>
      </c>
      <c r="I742" s="2" t="str">
        <f t="shared" si="11"/>
        <v>10</v>
      </c>
      <c r="J742" s="2">
        <v>50</v>
      </c>
      <c r="K742" s="3">
        <v>-706000</v>
      </c>
      <c r="L742" s="2" t="s">
        <v>26</v>
      </c>
      <c r="M742" s="3">
        <v>-706000</v>
      </c>
      <c r="N742" s="2" t="s">
        <v>26</v>
      </c>
      <c r="R742" s="2" t="s">
        <v>27</v>
      </c>
      <c r="S742" s="2" t="s">
        <v>1108</v>
      </c>
      <c r="T742" s="2" t="s">
        <v>57</v>
      </c>
      <c r="U742" s="2" t="s">
        <v>1109</v>
      </c>
      <c r="V742" s="4">
        <f>+VLOOKUP(U742,'FBCJ Jul-Des 2025'!$G$10:$P$1302,8,0)</f>
        <v>70101202</v>
      </c>
      <c r="W742" s="4" t="str">
        <f>+VLOOKUP(V742,Sheet1!$A$2:$B$27,2,0)</f>
        <v>By Pemeliharaan Kend,ABerat,Mesin-Material Pihak3</v>
      </c>
      <c r="X742" s="4" t="str">
        <f>+VLOOKUP(U742,'FBCJ Jul-Des 2025'!$G$10:$P$1302,9,0)</f>
        <v>R124REF4</v>
      </c>
      <c r="Y742" s="2" t="s">
        <v>43</v>
      </c>
      <c r="Z742" s="2">
        <v>1719278</v>
      </c>
      <c r="AA742" s="2">
        <v>20251015</v>
      </c>
      <c r="AB742" s="3">
        <v>706000</v>
      </c>
    </row>
    <row r="743" spans="3:28" x14ac:dyDescent="0.25">
      <c r="C743" s="2">
        <v>10000001</v>
      </c>
      <c r="D743" s="2" t="s">
        <v>1074</v>
      </c>
      <c r="F743" s="2">
        <v>12008554</v>
      </c>
      <c r="H743" s="2" t="s">
        <v>1074</v>
      </c>
      <c r="I743" s="2" t="str">
        <f t="shared" si="11"/>
        <v>10</v>
      </c>
      <c r="J743" s="2">
        <v>50</v>
      </c>
      <c r="K743" s="3">
        <v>-972500</v>
      </c>
      <c r="L743" s="2" t="s">
        <v>26</v>
      </c>
      <c r="M743" s="3">
        <v>-972500</v>
      </c>
      <c r="N743" s="2" t="s">
        <v>26</v>
      </c>
      <c r="R743" s="2" t="s">
        <v>27</v>
      </c>
      <c r="S743" s="2" t="s">
        <v>1110</v>
      </c>
      <c r="T743" s="2" t="s">
        <v>59</v>
      </c>
      <c r="U743" s="2" t="s">
        <v>1111</v>
      </c>
      <c r="V743" s="4">
        <f>+VLOOKUP(U743,'FBCJ Jul-Des 2025'!$G$10:$P$1302,8,0)</f>
        <v>70101114</v>
      </c>
      <c r="W743" s="4" t="str">
        <f>+VLOOKUP(V743,Sheet1!$A$2:$B$27,2,0)</f>
        <v>By Perbaikan &amp; Perawatan Perabot Material Pihak3</v>
      </c>
      <c r="X743" s="4" t="str">
        <f>+VLOOKUP(U743,'FBCJ Jul-Des 2025'!$G$10:$P$1302,9,0)</f>
        <v>R124FRA</v>
      </c>
      <c r="Y743" s="2" t="s">
        <v>43</v>
      </c>
      <c r="Z743" s="2">
        <v>1719278</v>
      </c>
      <c r="AA743" s="2">
        <v>20251015</v>
      </c>
      <c r="AB743" s="3">
        <v>972500</v>
      </c>
    </row>
    <row r="744" spans="3:28" x14ac:dyDescent="0.25">
      <c r="C744" s="2">
        <v>10000001</v>
      </c>
      <c r="D744" s="2" t="s">
        <v>1074</v>
      </c>
      <c r="F744" s="2">
        <v>12008555</v>
      </c>
      <c r="H744" s="2" t="s">
        <v>1074</v>
      </c>
      <c r="I744" s="2" t="str">
        <f t="shared" si="11"/>
        <v>10</v>
      </c>
      <c r="J744" s="2">
        <v>50</v>
      </c>
      <c r="K744" s="3">
        <v>-25000</v>
      </c>
      <c r="L744" s="2" t="s">
        <v>26</v>
      </c>
      <c r="M744" s="3">
        <v>-25000</v>
      </c>
      <c r="N744" s="2" t="s">
        <v>26</v>
      </c>
      <c r="R744" s="2" t="s">
        <v>27</v>
      </c>
      <c r="S744" s="2" t="s">
        <v>1112</v>
      </c>
      <c r="T744" s="2" t="s">
        <v>126</v>
      </c>
      <c r="U744" s="2" t="s">
        <v>1113</v>
      </c>
      <c r="V744" s="4">
        <f>+VLOOKUP(U744,'FBCJ Jul-Des 2025'!$G$10:$P$1302,8,0)</f>
        <v>70107600</v>
      </c>
      <c r="W744" s="4" t="str">
        <f>+VLOOKUP(V744,Sheet1!$A$2:$B$27,2,0)</f>
        <v>Biaya Konsumsi Kantor</v>
      </c>
      <c r="X744" s="4" t="str">
        <f>+VLOOKUP(U744,'FBCJ Jul-Des 2025'!$G$10:$P$1302,9,0)</f>
        <v>R124MNT</v>
      </c>
      <c r="Y744" s="2" t="s">
        <v>43</v>
      </c>
      <c r="Z744" s="2">
        <v>1719278</v>
      </c>
      <c r="AA744" s="2">
        <v>20251015</v>
      </c>
      <c r="AB744" s="3">
        <v>25000</v>
      </c>
    </row>
    <row r="745" spans="3:28" x14ac:dyDescent="0.25">
      <c r="C745" s="2">
        <v>10000001</v>
      </c>
      <c r="D745" s="2" t="s">
        <v>1074</v>
      </c>
      <c r="F745" s="2">
        <v>12008556</v>
      </c>
      <c r="H745" s="2" t="s">
        <v>1074</v>
      </c>
      <c r="I745" s="2" t="str">
        <f t="shared" si="11"/>
        <v>10</v>
      </c>
      <c r="J745" s="2">
        <v>50</v>
      </c>
      <c r="K745" s="3">
        <v>-984580</v>
      </c>
      <c r="L745" s="2" t="s">
        <v>26</v>
      </c>
      <c r="M745" s="3">
        <v>-984580</v>
      </c>
      <c r="N745" s="2" t="s">
        <v>26</v>
      </c>
      <c r="R745" s="2" t="s">
        <v>27</v>
      </c>
      <c r="S745" s="2" t="s">
        <v>1114</v>
      </c>
      <c r="T745" s="2" t="s">
        <v>59</v>
      </c>
      <c r="U745" s="2" t="s">
        <v>1115</v>
      </c>
      <c r="V745" s="4">
        <f>+VLOOKUP(U745,'FBCJ Jul-Des 2025'!$G$10:$P$1302,8,0)</f>
        <v>70101114</v>
      </c>
      <c r="W745" s="4" t="str">
        <f>+VLOOKUP(V745,Sheet1!$A$2:$B$27,2,0)</f>
        <v>By Perbaikan &amp; Perawatan Perabot Material Pihak3</v>
      </c>
      <c r="X745" s="4" t="str">
        <f>+VLOOKUP(U745,'FBCJ Jul-Des 2025'!$G$10:$P$1302,9,0)</f>
        <v>R124D1HRGA</v>
      </c>
      <c r="Y745" s="2" t="s">
        <v>43</v>
      </c>
      <c r="Z745" s="2">
        <v>1719278</v>
      </c>
      <c r="AA745" s="2">
        <v>20251015</v>
      </c>
      <c r="AB745" s="3">
        <v>984580</v>
      </c>
    </row>
    <row r="746" spans="3:28" x14ac:dyDescent="0.25">
      <c r="C746" s="2">
        <v>10000001</v>
      </c>
      <c r="D746" s="2" t="s">
        <v>1074</v>
      </c>
      <c r="F746" s="2">
        <v>12008557</v>
      </c>
      <c r="H746" s="2" t="s">
        <v>1074</v>
      </c>
      <c r="I746" s="2" t="str">
        <f t="shared" si="11"/>
        <v>10</v>
      </c>
      <c r="J746" s="2">
        <v>50</v>
      </c>
      <c r="K746" s="3">
        <v>-50000</v>
      </c>
      <c r="L746" s="2" t="s">
        <v>26</v>
      </c>
      <c r="M746" s="3">
        <v>-50000</v>
      </c>
      <c r="N746" s="2" t="s">
        <v>26</v>
      </c>
      <c r="R746" s="2" t="s">
        <v>27</v>
      </c>
      <c r="S746" s="2" t="s">
        <v>1116</v>
      </c>
      <c r="T746" s="2" t="s">
        <v>45</v>
      </c>
      <c r="U746" s="2" t="s">
        <v>1117</v>
      </c>
      <c r="V746" s="4">
        <f>+VLOOKUP(U746,'FBCJ Jul-Des 2025'!$G$10:$P$1302,8,0)</f>
        <v>70009110</v>
      </c>
      <c r="W746" s="4" t="str">
        <f>+VLOOKUP(V746,Sheet1!$A$2:$B$27,2,0)</f>
        <v>Biaya Survey dan Analisa</v>
      </c>
      <c r="X746" s="4" t="str">
        <f>+VLOOKUP(U746,'FBCJ Jul-Des 2025'!$G$10:$P$1302,9,0)</f>
        <v>P206D1SLSS</v>
      </c>
      <c r="Y746" s="2" t="s">
        <v>43</v>
      </c>
      <c r="Z746" s="2">
        <v>1719278</v>
      </c>
      <c r="AA746" s="2">
        <v>20251015</v>
      </c>
      <c r="AB746" s="3">
        <v>50000</v>
      </c>
    </row>
    <row r="747" spans="3:28" x14ac:dyDescent="0.25">
      <c r="C747" s="2">
        <v>10000001</v>
      </c>
      <c r="D747" s="2" t="s">
        <v>1074</v>
      </c>
      <c r="F747" s="2">
        <v>12008558</v>
      </c>
      <c r="H747" s="2" t="s">
        <v>1074</v>
      </c>
      <c r="I747" s="2" t="str">
        <f t="shared" si="11"/>
        <v>10</v>
      </c>
      <c r="J747" s="2">
        <v>50</v>
      </c>
      <c r="K747" s="3">
        <v>-50000</v>
      </c>
      <c r="L747" s="2" t="s">
        <v>26</v>
      </c>
      <c r="M747" s="3">
        <v>-50000</v>
      </c>
      <c r="N747" s="2" t="s">
        <v>26</v>
      </c>
      <c r="R747" s="2" t="s">
        <v>27</v>
      </c>
      <c r="S747" s="2" t="s">
        <v>1116</v>
      </c>
      <c r="T747" s="2" t="s">
        <v>45</v>
      </c>
      <c r="U747" s="2" t="s">
        <v>1118</v>
      </c>
      <c r="V747" s="4">
        <f>+VLOOKUP(U747,'FBCJ Jul-Des 2025'!$G$10:$P$1302,8,0)</f>
        <v>70009110</v>
      </c>
      <c r="W747" s="4" t="str">
        <f>+VLOOKUP(V747,Sheet1!$A$2:$B$27,2,0)</f>
        <v>Biaya Survey dan Analisa</v>
      </c>
      <c r="X747" s="4" t="str">
        <f>+VLOOKUP(U747,'FBCJ Jul-Des 2025'!$G$10:$P$1302,9,0)</f>
        <v>P206D1SLSS</v>
      </c>
      <c r="Y747" s="2" t="s">
        <v>43</v>
      </c>
      <c r="Z747" s="2">
        <v>1719278</v>
      </c>
      <c r="AA747" s="2">
        <v>20251015</v>
      </c>
      <c r="AB747" s="3">
        <v>50000</v>
      </c>
    </row>
    <row r="748" spans="3:28" x14ac:dyDescent="0.25">
      <c r="C748" s="2">
        <v>10000001</v>
      </c>
      <c r="D748" s="2" t="s">
        <v>1074</v>
      </c>
      <c r="F748" s="2">
        <v>12008559</v>
      </c>
      <c r="H748" s="2" t="s">
        <v>1074</v>
      </c>
      <c r="I748" s="2" t="str">
        <f t="shared" si="11"/>
        <v>10</v>
      </c>
      <c r="J748" s="2">
        <v>50</v>
      </c>
      <c r="K748" s="3">
        <v>-50000</v>
      </c>
      <c r="L748" s="2" t="s">
        <v>26</v>
      </c>
      <c r="M748" s="3">
        <v>-50000</v>
      </c>
      <c r="N748" s="2" t="s">
        <v>26</v>
      </c>
      <c r="R748" s="2" t="s">
        <v>27</v>
      </c>
      <c r="S748" s="2" t="s">
        <v>1116</v>
      </c>
      <c r="T748" s="2" t="s">
        <v>45</v>
      </c>
      <c r="U748" s="2" t="s">
        <v>1119</v>
      </c>
      <c r="V748" s="4">
        <f>+VLOOKUP(U748,'FBCJ Jul-Des 2025'!$G$10:$P$1302,8,0)</f>
        <v>70009110</v>
      </c>
      <c r="W748" s="4" t="str">
        <f>+VLOOKUP(V748,Sheet1!$A$2:$B$27,2,0)</f>
        <v>Biaya Survey dan Analisa</v>
      </c>
      <c r="X748" s="4" t="str">
        <f>+VLOOKUP(U748,'FBCJ Jul-Des 2025'!$G$10:$P$1302,9,0)</f>
        <v>M204D1COMM</v>
      </c>
      <c r="Y748" s="2" t="s">
        <v>43</v>
      </c>
      <c r="Z748" s="2">
        <v>1719278</v>
      </c>
      <c r="AA748" s="2">
        <v>20251015</v>
      </c>
      <c r="AB748" s="3">
        <v>50000</v>
      </c>
    </row>
    <row r="749" spans="3:28" x14ac:dyDescent="0.25">
      <c r="C749" s="2">
        <v>10000001</v>
      </c>
      <c r="D749" s="2" t="s">
        <v>1074</v>
      </c>
      <c r="F749" s="2">
        <v>12008560</v>
      </c>
      <c r="H749" s="2" t="s">
        <v>1074</v>
      </c>
      <c r="I749" s="2" t="str">
        <f t="shared" si="11"/>
        <v>10</v>
      </c>
      <c r="J749" s="2">
        <v>50</v>
      </c>
      <c r="K749" s="3">
        <v>-50000</v>
      </c>
      <c r="L749" s="2" t="s">
        <v>26</v>
      </c>
      <c r="M749" s="3">
        <v>-50000</v>
      </c>
      <c r="N749" s="2" t="s">
        <v>26</v>
      </c>
      <c r="R749" s="2" t="s">
        <v>27</v>
      </c>
      <c r="S749" s="2" t="s">
        <v>1116</v>
      </c>
      <c r="T749" s="2" t="s">
        <v>45</v>
      </c>
      <c r="U749" s="2" t="s">
        <v>1120</v>
      </c>
      <c r="V749" s="4">
        <f>+VLOOKUP(U749,'FBCJ Jul-Des 2025'!$G$10:$P$1302,8,0)</f>
        <v>70009110</v>
      </c>
      <c r="W749" s="4" t="str">
        <f>+VLOOKUP(V749,Sheet1!$A$2:$B$27,2,0)</f>
        <v>Biaya Survey dan Analisa</v>
      </c>
      <c r="X749" s="4" t="str">
        <f>+VLOOKUP(U749,'FBCJ Jul-Des 2025'!$G$10:$P$1302,9,0)</f>
        <v>P206D1SLSS</v>
      </c>
      <c r="Y749" s="2" t="s">
        <v>43</v>
      </c>
      <c r="Z749" s="2">
        <v>1719278</v>
      </c>
      <c r="AA749" s="2">
        <v>20251015</v>
      </c>
      <c r="AB749" s="3">
        <v>50000</v>
      </c>
    </row>
    <row r="750" spans="3:28" x14ac:dyDescent="0.25">
      <c r="C750" s="2">
        <v>10000001</v>
      </c>
      <c r="D750" s="2" t="s">
        <v>1074</v>
      </c>
      <c r="F750" s="2">
        <v>12008561</v>
      </c>
      <c r="H750" s="2" t="s">
        <v>1074</v>
      </c>
      <c r="I750" s="2" t="str">
        <f t="shared" si="11"/>
        <v>10</v>
      </c>
      <c r="J750" s="2">
        <v>50</v>
      </c>
      <c r="K750" s="3">
        <v>-200000</v>
      </c>
      <c r="L750" s="2" t="s">
        <v>26</v>
      </c>
      <c r="M750" s="3">
        <v>-200000</v>
      </c>
      <c r="N750" s="2" t="s">
        <v>26</v>
      </c>
      <c r="R750" s="2" t="s">
        <v>27</v>
      </c>
      <c r="S750" s="2" t="s">
        <v>1116</v>
      </c>
      <c r="T750" s="2" t="s">
        <v>45</v>
      </c>
      <c r="U750" s="2" t="s">
        <v>1121</v>
      </c>
      <c r="V750" s="4">
        <f>+VLOOKUP(U750,'FBCJ Jul-Des 2025'!$G$10:$P$1302,8,0)</f>
        <v>70009110</v>
      </c>
      <c r="W750" s="4" t="str">
        <f>+VLOOKUP(V750,Sheet1!$A$2:$B$27,2,0)</f>
        <v>Biaya Survey dan Analisa</v>
      </c>
      <c r="X750" s="4" t="str">
        <f>+VLOOKUP(U750,'FBCJ Jul-Des 2025'!$G$10:$P$1302,9,0)</f>
        <v>C206D1SLSS</v>
      </c>
      <c r="Y750" s="2" t="s">
        <v>43</v>
      </c>
      <c r="Z750" s="2">
        <v>1719278</v>
      </c>
      <c r="AA750" s="2">
        <v>20251015</v>
      </c>
      <c r="AB750" s="3">
        <v>200000</v>
      </c>
    </row>
    <row r="751" spans="3:28" x14ac:dyDescent="0.25">
      <c r="C751" s="2">
        <v>10000001</v>
      </c>
      <c r="D751" s="2" t="s">
        <v>1122</v>
      </c>
      <c r="F751" s="2">
        <v>12008562</v>
      </c>
      <c r="H751" s="2" t="s">
        <v>1122</v>
      </c>
      <c r="I751" s="2" t="str">
        <f t="shared" si="11"/>
        <v>10</v>
      </c>
      <c r="J751" s="2">
        <v>50</v>
      </c>
      <c r="K751" s="3">
        <v>-290500</v>
      </c>
      <c r="L751" s="2" t="s">
        <v>26</v>
      </c>
      <c r="M751" s="3">
        <v>-290500</v>
      </c>
      <c r="N751" s="2" t="s">
        <v>26</v>
      </c>
      <c r="R751" s="2" t="s">
        <v>27</v>
      </c>
      <c r="S751" s="2" t="s">
        <v>1123</v>
      </c>
      <c r="T751" s="2" t="s">
        <v>254</v>
      </c>
      <c r="U751" s="2" t="s">
        <v>1124</v>
      </c>
      <c r="V751" s="4">
        <f>+VLOOKUP(U751,'FBCJ Jul-Des 2025'!$G$10:$P$1302,8,0)</f>
        <v>70107100</v>
      </c>
      <c r="W751" s="4" t="str">
        <f>+VLOOKUP(V751,Sheet1!$A$2:$B$27,2,0)</f>
        <v>Biaya Mess</v>
      </c>
      <c r="X751" s="4" t="str">
        <f>+VLOOKUP(U751,'FBCJ Jul-Des 2025'!$G$10:$P$1302,9,0)</f>
        <v>R124D1HRGA</v>
      </c>
      <c r="Y751" s="2" t="s">
        <v>43</v>
      </c>
      <c r="Z751" s="2">
        <v>1719278</v>
      </c>
      <c r="AA751" s="2">
        <v>20251016</v>
      </c>
      <c r="AB751" s="3">
        <v>290500</v>
      </c>
    </row>
    <row r="752" spans="3:28" x14ac:dyDescent="0.25">
      <c r="C752" s="2">
        <v>10000001</v>
      </c>
      <c r="D752" s="2" t="s">
        <v>1122</v>
      </c>
      <c r="F752" s="2">
        <v>12008563</v>
      </c>
      <c r="H752" s="2" t="s">
        <v>1122</v>
      </c>
      <c r="I752" s="2" t="str">
        <f t="shared" si="11"/>
        <v>10</v>
      </c>
      <c r="J752" s="2">
        <v>50</v>
      </c>
      <c r="K752" s="3">
        <v>-50000</v>
      </c>
      <c r="L752" s="2" t="s">
        <v>26</v>
      </c>
      <c r="M752" s="3">
        <v>-50000</v>
      </c>
      <c r="N752" s="2" t="s">
        <v>26</v>
      </c>
      <c r="R752" s="2" t="s">
        <v>27</v>
      </c>
      <c r="S752" s="2" t="s">
        <v>1125</v>
      </c>
      <c r="T752" s="2" t="s">
        <v>45</v>
      </c>
      <c r="U752" s="2" t="s">
        <v>1126</v>
      </c>
      <c r="V752" s="4">
        <f>+VLOOKUP(U752,'FBCJ Jul-Des 2025'!$G$10:$P$1302,8,0)</f>
        <v>70009110</v>
      </c>
      <c r="W752" s="4" t="str">
        <f>+VLOOKUP(V752,Sheet1!$A$2:$B$27,2,0)</f>
        <v>Biaya Survey dan Analisa</v>
      </c>
      <c r="X752" s="4" t="str">
        <f>+VLOOKUP(U752,'FBCJ Jul-Des 2025'!$G$10:$P$1302,9,0)</f>
        <v>P206D1SLSS</v>
      </c>
      <c r="Y752" s="2" t="s">
        <v>43</v>
      </c>
      <c r="Z752" s="2">
        <v>1719278</v>
      </c>
      <c r="AA752" s="2">
        <v>20251016</v>
      </c>
      <c r="AB752" s="3">
        <v>50000</v>
      </c>
    </row>
    <row r="753" spans="3:28" x14ac:dyDescent="0.25">
      <c r="C753" s="2">
        <v>10000001</v>
      </c>
      <c r="D753" s="2" t="s">
        <v>1122</v>
      </c>
      <c r="F753" s="2">
        <v>12008564</v>
      </c>
      <c r="H753" s="2" t="s">
        <v>1122</v>
      </c>
      <c r="I753" s="2" t="str">
        <f t="shared" si="11"/>
        <v>10</v>
      </c>
      <c r="J753" s="2">
        <v>50</v>
      </c>
      <c r="K753" s="3">
        <v>-50000</v>
      </c>
      <c r="L753" s="2" t="s">
        <v>26</v>
      </c>
      <c r="M753" s="3">
        <v>-50000</v>
      </c>
      <c r="N753" s="2" t="s">
        <v>26</v>
      </c>
      <c r="R753" s="2" t="s">
        <v>27</v>
      </c>
      <c r="S753" s="2" t="s">
        <v>1125</v>
      </c>
      <c r="T753" s="2" t="s">
        <v>45</v>
      </c>
      <c r="U753" s="2" t="s">
        <v>1127</v>
      </c>
      <c r="V753" s="4">
        <f>+VLOOKUP(U753,'FBCJ Jul-Des 2025'!$G$10:$P$1302,8,0)</f>
        <v>70009110</v>
      </c>
      <c r="W753" s="4" t="str">
        <f>+VLOOKUP(V753,Sheet1!$A$2:$B$27,2,0)</f>
        <v>Biaya Survey dan Analisa</v>
      </c>
      <c r="X753" s="4" t="str">
        <f>+VLOOKUP(U753,'FBCJ Jul-Des 2025'!$G$10:$P$1302,9,0)</f>
        <v>P206D1SLSS</v>
      </c>
      <c r="Y753" s="2" t="s">
        <v>43</v>
      </c>
      <c r="Z753" s="2">
        <v>1719278</v>
      </c>
      <c r="AA753" s="2">
        <v>20251016</v>
      </c>
      <c r="AB753" s="3">
        <v>50000</v>
      </c>
    </row>
    <row r="754" spans="3:28" x14ac:dyDescent="0.25">
      <c r="C754" s="2">
        <v>10000001</v>
      </c>
      <c r="D754" s="2" t="s">
        <v>1122</v>
      </c>
      <c r="F754" s="2">
        <v>12008565</v>
      </c>
      <c r="H754" s="2" t="s">
        <v>1122</v>
      </c>
      <c r="I754" s="2" t="str">
        <f t="shared" si="11"/>
        <v>10</v>
      </c>
      <c r="J754" s="2">
        <v>50</v>
      </c>
      <c r="K754" s="3">
        <v>-50000</v>
      </c>
      <c r="L754" s="2" t="s">
        <v>26</v>
      </c>
      <c r="M754" s="3">
        <v>-50000</v>
      </c>
      <c r="N754" s="2" t="s">
        <v>26</v>
      </c>
      <c r="R754" s="2" t="s">
        <v>27</v>
      </c>
      <c r="S754" s="2" t="s">
        <v>1125</v>
      </c>
      <c r="T754" s="2" t="s">
        <v>45</v>
      </c>
      <c r="U754" s="2" t="s">
        <v>1128</v>
      </c>
      <c r="V754" s="4">
        <f>+VLOOKUP(U754,'FBCJ Jul-Des 2025'!$G$10:$P$1302,8,0)</f>
        <v>70009110</v>
      </c>
      <c r="W754" s="4" t="str">
        <f>+VLOOKUP(V754,Sheet1!$A$2:$B$27,2,0)</f>
        <v>Biaya Survey dan Analisa</v>
      </c>
      <c r="X754" s="4" t="str">
        <f>+VLOOKUP(U754,'FBCJ Jul-Des 2025'!$G$10:$P$1302,9,0)</f>
        <v>P206D1SLSS</v>
      </c>
      <c r="Y754" s="2" t="s">
        <v>43</v>
      </c>
      <c r="Z754" s="2">
        <v>1719278</v>
      </c>
      <c r="AA754" s="2">
        <v>20251016</v>
      </c>
      <c r="AB754" s="3">
        <v>50000</v>
      </c>
    </row>
    <row r="755" spans="3:28" x14ac:dyDescent="0.25">
      <c r="C755" s="2">
        <v>10000001</v>
      </c>
      <c r="D755" s="2" t="s">
        <v>1122</v>
      </c>
      <c r="F755" s="2">
        <v>12008566</v>
      </c>
      <c r="H755" s="2" t="s">
        <v>1122</v>
      </c>
      <c r="I755" s="2" t="str">
        <f t="shared" si="11"/>
        <v>10</v>
      </c>
      <c r="J755" s="2">
        <v>50</v>
      </c>
      <c r="K755" s="3">
        <v>-50000</v>
      </c>
      <c r="L755" s="2" t="s">
        <v>26</v>
      </c>
      <c r="M755" s="3">
        <v>-50000</v>
      </c>
      <c r="N755" s="2" t="s">
        <v>26</v>
      </c>
      <c r="R755" s="2" t="s">
        <v>27</v>
      </c>
      <c r="S755" s="2" t="s">
        <v>1129</v>
      </c>
      <c r="T755" s="2" t="s">
        <v>45</v>
      </c>
      <c r="U755" s="2" t="s">
        <v>1130</v>
      </c>
      <c r="V755" s="4">
        <f>+VLOOKUP(U755,'FBCJ Jul-Des 2025'!$G$10:$P$1302,8,0)</f>
        <v>70009110</v>
      </c>
      <c r="W755" s="4" t="str">
        <f>+VLOOKUP(V755,Sheet1!$A$2:$B$27,2,0)</f>
        <v>Biaya Survey dan Analisa</v>
      </c>
      <c r="X755" s="4" t="str">
        <f>+VLOOKUP(U755,'FBCJ Jul-Des 2025'!$G$10:$P$1302,9,0)</f>
        <v>P206D1SLSS</v>
      </c>
      <c r="Y755" s="2" t="s">
        <v>43</v>
      </c>
      <c r="Z755" s="2">
        <v>1719278</v>
      </c>
      <c r="AA755" s="2">
        <v>20251016</v>
      </c>
      <c r="AB755" s="3">
        <v>50000</v>
      </c>
    </row>
    <row r="756" spans="3:28" x14ac:dyDescent="0.25">
      <c r="C756" s="2">
        <v>10000001</v>
      </c>
      <c r="D756" s="2" t="s">
        <v>1122</v>
      </c>
      <c r="F756" s="2">
        <v>12008567</v>
      </c>
      <c r="H756" s="2" t="s">
        <v>1122</v>
      </c>
      <c r="I756" s="2" t="str">
        <f t="shared" si="11"/>
        <v>10</v>
      </c>
      <c r="J756" s="2">
        <v>50</v>
      </c>
      <c r="K756" s="3">
        <v>-152000</v>
      </c>
      <c r="L756" s="2" t="s">
        <v>26</v>
      </c>
      <c r="M756" s="3">
        <v>-152000</v>
      </c>
      <c r="N756" s="2" t="s">
        <v>26</v>
      </c>
      <c r="R756" s="2" t="s">
        <v>27</v>
      </c>
      <c r="S756" s="2" t="s">
        <v>1131</v>
      </c>
      <c r="T756" s="2" t="s">
        <v>57</v>
      </c>
      <c r="U756" s="2" t="s">
        <v>1132</v>
      </c>
      <c r="V756" s="4">
        <f>+VLOOKUP(U756,'FBCJ Jul-Des 2025'!$G$10:$P$1302,8,0)</f>
        <v>70101202</v>
      </c>
      <c r="W756" s="4" t="str">
        <f>+VLOOKUP(V756,Sheet1!$A$2:$B$27,2,0)</f>
        <v>By Pemeliharaan Kend,ABerat,Mesin-Material Pihak3</v>
      </c>
      <c r="X756" s="4" t="str">
        <f>+VLOOKUP(U756,'FBCJ Jul-Des 2025'!$G$10:$P$1302,9,0)</f>
        <v>R124REF</v>
      </c>
      <c r="Y756" s="2" t="s">
        <v>43</v>
      </c>
      <c r="Z756" s="2">
        <v>1719278</v>
      </c>
      <c r="AA756" s="2">
        <v>20251016</v>
      </c>
      <c r="AB756" s="3">
        <v>152000</v>
      </c>
    </row>
    <row r="757" spans="3:28" x14ac:dyDescent="0.25">
      <c r="C757" s="2">
        <v>10000001</v>
      </c>
      <c r="D757" s="2" t="s">
        <v>1122</v>
      </c>
      <c r="F757" s="2">
        <v>12008568</v>
      </c>
      <c r="H757" s="2" t="s">
        <v>1122</v>
      </c>
      <c r="I757" s="2" t="str">
        <f t="shared" si="11"/>
        <v>10</v>
      </c>
      <c r="J757" s="2">
        <v>50</v>
      </c>
      <c r="K757" s="3">
        <v>-530000</v>
      </c>
      <c r="L757" s="2" t="s">
        <v>26</v>
      </c>
      <c r="M757" s="3">
        <v>-530000</v>
      </c>
      <c r="N757" s="2" t="s">
        <v>26</v>
      </c>
      <c r="R757" s="2" t="s">
        <v>27</v>
      </c>
      <c r="S757" s="2" t="s">
        <v>1133</v>
      </c>
      <c r="T757" s="2" t="s">
        <v>96</v>
      </c>
      <c r="U757" s="2" t="s">
        <v>1134</v>
      </c>
      <c r="V757" s="4">
        <f>+VLOOKUP(U757,'FBCJ Jul-Des 2025'!$G$10:$P$1302,8,0)</f>
        <v>70106400</v>
      </c>
      <c r="W757" s="4" t="str">
        <f>+VLOOKUP(V757,Sheet1!$A$2:$B$27,2,0)</f>
        <v>Biaya Bahan Bakar</v>
      </c>
      <c r="X757" s="4" t="str">
        <f>+VLOOKUP(U757,'FBCJ Jul-Des 2025'!$G$10:$P$1302,9,0)</f>
        <v>R124D1HRGA</v>
      </c>
      <c r="Y757" s="2" t="s">
        <v>43</v>
      </c>
      <c r="Z757" s="2">
        <v>1719278</v>
      </c>
      <c r="AA757" s="2">
        <v>20251016</v>
      </c>
      <c r="AB757" s="3">
        <v>530000</v>
      </c>
    </row>
    <row r="758" spans="3:28" x14ac:dyDescent="0.25">
      <c r="C758" s="2">
        <v>10000001</v>
      </c>
      <c r="D758" s="2" t="s">
        <v>1122</v>
      </c>
      <c r="F758" s="2">
        <v>12008569</v>
      </c>
      <c r="H758" s="2" t="s">
        <v>1122</v>
      </c>
      <c r="I758" s="2" t="str">
        <f t="shared" si="11"/>
        <v>10</v>
      </c>
      <c r="J758" s="2">
        <v>50</v>
      </c>
      <c r="K758" s="3">
        <v>-469500</v>
      </c>
      <c r="L758" s="2" t="s">
        <v>26</v>
      </c>
      <c r="M758" s="3">
        <v>-469500</v>
      </c>
      <c r="N758" s="2" t="s">
        <v>26</v>
      </c>
      <c r="R758" s="2" t="s">
        <v>27</v>
      </c>
      <c r="S758" s="2" t="s">
        <v>1133</v>
      </c>
      <c r="T758" s="2" t="s">
        <v>67</v>
      </c>
      <c r="U758" s="2" t="s">
        <v>98</v>
      </c>
      <c r="V758" s="4">
        <f>+VLOOKUP(U758,'FBCJ Jul-Des 2025'!$G$10:$P$1302,8,0)</f>
        <v>70106100</v>
      </c>
      <c r="W758" s="4" t="str">
        <f>+VLOOKUP(V758,Sheet1!$A$2:$B$27,2,0)</f>
        <v>Biaya Transportasi Lokal</v>
      </c>
      <c r="X758" s="4" t="str">
        <f>+VLOOKUP(U758,'FBCJ Jul-Des 2025'!$G$10:$P$1302,9,0)</f>
        <v>R124D1HRGA</v>
      </c>
      <c r="Y758" s="2" t="s">
        <v>43</v>
      </c>
      <c r="Z758" s="2">
        <v>1719278</v>
      </c>
      <c r="AA758" s="2">
        <v>20251016</v>
      </c>
      <c r="AB758" s="3">
        <v>469500</v>
      </c>
    </row>
    <row r="759" spans="3:28" x14ac:dyDescent="0.25">
      <c r="C759" s="2">
        <v>10000001</v>
      </c>
      <c r="D759" s="2" t="s">
        <v>1122</v>
      </c>
      <c r="F759" s="2">
        <v>12008570</v>
      </c>
      <c r="H759" s="2" t="s">
        <v>1122</v>
      </c>
      <c r="I759" s="2" t="str">
        <f t="shared" si="11"/>
        <v>10</v>
      </c>
      <c r="J759" s="2">
        <v>50</v>
      </c>
      <c r="K759" s="3">
        <v>-600000</v>
      </c>
      <c r="L759" s="2" t="s">
        <v>26</v>
      </c>
      <c r="M759" s="3">
        <v>-600000</v>
      </c>
      <c r="N759" s="2" t="s">
        <v>26</v>
      </c>
      <c r="R759" s="2" t="s">
        <v>27</v>
      </c>
      <c r="S759" s="2" t="s">
        <v>1135</v>
      </c>
      <c r="T759" s="2" t="s">
        <v>439</v>
      </c>
      <c r="U759" s="2" t="s">
        <v>1136</v>
      </c>
      <c r="V759" s="4">
        <f>+VLOOKUP(U759,'FBCJ Jul-Des 2025'!$G$10:$P$1302,8,0)</f>
        <v>70107500</v>
      </c>
      <c r="W759" s="4" t="str">
        <f>+VLOOKUP(V759,Sheet1!$A$2:$B$27,2,0)</f>
        <v>Biaya Sumbangan Sosial</v>
      </c>
      <c r="X759" s="4" t="str">
        <f>+VLOOKUP(U759,'FBCJ Jul-Des 2025'!$G$10:$P$1302,9,0)</f>
        <v>R124WHFSB</v>
      </c>
      <c r="Y759" s="2" t="s">
        <v>43</v>
      </c>
      <c r="Z759" s="2">
        <v>1719278</v>
      </c>
      <c r="AA759" s="2">
        <v>20251016</v>
      </c>
      <c r="AB759" s="3">
        <v>600000</v>
      </c>
    </row>
    <row r="760" spans="3:28" x14ac:dyDescent="0.25">
      <c r="C760" s="2">
        <v>10000001</v>
      </c>
      <c r="D760" s="2" t="s">
        <v>1122</v>
      </c>
      <c r="F760" s="2">
        <v>12008571</v>
      </c>
      <c r="H760" s="2" t="s">
        <v>1122</v>
      </c>
      <c r="I760" s="2" t="str">
        <f t="shared" si="11"/>
        <v>10</v>
      </c>
      <c r="J760" s="2">
        <v>50</v>
      </c>
      <c r="K760" s="3">
        <v>-519520</v>
      </c>
      <c r="L760" s="2" t="s">
        <v>26</v>
      </c>
      <c r="M760" s="3">
        <v>-519520</v>
      </c>
      <c r="N760" s="2" t="s">
        <v>26</v>
      </c>
      <c r="R760" s="2" t="s">
        <v>27</v>
      </c>
      <c r="S760" s="2" t="s">
        <v>1137</v>
      </c>
      <c r="T760" s="2" t="s">
        <v>126</v>
      </c>
      <c r="U760" s="2" t="s">
        <v>1138</v>
      </c>
      <c r="V760" s="4">
        <f>+VLOOKUP(U760,'FBCJ Jul-Des 2025'!$G$10:$P$1302,8,0)</f>
        <v>70107600</v>
      </c>
      <c r="W760" s="4" t="str">
        <f>+VLOOKUP(V760,Sheet1!$A$2:$B$27,2,0)</f>
        <v>Biaya Konsumsi Kantor</v>
      </c>
      <c r="X760" s="4" t="str">
        <f>+VLOOKUP(U760,'FBCJ Jul-Des 2025'!$G$10:$P$1302,9,0)</f>
        <v>R124MMP</v>
      </c>
      <c r="Y760" s="2" t="s">
        <v>43</v>
      </c>
      <c r="Z760" s="2">
        <v>1719278</v>
      </c>
      <c r="AA760" s="2">
        <v>20251016</v>
      </c>
      <c r="AB760" s="3">
        <v>519520</v>
      </c>
    </row>
    <row r="761" spans="3:28" x14ac:dyDescent="0.25">
      <c r="C761" s="2">
        <v>10000001</v>
      </c>
      <c r="D761" s="2" t="s">
        <v>1122</v>
      </c>
      <c r="F761" s="2">
        <v>12008572</v>
      </c>
      <c r="H761" s="2" t="s">
        <v>1122</v>
      </c>
      <c r="I761" s="2" t="str">
        <f t="shared" si="11"/>
        <v>10</v>
      </c>
      <c r="J761" s="2">
        <v>50</v>
      </c>
      <c r="K761" s="3">
        <v>-916000</v>
      </c>
      <c r="L761" s="2" t="s">
        <v>26</v>
      </c>
      <c r="M761" s="3">
        <v>-916000</v>
      </c>
      <c r="N761" s="2" t="s">
        <v>26</v>
      </c>
      <c r="R761" s="2" t="s">
        <v>27</v>
      </c>
      <c r="S761" s="2" t="s">
        <v>1139</v>
      </c>
      <c r="T761" s="2" t="s">
        <v>1140</v>
      </c>
      <c r="U761" s="2" t="s">
        <v>1141</v>
      </c>
      <c r="V761" s="4">
        <f>+VLOOKUP(U761,'FBCJ Jul-Des 2025'!$G$10:$P$1302,8,0)</f>
        <v>70105321</v>
      </c>
      <c r="W761" s="4" t="str">
        <f>+VLOOKUP(V761,Sheet1!$A$2:$B$27,2,0)</f>
        <v>By Sertifikasi Non Quality Food Safety (Non QFS)</v>
      </c>
      <c r="X761" s="4" t="str">
        <f>+VLOOKUP(U761,'FBCJ Jul-Des 2025'!$G$10:$P$1302,9,0)</f>
        <v>M204D1COMM</v>
      </c>
      <c r="Y761" s="2" t="s">
        <v>43</v>
      </c>
      <c r="Z761" s="2">
        <v>1719278</v>
      </c>
      <c r="AA761" s="2">
        <v>20251016</v>
      </c>
      <c r="AB761" s="3">
        <v>916000</v>
      </c>
    </row>
    <row r="762" spans="3:28" x14ac:dyDescent="0.25">
      <c r="C762" s="2">
        <v>10000001</v>
      </c>
      <c r="D762" s="2" t="s">
        <v>1122</v>
      </c>
      <c r="F762" s="2">
        <v>12008573</v>
      </c>
      <c r="H762" s="2" t="s">
        <v>1122</v>
      </c>
      <c r="I762" s="2" t="str">
        <f t="shared" si="11"/>
        <v>10</v>
      </c>
      <c r="J762" s="2">
        <v>50</v>
      </c>
      <c r="K762" s="3">
        <v>-690000</v>
      </c>
      <c r="L762" s="2" t="s">
        <v>26</v>
      </c>
      <c r="M762" s="3">
        <v>-690000</v>
      </c>
      <c r="N762" s="2" t="s">
        <v>26</v>
      </c>
      <c r="R762" s="2" t="s">
        <v>27</v>
      </c>
      <c r="S762" s="2" t="s">
        <v>1142</v>
      </c>
      <c r="T762" s="2" t="s">
        <v>96</v>
      </c>
      <c r="U762" s="2" t="s">
        <v>1143</v>
      </c>
      <c r="V762" s="4">
        <f>+VLOOKUP(U762,'FBCJ Jul-Des 2025'!$G$10:$P$1302,8,0)</f>
        <v>70106400</v>
      </c>
      <c r="W762" s="4" t="str">
        <f>+VLOOKUP(V762,Sheet1!$A$2:$B$27,2,0)</f>
        <v>Biaya Bahan Bakar</v>
      </c>
      <c r="X762" s="4" t="str">
        <f>+VLOOKUP(U762,'FBCJ Jul-Des 2025'!$G$10:$P$1302,9,0)</f>
        <v>R124D1HRGA</v>
      </c>
      <c r="Y762" s="2" t="s">
        <v>43</v>
      </c>
      <c r="Z762" s="2">
        <v>1719278</v>
      </c>
      <c r="AA762" s="2">
        <v>20251016</v>
      </c>
      <c r="AB762" s="3">
        <v>690000</v>
      </c>
    </row>
    <row r="763" spans="3:28" x14ac:dyDescent="0.25">
      <c r="C763" s="2">
        <v>10000001</v>
      </c>
      <c r="D763" s="2" t="s">
        <v>1122</v>
      </c>
      <c r="F763" s="2">
        <v>12008574</v>
      </c>
      <c r="H763" s="2" t="s">
        <v>1122</v>
      </c>
      <c r="I763" s="2" t="str">
        <f t="shared" si="11"/>
        <v>10</v>
      </c>
      <c r="J763" s="2">
        <v>50</v>
      </c>
      <c r="K763" s="3">
        <v>-307500</v>
      </c>
      <c r="L763" s="2" t="s">
        <v>26</v>
      </c>
      <c r="M763" s="3">
        <v>-307500</v>
      </c>
      <c r="N763" s="2" t="s">
        <v>26</v>
      </c>
      <c r="R763" s="2" t="s">
        <v>27</v>
      </c>
      <c r="S763" s="2" t="s">
        <v>1142</v>
      </c>
      <c r="T763" s="2" t="s">
        <v>67</v>
      </c>
      <c r="U763" s="2" t="s">
        <v>98</v>
      </c>
      <c r="V763" s="4">
        <f>+VLOOKUP(U763,'FBCJ Jul-Des 2025'!$G$10:$P$1302,8,0)</f>
        <v>70106100</v>
      </c>
      <c r="W763" s="4" t="str">
        <f>+VLOOKUP(V763,Sheet1!$A$2:$B$27,2,0)</f>
        <v>Biaya Transportasi Lokal</v>
      </c>
      <c r="X763" s="4" t="str">
        <f>+VLOOKUP(U763,'FBCJ Jul-Des 2025'!$G$10:$P$1302,9,0)</f>
        <v>R124D1HRGA</v>
      </c>
      <c r="Y763" s="2" t="s">
        <v>43</v>
      </c>
      <c r="Z763" s="2">
        <v>1719278</v>
      </c>
      <c r="AA763" s="2">
        <v>20251016</v>
      </c>
      <c r="AB763" s="3">
        <v>307500</v>
      </c>
    </row>
    <row r="764" spans="3:28" x14ac:dyDescent="0.25">
      <c r="C764" s="2">
        <v>10000001</v>
      </c>
      <c r="D764" s="2" t="s">
        <v>1122</v>
      </c>
      <c r="F764" s="2">
        <v>12008575</v>
      </c>
      <c r="H764" s="2" t="s">
        <v>1122</v>
      </c>
      <c r="I764" s="2" t="str">
        <f t="shared" si="11"/>
        <v>10</v>
      </c>
      <c r="J764" s="2">
        <v>50</v>
      </c>
      <c r="K764" s="3">
        <v>-500000</v>
      </c>
      <c r="L764" s="2" t="s">
        <v>26</v>
      </c>
      <c r="M764" s="3">
        <v>-500000</v>
      </c>
      <c r="N764" s="2" t="s">
        <v>26</v>
      </c>
      <c r="R764" s="2" t="s">
        <v>27</v>
      </c>
      <c r="S764" s="2" t="s">
        <v>1144</v>
      </c>
      <c r="T764" s="2" t="s">
        <v>41</v>
      </c>
      <c r="U764" s="2" t="s">
        <v>1145</v>
      </c>
      <c r="V764" s="4">
        <f>+VLOOKUP(U764,'FBCJ Jul-Des 2025'!$G$10:$P$1302,8,0)</f>
        <v>70107300</v>
      </c>
      <c r="W764" s="4" t="str">
        <f>+VLOOKUP(V764,Sheet1!$A$2:$B$27,2,0)</f>
        <v>Biaya Olahraga Dan Permainan</v>
      </c>
      <c r="X764" s="4" t="str">
        <f>+VLOOKUP(U764,'FBCJ Jul-Des 2025'!$G$10:$P$1302,9,0)</f>
        <v>R124D1HRDV</v>
      </c>
      <c r="Y764" s="2" t="s">
        <v>43</v>
      </c>
      <c r="Z764" s="2">
        <v>1719278</v>
      </c>
      <c r="AA764" s="2">
        <v>20251016</v>
      </c>
      <c r="AB764" s="3">
        <v>500000</v>
      </c>
    </row>
    <row r="765" spans="3:28" x14ac:dyDescent="0.25">
      <c r="C765" s="2">
        <v>10000001</v>
      </c>
      <c r="D765" s="2" t="s">
        <v>1122</v>
      </c>
      <c r="F765" s="2">
        <v>12008576</v>
      </c>
      <c r="H765" s="2" t="s">
        <v>1122</v>
      </c>
      <c r="I765" s="2" t="str">
        <f t="shared" si="11"/>
        <v>10</v>
      </c>
      <c r="J765" s="2">
        <v>50</v>
      </c>
      <c r="K765" s="3">
        <v>-500000</v>
      </c>
      <c r="L765" s="2" t="s">
        <v>26</v>
      </c>
      <c r="M765" s="3">
        <v>-500000</v>
      </c>
      <c r="N765" s="2" t="s">
        <v>26</v>
      </c>
      <c r="R765" s="2" t="s">
        <v>27</v>
      </c>
      <c r="S765" s="2" t="s">
        <v>1146</v>
      </c>
      <c r="T765" s="2" t="s">
        <v>41</v>
      </c>
      <c r="U765" s="2" t="s">
        <v>1147</v>
      </c>
      <c r="V765" s="4">
        <f>+VLOOKUP(U765,'FBCJ Jul-Des 2025'!$G$10:$P$1302,8,0)</f>
        <v>70107300</v>
      </c>
      <c r="W765" s="4" t="str">
        <f>+VLOOKUP(V765,Sheet1!$A$2:$B$27,2,0)</f>
        <v>Biaya Olahraga Dan Permainan</v>
      </c>
      <c r="X765" s="4" t="str">
        <f>+VLOOKUP(U765,'FBCJ Jul-Des 2025'!$G$10:$P$1302,9,0)</f>
        <v>R124D1HRDV</v>
      </c>
      <c r="Y765" s="2" t="s">
        <v>43</v>
      </c>
      <c r="Z765" s="2">
        <v>1719278</v>
      </c>
      <c r="AA765" s="2">
        <v>20251016</v>
      </c>
      <c r="AB765" s="3">
        <v>500000</v>
      </c>
    </row>
    <row r="766" spans="3:28" x14ac:dyDescent="0.25">
      <c r="C766" s="2">
        <v>10000001</v>
      </c>
      <c r="D766" s="2" t="s">
        <v>1148</v>
      </c>
      <c r="F766" s="2">
        <v>12008577</v>
      </c>
      <c r="H766" s="2" t="s">
        <v>1148</v>
      </c>
      <c r="I766" s="2" t="str">
        <f t="shared" si="11"/>
        <v>10</v>
      </c>
      <c r="J766" s="2">
        <v>50</v>
      </c>
      <c r="K766" s="3">
        <v>-350000</v>
      </c>
      <c r="L766" s="2" t="s">
        <v>26</v>
      </c>
      <c r="M766" s="3">
        <v>-350000</v>
      </c>
      <c r="N766" s="2" t="s">
        <v>26</v>
      </c>
      <c r="R766" s="2" t="s">
        <v>27</v>
      </c>
      <c r="S766" s="2" t="s">
        <v>1149</v>
      </c>
      <c r="T766" s="2" t="s">
        <v>45</v>
      </c>
      <c r="U766" s="2" t="s">
        <v>1150</v>
      </c>
      <c r="V766" s="4">
        <f>+VLOOKUP(U766,'FBCJ Jul-Des 2025'!$G$10:$P$1302,8,0)</f>
        <v>70009110</v>
      </c>
      <c r="W766" s="4" t="str">
        <f>+VLOOKUP(V766,Sheet1!$A$2:$B$27,2,0)</f>
        <v>Biaya Survey dan Analisa</v>
      </c>
      <c r="X766" s="4" t="str">
        <f>+VLOOKUP(U766,'FBCJ Jul-Des 2025'!$G$10:$P$1302,9,0)</f>
        <v>C206D1SLSS</v>
      </c>
      <c r="Y766" s="2" t="s">
        <v>43</v>
      </c>
      <c r="Z766" s="2">
        <v>1719278</v>
      </c>
      <c r="AA766" s="2">
        <v>20251017</v>
      </c>
      <c r="AB766" s="3">
        <v>350000</v>
      </c>
    </row>
    <row r="767" spans="3:28" x14ac:dyDescent="0.25">
      <c r="C767" s="2">
        <v>10000001</v>
      </c>
      <c r="D767" s="2" t="s">
        <v>1148</v>
      </c>
      <c r="F767" s="2">
        <v>12008578</v>
      </c>
      <c r="H767" s="2" t="s">
        <v>1148</v>
      </c>
      <c r="I767" s="2" t="str">
        <f t="shared" si="11"/>
        <v>10</v>
      </c>
      <c r="J767" s="2">
        <v>50</v>
      </c>
      <c r="K767" s="3">
        <v>-50000</v>
      </c>
      <c r="L767" s="2" t="s">
        <v>26</v>
      </c>
      <c r="M767" s="3">
        <v>-50000</v>
      </c>
      <c r="N767" s="2" t="s">
        <v>26</v>
      </c>
      <c r="R767" s="2" t="s">
        <v>27</v>
      </c>
      <c r="S767" s="2" t="s">
        <v>1149</v>
      </c>
      <c r="T767" s="2" t="s">
        <v>45</v>
      </c>
      <c r="U767" s="2" t="s">
        <v>1151</v>
      </c>
      <c r="V767" s="4">
        <f>+VLOOKUP(U767,'FBCJ Jul-Des 2025'!$G$10:$P$1302,8,0)</f>
        <v>70009110</v>
      </c>
      <c r="W767" s="4" t="str">
        <f>+VLOOKUP(V767,Sheet1!$A$2:$B$27,2,0)</f>
        <v>Biaya Survey dan Analisa</v>
      </c>
      <c r="X767" s="4" t="str">
        <f>+VLOOKUP(U767,'FBCJ Jul-Des 2025'!$G$10:$P$1302,9,0)</f>
        <v>P206D1SLSS</v>
      </c>
      <c r="Y767" s="2" t="s">
        <v>43</v>
      </c>
      <c r="Z767" s="2">
        <v>1719278</v>
      </c>
      <c r="AA767" s="2">
        <v>20251017</v>
      </c>
      <c r="AB767" s="3">
        <v>50000</v>
      </c>
    </row>
    <row r="768" spans="3:28" x14ac:dyDescent="0.25">
      <c r="C768" s="2">
        <v>10000001</v>
      </c>
      <c r="D768" s="2" t="s">
        <v>1148</v>
      </c>
      <c r="F768" s="2">
        <v>12008579</v>
      </c>
      <c r="H768" s="2" t="s">
        <v>1148</v>
      </c>
      <c r="I768" s="2" t="str">
        <f t="shared" si="11"/>
        <v>10</v>
      </c>
      <c r="J768" s="2">
        <v>50</v>
      </c>
      <c r="K768" s="3">
        <v>-100000</v>
      </c>
      <c r="L768" s="2" t="s">
        <v>26</v>
      </c>
      <c r="M768" s="3">
        <v>-100000</v>
      </c>
      <c r="N768" s="2" t="s">
        <v>26</v>
      </c>
      <c r="R768" s="2" t="s">
        <v>27</v>
      </c>
      <c r="S768" s="2" t="s">
        <v>1149</v>
      </c>
      <c r="T768" s="2" t="s">
        <v>45</v>
      </c>
      <c r="U768" s="2" t="s">
        <v>1152</v>
      </c>
      <c r="V768" s="4">
        <f>+VLOOKUP(U768,'FBCJ Jul-Des 2025'!$G$10:$P$1302,8,0)</f>
        <v>70009110</v>
      </c>
      <c r="W768" s="4" t="str">
        <f>+VLOOKUP(V768,Sheet1!$A$2:$B$27,2,0)</f>
        <v>Biaya Survey dan Analisa</v>
      </c>
      <c r="X768" s="4" t="str">
        <f>+VLOOKUP(U768,'FBCJ Jul-Des 2025'!$G$10:$P$1302,9,0)</f>
        <v>M204D1COMM</v>
      </c>
      <c r="Y768" s="2" t="s">
        <v>43</v>
      </c>
      <c r="Z768" s="2">
        <v>1719278</v>
      </c>
      <c r="AA768" s="2">
        <v>20251017</v>
      </c>
      <c r="AB768" s="3">
        <v>100000</v>
      </c>
    </row>
    <row r="769" spans="3:28" x14ac:dyDescent="0.25">
      <c r="C769" s="2">
        <v>10000001</v>
      </c>
      <c r="D769" s="2" t="s">
        <v>1148</v>
      </c>
      <c r="F769" s="2">
        <v>12008580</v>
      </c>
      <c r="H769" s="2" t="s">
        <v>1148</v>
      </c>
      <c r="I769" s="2" t="str">
        <f t="shared" si="11"/>
        <v>10</v>
      </c>
      <c r="J769" s="2">
        <v>50</v>
      </c>
      <c r="K769" s="3">
        <v>-100000</v>
      </c>
      <c r="L769" s="2" t="s">
        <v>26</v>
      </c>
      <c r="M769" s="3">
        <v>-100000</v>
      </c>
      <c r="N769" s="2" t="s">
        <v>26</v>
      </c>
      <c r="R769" s="2" t="s">
        <v>27</v>
      </c>
      <c r="S769" s="2" t="s">
        <v>1149</v>
      </c>
      <c r="T769" s="2" t="s">
        <v>45</v>
      </c>
      <c r="U769" s="2" t="s">
        <v>1153</v>
      </c>
      <c r="V769" s="4">
        <f>+VLOOKUP(U769,'FBCJ Jul-Des 2025'!$G$10:$P$1302,8,0)</f>
        <v>70009110</v>
      </c>
      <c r="W769" s="4" t="str">
        <f>+VLOOKUP(V769,Sheet1!$A$2:$B$27,2,0)</f>
        <v>Biaya Survey dan Analisa</v>
      </c>
      <c r="X769" s="4" t="str">
        <f>+VLOOKUP(U769,'FBCJ Jul-Des 2025'!$G$10:$P$1302,9,0)</f>
        <v>M204D1COMM</v>
      </c>
      <c r="Y769" s="2" t="s">
        <v>43</v>
      </c>
      <c r="Z769" s="2">
        <v>1719278</v>
      </c>
      <c r="AA769" s="2">
        <v>20251017</v>
      </c>
      <c r="AB769" s="3">
        <v>100000</v>
      </c>
    </row>
    <row r="770" spans="3:28" x14ac:dyDescent="0.25">
      <c r="C770" s="2">
        <v>10000001</v>
      </c>
      <c r="D770" s="2" t="s">
        <v>1148</v>
      </c>
      <c r="F770" s="2">
        <v>12008581</v>
      </c>
      <c r="H770" s="2" t="s">
        <v>1148</v>
      </c>
      <c r="I770" s="2" t="str">
        <f t="shared" si="11"/>
        <v>10</v>
      </c>
      <c r="J770" s="2">
        <v>50</v>
      </c>
      <c r="K770" s="3">
        <v>-100000</v>
      </c>
      <c r="L770" s="2" t="s">
        <v>26</v>
      </c>
      <c r="M770" s="3">
        <v>-100000</v>
      </c>
      <c r="N770" s="2" t="s">
        <v>26</v>
      </c>
      <c r="R770" s="2" t="s">
        <v>27</v>
      </c>
      <c r="S770" s="2" t="s">
        <v>1149</v>
      </c>
      <c r="T770" s="2" t="s">
        <v>45</v>
      </c>
      <c r="U770" s="2" t="s">
        <v>1154</v>
      </c>
      <c r="V770" s="4">
        <f>+VLOOKUP(U770,'FBCJ Jul-Des 2025'!$G$10:$P$1302,8,0)</f>
        <v>70009110</v>
      </c>
      <c r="W770" s="4" t="str">
        <f>+VLOOKUP(V770,Sheet1!$A$2:$B$27,2,0)</f>
        <v>Biaya Survey dan Analisa</v>
      </c>
      <c r="X770" s="4" t="str">
        <f>+VLOOKUP(U770,'FBCJ Jul-Des 2025'!$G$10:$P$1302,9,0)</f>
        <v>M204D1COMM</v>
      </c>
      <c r="Y770" s="2" t="s">
        <v>43</v>
      </c>
      <c r="Z770" s="2">
        <v>1719278</v>
      </c>
      <c r="AA770" s="2">
        <v>20251017</v>
      </c>
      <c r="AB770" s="3">
        <v>100000</v>
      </c>
    </row>
    <row r="771" spans="3:28" x14ac:dyDescent="0.25">
      <c r="C771" s="2">
        <v>10000001</v>
      </c>
      <c r="D771" s="2" t="s">
        <v>1148</v>
      </c>
      <c r="F771" s="2">
        <v>12008582</v>
      </c>
      <c r="H771" s="2" t="s">
        <v>1148</v>
      </c>
      <c r="I771" s="2" t="str">
        <f t="shared" si="11"/>
        <v>10</v>
      </c>
      <c r="J771" s="2">
        <v>50</v>
      </c>
      <c r="K771" s="3">
        <v>-100000</v>
      </c>
      <c r="L771" s="2" t="s">
        <v>26</v>
      </c>
      <c r="M771" s="3">
        <v>-100000</v>
      </c>
      <c r="N771" s="2" t="s">
        <v>26</v>
      </c>
      <c r="R771" s="2" t="s">
        <v>27</v>
      </c>
      <c r="S771" s="2" t="s">
        <v>1149</v>
      </c>
      <c r="T771" s="2" t="s">
        <v>45</v>
      </c>
      <c r="U771" s="2" t="s">
        <v>1155</v>
      </c>
      <c r="V771" s="4">
        <f>+VLOOKUP(U771,'FBCJ Jul-Des 2025'!$G$10:$P$1302,8,0)</f>
        <v>70009110</v>
      </c>
      <c r="W771" s="4" t="str">
        <f>+VLOOKUP(V771,Sheet1!$A$2:$B$27,2,0)</f>
        <v>Biaya Survey dan Analisa</v>
      </c>
      <c r="X771" s="4" t="str">
        <f>+VLOOKUP(U771,'FBCJ Jul-Des 2025'!$G$10:$P$1302,9,0)</f>
        <v>M204D1COMM</v>
      </c>
      <c r="Y771" s="2" t="s">
        <v>43</v>
      </c>
      <c r="Z771" s="2">
        <v>1719278</v>
      </c>
      <c r="AA771" s="2">
        <v>20251017</v>
      </c>
      <c r="AB771" s="3">
        <v>100000</v>
      </c>
    </row>
    <row r="772" spans="3:28" x14ac:dyDescent="0.25">
      <c r="C772" s="2">
        <v>10000001</v>
      </c>
      <c r="D772" s="2" t="s">
        <v>1148</v>
      </c>
      <c r="F772" s="2">
        <v>12008583</v>
      </c>
      <c r="H772" s="2" t="s">
        <v>1148</v>
      </c>
      <c r="I772" s="2" t="str">
        <f t="shared" si="11"/>
        <v>10</v>
      </c>
      <c r="J772" s="2">
        <v>50</v>
      </c>
      <c r="K772" s="3">
        <v>-152000</v>
      </c>
      <c r="L772" s="2" t="s">
        <v>26</v>
      </c>
      <c r="M772" s="3">
        <v>-152000</v>
      </c>
      <c r="N772" s="2" t="s">
        <v>26</v>
      </c>
      <c r="R772" s="2" t="s">
        <v>27</v>
      </c>
      <c r="S772" s="2" t="s">
        <v>1156</v>
      </c>
      <c r="T772" s="2" t="s">
        <v>59</v>
      </c>
      <c r="U772" s="2" t="s">
        <v>1157</v>
      </c>
      <c r="V772" s="4">
        <f>+VLOOKUP(U772,'FBCJ Jul-Des 2025'!$G$10:$P$1302,8,0)</f>
        <v>70101114</v>
      </c>
      <c r="W772" s="4" t="str">
        <f>+VLOOKUP(V772,Sheet1!$A$2:$B$27,2,0)</f>
        <v>By Perbaikan &amp; Perawatan Perabot Material Pihak3</v>
      </c>
      <c r="X772" s="4" t="str">
        <f>+VLOOKUP(U772,'FBCJ Jul-Des 2025'!$G$10:$P$1302,9,0)</f>
        <v>R124D1HRGA</v>
      </c>
      <c r="Y772" s="2" t="s">
        <v>43</v>
      </c>
      <c r="Z772" s="2">
        <v>1719278</v>
      </c>
      <c r="AA772" s="2">
        <v>20251017</v>
      </c>
      <c r="AB772" s="3">
        <v>152000</v>
      </c>
    </row>
    <row r="773" spans="3:28" x14ac:dyDescent="0.25">
      <c r="C773" s="2">
        <v>10000001</v>
      </c>
      <c r="D773" s="2" t="s">
        <v>1148</v>
      </c>
      <c r="F773" s="2">
        <v>12008584</v>
      </c>
      <c r="H773" s="2" t="s">
        <v>1148</v>
      </c>
      <c r="I773" s="2" t="str">
        <f t="shared" si="11"/>
        <v>10</v>
      </c>
      <c r="J773" s="2">
        <v>50</v>
      </c>
      <c r="K773" s="3">
        <v>-150000</v>
      </c>
      <c r="L773" s="2" t="s">
        <v>26</v>
      </c>
      <c r="M773" s="3">
        <v>-150000</v>
      </c>
      <c r="N773" s="2" t="s">
        <v>26</v>
      </c>
      <c r="R773" s="2" t="s">
        <v>27</v>
      </c>
      <c r="S773" s="2" t="s">
        <v>1158</v>
      </c>
      <c r="T773" s="2" t="s">
        <v>126</v>
      </c>
      <c r="U773" s="2" t="s">
        <v>1159</v>
      </c>
      <c r="V773" s="4">
        <f>+VLOOKUP(U773,'FBCJ Jul-Des 2025'!$G$10:$P$1302,8,0)</f>
        <v>70107600</v>
      </c>
      <c r="W773" s="4" t="str">
        <f>+VLOOKUP(V773,Sheet1!$A$2:$B$27,2,0)</f>
        <v>Biaya Konsumsi Kantor</v>
      </c>
      <c r="X773" s="4" t="str">
        <f>+VLOOKUP(U773,'FBCJ Jul-Des 2025'!$G$10:$P$1302,9,0)</f>
        <v>R124D1FRCO</v>
      </c>
      <c r="Y773" s="2" t="s">
        <v>43</v>
      </c>
      <c r="Z773" s="2">
        <v>1719278</v>
      </c>
      <c r="AA773" s="2">
        <v>20251017</v>
      </c>
      <c r="AB773" s="3">
        <v>150000</v>
      </c>
    </row>
    <row r="774" spans="3:28" x14ac:dyDescent="0.25">
      <c r="C774" s="2">
        <v>10000001</v>
      </c>
      <c r="D774" s="2" t="s">
        <v>1148</v>
      </c>
      <c r="F774" s="2">
        <v>12008585</v>
      </c>
      <c r="H774" s="2" t="s">
        <v>1148</v>
      </c>
      <c r="I774" s="2" t="str">
        <f t="shared" si="11"/>
        <v>10</v>
      </c>
      <c r="J774" s="2">
        <v>50</v>
      </c>
      <c r="K774" s="3">
        <v>-630000</v>
      </c>
      <c r="L774" s="2" t="s">
        <v>26</v>
      </c>
      <c r="M774" s="3">
        <v>-630000</v>
      </c>
      <c r="N774" s="2" t="s">
        <v>26</v>
      </c>
      <c r="R774" s="2" t="s">
        <v>27</v>
      </c>
      <c r="S774" s="2" t="s">
        <v>1160</v>
      </c>
      <c r="T774" s="2" t="s">
        <v>96</v>
      </c>
      <c r="U774" s="2" t="s">
        <v>1161</v>
      </c>
      <c r="V774" s="4">
        <f>+VLOOKUP(U774,'FBCJ Jul-Des 2025'!$G$10:$P$1302,8,0)</f>
        <v>70106400</v>
      </c>
      <c r="W774" s="4" t="str">
        <f>+VLOOKUP(V774,Sheet1!$A$2:$B$27,2,0)</f>
        <v>Biaya Bahan Bakar</v>
      </c>
      <c r="X774" s="4" t="str">
        <f>+VLOOKUP(U774,'FBCJ Jul-Des 2025'!$G$10:$P$1302,9,0)</f>
        <v>R124D1HRGA</v>
      </c>
      <c r="Y774" s="2" t="s">
        <v>43</v>
      </c>
      <c r="Z774" s="2">
        <v>1719278</v>
      </c>
      <c r="AA774" s="2">
        <v>20251017</v>
      </c>
      <c r="AB774" s="3">
        <v>630000</v>
      </c>
    </row>
    <row r="775" spans="3:28" x14ac:dyDescent="0.25">
      <c r="C775" s="2">
        <v>10000001</v>
      </c>
      <c r="D775" s="2" t="s">
        <v>1148</v>
      </c>
      <c r="F775" s="2">
        <v>12008586</v>
      </c>
      <c r="H775" s="2" t="s">
        <v>1148</v>
      </c>
      <c r="I775" s="2" t="str">
        <f t="shared" si="11"/>
        <v>10</v>
      </c>
      <c r="J775" s="2">
        <v>50</v>
      </c>
      <c r="K775" s="3">
        <v>-369500</v>
      </c>
      <c r="L775" s="2" t="s">
        <v>26</v>
      </c>
      <c r="M775" s="3">
        <v>-369500</v>
      </c>
      <c r="N775" s="2" t="s">
        <v>26</v>
      </c>
      <c r="R775" s="2" t="s">
        <v>27</v>
      </c>
      <c r="S775" s="2" t="s">
        <v>1160</v>
      </c>
      <c r="T775" s="2" t="s">
        <v>67</v>
      </c>
      <c r="U775" s="2" t="s">
        <v>98</v>
      </c>
      <c r="V775" s="4">
        <f>+VLOOKUP(U775,'FBCJ Jul-Des 2025'!$G$10:$P$1302,8,0)</f>
        <v>70106100</v>
      </c>
      <c r="W775" s="4" t="str">
        <f>+VLOOKUP(V775,Sheet1!$A$2:$B$27,2,0)</f>
        <v>Biaya Transportasi Lokal</v>
      </c>
      <c r="X775" s="4" t="str">
        <f>+VLOOKUP(U775,'FBCJ Jul-Des 2025'!$G$10:$P$1302,9,0)</f>
        <v>R124D1HRGA</v>
      </c>
      <c r="Y775" s="2" t="s">
        <v>43</v>
      </c>
      <c r="Z775" s="2">
        <v>1719278</v>
      </c>
      <c r="AA775" s="2">
        <v>20251017</v>
      </c>
      <c r="AB775" s="3">
        <v>369500</v>
      </c>
    </row>
    <row r="776" spans="3:28" x14ac:dyDescent="0.25">
      <c r="C776" s="2">
        <v>10000001</v>
      </c>
      <c r="D776" s="2" t="s">
        <v>1148</v>
      </c>
      <c r="F776" s="2">
        <v>12008587</v>
      </c>
      <c r="H776" s="2" t="s">
        <v>1148</v>
      </c>
      <c r="I776" s="2" t="str">
        <f t="shared" ref="I776:I839" si="12">+MID(H776,4,2)</f>
        <v>10</v>
      </c>
      <c r="J776" s="2">
        <v>50</v>
      </c>
      <c r="K776" s="3">
        <v>-704000</v>
      </c>
      <c r="L776" s="2" t="s">
        <v>26</v>
      </c>
      <c r="M776" s="3">
        <v>-704000</v>
      </c>
      <c r="N776" s="2" t="s">
        <v>26</v>
      </c>
      <c r="R776" s="2" t="s">
        <v>27</v>
      </c>
      <c r="S776" s="2" t="s">
        <v>1162</v>
      </c>
      <c r="T776" s="2" t="s">
        <v>57</v>
      </c>
      <c r="U776" s="2" t="s">
        <v>1163</v>
      </c>
      <c r="V776" s="4">
        <f>+VLOOKUP(U776,'FBCJ Jul-Des 2025'!$G$10:$P$1302,8,0)</f>
        <v>70101202</v>
      </c>
      <c r="W776" s="4" t="str">
        <f>+VLOOKUP(V776,Sheet1!$A$2:$B$27,2,0)</f>
        <v>By Pemeliharaan Kend,ABerat,Mesin-Material Pihak3</v>
      </c>
      <c r="X776" s="4" t="str">
        <f>+VLOOKUP(U776,'FBCJ Jul-Des 2025'!$G$10:$P$1302,9,0)</f>
        <v>R124MIN</v>
      </c>
      <c r="Y776" s="2" t="s">
        <v>43</v>
      </c>
      <c r="Z776" s="2">
        <v>1719278</v>
      </c>
      <c r="AA776" s="2">
        <v>20251017</v>
      </c>
      <c r="AB776" s="3">
        <v>704000</v>
      </c>
    </row>
    <row r="777" spans="3:28" x14ac:dyDescent="0.25">
      <c r="C777" s="2">
        <v>10000001</v>
      </c>
      <c r="D777" s="2" t="s">
        <v>1148</v>
      </c>
      <c r="F777" s="2">
        <v>12008588</v>
      </c>
      <c r="H777" s="2" t="s">
        <v>1148</v>
      </c>
      <c r="I777" s="2" t="str">
        <f t="shared" si="12"/>
        <v>10</v>
      </c>
      <c r="J777" s="2">
        <v>50</v>
      </c>
      <c r="K777" s="3">
        <v>-800000</v>
      </c>
      <c r="L777" s="2" t="s">
        <v>26</v>
      </c>
      <c r="M777" s="3">
        <v>-800000</v>
      </c>
      <c r="N777" s="2" t="s">
        <v>26</v>
      </c>
      <c r="R777" s="2" t="s">
        <v>27</v>
      </c>
      <c r="S777" s="2" t="s">
        <v>1164</v>
      </c>
      <c r="T777" s="2" t="s">
        <v>254</v>
      </c>
      <c r="U777" s="2" t="s">
        <v>1165</v>
      </c>
      <c r="V777" s="4">
        <f>+VLOOKUP(U777,'FBCJ Jul-Des 2025'!$G$10:$P$1302,8,0)</f>
        <v>70107100</v>
      </c>
      <c r="W777" s="4" t="str">
        <f>+VLOOKUP(V777,Sheet1!$A$2:$B$27,2,0)</f>
        <v>Biaya Mess</v>
      </c>
      <c r="X777" s="4" t="str">
        <f>+VLOOKUP(U777,'FBCJ Jul-Des 2025'!$G$10:$P$1302,9,0)</f>
        <v>R124D1HRGA</v>
      </c>
      <c r="Y777" s="2" t="s">
        <v>43</v>
      </c>
      <c r="Z777" s="2">
        <v>1719278</v>
      </c>
      <c r="AA777" s="2">
        <v>20251017</v>
      </c>
      <c r="AB777" s="3">
        <v>800000</v>
      </c>
    </row>
    <row r="778" spans="3:28" x14ac:dyDescent="0.25">
      <c r="C778" s="2">
        <v>10000001</v>
      </c>
      <c r="D778" s="2" t="s">
        <v>1166</v>
      </c>
      <c r="F778" s="2">
        <v>12008589</v>
      </c>
      <c r="H778" s="2" t="s">
        <v>1166</v>
      </c>
      <c r="I778" s="2" t="str">
        <f t="shared" si="12"/>
        <v>10</v>
      </c>
      <c r="J778" s="2">
        <v>50</v>
      </c>
      <c r="K778" s="3">
        <v>-977000</v>
      </c>
      <c r="L778" s="2" t="s">
        <v>26</v>
      </c>
      <c r="M778" s="3">
        <v>-977000</v>
      </c>
      <c r="N778" s="2" t="s">
        <v>26</v>
      </c>
      <c r="R778" s="2" t="s">
        <v>27</v>
      </c>
      <c r="S778" s="2" t="s">
        <v>1167</v>
      </c>
      <c r="T778" s="2" t="s">
        <v>57</v>
      </c>
      <c r="U778" s="2" t="s">
        <v>1168</v>
      </c>
      <c r="V778" s="4">
        <f>+VLOOKUP(U778,'FBCJ Jul-Des 2025'!$G$10:$P$1302,8,0)</f>
        <v>70101202</v>
      </c>
      <c r="W778" s="4" t="str">
        <f>+VLOOKUP(V778,Sheet1!$A$2:$B$27,2,0)</f>
        <v>By Pemeliharaan Kend,ABerat,Mesin-Material Pihak3</v>
      </c>
      <c r="X778" s="4" t="str">
        <f>+VLOOKUP(U778,'FBCJ Jul-Des 2025'!$G$10:$P$1302,9,0)</f>
        <v>R124REF3</v>
      </c>
      <c r="Y778" s="2" t="s">
        <v>43</v>
      </c>
      <c r="Z778" s="2">
        <v>1719278</v>
      </c>
      <c r="AA778" s="2">
        <v>20251020</v>
      </c>
      <c r="AB778" s="3">
        <v>977000</v>
      </c>
    </row>
    <row r="779" spans="3:28" x14ac:dyDescent="0.25">
      <c r="C779" s="2">
        <v>10000001</v>
      </c>
      <c r="D779" s="2" t="s">
        <v>1166</v>
      </c>
      <c r="F779" s="2">
        <v>12008590</v>
      </c>
      <c r="H779" s="2" t="s">
        <v>1166</v>
      </c>
      <c r="I779" s="2" t="str">
        <f t="shared" si="12"/>
        <v>10</v>
      </c>
      <c r="J779" s="2">
        <v>50</v>
      </c>
      <c r="K779" s="3">
        <v>-200000</v>
      </c>
      <c r="L779" s="2" t="s">
        <v>26</v>
      </c>
      <c r="M779" s="3">
        <v>-200000</v>
      </c>
      <c r="N779" s="2" t="s">
        <v>26</v>
      </c>
      <c r="R779" s="2" t="s">
        <v>27</v>
      </c>
      <c r="S779" s="2" t="s">
        <v>1169</v>
      </c>
      <c r="T779" s="2" t="s">
        <v>45</v>
      </c>
      <c r="U779" s="2" t="s">
        <v>1170</v>
      </c>
      <c r="V779" s="4">
        <f>+VLOOKUP(U779,'FBCJ Jul-Des 2025'!$G$10:$P$1302,8,0)</f>
        <v>70009110</v>
      </c>
      <c r="W779" s="4" t="str">
        <f>+VLOOKUP(V779,Sheet1!$A$2:$B$27,2,0)</f>
        <v>Biaya Survey dan Analisa</v>
      </c>
      <c r="X779" s="4" t="str">
        <f>+VLOOKUP(U779,'FBCJ Jul-Des 2025'!$G$10:$P$1302,9,0)</f>
        <v>C206D1SLSS</v>
      </c>
      <c r="Y779" s="2" t="s">
        <v>43</v>
      </c>
      <c r="Z779" s="2">
        <v>1719278</v>
      </c>
      <c r="AA779" s="2">
        <v>20251020</v>
      </c>
      <c r="AB779" s="3">
        <v>200000</v>
      </c>
    </row>
    <row r="780" spans="3:28" x14ac:dyDescent="0.25">
      <c r="C780" s="2">
        <v>10000001</v>
      </c>
      <c r="D780" s="2" t="s">
        <v>1166</v>
      </c>
      <c r="F780" s="2">
        <v>12008591</v>
      </c>
      <c r="H780" s="2" t="s">
        <v>1166</v>
      </c>
      <c r="I780" s="2" t="str">
        <f t="shared" si="12"/>
        <v>10</v>
      </c>
      <c r="J780" s="2">
        <v>50</v>
      </c>
      <c r="K780" s="3">
        <v>-150000</v>
      </c>
      <c r="L780" s="2" t="s">
        <v>26</v>
      </c>
      <c r="M780" s="3">
        <v>-150000</v>
      </c>
      <c r="N780" s="2" t="s">
        <v>26</v>
      </c>
      <c r="R780" s="2" t="s">
        <v>27</v>
      </c>
      <c r="S780" s="2" t="s">
        <v>1169</v>
      </c>
      <c r="T780" s="2" t="s">
        <v>45</v>
      </c>
      <c r="U780" s="2" t="s">
        <v>1171</v>
      </c>
      <c r="V780" s="4">
        <f>+VLOOKUP(U780,'FBCJ Jul-Des 2025'!$G$10:$P$1302,8,0)</f>
        <v>70009110</v>
      </c>
      <c r="W780" s="4" t="str">
        <f>+VLOOKUP(V780,Sheet1!$A$2:$B$27,2,0)</f>
        <v>Biaya Survey dan Analisa</v>
      </c>
      <c r="X780" s="4" t="str">
        <f>+VLOOKUP(U780,'FBCJ Jul-Des 2025'!$G$10:$P$1302,9,0)</f>
        <v>C206D1SLSS</v>
      </c>
      <c r="Y780" s="2" t="s">
        <v>43</v>
      </c>
      <c r="Z780" s="2">
        <v>1719278</v>
      </c>
      <c r="AA780" s="2">
        <v>20251020</v>
      </c>
      <c r="AB780" s="3">
        <v>150000</v>
      </c>
    </row>
    <row r="781" spans="3:28" x14ac:dyDescent="0.25">
      <c r="C781" s="2">
        <v>10000001</v>
      </c>
      <c r="D781" s="2" t="s">
        <v>1166</v>
      </c>
      <c r="F781" s="2">
        <v>12008592</v>
      </c>
      <c r="H781" s="2" t="s">
        <v>1166</v>
      </c>
      <c r="I781" s="2" t="str">
        <f t="shared" si="12"/>
        <v>10</v>
      </c>
      <c r="J781" s="2">
        <v>50</v>
      </c>
      <c r="K781" s="3">
        <v>-50000</v>
      </c>
      <c r="L781" s="2" t="s">
        <v>26</v>
      </c>
      <c r="M781" s="3">
        <v>-50000</v>
      </c>
      <c r="N781" s="2" t="s">
        <v>26</v>
      </c>
      <c r="R781" s="2" t="s">
        <v>27</v>
      </c>
      <c r="S781" s="2" t="s">
        <v>1169</v>
      </c>
      <c r="T781" s="2" t="s">
        <v>45</v>
      </c>
      <c r="U781" s="2" t="s">
        <v>1172</v>
      </c>
      <c r="V781" s="4">
        <f>+VLOOKUP(U781,'FBCJ Jul-Des 2025'!$G$10:$P$1302,8,0)</f>
        <v>70009110</v>
      </c>
      <c r="W781" s="4" t="str">
        <f>+VLOOKUP(V781,Sheet1!$A$2:$B$27,2,0)</f>
        <v>Biaya Survey dan Analisa</v>
      </c>
      <c r="X781" s="4" t="str">
        <f>+VLOOKUP(U781,'FBCJ Jul-Des 2025'!$G$10:$P$1302,9,0)</f>
        <v>C206D1SLSS</v>
      </c>
      <c r="Y781" s="2" t="s">
        <v>43</v>
      </c>
      <c r="Z781" s="2">
        <v>1719278</v>
      </c>
      <c r="AA781" s="2">
        <v>20251020</v>
      </c>
      <c r="AB781" s="3">
        <v>50000</v>
      </c>
    </row>
    <row r="782" spans="3:28" x14ac:dyDescent="0.25">
      <c r="C782" s="2">
        <v>10000001</v>
      </c>
      <c r="D782" s="2" t="s">
        <v>1166</v>
      </c>
      <c r="F782" s="2">
        <v>12008593</v>
      </c>
      <c r="H782" s="2" t="s">
        <v>1166</v>
      </c>
      <c r="I782" s="2" t="str">
        <f t="shared" si="12"/>
        <v>10</v>
      </c>
      <c r="J782" s="2">
        <v>50</v>
      </c>
      <c r="K782" s="3">
        <v>-50000</v>
      </c>
      <c r="L782" s="2" t="s">
        <v>26</v>
      </c>
      <c r="M782" s="3">
        <v>-50000</v>
      </c>
      <c r="N782" s="2" t="s">
        <v>26</v>
      </c>
      <c r="R782" s="2" t="s">
        <v>27</v>
      </c>
      <c r="S782" s="2" t="s">
        <v>1169</v>
      </c>
      <c r="T782" s="2" t="s">
        <v>45</v>
      </c>
      <c r="U782" s="2" t="s">
        <v>1173</v>
      </c>
      <c r="V782" s="4">
        <f>+VLOOKUP(U782,'FBCJ Jul-Des 2025'!$G$10:$P$1302,8,0)</f>
        <v>70009110</v>
      </c>
      <c r="W782" s="4" t="str">
        <f>+VLOOKUP(V782,Sheet1!$A$2:$B$27,2,0)</f>
        <v>Biaya Survey dan Analisa</v>
      </c>
      <c r="X782" s="4" t="str">
        <f>+VLOOKUP(U782,'FBCJ Jul-Des 2025'!$G$10:$P$1302,9,0)</f>
        <v>C206D1SLSS</v>
      </c>
      <c r="Y782" s="2" t="s">
        <v>43</v>
      </c>
      <c r="Z782" s="2">
        <v>1719278</v>
      </c>
      <c r="AA782" s="2">
        <v>20251020</v>
      </c>
      <c r="AB782" s="3">
        <v>50000</v>
      </c>
    </row>
    <row r="783" spans="3:28" x14ac:dyDescent="0.25">
      <c r="C783" s="2">
        <v>10000001</v>
      </c>
      <c r="D783" s="2" t="s">
        <v>1166</v>
      </c>
      <c r="F783" s="2">
        <v>12008594</v>
      </c>
      <c r="H783" s="2" t="s">
        <v>1166</v>
      </c>
      <c r="I783" s="2" t="str">
        <f t="shared" si="12"/>
        <v>10</v>
      </c>
      <c r="J783" s="2">
        <v>50</v>
      </c>
      <c r="K783" s="3">
        <v>-50000</v>
      </c>
      <c r="L783" s="2" t="s">
        <v>26</v>
      </c>
      <c r="M783" s="3">
        <v>-50000</v>
      </c>
      <c r="N783" s="2" t="s">
        <v>26</v>
      </c>
      <c r="R783" s="2" t="s">
        <v>27</v>
      </c>
      <c r="S783" s="2" t="s">
        <v>1169</v>
      </c>
      <c r="T783" s="2" t="s">
        <v>45</v>
      </c>
      <c r="U783" s="2" t="s">
        <v>1174</v>
      </c>
      <c r="V783" s="4">
        <f>+VLOOKUP(U783,'FBCJ Jul-Des 2025'!$G$10:$P$1302,8,0)</f>
        <v>70009110</v>
      </c>
      <c r="W783" s="4" t="str">
        <f>+VLOOKUP(V783,Sheet1!$A$2:$B$27,2,0)</f>
        <v>Biaya Survey dan Analisa</v>
      </c>
      <c r="X783" s="4" t="str">
        <f>+VLOOKUP(U783,'FBCJ Jul-Des 2025'!$G$10:$P$1302,9,0)</f>
        <v>M204D1COMM</v>
      </c>
      <c r="Y783" s="2" t="s">
        <v>43</v>
      </c>
      <c r="Z783" s="2">
        <v>1719278</v>
      </c>
      <c r="AA783" s="2">
        <v>20251020</v>
      </c>
      <c r="AB783" s="3">
        <v>50000</v>
      </c>
    </row>
    <row r="784" spans="3:28" x14ac:dyDescent="0.25">
      <c r="C784" s="2">
        <v>10000001</v>
      </c>
      <c r="D784" s="2" t="s">
        <v>1166</v>
      </c>
      <c r="F784" s="2">
        <v>12008595</v>
      </c>
      <c r="H784" s="2" t="s">
        <v>1166</v>
      </c>
      <c r="I784" s="2" t="str">
        <f t="shared" si="12"/>
        <v>10</v>
      </c>
      <c r="J784" s="2">
        <v>50</v>
      </c>
      <c r="K784" s="3">
        <v>-50000</v>
      </c>
      <c r="L784" s="2" t="s">
        <v>26</v>
      </c>
      <c r="M784" s="3">
        <v>-50000</v>
      </c>
      <c r="N784" s="2" t="s">
        <v>26</v>
      </c>
      <c r="R784" s="2" t="s">
        <v>27</v>
      </c>
      <c r="S784" s="2" t="s">
        <v>1169</v>
      </c>
      <c r="T784" s="2" t="s">
        <v>45</v>
      </c>
      <c r="U784" s="2" t="s">
        <v>1175</v>
      </c>
      <c r="V784" s="4">
        <f>+VLOOKUP(U784,'FBCJ Jul-Des 2025'!$G$10:$P$1302,8,0)</f>
        <v>70009110</v>
      </c>
      <c r="W784" s="4" t="str">
        <f>+VLOOKUP(V784,Sheet1!$A$2:$B$27,2,0)</f>
        <v>Biaya Survey dan Analisa</v>
      </c>
      <c r="X784" s="4" t="str">
        <f>+VLOOKUP(U784,'FBCJ Jul-Des 2025'!$G$10:$P$1302,9,0)</f>
        <v>C206D1SLSS</v>
      </c>
      <c r="Y784" s="2" t="s">
        <v>43</v>
      </c>
      <c r="Z784" s="2">
        <v>1719278</v>
      </c>
      <c r="AA784" s="2">
        <v>20251020</v>
      </c>
      <c r="AB784" s="3">
        <v>50000</v>
      </c>
    </row>
    <row r="785" spans="3:28" x14ac:dyDescent="0.25">
      <c r="C785" s="2">
        <v>10000001</v>
      </c>
      <c r="D785" s="2" t="s">
        <v>1166</v>
      </c>
      <c r="F785" s="2">
        <v>12008596</v>
      </c>
      <c r="H785" s="2" t="s">
        <v>1166</v>
      </c>
      <c r="I785" s="2" t="str">
        <f t="shared" si="12"/>
        <v>10</v>
      </c>
      <c r="J785" s="2">
        <v>50</v>
      </c>
      <c r="K785" s="3">
        <v>-50000</v>
      </c>
      <c r="L785" s="2" t="s">
        <v>26</v>
      </c>
      <c r="M785" s="3">
        <v>-50000</v>
      </c>
      <c r="N785" s="2" t="s">
        <v>26</v>
      </c>
      <c r="R785" s="2" t="s">
        <v>27</v>
      </c>
      <c r="S785" s="2" t="s">
        <v>1169</v>
      </c>
      <c r="T785" s="2" t="s">
        <v>45</v>
      </c>
      <c r="U785" s="2" t="s">
        <v>1176</v>
      </c>
      <c r="V785" s="4">
        <f>+VLOOKUP(U785,'FBCJ Jul-Des 2025'!$G$10:$P$1302,8,0)</f>
        <v>70009110</v>
      </c>
      <c r="W785" s="4" t="str">
        <f>+VLOOKUP(V785,Sheet1!$A$2:$B$27,2,0)</f>
        <v>Biaya Survey dan Analisa</v>
      </c>
      <c r="X785" s="4" t="str">
        <f>+VLOOKUP(U785,'FBCJ Jul-Des 2025'!$G$10:$P$1302,9,0)</f>
        <v>M204D1COMM</v>
      </c>
      <c r="Y785" s="2" t="s">
        <v>43</v>
      </c>
      <c r="Z785" s="2">
        <v>1719278</v>
      </c>
      <c r="AA785" s="2">
        <v>20251020</v>
      </c>
      <c r="AB785" s="3">
        <v>50000</v>
      </c>
    </row>
    <row r="786" spans="3:28" x14ac:dyDescent="0.25">
      <c r="C786" s="2">
        <v>10000001</v>
      </c>
      <c r="D786" s="2" t="s">
        <v>1166</v>
      </c>
      <c r="F786" s="2">
        <v>12008597</v>
      </c>
      <c r="H786" s="2" t="s">
        <v>1166</v>
      </c>
      <c r="I786" s="2" t="str">
        <f t="shared" si="12"/>
        <v>10</v>
      </c>
      <c r="J786" s="2">
        <v>50</v>
      </c>
      <c r="K786" s="3">
        <v>-470000</v>
      </c>
      <c r="L786" s="2" t="s">
        <v>26</v>
      </c>
      <c r="M786" s="3">
        <v>-470000</v>
      </c>
      <c r="N786" s="2" t="s">
        <v>26</v>
      </c>
      <c r="R786" s="2" t="s">
        <v>27</v>
      </c>
      <c r="S786" s="2" t="s">
        <v>1177</v>
      </c>
      <c r="T786" s="2" t="s">
        <v>126</v>
      </c>
      <c r="U786" s="2" t="s">
        <v>1178</v>
      </c>
      <c r="V786" s="4">
        <f>+VLOOKUP(U786,'FBCJ Jul-Des 2025'!$G$10:$P$1302,8,0)</f>
        <v>70107600</v>
      </c>
      <c r="W786" s="4" t="str">
        <f>+VLOOKUP(V786,Sheet1!$A$2:$B$27,2,0)</f>
        <v>Biaya Konsumsi Kantor</v>
      </c>
      <c r="X786" s="4" t="str">
        <f>+VLOOKUP(U786,'FBCJ Jul-Des 2025'!$G$10:$P$1302,9,0)</f>
        <v>R124D1MGMT</v>
      </c>
      <c r="Y786" s="2" t="s">
        <v>43</v>
      </c>
      <c r="Z786" s="2">
        <v>1719278</v>
      </c>
      <c r="AA786" s="2">
        <v>20251020</v>
      </c>
      <c r="AB786" s="3">
        <v>470000</v>
      </c>
    </row>
    <row r="787" spans="3:28" x14ac:dyDescent="0.25">
      <c r="C787" s="2">
        <v>10000001</v>
      </c>
      <c r="D787" s="2" t="s">
        <v>1166</v>
      </c>
      <c r="F787" s="2">
        <v>12008598</v>
      </c>
      <c r="H787" s="2" t="s">
        <v>1166</v>
      </c>
      <c r="I787" s="2" t="str">
        <f t="shared" si="12"/>
        <v>10</v>
      </c>
      <c r="J787" s="2">
        <v>50</v>
      </c>
      <c r="K787" s="3">
        <v>-50000</v>
      </c>
      <c r="L787" s="2" t="s">
        <v>26</v>
      </c>
      <c r="M787" s="3">
        <v>-50000</v>
      </c>
      <c r="N787" s="2" t="s">
        <v>26</v>
      </c>
      <c r="R787" s="2" t="s">
        <v>27</v>
      </c>
      <c r="S787" s="2" t="s">
        <v>1179</v>
      </c>
      <c r="T787" s="2" t="s">
        <v>45</v>
      </c>
      <c r="U787" s="2" t="s">
        <v>1180</v>
      </c>
      <c r="V787" s="4">
        <f>+VLOOKUP(U787,'FBCJ Jul-Des 2025'!$G$10:$P$1302,8,0)</f>
        <v>70009110</v>
      </c>
      <c r="W787" s="4" t="str">
        <f>+VLOOKUP(V787,Sheet1!$A$2:$B$27,2,0)</f>
        <v>Biaya Survey dan Analisa</v>
      </c>
      <c r="X787" s="4" t="str">
        <f>+VLOOKUP(U787,'FBCJ Jul-Des 2025'!$G$10:$P$1302,9,0)</f>
        <v>M204D1COMM</v>
      </c>
      <c r="Y787" s="2" t="s">
        <v>43</v>
      </c>
      <c r="Z787" s="2">
        <v>1719278</v>
      </c>
      <c r="AA787" s="2">
        <v>20251020</v>
      </c>
      <c r="AB787" s="3">
        <v>50000</v>
      </c>
    </row>
    <row r="788" spans="3:28" x14ac:dyDescent="0.25">
      <c r="C788" s="2">
        <v>10000001</v>
      </c>
      <c r="D788" s="2" t="s">
        <v>1166</v>
      </c>
      <c r="F788" s="2">
        <v>12008599</v>
      </c>
      <c r="H788" s="2" t="s">
        <v>1166</v>
      </c>
      <c r="I788" s="2" t="str">
        <f t="shared" si="12"/>
        <v>10</v>
      </c>
      <c r="J788" s="2">
        <v>50</v>
      </c>
      <c r="K788" s="3">
        <v>-50000</v>
      </c>
      <c r="L788" s="2" t="s">
        <v>26</v>
      </c>
      <c r="M788" s="3">
        <v>-50000</v>
      </c>
      <c r="N788" s="2" t="s">
        <v>26</v>
      </c>
      <c r="R788" s="2" t="s">
        <v>27</v>
      </c>
      <c r="S788" s="2" t="s">
        <v>1179</v>
      </c>
      <c r="T788" s="2" t="s">
        <v>45</v>
      </c>
      <c r="U788" s="2" t="s">
        <v>1181</v>
      </c>
      <c r="V788" s="4">
        <f>+VLOOKUP(U788,'FBCJ Jul-Des 2025'!$G$10:$P$1302,8,0)</f>
        <v>70009110</v>
      </c>
      <c r="W788" s="4" t="str">
        <f>+VLOOKUP(V788,Sheet1!$A$2:$B$27,2,0)</f>
        <v>Biaya Survey dan Analisa</v>
      </c>
      <c r="X788" s="4" t="str">
        <f>+VLOOKUP(U788,'FBCJ Jul-Des 2025'!$G$10:$P$1302,9,0)</f>
        <v>M204D1COMM</v>
      </c>
      <c r="Y788" s="2" t="s">
        <v>43</v>
      </c>
      <c r="Z788" s="2">
        <v>1719278</v>
      </c>
      <c r="AA788" s="2">
        <v>20251020</v>
      </c>
      <c r="AB788" s="3">
        <v>50000</v>
      </c>
    </row>
    <row r="789" spans="3:28" x14ac:dyDescent="0.25">
      <c r="C789" s="2">
        <v>10000001</v>
      </c>
      <c r="D789" s="2" t="s">
        <v>1166</v>
      </c>
      <c r="F789" s="2">
        <v>12008600</v>
      </c>
      <c r="H789" s="2" t="s">
        <v>1166</v>
      </c>
      <c r="I789" s="2" t="str">
        <f t="shared" si="12"/>
        <v>10</v>
      </c>
      <c r="J789" s="2">
        <v>50</v>
      </c>
      <c r="K789" s="3">
        <v>-50000</v>
      </c>
      <c r="L789" s="2" t="s">
        <v>26</v>
      </c>
      <c r="M789" s="3">
        <v>-50000</v>
      </c>
      <c r="N789" s="2" t="s">
        <v>26</v>
      </c>
      <c r="R789" s="2" t="s">
        <v>27</v>
      </c>
      <c r="S789" s="2" t="s">
        <v>1179</v>
      </c>
      <c r="T789" s="2" t="s">
        <v>45</v>
      </c>
      <c r="U789" s="2" t="s">
        <v>1182</v>
      </c>
      <c r="V789" s="4">
        <f>+VLOOKUP(U789,'FBCJ Jul-Des 2025'!$G$10:$P$1302,8,0)</f>
        <v>70009110</v>
      </c>
      <c r="W789" s="4" t="str">
        <f>+VLOOKUP(V789,Sheet1!$A$2:$B$27,2,0)</f>
        <v>Biaya Survey dan Analisa</v>
      </c>
      <c r="X789" s="4" t="str">
        <f>+VLOOKUP(U789,'FBCJ Jul-Des 2025'!$G$10:$P$1302,9,0)</f>
        <v>M204D1COMM</v>
      </c>
      <c r="Y789" s="2" t="s">
        <v>43</v>
      </c>
      <c r="Z789" s="2">
        <v>1719278</v>
      </c>
      <c r="AA789" s="2">
        <v>20251020</v>
      </c>
      <c r="AB789" s="3">
        <v>50000</v>
      </c>
    </row>
    <row r="790" spans="3:28" x14ac:dyDescent="0.25">
      <c r="C790" s="2">
        <v>10000001</v>
      </c>
      <c r="D790" s="2" t="s">
        <v>1183</v>
      </c>
      <c r="F790" s="2">
        <v>12008601</v>
      </c>
      <c r="H790" s="2" t="s">
        <v>1183</v>
      </c>
      <c r="I790" s="2" t="str">
        <f t="shared" si="12"/>
        <v>10</v>
      </c>
      <c r="J790" s="2">
        <v>50</v>
      </c>
      <c r="K790" s="3">
        <v>-293655</v>
      </c>
      <c r="L790" s="2" t="s">
        <v>26</v>
      </c>
      <c r="M790" s="3">
        <v>-293655</v>
      </c>
      <c r="N790" s="2" t="s">
        <v>26</v>
      </c>
      <c r="R790" s="2" t="s">
        <v>27</v>
      </c>
      <c r="S790" s="2" t="s">
        <v>1184</v>
      </c>
      <c r="T790" s="2" t="s">
        <v>59</v>
      </c>
      <c r="U790" s="2" t="s">
        <v>1185</v>
      </c>
      <c r="V790" s="4">
        <f>+VLOOKUP(U790,'FBCJ Jul-Des 2025'!$G$10:$P$1302,8,0)</f>
        <v>70101114</v>
      </c>
      <c r="W790" s="4" t="str">
        <f>+VLOOKUP(V790,Sheet1!$A$2:$B$27,2,0)</f>
        <v>By Perbaikan &amp; Perawatan Perabot Material Pihak3</v>
      </c>
      <c r="X790" s="4" t="str">
        <f>+VLOOKUP(U790,'FBCJ Jul-Des 2025'!$G$10:$P$1302,9,0)</f>
        <v>R124D1HRGA</v>
      </c>
      <c r="Y790" s="2" t="s">
        <v>43</v>
      </c>
      <c r="Z790" s="2">
        <v>1719278</v>
      </c>
      <c r="AA790" s="2">
        <v>20251021</v>
      </c>
      <c r="AB790" s="3">
        <v>293655</v>
      </c>
    </row>
    <row r="791" spans="3:28" x14ac:dyDescent="0.25">
      <c r="C791" s="2">
        <v>10000001</v>
      </c>
      <c r="D791" s="2" t="s">
        <v>1183</v>
      </c>
      <c r="F791" s="2">
        <v>12008602</v>
      </c>
      <c r="H791" s="2" t="s">
        <v>1183</v>
      </c>
      <c r="I791" s="2" t="str">
        <f t="shared" si="12"/>
        <v>10</v>
      </c>
      <c r="J791" s="2">
        <v>50</v>
      </c>
      <c r="K791" s="3">
        <v>-135000</v>
      </c>
      <c r="L791" s="2" t="s">
        <v>26</v>
      </c>
      <c r="M791" s="3">
        <v>-135000</v>
      </c>
      <c r="N791" s="2" t="s">
        <v>26</v>
      </c>
      <c r="R791" s="2" t="s">
        <v>27</v>
      </c>
      <c r="S791" s="2" t="s">
        <v>1186</v>
      </c>
      <c r="T791" s="2" t="s">
        <v>1187</v>
      </c>
      <c r="U791" s="2" t="s">
        <v>1188</v>
      </c>
      <c r="V791" s="4">
        <f>+VLOOKUP(U791,'FBCJ Jul-Des 2025'!$G$10:$P$1302,8,0)</f>
        <v>70110210</v>
      </c>
      <c r="W791" s="4">
        <f>+VLOOKUP(V791,Sheet1!$A$2:$B$27,2,0)</f>
        <v>0</v>
      </c>
      <c r="X791" s="4" t="str">
        <f>+VLOOKUP(U791,'FBCJ Jul-Des 2025'!$G$10:$P$1302,9,0)</f>
        <v>H200D1MMDP</v>
      </c>
      <c r="Y791" s="2" t="s">
        <v>43</v>
      </c>
      <c r="Z791" s="2">
        <v>1719278</v>
      </c>
      <c r="AA791" s="2">
        <v>20251021</v>
      </c>
      <c r="AB791" s="3">
        <v>135000</v>
      </c>
    </row>
    <row r="792" spans="3:28" x14ac:dyDescent="0.25">
      <c r="C792" s="2">
        <v>10000001</v>
      </c>
      <c r="D792" s="2" t="s">
        <v>1183</v>
      </c>
      <c r="F792" s="2">
        <v>12008603</v>
      </c>
      <c r="H792" s="2" t="s">
        <v>1183</v>
      </c>
      <c r="I792" s="2" t="str">
        <f t="shared" si="12"/>
        <v>10</v>
      </c>
      <c r="J792" s="2">
        <v>50</v>
      </c>
      <c r="K792" s="3">
        <v>-971000</v>
      </c>
      <c r="L792" s="2" t="s">
        <v>26</v>
      </c>
      <c r="M792" s="3">
        <v>-971000</v>
      </c>
      <c r="N792" s="2" t="s">
        <v>26</v>
      </c>
      <c r="R792" s="2" t="s">
        <v>27</v>
      </c>
      <c r="S792" s="2" t="s">
        <v>1189</v>
      </c>
      <c r="T792" s="2" t="s">
        <v>274</v>
      </c>
      <c r="U792" s="2" t="s">
        <v>1190</v>
      </c>
      <c r="V792" s="4">
        <f>+VLOOKUP(U792,'FBCJ Jul-Des 2025'!$G$10:$P$1302,8,0)</f>
        <v>70108100</v>
      </c>
      <c r="W792" s="4" t="str">
        <f>+VLOOKUP(V792,Sheet1!$A$2:$B$27,2,0)</f>
        <v>Biaya Peralatan Dan Perabot Kantor</v>
      </c>
      <c r="X792" s="4" t="str">
        <f>+VLOOKUP(U792,'FBCJ Jul-Des 2025'!$G$10:$P$1302,9,0)</f>
        <v>R124D1HRGA</v>
      </c>
      <c r="Y792" s="2" t="s">
        <v>43</v>
      </c>
      <c r="Z792" s="2">
        <v>1719278</v>
      </c>
      <c r="AA792" s="2">
        <v>20251021</v>
      </c>
      <c r="AB792" s="3">
        <v>971000</v>
      </c>
    </row>
    <row r="793" spans="3:28" x14ac:dyDescent="0.25">
      <c r="C793" s="2">
        <v>10000001</v>
      </c>
      <c r="D793" s="2" t="s">
        <v>1183</v>
      </c>
      <c r="F793" s="2">
        <v>12008604</v>
      </c>
      <c r="H793" s="2" t="s">
        <v>1183</v>
      </c>
      <c r="I793" s="2" t="str">
        <f t="shared" si="12"/>
        <v>10</v>
      </c>
      <c r="J793" s="2">
        <v>50</v>
      </c>
      <c r="K793" s="3">
        <v>-760000</v>
      </c>
      <c r="L793" s="2" t="s">
        <v>26</v>
      </c>
      <c r="M793" s="3">
        <v>-760000</v>
      </c>
      <c r="N793" s="2" t="s">
        <v>26</v>
      </c>
      <c r="R793" s="2" t="s">
        <v>27</v>
      </c>
      <c r="S793" s="2" t="s">
        <v>1191</v>
      </c>
      <c r="T793" s="2" t="s">
        <v>274</v>
      </c>
      <c r="U793" s="2" t="s">
        <v>1192</v>
      </c>
      <c r="V793" s="4">
        <f>+VLOOKUP(U793,'FBCJ Jul-Des 2025'!$G$10:$P$1302,8,0)</f>
        <v>70108100</v>
      </c>
      <c r="W793" s="4" t="str">
        <f>+VLOOKUP(V793,Sheet1!$A$2:$B$27,2,0)</f>
        <v>Biaya Peralatan Dan Perabot Kantor</v>
      </c>
      <c r="X793" s="4" t="str">
        <f>+VLOOKUP(U793,'FBCJ Jul-Des 2025'!$G$10:$P$1302,9,0)</f>
        <v>R124D1HRGA</v>
      </c>
      <c r="Y793" s="2" t="s">
        <v>43</v>
      </c>
      <c r="Z793" s="2">
        <v>1719278</v>
      </c>
      <c r="AA793" s="2">
        <v>20251021</v>
      </c>
      <c r="AB793" s="3">
        <v>760000</v>
      </c>
    </row>
    <row r="794" spans="3:28" x14ac:dyDescent="0.25">
      <c r="C794" s="2">
        <v>10000001</v>
      </c>
      <c r="D794" s="2" t="s">
        <v>1183</v>
      </c>
      <c r="F794" s="2">
        <v>12008605</v>
      </c>
      <c r="H794" s="2" t="s">
        <v>1183</v>
      </c>
      <c r="I794" s="2" t="str">
        <f t="shared" si="12"/>
        <v>10</v>
      </c>
      <c r="J794" s="2">
        <v>50</v>
      </c>
      <c r="K794" s="3">
        <v>-560000</v>
      </c>
      <c r="L794" s="2" t="s">
        <v>26</v>
      </c>
      <c r="M794" s="3">
        <v>-560000</v>
      </c>
      <c r="N794" s="2" t="s">
        <v>26</v>
      </c>
      <c r="R794" s="2" t="s">
        <v>27</v>
      </c>
      <c r="S794" s="2" t="s">
        <v>1193</v>
      </c>
      <c r="T794" s="2" t="s">
        <v>96</v>
      </c>
      <c r="U794" s="2" t="s">
        <v>1194</v>
      </c>
      <c r="V794" s="4">
        <f>+VLOOKUP(U794,'FBCJ Jul-Des 2025'!$G$10:$P$1302,8,0)</f>
        <v>70106400</v>
      </c>
      <c r="W794" s="4" t="str">
        <f>+VLOOKUP(V794,Sheet1!$A$2:$B$27,2,0)</f>
        <v>Biaya Bahan Bakar</v>
      </c>
      <c r="X794" s="4" t="str">
        <f>+VLOOKUP(U794,'FBCJ Jul-Des 2025'!$G$10:$P$1302,9,0)</f>
        <v>R124D1HRGA</v>
      </c>
      <c r="Y794" s="2" t="s">
        <v>43</v>
      </c>
      <c r="Z794" s="2">
        <v>1719278</v>
      </c>
      <c r="AA794" s="2">
        <v>20251021</v>
      </c>
      <c r="AB794" s="3">
        <v>560000</v>
      </c>
    </row>
    <row r="795" spans="3:28" x14ac:dyDescent="0.25">
      <c r="C795" s="2">
        <v>10000001</v>
      </c>
      <c r="D795" s="2" t="s">
        <v>1183</v>
      </c>
      <c r="F795" s="2">
        <v>12008606</v>
      </c>
      <c r="H795" s="2" t="s">
        <v>1183</v>
      </c>
      <c r="I795" s="2" t="str">
        <f t="shared" si="12"/>
        <v>10</v>
      </c>
      <c r="J795" s="2">
        <v>50</v>
      </c>
      <c r="K795" s="3">
        <v>-439000</v>
      </c>
      <c r="L795" s="2" t="s">
        <v>26</v>
      </c>
      <c r="M795" s="3">
        <v>-439000</v>
      </c>
      <c r="N795" s="2" t="s">
        <v>26</v>
      </c>
      <c r="R795" s="2" t="s">
        <v>27</v>
      </c>
      <c r="S795" s="2" t="s">
        <v>1193</v>
      </c>
      <c r="T795" s="2" t="s">
        <v>67</v>
      </c>
      <c r="U795" s="2" t="s">
        <v>98</v>
      </c>
      <c r="V795" s="4">
        <f>+VLOOKUP(U795,'FBCJ Jul-Des 2025'!$G$10:$P$1302,8,0)</f>
        <v>70106100</v>
      </c>
      <c r="W795" s="4" t="str">
        <f>+VLOOKUP(V795,Sheet1!$A$2:$B$27,2,0)</f>
        <v>Biaya Transportasi Lokal</v>
      </c>
      <c r="X795" s="4" t="str">
        <f>+VLOOKUP(U795,'FBCJ Jul-Des 2025'!$G$10:$P$1302,9,0)</f>
        <v>R124D1HRGA</v>
      </c>
      <c r="Y795" s="2" t="s">
        <v>43</v>
      </c>
      <c r="Z795" s="2">
        <v>1719278</v>
      </c>
      <c r="AA795" s="2">
        <v>20251021</v>
      </c>
      <c r="AB795" s="3">
        <v>439000</v>
      </c>
    </row>
    <row r="796" spans="3:28" x14ac:dyDescent="0.25">
      <c r="C796" s="2">
        <v>10000001</v>
      </c>
      <c r="D796" s="2" t="s">
        <v>1183</v>
      </c>
      <c r="F796" s="2">
        <v>12008607</v>
      </c>
      <c r="H796" s="2" t="s">
        <v>1183</v>
      </c>
      <c r="I796" s="2" t="str">
        <f t="shared" si="12"/>
        <v>10</v>
      </c>
      <c r="J796" s="2">
        <v>50</v>
      </c>
      <c r="K796" s="3">
        <v>-227000</v>
      </c>
      <c r="L796" s="2" t="s">
        <v>26</v>
      </c>
      <c r="M796" s="3">
        <v>-227000</v>
      </c>
      <c r="N796" s="2" t="s">
        <v>26</v>
      </c>
      <c r="R796" s="2" t="s">
        <v>27</v>
      </c>
      <c r="S796" s="2" t="s">
        <v>1195</v>
      </c>
      <c r="T796" s="2" t="s">
        <v>126</v>
      </c>
      <c r="U796" s="2" t="s">
        <v>1196</v>
      </c>
      <c r="V796" s="4">
        <f>+VLOOKUP(U796,'FBCJ Jul-Des 2025'!$G$10:$P$1302,8,0)</f>
        <v>70107600</v>
      </c>
      <c r="W796" s="4" t="str">
        <f>+VLOOKUP(V796,Sheet1!$A$2:$B$27,2,0)</f>
        <v>Biaya Konsumsi Kantor</v>
      </c>
      <c r="X796" s="4" t="str">
        <f>+VLOOKUP(U796,'FBCJ Jul-Des 2025'!$G$10:$P$1302,9,0)</f>
        <v>R124REF</v>
      </c>
      <c r="Y796" s="2" t="s">
        <v>43</v>
      </c>
      <c r="Z796" s="2">
        <v>1719278</v>
      </c>
      <c r="AA796" s="2">
        <v>20251021</v>
      </c>
      <c r="AB796" s="3">
        <v>227000</v>
      </c>
    </row>
    <row r="797" spans="3:28" x14ac:dyDescent="0.25">
      <c r="C797" s="2">
        <v>10000001</v>
      </c>
      <c r="D797" s="2" t="s">
        <v>1183</v>
      </c>
      <c r="F797" s="2">
        <v>12008608</v>
      </c>
      <c r="H797" s="2" t="s">
        <v>1183</v>
      </c>
      <c r="I797" s="2" t="str">
        <f t="shared" si="12"/>
        <v>10</v>
      </c>
      <c r="J797" s="2">
        <v>50</v>
      </c>
      <c r="K797" s="3">
        <v>-50000</v>
      </c>
      <c r="L797" s="2" t="s">
        <v>26</v>
      </c>
      <c r="M797" s="3">
        <v>-50000</v>
      </c>
      <c r="N797" s="2" t="s">
        <v>26</v>
      </c>
      <c r="R797" s="2" t="s">
        <v>27</v>
      </c>
      <c r="S797" s="2" t="s">
        <v>1197</v>
      </c>
      <c r="T797" s="2" t="s">
        <v>45</v>
      </c>
      <c r="U797" s="2" t="s">
        <v>1198</v>
      </c>
      <c r="V797" s="4">
        <f>+VLOOKUP(U797,'FBCJ Jul-Des 2025'!$G$10:$P$1302,8,0)</f>
        <v>70009110</v>
      </c>
      <c r="W797" s="4" t="str">
        <f>+VLOOKUP(V797,Sheet1!$A$2:$B$27,2,0)</f>
        <v>Biaya Survey dan Analisa</v>
      </c>
      <c r="X797" s="4" t="str">
        <f>+VLOOKUP(U797,'FBCJ Jul-Des 2025'!$G$10:$P$1302,9,0)</f>
        <v>P206D1SLSS</v>
      </c>
      <c r="Y797" s="2" t="s">
        <v>43</v>
      </c>
      <c r="Z797" s="2">
        <v>1719278</v>
      </c>
      <c r="AA797" s="2">
        <v>20251021</v>
      </c>
      <c r="AB797" s="3">
        <v>50000</v>
      </c>
    </row>
    <row r="798" spans="3:28" x14ac:dyDescent="0.25">
      <c r="C798" s="2">
        <v>10000001</v>
      </c>
      <c r="D798" s="2" t="s">
        <v>1183</v>
      </c>
      <c r="F798" s="2">
        <v>12008609</v>
      </c>
      <c r="H798" s="2" t="s">
        <v>1183</v>
      </c>
      <c r="I798" s="2" t="str">
        <f t="shared" si="12"/>
        <v>10</v>
      </c>
      <c r="J798" s="2">
        <v>50</v>
      </c>
      <c r="K798" s="3">
        <v>-50000</v>
      </c>
      <c r="L798" s="2" t="s">
        <v>26</v>
      </c>
      <c r="M798" s="3">
        <v>-50000</v>
      </c>
      <c r="N798" s="2" t="s">
        <v>26</v>
      </c>
      <c r="R798" s="2" t="s">
        <v>27</v>
      </c>
      <c r="S798" s="2" t="s">
        <v>1197</v>
      </c>
      <c r="T798" s="2" t="s">
        <v>45</v>
      </c>
      <c r="U798" s="2" t="s">
        <v>1199</v>
      </c>
      <c r="V798" s="4">
        <f>+VLOOKUP(U798,'FBCJ Jul-Des 2025'!$G$10:$P$1302,8,0)</f>
        <v>70009110</v>
      </c>
      <c r="W798" s="4" t="str">
        <f>+VLOOKUP(V798,Sheet1!$A$2:$B$27,2,0)</f>
        <v>Biaya Survey dan Analisa</v>
      </c>
      <c r="X798" s="4" t="str">
        <f>+VLOOKUP(U798,'FBCJ Jul-Des 2025'!$G$10:$P$1302,9,0)</f>
        <v>P206D1SLSS</v>
      </c>
      <c r="Y798" s="2" t="s">
        <v>43</v>
      </c>
      <c r="Z798" s="2">
        <v>1719278</v>
      </c>
      <c r="AA798" s="2">
        <v>20251021</v>
      </c>
      <c r="AB798" s="3">
        <v>50000</v>
      </c>
    </row>
    <row r="799" spans="3:28" x14ac:dyDescent="0.25">
      <c r="C799" s="2">
        <v>10000001</v>
      </c>
      <c r="D799" s="2" t="s">
        <v>1183</v>
      </c>
      <c r="F799" s="2">
        <v>12008610</v>
      </c>
      <c r="H799" s="2" t="s">
        <v>1183</v>
      </c>
      <c r="I799" s="2" t="str">
        <f t="shared" si="12"/>
        <v>10</v>
      </c>
      <c r="J799" s="2">
        <v>50</v>
      </c>
      <c r="K799" s="3">
        <v>-50000</v>
      </c>
      <c r="L799" s="2" t="s">
        <v>26</v>
      </c>
      <c r="M799" s="3">
        <v>-50000</v>
      </c>
      <c r="N799" s="2" t="s">
        <v>26</v>
      </c>
      <c r="R799" s="2" t="s">
        <v>27</v>
      </c>
      <c r="S799" s="2" t="s">
        <v>1197</v>
      </c>
      <c r="T799" s="2" t="s">
        <v>45</v>
      </c>
      <c r="U799" s="2" t="s">
        <v>1200</v>
      </c>
      <c r="V799" s="4">
        <f>+VLOOKUP(U799,'FBCJ Jul-Des 2025'!$G$10:$P$1302,8,0)</f>
        <v>70009110</v>
      </c>
      <c r="W799" s="4" t="str">
        <f>+VLOOKUP(V799,Sheet1!$A$2:$B$27,2,0)</f>
        <v>Biaya Survey dan Analisa</v>
      </c>
      <c r="X799" s="4" t="str">
        <f>+VLOOKUP(U799,'FBCJ Jul-Des 2025'!$G$10:$P$1302,9,0)</f>
        <v>P206D1SLSS</v>
      </c>
      <c r="Y799" s="2" t="s">
        <v>43</v>
      </c>
      <c r="Z799" s="2">
        <v>1719278</v>
      </c>
      <c r="AA799" s="2">
        <v>20251021</v>
      </c>
      <c r="AB799" s="3">
        <v>50000</v>
      </c>
    </row>
    <row r="800" spans="3:28" x14ac:dyDescent="0.25">
      <c r="C800" s="2">
        <v>10000001</v>
      </c>
      <c r="D800" s="2" t="s">
        <v>1183</v>
      </c>
      <c r="F800" s="2">
        <v>12008611</v>
      </c>
      <c r="H800" s="2" t="s">
        <v>1183</v>
      </c>
      <c r="I800" s="2" t="str">
        <f t="shared" si="12"/>
        <v>10</v>
      </c>
      <c r="J800" s="2">
        <v>50</v>
      </c>
      <c r="K800" s="3">
        <v>-50000</v>
      </c>
      <c r="L800" s="2" t="s">
        <v>26</v>
      </c>
      <c r="M800" s="3">
        <v>-50000</v>
      </c>
      <c r="N800" s="2" t="s">
        <v>26</v>
      </c>
      <c r="R800" s="2" t="s">
        <v>27</v>
      </c>
      <c r="S800" s="2" t="s">
        <v>1197</v>
      </c>
      <c r="T800" s="2" t="s">
        <v>45</v>
      </c>
      <c r="U800" s="2" t="s">
        <v>1201</v>
      </c>
      <c r="V800" s="4">
        <f>+VLOOKUP(U800,'FBCJ Jul-Des 2025'!$G$10:$P$1302,8,0)</f>
        <v>70009110</v>
      </c>
      <c r="W800" s="4" t="str">
        <f>+VLOOKUP(V800,Sheet1!$A$2:$B$27,2,0)</f>
        <v>Biaya Survey dan Analisa</v>
      </c>
      <c r="X800" s="4" t="str">
        <f>+VLOOKUP(U800,'FBCJ Jul-Des 2025'!$G$10:$P$1302,9,0)</f>
        <v>P206D1SLSS</v>
      </c>
      <c r="Y800" s="2" t="s">
        <v>43</v>
      </c>
      <c r="Z800" s="2">
        <v>1719278</v>
      </c>
      <c r="AA800" s="2">
        <v>20251021</v>
      </c>
      <c r="AB800" s="3">
        <v>50000</v>
      </c>
    </row>
    <row r="801" spans="3:28" x14ac:dyDescent="0.25">
      <c r="C801" s="2">
        <v>10000001</v>
      </c>
      <c r="D801" s="2" t="s">
        <v>1183</v>
      </c>
      <c r="F801" s="2">
        <v>12008612</v>
      </c>
      <c r="H801" s="2" t="s">
        <v>1183</v>
      </c>
      <c r="I801" s="2" t="str">
        <f t="shared" si="12"/>
        <v>10</v>
      </c>
      <c r="J801" s="2">
        <v>50</v>
      </c>
      <c r="K801" s="3">
        <v>-50000</v>
      </c>
      <c r="L801" s="2" t="s">
        <v>26</v>
      </c>
      <c r="M801" s="3">
        <v>-50000</v>
      </c>
      <c r="N801" s="2" t="s">
        <v>26</v>
      </c>
      <c r="R801" s="2" t="s">
        <v>27</v>
      </c>
      <c r="S801" s="2" t="s">
        <v>1197</v>
      </c>
      <c r="T801" s="2" t="s">
        <v>45</v>
      </c>
      <c r="U801" s="2" t="s">
        <v>1202</v>
      </c>
      <c r="V801" s="4">
        <f>+VLOOKUP(U801,'FBCJ Jul-Des 2025'!$G$10:$P$1302,8,0)</f>
        <v>70009110</v>
      </c>
      <c r="W801" s="4" t="str">
        <f>+VLOOKUP(V801,Sheet1!$A$2:$B$27,2,0)</f>
        <v>Biaya Survey dan Analisa</v>
      </c>
      <c r="X801" s="4" t="str">
        <f>+VLOOKUP(U801,'FBCJ Jul-Des 2025'!$G$10:$P$1302,9,0)</f>
        <v>P206D1SLSS</v>
      </c>
      <c r="Y801" s="2" t="s">
        <v>43</v>
      </c>
      <c r="Z801" s="2">
        <v>1719278</v>
      </c>
      <c r="AA801" s="2">
        <v>20251021</v>
      </c>
      <c r="AB801" s="3">
        <v>50000</v>
      </c>
    </row>
    <row r="802" spans="3:28" x14ac:dyDescent="0.25">
      <c r="C802" s="2">
        <v>10000001</v>
      </c>
      <c r="D802" s="2" t="s">
        <v>1183</v>
      </c>
      <c r="F802" s="2">
        <v>12008613</v>
      </c>
      <c r="H802" s="2" t="s">
        <v>1183</v>
      </c>
      <c r="I802" s="2" t="str">
        <f t="shared" si="12"/>
        <v>10</v>
      </c>
      <c r="J802" s="2">
        <v>50</v>
      </c>
      <c r="K802" s="3">
        <v>-48300</v>
      </c>
      <c r="L802" s="2" t="s">
        <v>26</v>
      </c>
      <c r="M802" s="3">
        <v>-48300</v>
      </c>
      <c r="N802" s="2" t="s">
        <v>26</v>
      </c>
      <c r="R802" s="2" t="s">
        <v>27</v>
      </c>
      <c r="S802" s="2" t="s">
        <v>1203</v>
      </c>
      <c r="T802" s="2" t="s">
        <v>375</v>
      </c>
      <c r="U802" s="2" t="s">
        <v>1204</v>
      </c>
      <c r="V802" s="4">
        <v>15000900</v>
      </c>
      <c r="W802" s="4" t="str">
        <f>+VLOOKUP(V802,Sheet1!$A$2:$B$27,2,0)</f>
        <v>Biaya Lainnya Yang Dibayar Di Muka</v>
      </c>
      <c r="X802" s="4" t="s">
        <v>1913</v>
      </c>
      <c r="Y802" s="2" t="s">
        <v>43</v>
      </c>
      <c r="Z802" s="2">
        <v>1719278</v>
      </c>
      <c r="AA802" s="2">
        <v>20251021</v>
      </c>
      <c r="AB802" s="3">
        <v>48300</v>
      </c>
    </row>
    <row r="803" spans="3:28" x14ac:dyDescent="0.25">
      <c r="C803" s="2">
        <v>10000001</v>
      </c>
      <c r="D803" s="2" t="s">
        <v>1183</v>
      </c>
      <c r="F803" s="2">
        <v>12008614</v>
      </c>
      <c r="H803" s="2" t="s">
        <v>1183</v>
      </c>
      <c r="I803" s="2" t="str">
        <f t="shared" si="12"/>
        <v>10</v>
      </c>
      <c r="J803" s="2">
        <v>50</v>
      </c>
      <c r="K803" s="3">
        <v>-82100</v>
      </c>
      <c r="L803" s="2" t="s">
        <v>26</v>
      </c>
      <c r="M803" s="3">
        <v>-82100</v>
      </c>
      <c r="N803" s="2" t="s">
        <v>26</v>
      </c>
      <c r="R803" s="2" t="s">
        <v>27</v>
      </c>
      <c r="S803" s="2" t="s">
        <v>1203</v>
      </c>
      <c r="T803" s="2" t="s">
        <v>375</v>
      </c>
      <c r="U803" s="2" t="s">
        <v>1205</v>
      </c>
      <c r="V803" s="4">
        <v>15000900</v>
      </c>
      <c r="W803" s="4" t="str">
        <f>+VLOOKUP(V803,Sheet1!$A$2:$B$27,2,0)</f>
        <v>Biaya Lainnya Yang Dibayar Di Muka</v>
      </c>
      <c r="X803" s="4" t="s">
        <v>1913</v>
      </c>
      <c r="Y803" s="2" t="s">
        <v>43</v>
      </c>
      <c r="Z803" s="2">
        <v>1719278</v>
      </c>
      <c r="AA803" s="2">
        <v>20251021</v>
      </c>
      <c r="AB803" s="3">
        <v>82100</v>
      </c>
    </row>
    <row r="804" spans="3:28" x14ac:dyDescent="0.25">
      <c r="C804" s="2">
        <v>10000001</v>
      </c>
      <c r="D804" s="2" t="s">
        <v>1183</v>
      </c>
      <c r="F804" s="2">
        <v>12008669</v>
      </c>
      <c r="H804" s="2" t="s">
        <v>1183</v>
      </c>
      <c r="I804" s="2" t="str">
        <f t="shared" si="12"/>
        <v>10</v>
      </c>
      <c r="J804" s="2">
        <v>40</v>
      </c>
      <c r="K804" s="3">
        <v>31087455</v>
      </c>
      <c r="L804" s="2" t="s">
        <v>26</v>
      </c>
      <c r="M804" s="3">
        <v>31087455</v>
      </c>
      <c r="N804" s="2" t="s">
        <v>26</v>
      </c>
      <c r="R804" s="2" t="s">
        <v>27</v>
      </c>
      <c r="T804" s="2" t="s">
        <v>249</v>
      </c>
      <c r="U804" s="2" t="s">
        <v>1206</v>
      </c>
      <c r="Y804" s="2" t="s">
        <v>43</v>
      </c>
      <c r="Z804" s="2">
        <v>1719278</v>
      </c>
      <c r="AA804" s="2">
        <v>20251021</v>
      </c>
      <c r="AB804" s="3">
        <v>31087455</v>
      </c>
    </row>
    <row r="805" spans="3:28" x14ac:dyDescent="0.25">
      <c r="C805" s="2">
        <v>10000001</v>
      </c>
      <c r="D805" s="2" t="s">
        <v>1212</v>
      </c>
      <c r="F805" s="2">
        <v>12008993</v>
      </c>
      <c r="H805" s="2" t="s">
        <v>1212</v>
      </c>
      <c r="I805" s="2" t="str">
        <f t="shared" si="12"/>
        <v>11</v>
      </c>
      <c r="J805" s="2">
        <v>50</v>
      </c>
      <c r="K805" s="3">
        <v>-510000</v>
      </c>
      <c r="L805" s="2" t="s">
        <v>26</v>
      </c>
      <c r="M805" s="3">
        <v>-510000</v>
      </c>
      <c r="N805" s="2" t="s">
        <v>26</v>
      </c>
      <c r="R805" s="2" t="s">
        <v>27</v>
      </c>
      <c r="S805" s="2" t="s">
        <v>1213</v>
      </c>
      <c r="T805" s="2" t="s">
        <v>96</v>
      </c>
      <c r="U805" s="2" t="s">
        <v>1214</v>
      </c>
      <c r="V805" s="4">
        <f>+VLOOKUP(U805,'FBCJ Jul-Des 2025'!$G$10:$P$1302,8,0)</f>
        <v>70106400</v>
      </c>
      <c r="W805" s="4" t="str">
        <f>+VLOOKUP(V805,Sheet1!$A$2:$B$27,2,0)</f>
        <v>Biaya Bahan Bakar</v>
      </c>
      <c r="X805" s="4" t="str">
        <f>+VLOOKUP(U805,'FBCJ Jul-Des 2025'!$G$10:$P$1302,9,0)</f>
        <v>R124D1HRGA</v>
      </c>
      <c r="Y805" s="2" t="s">
        <v>43</v>
      </c>
      <c r="Z805" s="2">
        <v>1793264</v>
      </c>
      <c r="AA805" s="2">
        <v>20251103</v>
      </c>
      <c r="AB805" s="3">
        <v>510000</v>
      </c>
    </row>
    <row r="806" spans="3:28" x14ac:dyDescent="0.25">
      <c r="C806" s="2">
        <v>10000001</v>
      </c>
      <c r="D806" s="2" t="s">
        <v>1212</v>
      </c>
      <c r="F806" s="2">
        <v>12008994</v>
      </c>
      <c r="H806" s="2" t="s">
        <v>1212</v>
      </c>
      <c r="I806" s="2" t="str">
        <f t="shared" si="12"/>
        <v>11</v>
      </c>
      <c r="J806" s="2">
        <v>50</v>
      </c>
      <c r="K806" s="3">
        <v>-489500</v>
      </c>
      <c r="L806" s="2" t="s">
        <v>26</v>
      </c>
      <c r="M806" s="3">
        <v>-489500</v>
      </c>
      <c r="N806" s="2" t="s">
        <v>26</v>
      </c>
      <c r="R806" s="2" t="s">
        <v>27</v>
      </c>
      <c r="S806" s="2" t="s">
        <v>1213</v>
      </c>
      <c r="T806" s="2" t="s">
        <v>67</v>
      </c>
      <c r="U806" s="2" t="s">
        <v>1215</v>
      </c>
      <c r="V806" s="4">
        <f>+VLOOKUP(U806,'FBCJ Jul-Des 2025'!$G$10:$P$1302,8,0)</f>
        <v>70106100</v>
      </c>
      <c r="W806" s="4" t="str">
        <f>+VLOOKUP(V806,Sheet1!$A$2:$B$27,2,0)</f>
        <v>Biaya Transportasi Lokal</v>
      </c>
      <c r="X806" s="4" t="str">
        <f>+VLOOKUP(U806,'FBCJ Jul-Des 2025'!$G$10:$P$1302,9,0)</f>
        <v>R124D1HRGA</v>
      </c>
      <c r="Y806" s="2" t="s">
        <v>43</v>
      </c>
      <c r="Z806" s="2">
        <v>1793264</v>
      </c>
      <c r="AA806" s="2">
        <v>20251103</v>
      </c>
      <c r="AB806" s="3">
        <v>489500</v>
      </c>
    </row>
    <row r="807" spans="3:28" x14ac:dyDescent="0.25">
      <c r="C807" s="2">
        <v>10000001</v>
      </c>
      <c r="D807" s="2" t="s">
        <v>1212</v>
      </c>
      <c r="F807" s="2">
        <v>12008995</v>
      </c>
      <c r="H807" s="2" t="s">
        <v>1212</v>
      </c>
      <c r="I807" s="2" t="str">
        <f t="shared" si="12"/>
        <v>11</v>
      </c>
      <c r="J807" s="2">
        <v>50</v>
      </c>
      <c r="K807" s="3">
        <v>-50000</v>
      </c>
      <c r="L807" s="2" t="s">
        <v>26</v>
      </c>
      <c r="M807" s="3">
        <v>-50000</v>
      </c>
      <c r="N807" s="2" t="s">
        <v>26</v>
      </c>
      <c r="R807" s="2" t="s">
        <v>27</v>
      </c>
      <c r="S807" s="2" t="s">
        <v>1216</v>
      </c>
      <c r="T807" s="2" t="s">
        <v>126</v>
      </c>
      <c r="U807" s="2" t="s">
        <v>1217</v>
      </c>
      <c r="V807" s="4">
        <f>+VLOOKUP(U807,'FBCJ Jul-Des 2025'!$G$10:$P$1302,8,0)</f>
        <v>70107600</v>
      </c>
      <c r="W807" s="4" t="str">
        <f>+VLOOKUP(V807,Sheet1!$A$2:$B$27,2,0)</f>
        <v>Biaya Konsumsi Kantor</v>
      </c>
      <c r="X807" s="4" t="str">
        <f>+VLOOKUP(U807,'FBCJ Jul-Des 2025'!$G$10:$P$1302,9,0)</f>
        <v>R124MNT</v>
      </c>
      <c r="Y807" s="2" t="s">
        <v>43</v>
      </c>
      <c r="Z807" s="2">
        <v>1793264</v>
      </c>
      <c r="AA807" s="2">
        <v>20251103</v>
      </c>
      <c r="AB807" s="3">
        <v>50000</v>
      </c>
    </row>
    <row r="808" spans="3:28" x14ac:dyDescent="0.25">
      <c r="C808" s="2">
        <v>10000001</v>
      </c>
      <c r="D808" s="2" t="s">
        <v>1212</v>
      </c>
      <c r="F808" s="2">
        <v>12008996</v>
      </c>
      <c r="H808" s="2" t="s">
        <v>1212</v>
      </c>
      <c r="I808" s="2" t="str">
        <f t="shared" si="12"/>
        <v>11</v>
      </c>
      <c r="J808" s="2">
        <v>50</v>
      </c>
      <c r="K808" s="3">
        <v>-122500</v>
      </c>
      <c r="L808" s="2" t="s">
        <v>26</v>
      </c>
      <c r="M808" s="3">
        <v>-122500</v>
      </c>
      <c r="N808" s="2" t="s">
        <v>26</v>
      </c>
      <c r="R808" s="2" t="s">
        <v>27</v>
      </c>
      <c r="S808" s="2" t="s">
        <v>1218</v>
      </c>
      <c r="T808" s="2" t="s">
        <v>67</v>
      </c>
      <c r="U808" s="2" t="s">
        <v>1219</v>
      </c>
      <c r="V808" s="4">
        <f>+VLOOKUP(U808,'FBCJ Jul-Des 2025'!$G$10:$P$1302,8,0)</f>
        <v>70106100</v>
      </c>
      <c r="W808" s="4" t="str">
        <f>+VLOOKUP(V808,Sheet1!$A$2:$B$27,2,0)</f>
        <v>Biaya Transportasi Lokal</v>
      </c>
      <c r="X808" s="4" t="str">
        <f>+VLOOKUP(U808,'FBCJ Jul-Des 2025'!$G$10:$P$1302,9,0)</f>
        <v>R124BLR</v>
      </c>
      <c r="Y808" s="2" t="s">
        <v>43</v>
      </c>
      <c r="Z808" s="2">
        <v>1793264</v>
      </c>
      <c r="AA808" s="2">
        <v>20251103</v>
      </c>
      <c r="AB808" s="3">
        <v>122500</v>
      </c>
    </row>
    <row r="809" spans="3:28" x14ac:dyDescent="0.25">
      <c r="C809" s="2">
        <v>10000001</v>
      </c>
      <c r="D809" s="2" t="s">
        <v>1212</v>
      </c>
      <c r="F809" s="2">
        <v>12008997</v>
      </c>
      <c r="H809" s="2" t="s">
        <v>1212</v>
      </c>
      <c r="I809" s="2" t="str">
        <f t="shared" si="12"/>
        <v>11</v>
      </c>
      <c r="J809" s="2">
        <v>50</v>
      </c>
      <c r="K809" s="3">
        <v>-450000</v>
      </c>
      <c r="L809" s="2" t="s">
        <v>26</v>
      </c>
      <c r="M809" s="3">
        <v>-450000</v>
      </c>
      <c r="N809" s="2" t="s">
        <v>26</v>
      </c>
      <c r="R809" s="2" t="s">
        <v>27</v>
      </c>
      <c r="S809" s="2" t="s">
        <v>1218</v>
      </c>
      <c r="T809" s="2" t="s">
        <v>126</v>
      </c>
      <c r="U809" s="2" t="s">
        <v>1220</v>
      </c>
      <c r="V809" s="4">
        <f>+VLOOKUP(U809,'FBCJ Jul-Des 2025'!$G$10:$P$1302,8,0)</f>
        <v>70107600</v>
      </c>
      <c r="W809" s="4" t="str">
        <f>+VLOOKUP(V809,Sheet1!$A$2:$B$27,2,0)</f>
        <v>Biaya Konsumsi Kantor</v>
      </c>
      <c r="X809" s="4" t="str">
        <f>+VLOOKUP(U809,'FBCJ Jul-Des 2025'!$G$10:$P$1302,9,0)</f>
        <v>R124BLR</v>
      </c>
      <c r="Y809" s="2" t="s">
        <v>43</v>
      </c>
      <c r="Z809" s="2">
        <v>1793264</v>
      </c>
      <c r="AA809" s="2">
        <v>20251103</v>
      </c>
      <c r="AB809" s="3">
        <v>450000</v>
      </c>
    </row>
    <row r="810" spans="3:28" x14ac:dyDescent="0.25">
      <c r="C810" s="2">
        <v>10000001</v>
      </c>
      <c r="D810" s="2" t="s">
        <v>1212</v>
      </c>
      <c r="F810" s="2">
        <v>12008998</v>
      </c>
      <c r="H810" s="2" t="s">
        <v>1212</v>
      </c>
      <c r="I810" s="2" t="str">
        <f t="shared" si="12"/>
        <v>11</v>
      </c>
      <c r="J810" s="2">
        <v>50</v>
      </c>
      <c r="K810" s="3">
        <v>-200000</v>
      </c>
      <c r="L810" s="2" t="s">
        <v>26</v>
      </c>
      <c r="M810" s="3">
        <v>-200000</v>
      </c>
      <c r="N810" s="2" t="s">
        <v>26</v>
      </c>
      <c r="R810" s="2" t="s">
        <v>27</v>
      </c>
      <c r="S810" s="2" t="s">
        <v>1218</v>
      </c>
      <c r="T810" s="2" t="s">
        <v>57</v>
      </c>
      <c r="U810" s="2" t="s">
        <v>1221</v>
      </c>
      <c r="V810" s="4">
        <f>+VLOOKUP(U810,'FBCJ Jul-Des 2025'!$G$10:$P$1302,8,0)</f>
        <v>70101202</v>
      </c>
      <c r="W810" s="4" t="str">
        <f>+VLOOKUP(V810,Sheet1!$A$2:$B$27,2,0)</f>
        <v>By Pemeliharaan Kend,ABerat,Mesin-Material Pihak3</v>
      </c>
      <c r="X810" s="4" t="str">
        <f>+VLOOKUP(U810,'FBCJ Jul-Des 2025'!$G$10:$P$1302,9,0)</f>
        <v>R124BLR</v>
      </c>
      <c r="Y810" s="2" t="s">
        <v>43</v>
      </c>
      <c r="Z810" s="2">
        <v>1793264</v>
      </c>
      <c r="AA810" s="2">
        <v>20251103</v>
      </c>
      <c r="AB810" s="3">
        <v>200000</v>
      </c>
    </row>
    <row r="811" spans="3:28" x14ac:dyDescent="0.25">
      <c r="C811" s="2">
        <v>10000001</v>
      </c>
      <c r="D811" s="2" t="s">
        <v>1212</v>
      </c>
      <c r="F811" s="2">
        <v>12008999</v>
      </c>
      <c r="H811" s="2" t="s">
        <v>1212</v>
      </c>
      <c r="I811" s="2" t="str">
        <f t="shared" si="12"/>
        <v>11</v>
      </c>
      <c r="J811" s="2">
        <v>50</v>
      </c>
      <c r="K811" s="3">
        <v>-490000</v>
      </c>
      <c r="L811" s="2" t="s">
        <v>26</v>
      </c>
      <c r="M811" s="3">
        <v>-490000</v>
      </c>
      <c r="N811" s="2" t="s">
        <v>26</v>
      </c>
      <c r="R811" s="2" t="s">
        <v>27</v>
      </c>
      <c r="S811" s="2" t="s">
        <v>1222</v>
      </c>
      <c r="T811" s="2" t="s">
        <v>96</v>
      </c>
      <c r="U811" s="2" t="s">
        <v>1223</v>
      </c>
      <c r="V811" s="4">
        <f>+VLOOKUP(U811,'FBCJ Jul-Des 2025'!$G$10:$P$1302,8,0)</f>
        <v>70106400</v>
      </c>
      <c r="W811" s="4" t="str">
        <f>+VLOOKUP(V811,Sheet1!$A$2:$B$27,2,0)</f>
        <v>Biaya Bahan Bakar</v>
      </c>
      <c r="X811" s="4" t="str">
        <f>+VLOOKUP(U811,'FBCJ Jul-Des 2025'!$G$10:$P$1302,9,0)</f>
        <v>R124D1HRGA</v>
      </c>
      <c r="Y811" s="2" t="s">
        <v>43</v>
      </c>
      <c r="Z811" s="2">
        <v>1793264</v>
      </c>
      <c r="AA811" s="2">
        <v>20251103</v>
      </c>
      <c r="AB811" s="3">
        <v>490000</v>
      </c>
    </row>
    <row r="812" spans="3:28" x14ac:dyDescent="0.25">
      <c r="C812" s="2">
        <v>10000001</v>
      </c>
      <c r="D812" s="2" t="s">
        <v>1212</v>
      </c>
      <c r="F812" s="2">
        <v>12009000</v>
      </c>
      <c r="H812" s="2" t="s">
        <v>1212</v>
      </c>
      <c r="I812" s="2" t="str">
        <f t="shared" si="12"/>
        <v>11</v>
      </c>
      <c r="J812" s="2">
        <v>50</v>
      </c>
      <c r="K812" s="3">
        <v>-509000</v>
      </c>
      <c r="L812" s="2" t="s">
        <v>26</v>
      </c>
      <c r="M812" s="3">
        <v>-509000</v>
      </c>
      <c r="N812" s="2" t="s">
        <v>26</v>
      </c>
      <c r="R812" s="2" t="s">
        <v>27</v>
      </c>
      <c r="S812" s="2" t="s">
        <v>1222</v>
      </c>
      <c r="T812" s="2" t="s">
        <v>67</v>
      </c>
      <c r="U812" s="2" t="s">
        <v>1224</v>
      </c>
      <c r="V812" s="4">
        <f>+VLOOKUP(U812,'FBCJ Jul-Des 2025'!$G$10:$P$1302,8,0)</f>
        <v>70106100</v>
      </c>
      <c r="W812" s="4" t="str">
        <f>+VLOOKUP(V812,Sheet1!$A$2:$B$27,2,0)</f>
        <v>Biaya Transportasi Lokal</v>
      </c>
      <c r="X812" s="4" t="str">
        <f>+VLOOKUP(U812,'FBCJ Jul-Des 2025'!$G$10:$P$1302,9,0)</f>
        <v>R124D1HRGA</v>
      </c>
      <c r="Y812" s="2" t="s">
        <v>43</v>
      </c>
      <c r="Z812" s="2">
        <v>1793264</v>
      </c>
      <c r="AA812" s="2">
        <v>20251103</v>
      </c>
      <c r="AB812" s="3">
        <v>509000</v>
      </c>
    </row>
    <row r="813" spans="3:28" x14ac:dyDescent="0.25">
      <c r="C813" s="2">
        <v>10000001</v>
      </c>
      <c r="D813" s="2" t="s">
        <v>1212</v>
      </c>
      <c r="F813" s="2">
        <v>12009001</v>
      </c>
      <c r="H813" s="2" t="s">
        <v>1212</v>
      </c>
      <c r="I813" s="2" t="str">
        <f t="shared" si="12"/>
        <v>11</v>
      </c>
      <c r="J813" s="2">
        <v>50</v>
      </c>
      <c r="K813" s="3">
        <v>-500000</v>
      </c>
      <c r="L813" s="2" t="s">
        <v>26</v>
      </c>
      <c r="M813" s="3">
        <v>-500000</v>
      </c>
      <c r="N813" s="2" t="s">
        <v>26</v>
      </c>
      <c r="R813" s="2" t="s">
        <v>27</v>
      </c>
      <c r="S813" s="2" t="s">
        <v>1225</v>
      </c>
      <c r="T813" s="2" t="s">
        <v>96</v>
      </c>
      <c r="U813" s="2" t="s">
        <v>1214</v>
      </c>
      <c r="V813" s="4">
        <f>+VLOOKUP(U813,'FBCJ Jul-Des 2025'!$G$10:$P$1302,8,0)</f>
        <v>70106400</v>
      </c>
      <c r="W813" s="4" t="str">
        <f>+VLOOKUP(V813,Sheet1!$A$2:$B$27,2,0)</f>
        <v>Biaya Bahan Bakar</v>
      </c>
      <c r="X813" s="4" t="str">
        <f>+VLOOKUP(U813,'FBCJ Jul-Des 2025'!$G$10:$P$1302,9,0)</f>
        <v>R124D1HRGA</v>
      </c>
      <c r="Y813" s="2" t="s">
        <v>43</v>
      </c>
      <c r="Z813" s="2">
        <v>1793264</v>
      </c>
      <c r="AA813" s="2">
        <v>20251103</v>
      </c>
      <c r="AB813" s="3">
        <v>500000</v>
      </c>
    </row>
    <row r="814" spans="3:28" x14ac:dyDescent="0.25">
      <c r="C814" s="2">
        <v>10000001</v>
      </c>
      <c r="D814" s="2" t="s">
        <v>1212</v>
      </c>
      <c r="F814" s="2">
        <v>12009002</v>
      </c>
      <c r="H814" s="2" t="s">
        <v>1212</v>
      </c>
      <c r="I814" s="2" t="str">
        <f t="shared" si="12"/>
        <v>11</v>
      </c>
      <c r="J814" s="2">
        <v>50</v>
      </c>
      <c r="K814" s="3">
        <v>-497000</v>
      </c>
      <c r="L814" s="2" t="s">
        <v>26</v>
      </c>
      <c r="M814" s="3">
        <v>-497000</v>
      </c>
      <c r="N814" s="2" t="s">
        <v>26</v>
      </c>
      <c r="R814" s="2" t="s">
        <v>27</v>
      </c>
      <c r="S814" s="2" t="s">
        <v>1225</v>
      </c>
      <c r="T814" s="2" t="s">
        <v>67</v>
      </c>
      <c r="U814" s="2" t="s">
        <v>1226</v>
      </c>
      <c r="V814" s="4">
        <f>+VLOOKUP(U814,'FBCJ Jul-Des 2025'!$G$10:$P$1302,8,0)</f>
        <v>70106100</v>
      </c>
      <c r="W814" s="4" t="str">
        <f>+VLOOKUP(V814,Sheet1!$A$2:$B$27,2,0)</f>
        <v>Biaya Transportasi Lokal</v>
      </c>
      <c r="X814" s="4" t="str">
        <f>+VLOOKUP(U814,'FBCJ Jul-Des 2025'!$G$10:$P$1302,9,0)</f>
        <v>R124D1HRGA</v>
      </c>
      <c r="Y814" s="2" t="s">
        <v>43</v>
      </c>
      <c r="Z814" s="2">
        <v>1793264</v>
      </c>
      <c r="AA814" s="2">
        <v>20251103</v>
      </c>
      <c r="AB814" s="3">
        <v>497000</v>
      </c>
    </row>
    <row r="815" spans="3:28" x14ac:dyDescent="0.25">
      <c r="C815" s="2">
        <v>10000001</v>
      </c>
      <c r="D815" s="2" t="s">
        <v>1227</v>
      </c>
      <c r="F815" s="2">
        <v>12009003</v>
      </c>
      <c r="H815" s="2" t="s">
        <v>1227</v>
      </c>
      <c r="I815" s="2" t="str">
        <f t="shared" si="12"/>
        <v>11</v>
      </c>
      <c r="J815" s="2">
        <v>50</v>
      </c>
      <c r="K815" s="3">
        <v>-90000</v>
      </c>
      <c r="L815" s="2" t="s">
        <v>26</v>
      </c>
      <c r="M815" s="3">
        <v>-90000</v>
      </c>
      <c r="N815" s="2" t="s">
        <v>26</v>
      </c>
      <c r="R815" s="2" t="s">
        <v>27</v>
      </c>
      <c r="S815" s="2" t="s">
        <v>1228</v>
      </c>
      <c r="T815" s="2" t="s">
        <v>1187</v>
      </c>
      <c r="U815" s="2" t="s">
        <v>1229</v>
      </c>
      <c r="V815" s="4">
        <f>+VLOOKUP(U815,'FBCJ Jul-Des 2025'!$G$10:$P$1302,8,0)</f>
        <v>70110210</v>
      </c>
      <c r="W815" s="4">
        <f>+VLOOKUP(V815,Sheet1!$A$2:$B$27,2,0)</f>
        <v>0</v>
      </c>
      <c r="X815" s="4" t="str">
        <f>+VLOOKUP(U815,'FBCJ Jul-Des 2025'!$G$10:$P$1302,9,0)</f>
        <v>H200D1MMDP</v>
      </c>
      <c r="Y815" s="2" t="s">
        <v>43</v>
      </c>
      <c r="Z815" s="2">
        <v>1793264</v>
      </c>
      <c r="AA815" s="2">
        <v>20251104</v>
      </c>
      <c r="AB815" s="3">
        <v>90000</v>
      </c>
    </row>
    <row r="816" spans="3:28" x14ac:dyDescent="0.25">
      <c r="C816" s="2">
        <v>10000001</v>
      </c>
      <c r="D816" s="2" t="s">
        <v>1227</v>
      </c>
      <c r="F816" s="2">
        <v>12009004</v>
      </c>
      <c r="H816" s="2" t="s">
        <v>1227</v>
      </c>
      <c r="I816" s="2" t="str">
        <f t="shared" si="12"/>
        <v>11</v>
      </c>
      <c r="J816" s="2">
        <v>50</v>
      </c>
      <c r="K816" s="3">
        <v>-600000</v>
      </c>
      <c r="L816" s="2" t="s">
        <v>26</v>
      </c>
      <c r="M816" s="3">
        <v>-600000</v>
      </c>
      <c r="N816" s="2" t="s">
        <v>26</v>
      </c>
      <c r="R816" s="2" t="s">
        <v>27</v>
      </c>
      <c r="S816" s="2" t="s">
        <v>1230</v>
      </c>
      <c r="T816" s="2" t="s">
        <v>1231</v>
      </c>
      <c r="U816" s="2" t="s">
        <v>1232</v>
      </c>
      <c r="V816" s="4">
        <f>+VLOOKUP(U816,'FBCJ Jul-Des 2025'!$G$10:$P$1302,8,0)</f>
        <v>70110200</v>
      </c>
      <c r="W816" s="4" t="str">
        <f>+VLOOKUP(V816,Sheet1!$A$2:$B$27,2,0)</f>
        <v>Biaya Pelatihan External Pihak ke-3</v>
      </c>
      <c r="X816" s="4" t="str">
        <f>+VLOOKUP(U816,'FBCJ Jul-Des 2025'!$G$10:$P$1302,9,0)</f>
        <v>R124D1HRDV</v>
      </c>
      <c r="Y816" s="2" t="s">
        <v>43</v>
      </c>
      <c r="Z816" s="2">
        <v>1793264</v>
      </c>
      <c r="AA816" s="2">
        <v>20251104</v>
      </c>
      <c r="AB816" s="3">
        <v>600000</v>
      </c>
    </row>
    <row r="817" spans="3:28" x14ac:dyDescent="0.25">
      <c r="C817" s="2">
        <v>10000001</v>
      </c>
      <c r="D817" s="2" t="s">
        <v>1227</v>
      </c>
      <c r="F817" s="2">
        <v>12009005</v>
      </c>
      <c r="H817" s="2" t="s">
        <v>1227</v>
      </c>
      <c r="I817" s="2" t="str">
        <f t="shared" si="12"/>
        <v>11</v>
      </c>
      <c r="J817" s="2">
        <v>50</v>
      </c>
      <c r="K817" s="3">
        <v>-720000</v>
      </c>
      <c r="L817" s="2" t="s">
        <v>26</v>
      </c>
      <c r="M817" s="3">
        <v>-720000</v>
      </c>
      <c r="N817" s="2" t="s">
        <v>26</v>
      </c>
      <c r="R817" s="2" t="s">
        <v>27</v>
      </c>
      <c r="S817" s="2" t="s">
        <v>1233</v>
      </c>
      <c r="T817" s="2" t="s">
        <v>96</v>
      </c>
      <c r="U817" s="2" t="s">
        <v>1234</v>
      </c>
      <c r="V817" s="4">
        <f>+VLOOKUP(U817,'FBCJ Jul-Des 2025'!$G$10:$P$1302,8,0)</f>
        <v>70106400</v>
      </c>
      <c r="W817" s="4" t="str">
        <f>+VLOOKUP(V817,Sheet1!$A$2:$B$27,2,0)</f>
        <v>Biaya Bahan Bakar</v>
      </c>
      <c r="X817" s="4" t="str">
        <f>+VLOOKUP(U817,'FBCJ Jul-Des 2025'!$G$10:$P$1302,9,0)</f>
        <v>R124D1HRGA</v>
      </c>
      <c r="Y817" s="2" t="s">
        <v>43</v>
      </c>
      <c r="Z817" s="2">
        <v>1793264</v>
      </c>
      <c r="AA817" s="2">
        <v>20251104</v>
      </c>
      <c r="AB817" s="3">
        <v>720000</v>
      </c>
    </row>
    <row r="818" spans="3:28" x14ac:dyDescent="0.25">
      <c r="C818" s="2">
        <v>10000001</v>
      </c>
      <c r="D818" s="2" t="s">
        <v>1227</v>
      </c>
      <c r="F818" s="2">
        <v>12009006</v>
      </c>
      <c r="H818" s="2" t="s">
        <v>1227</v>
      </c>
      <c r="I818" s="2" t="str">
        <f t="shared" si="12"/>
        <v>11</v>
      </c>
      <c r="J818" s="2">
        <v>50</v>
      </c>
      <c r="K818" s="3">
        <v>-278000</v>
      </c>
      <c r="L818" s="2" t="s">
        <v>26</v>
      </c>
      <c r="M818" s="3">
        <v>-278000</v>
      </c>
      <c r="N818" s="2" t="s">
        <v>26</v>
      </c>
      <c r="R818" s="2" t="s">
        <v>27</v>
      </c>
      <c r="S818" s="2" t="s">
        <v>1233</v>
      </c>
      <c r="T818" s="2" t="s">
        <v>67</v>
      </c>
      <c r="U818" s="2" t="s">
        <v>98</v>
      </c>
      <c r="V818" s="4">
        <f>+VLOOKUP(U818,'FBCJ Jul-Des 2025'!$G$10:$P$1302,8,0)</f>
        <v>70106100</v>
      </c>
      <c r="W818" s="4" t="str">
        <f>+VLOOKUP(V818,Sheet1!$A$2:$B$27,2,0)</f>
        <v>Biaya Transportasi Lokal</v>
      </c>
      <c r="X818" s="4" t="str">
        <f>+VLOOKUP(U818,'FBCJ Jul-Des 2025'!$G$10:$P$1302,9,0)</f>
        <v>R124D1HRGA</v>
      </c>
      <c r="Y818" s="2" t="s">
        <v>43</v>
      </c>
      <c r="Z818" s="2">
        <v>1793264</v>
      </c>
      <c r="AA818" s="2">
        <v>20251104</v>
      </c>
      <c r="AB818" s="3">
        <v>278000</v>
      </c>
    </row>
    <row r="819" spans="3:28" x14ac:dyDescent="0.25">
      <c r="C819" s="2">
        <v>10000001</v>
      </c>
      <c r="D819" s="2" t="s">
        <v>1227</v>
      </c>
      <c r="F819" s="2">
        <v>12009007</v>
      </c>
      <c r="H819" s="2" t="s">
        <v>1227</v>
      </c>
      <c r="I819" s="2" t="str">
        <f t="shared" si="12"/>
        <v>11</v>
      </c>
      <c r="J819" s="2">
        <v>50</v>
      </c>
      <c r="K819" s="3">
        <v>-50000</v>
      </c>
      <c r="L819" s="2" t="s">
        <v>26</v>
      </c>
      <c r="M819" s="3">
        <v>-50000</v>
      </c>
      <c r="N819" s="2" t="s">
        <v>26</v>
      </c>
      <c r="R819" s="2" t="s">
        <v>27</v>
      </c>
      <c r="S819" s="2" t="s">
        <v>1235</v>
      </c>
      <c r="T819" s="2" t="s">
        <v>334</v>
      </c>
      <c r="U819" s="2" t="s">
        <v>1236</v>
      </c>
      <c r="V819" s="4">
        <f>+VLOOKUP(U819,'FBCJ Jul-Des 2025'!$G$10:$P$1302,8,0)</f>
        <v>70001110</v>
      </c>
      <c r="W819" s="4" t="str">
        <f>+VLOOKUP(V819,Sheet1!$A$2:$B$27,2,0)</f>
        <v>Biaya Ekspor lainnya</v>
      </c>
      <c r="X819" s="4" t="str">
        <f>+VLOOKUP(U819,'FBCJ Jul-Des 2025'!$G$10:$P$1302,9,0)</f>
        <v>P206D1SLSS</v>
      </c>
      <c r="Y819" s="2" t="s">
        <v>43</v>
      </c>
      <c r="Z819" s="2">
        <v>1793264</v>
      </c>
      <c r="AA819" s="2">
        <v>20251104</v>
      </c>
      <c r="AB819" s="3">
        <v>50000</v>
      </c>
    </row>
    <row r="820" spans="3:28" x14ac:dyDescent="0.25">
      <c r="C820" s="2">
        <v>10000001</v>
      </c>
      <c r="D820" s="2" t="s">
        <v>1227</v>
      </c>
      <c r="F820" s="2">
        <v>12009008</v>
      </c>
      <c r="H820" s="2" t="s">
        <v>1227</v>
      </c>
      <c r="I820" s="2" t="str">
        <f t="shared" si="12"/>
        <v>11</v>
      </c>
      <c r="J820" s="2">
        <v>50</v>
      </c>
      <c r="K820" s="3">
        <v>-50000</v>
      </c>
      <c r="L820" s="2" t="s">
        <v>26</v>
      </c>
      <c r="M820" s="3">
        <v>-50000</v>
      </c>
      <c r="N820" s="2" t="s">
        <v>26</v>
      </c>
      <c r="R820" s="2" t="s">
        <v>27</v>
      </c>
      <c r="S820" s="2" t="s">
        <v>1235</v>
      </c>
      <c r="T820" s="2" t="s">
        <v>334</v>
      </c>
      <c r="U820" s="2" t="s">
        <v>1237</v>
      </c>
      <c r="V820" s="4">
        <f>+VLOOKUP(U820,'FBCJ Jul-Des 2025'!$G$10:$P$1302,8,0)</f>
        <v>70001110</v>
      </c>
      <c r="W820" s="4" t="str">
        <f>+VLOOKUP(V820,Sheet1!$A$2:$B$27,2,0)</f>
        <v>Biaya Ekspor lainnya</v>
      </c>
      <c r="X820" s="4" t="str">
        <f>+VLOOKUP(U820,'FBCJ Jul-Des 2025'!$G$10:$P$1302,9,0)</f>
        <v>M204D1COMM</v>
      </c>
      <c r="Y820" s="2" t="s">
        <v>43</v>
      </c>
      <c r="Z820" s="2">
        <v>1793264</v>
      </c>
      <c r="AA820" s="2">
        <v>20251104</v>
      </c>
      <c r="AB820" s="3">
        <v>50000</v>
      </c>
    </row>
    <row r="821" spans="3:28" x14ac:dyDescent="0.25">
      <c r="C821" s="2">
        <v>10000001</v>
      </c>
      <c r="D821" s="2" t="s">
        <v>1227</v>
      </c>
      <c r="F821" s="2">
        <v>12009009</v>
      </c>
      <c r="H821" s="2" t="s">
        <v>1227</v>
      </c>
      <c r="I821" s="2" t="str">
        <f t="shared" si="12"/>
        <v>11</v>
      </c>
      <c r="J821" s="2">
        <v>50</v>
      </c>
      <c r="K821" s="3">
        <v>-50000</v>
      </c>
      <c r="L821" s="2" t="s">
        <v>26</v>
      </c>
      <c r="M821" s="3">
        <v>-50000</v>
      </c>
      <c r="N821" s="2" t="s">
        <v>26</v>
      </c>
      <c r="R821" s="2" t="s">
        <v>27</v>
      </c>
      <c r="S821" s="2" t="s">
        <v>1235</v>
      </c>
      <c r="T821" s="2" t="s">
        <v>334</v>
      </c>
      <c r="U821" s="2" t="s">
        <v>1238</v>
      </c>
      <c r="V821" s="4">
        <f>+VLOOKUP(U821,'FBCJ Jul-Des 2025'!$G$10:$P$1302,8,0)</f>
        <v>70001110</v>
      </c>
      <c r="W821" s="4" t="str">
        <f>+VLOOKUP(V821,Sheet1!$A$2:$B$27,2,0)</f>
        <v>Biaya Ekspor lainnya</v>
      </c>
      <c r="X821" s="4" t="str">
        <f>+VLOOKUP(U821,'FBCJ Jul-Des 2025'!$G$10:$P$1302,9,0)</f>
        <v>P206D1SLSS</v>
      </c>
      <c r="Y821" s="2" t="s">
        <v>43</v>
      </c>
      <c r="Z821" s="2">
        <v>1793264</v>
      </c>
      <c r="AA821" s="2">
        <v>20251104</v>
      </c>
      <c r="AB821" s="3">
        <v>50000</v>
      </c>
    </row>
    <row r="822" spans="3:28" x14ac:dyDescent="0.25">
      <c r="C822" s="2">
        <v>10000001</v>
      </c>
      <c r="D822" s="2" t="s">
        <v>1227</v>
      </c>
      <c r="F822" s="2">
        <v>12009010</v>
      </c>
      <c r="H822" s="2" t="s">
        <v>1227</v>
      </c>
      <c r="I822" s="2" t="str">
        <f t="shared" si="12"/>
        <v>11</v>
      </c>
      <c r="J822" s="2">
        <v>50</v>
      </c>
      <c r="K822" s="3">
        <v>-50000</v>
      </c>
      <c r="L822" s="2" t="s">
        <v>26</v>
      </c>
      <c r="M822" s="3">
        <v>-50000</v>
      </c>
      <c r="N822" s="2" t="s">
        <v>26</v>
      </c>
      <c r="R822" s="2" t="s">
        <v>27</v>
      </c>
      <c r="S822" s="2" t="s">
        <v>1235</v>
      </c>
      <c r="T822" s="2" t="s">
        <v>334</v>
      </c>
      <c r="U822" s="2" t="s">
        <v>1239</v>
      </c>
      <c r="V822" s="4">
        <f>+VLOOKUP(U822,'FBCJ Jul-Des 2025'!$G$10:$P$1302,8,0)</f>
        <v>70001110</v>
      </c>
      <c r="W822" s="4" t="str">
        <f>+VLOOKUP(V822,Sheet1!$A$2:$B$27,2,0)</f>
        <v>Biaya Ekspor lainnya</v>
      </c>
      <c r="X822" s="4" t="str">
        <f>+VLOOKUP(U822,'FBCJ Jul-Des 2025'!$G$10:$P$1302,9,0)</f>
        <v>P206D1SLSS</v>
      </c>
      <c r="Y822" s="2" t="s">
        <v>43</v>
      </c>
      <c r="Z822" s="2">
        <v>1793264</v>
      </c>
      <c r="AA822" s="2">
        <v>20251104</v>
      </c>
      <c r="AB822" s="3">
        <v>50000</v>
      </c>
    </row>
    <row r="823" spans="3:28" x14ac:dyDescent="0.25">
      <c r="C823" s="2">
        <v>10000001</v>
      </c>
      <c r="D823" s="2" t="s">
        <v>1227</v>
      </c>
      <c r="F823" s="2">
        <v>12009011</v>
      </c>
      <c r="H823" s="2" t="s">
        <v>1227</v>
      </c>
      <c r="I823" s="2" t="str">
        <f t="shared" si="12"/>
        <v>11</v>
      </c>
      <c r="J823" s="2">
        <v>50</v>
      </c>
      <c r="K823" s="3">
        <v>-50000</v>
      </c>
      <c r="L823" s="2" t="s">
        <v>26</v>
      </c>
      <c r="M823" s="3">
        <v>-50000</v>
      </c>
      <c r="N823" s="2" t="s">
        <v>26</v>
      </c>
      <c r="R823" s="2" t="s">
        <v>27</v>
      </c>
      <c r="S823" s="2" t="s">
        <v>1235</v>
      </c>
      <c r="T823" s="2" t="s">
        <v>334</v>
      </c>
      <c r="U823" s="2" t="s">
        <v>1240</v>
      </c>
      <c r="V823" s="4">
        <f>+VLOOKUP(U823,'FBCJ Jul-Des 2025'!$G$10:$P$1302,8,0)</f>
        <v>70001110</v>
      </c>
      <c r="W823" s="4" t="str">
        <f>+VLOOKUP(V823,Sheet1!$A$2:$B$27,2,0)</f>
        <v>Biaya Ekspor lainnya</v>
      </c>
      <c r="X823" s="4" t="str">
        <f>+VLOOKUP(U823,'FBCJ Jul-Des 2025'!$G$10:$P$1302,9,0)</f>
        <v>P206D1SLSS</v>
      </c>
      <c r="Y823" s="2" t="s">
        <v>43</v>
      </c>
      <c r="Z823" s="2">
        <v>1793264</v>
      </c>
      <c r="AA823" s="2">
        <v>20251104</v>
      </c>
      <c r="AB823" s="3">
        <v>50000</v>
      </c>
    </row>
    <row r="824" spans="3:28" x14ac:dyDescent="0.25">
      <c r="C824" s="2">
        <v>10000001</v>
      </c>
      <c r="D824" s="2" t="s">
        <v>1227</v>
      </c>
      <c r="F824" s="2">
        <v>12009012</v>
      </c>
      <c r="H824" s="2" t="s">
        <v>1227</v>
      </c>
      <c r="I824" s="2" t="str">
        <f t="shared" si="12"/>
        <v>11</v>
      </c>
      <c r="J824" s="2">
        <v>50</v>
      </c>
      <c r="K824" s="3">
        <v>-50000</v>
      </c>
      <c r="L824" s="2" t="s">
        <v>26</v>
      </c>
      <c r="M824" s="3">
        <v>-50000</v>
      </c>
      <c r="N824" s="2" t="s">
        <v>26</v>
      </c>
      <c r="R824" s="2" t="s">
        <v>27</v>
      </c>
      <c r="S824" s="2" t="s">
        <v>1235</v>
      </c>
      <c r="T824" s="2" t="s">
        <v>334</v>
      </c>
      <c r="U824" s="2" t="s">
        <v>1241</v>
      </c>
      <c r="V824" s="4">
        <f>+VLOOKUP(U824,'FBCJ Jul-Des 2025'!$G$10:$P$1302,8,0)</f>
        <v>70001110</v>
      </c>
      <c r="W824" s="4" t="str">
        <f>+VLOOKUP(V824,Sheet1!$A$2:$B$27,2,0)</f>
        <v>Biaya Ekspor lainnya</v>
      </c>
      <c r="X824" s="4" t="str">
        <f>+VLOOKUP(U824,'FBCJ Jul-Des 2025'!$G$10:$P$1302,9,0)</f>
        <v>P206D1SLSS</v>
      </c>
      <c r="Y824" s="2" t="s">
        <v>43</v>
      </c>
      <c r="Z824" s="2">
        <v>1793264</v>
      </c>
      <c r="AA824" s="2">
        <v>20251104</v>
      </c>
      <c r="AB824" s="3">
        <v>50000</v>
      </c>
    </row>
    <row r="825" spans="3:28" x14ac:dyDescent="0.25">
      <c r="C825" s="2">
        <v>10000001</v>
      </c>
      <c r="D825" s="2" t="s">
        <v>1227</v>
      </c>
      <c r="F825" s="2">
        <v>12009013</v>
      </c>
      <c r="H825" s="2" t="s">
        <v>1227</v>
      </c>
      <c r="I825" s="2" t="str">
        <f t="shared" si="12"/>
        <v>11</v>
      </c>
      <c r="J825" s="2">
        <v>50</v>
      </c>
      <c r="K825" s="3">
        <v>-50000</v>
      </c>
      <c r="L825" s="2" t="s">
        <v>26</v>
      </c>
      <c r="M825" s="3">
        <v>-50000</v>
      </c>
      <c r="N825" s="2" t="s">
        <v>26</v>
      </c>
      <c r="R825" s="2" t="s">
        <v>27</v>
      </c>
      <c r="S825" s="2" t="s">
        <v>1235</v>
      </c>
      <c r="T825" s="2" t="s">
        <v>334</v>
      </c>
      <c r="U825" s="2" t="s">
        <v>1242</v>
      </c>
      <c r="V825" s="4">
        <f>+VLOOKUP(U825,'FBCJ Jul-Des 2025'!$G$10:$P$1302,8,0)</f>
        <v>70001110</v>
      </c>
      <c r="W825" s="4" t="str">
        <f>+VLOOKUP(V825,Sheet1!$A$2:$B$27,2,0)</f>
        <v>Biaya Ekspor lainnya</v>
      </c>
      <c r="X825" s="4" t="str">
        <f>+VLOOKUP(U825,'FBCJ Jul-Des 2025'!$G$10:$P$1302,9,0)</f>
        <v>P206D1SLSS</v>
      </c>
      <c r="Y825" s="2" t="s">
        <v>43</v>
      </c>
      <c r="Z825" s="2">
        <v>1793264</v>
      </c>
      <c r="AA825" s="2">
        <v>20251104</v>
      </c>
      <c r="AB825" s="3">
        <v>50000</v>
      </c>
    </row>
    <row r="826" spans="3:28" x14ac:dyDescent="0.25">
      <c r="C826" s="2">
        <v>10000001</v>
      </c>
      <c r="D826" s="2" t="s">
        <v>1227</v>
      </c>
      <c r="F826" s="2">
        <v>12009014</v>
      </c>
      <c r="H826" s="2" t="s">
        <v>1227</v>
      </c>
      <c r="I826" s="2" t="str">
        <f t="shared" si="12"/>
        <v>11</v>
      </c>
      <c r="J826" s="2">
        <v>50</v>
      </c>
      <c r="K826" s="3">
        <v>-237500</v>
      </c>
      <c r="L826" s="2" t="s">
        <v>26</v>
      </c>
      <c r="M826" s="3">
        <v>-237500</v>
      </c>
      <c r="N826" s="2" t="s">
        <v>26</v>
      </c>
      <c r="R826" s="2" t="s">
        <v>27</v>
      </c>
      <c r="S826" s="2" t="s">
        <v>1243</v>
      </c>
      <c r="T826" s="2" t="s">
        <v>126</v>
      </c>
      <c r="U826" s="2" t="s">
        <v>1244</v>
      </c>
      <c r="V826" s="4">
        <f>+VLOOKUP(U826,'FBCJ Jul-Des 2025'!$G$10:$P$1302,8,0)</f>
        <v>70107600</v>
      </c>
      <c r="W826" s="4" t="str">
        <f>+VLOOKUP(V826,Sheet1!$A$2:$B$27,2,0)</f>
        <v>Biaya Konsumsi Kantor</v>
      </c>
      <c r="X826" s="4" t="str">
        <f>+VLOOKUP(U826,'FBCJ Jul-Des 2025'!$G$10:$P$1302,9,0)</f>
        <v>R124D1HRDV</v>
      </c>
      <c r="Y826" s="2" t="s">
        <v>43</v>
      </c>
      <c r="Z826" s="2">
        <v>1793264</v>
      </c>
      <c r="AA826" s="2">
        <v>20251104</v>
      </c>
      <c r="AB826" s="3">
        <v>237500</v>
      </c>
    </row>
    <row r="827" spans="3:28" x14ac:dyDescent="0.25">
      <c r="C827" s="2">
        <v>10000001</v>
      </c>
      <c r="D827" s="2" t="s">
        <v>1227</v>
      </c>
      <c r="F827" s="2">
        <v>12009015</v>
      </c>
      <c r="H827" s="2" t="s">
        <v>1227</v>
      </c>
      <c r="I827" s="2" t="str">
        <f t="shared" si="12"/>
        <v>11</v>
      </c>
      <c r="J827" s="2">
        <v>50</v>
      </c>
      <c r="K827" s="3">
        <v>-975000</v>
      </c>
      <c r="L827" s="2" t="s">
        <v>26</v>
      </c>
      <c r="M827" s="3">
        <v>-975000</v>
      </c>
      <c r="N827" s="2" t="s">
        <v>26</v>
      </c>
      <c r="R827" s="2" t="s">
        <v>27</v>
      </c>
      <c r="S827" s="2" t="s">
        <v>1245</v>
      </c>
      <c r="T827" s="2" t="s">
        <v>1187</v>
      </c>
      <c r="U827" s="2" t="s">
        <v>1246</v>
      </c>
      <c r="V827" s="4">
        <f>+VLOOKUP(U827,'FBCJ Jul-Des 2025'!$G$10:$P$1302,8,0)</f>
        <v>70110210</v>
      </c>
      <c r="W827" s="4">
        <f>+VLOOKUP(V827,Sheet1!$A$2:$B$27,2,0)</f>
        <v>0</v>
      </c>
      <c r="X827" s="4" t="str">
        <f>+VLOOKUP(U827,'FBCJ Jul-Des 2025'!$G$10:$P$1302,9,0)</f>
        <v>H200D1MMDP</v>
      </c>
      <c r="Y827" s="2" t="s">
        <v>43</v>
      </c>
      <c r="Z827" s="2">
        <v>1793264</v>
      </c>
      <c r="AA827" s="2">
        <v>20251104</v>
      </c>
      <c r="AB827" s="3">
        <v>975000</v>
      </c>
    </row>
    <row r="828" spans="3:28" x14ac:dyDescent="0.25">
      <c r="C828" s="2">
        <v>10000001</v>
      </c>
      <c r="D828" s="2" t="s">
        <v>1227</v>
      </c>
      <c r="F828" s="2">
        <v>12009016</v>
      </c>
      <c r="H828" s="2" t="s">
        <v>1227</v>
      </c>
      <c r="I828" s="2" t="str">
        <f t="shared" si="12"/>
        <v>11</v>
      </c>
      <c r="J828" s="2">
        <v>50</v>
      </c>
      <c r="K828" s="3">
        <v>-985000</v>
      </c>
      <c r="L828" s="2" t="s">
        <v>26</v>
      </c>
      <c r="M828" s="3">
        <v>-985000</v>
      </c>
      <c r="N828" s="2" t="s">
        <v>26</v>
      </c>
      <c r="R828" s="2" t="s">
        <v>27</v>
      </c>
      <c r="S828" s="2" t="s">
        <v>1247</v>
      </c>
      <c r="T828" s="2" t="s">
        <v>1187</v>
      </c>
      <c r="U828" s="2" t="s">
        <v>1248</v>
      </c>
      <c r="V828" s="4">
        <f>+VLOOKUP(U828,'FBCJ Jul-Des 2025'!$G$10:$P$1302,8,0)</f>
        <v>70110210</v>
      </c>
      <c r="W828" s="4">
        <f>+VLOOKUP(V828,Sheet1!$A$2:$B$27,2,0)</f>
        <v>0</v>
      </c>
      <c r="X828" s="4" t="str">
        <f>+VLOOKUP(U828,'FBCJ Jul-Des 2025'!$G$10:$P$1302,9,0)</f>
        <v>H200D1MMDP</v>
      </c>
      <c r="Y828" s="2" t="s">
        <v>43</v>
      </c>
      <c r="Z828" s="2">
        <v>1793264</v>
      </c>
      <c r="AA828" s="2">
        <v>20251104</v>
      </c>
      <c r="AB828" s="3">
        <v>985000</v>
      </c>
    </row>
    <row r="829" spans="3:28" x14ac:dyDescent="0.25">
      <c r="C829" s="2">
        <v>10000001</v>
      </c>
      <c r="D829" s="2" t="s">
        <v>1227</v>
      </c>
      <c r="F829" s="2">
        <v>12009017</v>
      </c>
      <c r="H829" s="2" t="s">
        <v>1227</v>
      </c>
      <c r="I829" s="2" t="str">
        <f t="shared" si="12"/>
        <v>11</v>
      </c>
      <c r="J829" s="2">
        <v>50</v>
      </c>
      <c r="K829" s="3">
        <v>-240000</v>
      </c>
      <c r="L829" s="2" t="s">
        <v>26</v>
      </c>
      <c r="M829" s="3">
        <v>-240000</v>
      </c>
      <c r="N829" s="2" t="s">
        <v>26</v>
      </c>
      <c r="R829" s="2" t="s">
        <v>27</v>
      </c>
      <c r="S829" s="2" t="s">
        <v>1249</v>
      </c>
      <c r="T829" s="2" t="s">
        <v>126</v>
      </c>
      <c r="U829" s="2" t="s">
        <v>1250</v>
      </c>
      <c r="V829" s="4">
        <f>+VLOOKUP(U829,'FBCJ Jul-Des 2025'!$G$10:$P$1302,8,0)</f>
        <v>70107600</v>
      </c>
      <c r="W829" s="4" t="str">
        <f>+VLOOKUP(V829,Sheet1!$A$2:$B$27,2,0)</f>
        <v>Biaya Konsumsi Kantor</v>
      </c>
      <c r="X829" s="4" t="str">
        <f>+VLOOKUP(U829,'FBCJ Jul-Des 2025'!$G$10:$P$1302,9,0)</f>
        <v>R124QCA</v>
      </c>
      <c r="Y829" s="2" t="s">
        <v>43</v>
      </c>
      <c r="Z829" s="2">
        <v>1793264</v>
      </c>
      <c r="AA829" s="2">
        <v>20251104</v>
      </c>
      <c r="AB829" s="3">
        <v>240000</v>
      </c>
    </row>
    <row r="830" spans="3:28" x14ac:dyDescent="0.25">
      <c r="C830" s="2">
        <v>10000001</v>
      </c>
      <c r="D830" s="2" t="s">
        <v>1227</v>
      </c>
      <c r="F830" s="2">
        <v>12009018</v>
      </c>
      <c r="H830" s="2" t="s">
        <v>1227</v>
      </c>
      <c r="I830" s="2" t="str">
        <f t="shared" si="12"/>
        <v>11</v>
      </c>
      <c r="J830" s="2">
        <v>50</v>
      </c>
      <c r="K830" s="3">
        <v>-650000</v>
      </c>
      <c r="L830" s="2" t="s">
        <v>26</v>
      </c>
      <c r="M830" s="3">
        <v>-650000</v>
      </c>
      <c r="N830" s="2" t="s">
        <v>26</v>
      </c>
      <c r="R830" s="2" t="s">
        <v>27</v>
      </c>
      <c r="S830" s="2" t="s">
        <v>1251</v>
      </c>
      <c r="T830" s="2" t="s">
        <v>96</v>
      </c>
      <c r="U830" s="2" t="s">
        <v>1252</v>
      </c>
      <c r="V830" s="4">
        <f>+VLOOKUP(U830,'FBCJ Jul-Des 2025'!$G$10:$P$1302,8,0)</f>
        <v>70106400</v>
      </c>
      <c r="W830" s="4" t="str">
        <f>+VLOOKUP(V830,Sheet1!$A$2:$B$27,2,0)</f>
        <v>Biaya Bahan Bakar</v>
      </c>
      <c r="X830" s="4" t="str">
        <f>+VLOOKUP(U830,'FBCJ Jul-Des 2025'!$G$10:$P$1302,9,0)</f>
        <v>R124D1HRGA</v>
      </c>
      <c r="Y830" s="2" t="s">
        <v>43</v>
      </c>
      <c r="Z830" s="2">
        <v>1793264</v>
      </c>
      <c r="AA830" s="2">
        <v>20251104</v>
      </c>
      <c r="AB830" s="3">
        <v>650000</v>
      </c>
    </row>
    <row r="831" spans="3:28" x14ac:dyDescent="0.25">
      <c r="C831" s="2">
        <v>10000001</v>
      </c>
      <c r="D831" s="2" t="s">
        <v>1227</v>
      </c>
      <c r="F831" s="2">
        <v>12009019</v>
      </c>
      <c r="H831" s="2" t="s">
        <v>1227</v>
      </c>
      <c r="I831" s="2" t="str">
        <f t="shared" si="12"/>
        <v>11</v>
      </c>
      <c r="J831" s="2">
        <v>50</v>
      </c>
      <c r="K831" s="3">
        <v>-350000</v>
      </c>
      <c r="L831" s="2" t="s">
        <v>26</v>
      </c>
      <c r="M831" s="3">
        <v>-350000</v>
      </c>
      <c r="N831" s="2" t="s">
        <v>26</v>
      </c>
      <c r="R831" s="2" t="s">
        <v>27</v>
      </c>
      <c r="S831" s="2" t="s">
        <v>1251</v>
      </c>
      <c r="T831" s="2" t="s">
        <v>67</v>
      </c>
      <c r="U831" s="2" t="s">
        <v>98</v>
      </c>
      <c r="V831" s="4">
        <f>+VLOOKUP(U831,'FBCJ Jul-Des 2025'!$G$10:$P$1302,8,0)</f>
        <v>70106100</v>
      </c>
      <c r="W831" s="4" t="str">
        <f>+VLOOKUP(V831,Sheet1!$A$2:$B$27,2,0)</f>
        <v>Biaya Transportasi Lokal</v>
      </c>
      <c r="X831" s="4" t="str">
        <f>+VLOOKUP(U831,'FBCJ Jul-Des 2025'!$G$10:$P$1302,9,0)</f>
        <v>R124D1HRGA</v>
      </c>
      <c r="Y831" s="2" t="s">
        <v>43</v>
      </c>
      <c r="Z831" s="2">
        <v>1793264</v>
      </c>
      <c r="AA831" s="2">
        <v>20251104</v>
      </c>
      <c r="AB831" s="3">
        <v>350000</v>
      </c>
    </row>
    <row r="832" spans="3:28" x14ac:dyDescent="0.25">
      <c r="C832" s="2">
        <v>10000001</v>
      </c>
      <c r="D832" s="2" t="s">
        <v>1227</v>
      </c>
      <c r="F832" s="2">
        <v>12009020</v>
      </c>
      <c r="H832" s="2" t="s">
        <v>1227</v>
      </c>
      <c r="I832" s="2" t="str">
        <f t="shared" si="12"/>
        <v>11</v>
      </c>
      <c r="J832" s="2">
        <v>50</v>
      </c>
      <c r="K832" s="3">
        <v>-993960</v>
      </c>
      <c r="L832" s="2" t="s">
        <v>26</v>
      </c>
      <c r="M832" s="3">
        <v>-993960</v>
      </c>
      <c r="N832" s="2" t="s">
        <v>26</v>
      </c>
      <c r="R832" s="2" t="s">
        <v>27</v>
      </c>
      <c r="S832" s="2" t="s">
        <v>1253</v>
      </c>
      <c r="T832" s="2" t="s">
        <v>126</v>
      </c>
      <c r="U832" s="2" t="s">
        <v>1254</v>
      </c>
      <c r="V832" s="4">
        <f>+VLOOKUP(U832,'FBCJ Jul-Des 2025'!$G$10:$P$1302,8,0)</f>
        <v>70107600</v>
      </c>
      <c r="W832" s="4" t="str">
        <f>+VLOOKUP(V832,Sheet1!$A$2:$B$27,2,0)</f>
        <v>Biaya Konsumsi Kantor</v>
      </c>
      <c r="X832" s="4" t="str">
        <f>+VLOOKUP(U832,'FBCJ Jul-Des 2025'!$G$10:$P$1302,9,0)</f>
        <v>R124D1HRGA</v>
      </c>
      <c r="Y832" s="2" t="s">
        <v>43</v>
      </c>
      <c r="Z832" s="2">
        <v>1793264</v>
      </c>
      <c r="AA832" s="2">
        <v>20251104</v>
      </c>
      <c r="AB832" s="3">
        <v>993960</v>
      </c>
    </row>
    <row r="833" spans="3:28" x14ac:dyDescent="0.25">
      <c r="C833" s="2">
        <v>10000001</v>
      </c>
      <c r="D833" s="2" t="s">
        <v>1227</v>
      </c>
      <c r="F833" s="2">
        <v>12009021</v>
      </c>
      <c r="H833" s="2" t="s">
        <v>1227</v>
      </c>
      <c r="I833" s="2" t="str">
        <f t="shared" si="12"/>
        <v>11</v>
      </c>
      <c r="J833" s="2">
        <v>50</v>
      </c>
      <c r="K833" s="3">
        <v>-50000</v>
      </c>
      <c r="L833" s="2" t="s">
        <v>26</v>
      </c>
      <c r="M833" s="3">
        <v>-50000</v>
      </c>
      <c r="N833" s="2" t="s">
        <v>26</v>
      </c>
      <c r="R833" s="2" t="s">
        <v>27</v>
      </c>
      <c r="S833" s="2" t="s">
        <v>1255</v>
      </c>
      <c r="T833" s="2" t="s">
        <v>334</v>
      </c>
      <c r="U833" s="2" t="s">
        <v>1256</v>
      </c>
      <c r="V833" s="4">
        <f>+VLOOKUP(U833,'FBCJ Jul-Des 2025'!$G$10:$P$1302,8,0)</f>
        <v>70001110</v>
      </c>
      <c r="W833" s="4" t="str">
        <f>+VLOOKUP(V833,Sheet1!$A$2:$B$27,2,0)</f>
        <v>Biaya Ekspor lainnya</v>
      </c>
      <c r="X833" s="4" t="str">
        <f>+VLOOKUP(U833,'FBCJ Jul-Des 2025'!$G$10:$P$1302,9,0)</f>
        <v>M204D1COMM</v>
      </c>
      <c r="Y833" s="2" t="s">
        <v>43</v>
      </c>
      <c r="Z833" s="2">
        <v>1793264</v>
      </c>
      <c r="AA833" s="2">
        <v>20251104</v>
      </c>
      <c r="AB833" s="3">
        <v>50000</v>
      </c>
    </row>
    <row r="834" spans="3:28" x14ac:dyDescent="0.25">
      <c r="C834" s="2">
        <v>10000001</v>
      </c>
      <c r="D834" s="2" t="s">
        <v>1227</v>
      </c>
      <c r="F834" s="2">
        <v>12009022</v>
      </c>
      <c r="H834" s="2" t="s">
        <v>1227</v>
      </c>
      <c r="I834" s="2" t="str">
        <f t="shared" si="12"/>
        <v>11</v>
      </c>
      <c r="J834" s="2">
        <v>50</v>
      </c>
      <c r="K834" s="3">
        <v>-50000</v>
      </c>
      <c r="L834" s="2" t="s">
        <v>26</v>
      </c>
      <c r="M834" s="3">
        <v>-50000</v>
      </c>
      <c r="N834" s="2" t="s">
        <v>26</v>
      </c>
      <c r="R834" s="2" t="s">
        <v>27</v>
      </c>
      <c r="S834" s="2" t="s">
        <v>1257</v>
      </c>
      <c r="T834" s="2" t="s">
        <v>334</v>
      </c>
      <c r="U834" s="2" t="s">
        <v>1258</v>
      </c>
      <c r="V834" s="4">
        <f>+VLOOKUP(U834,'FBCJ Jul-Des 2025'!$G$10:$P$1302,8,0)</f>
        <v>70001110</v>
      </c>
      <c r="W834" s="4" t="str">
        <f>+VLOOKUP(V834,Sheet1!$A$2:$B$27,2,0)</f>
        <v>Biaya Ekspor lainnya</v>
      </c>
      <c r="X834" s="4" t="str">
        <f>+VLOOKUP(U834,'FBCJ Jul-Des 2025'!$G$10:$P$1302,9,0)</f>
        <v>M204D1COMM</v>
      </c>
      <c r="Y834" s="2" t="s">
        <v>43</v>
      </c>
      <c r="Z834" s="2">
        <v>1793264</v>
      </c>
      <c r="AA834" s="2">
        <v>20251104</v>
      </c>
      <c r="AB834" s="3">
        <v>50000</v>
      </c>
    </row>
    <row r="835" spans="3:28" x14ac:dyDescent="0.25">
      <c r="C835" s="2">
        <v>10000001</v>
      </c>
      <c r="D835" s="2" t="s">
        <v>1227</v>
      </c>
      <c r="F835" s="2">
        <v>12009023</v>
      </c>
      <c r="H835" s="2" t="s">
        <v>1227</v>
      </c>
      <c r="I835" s="2" t="str">
        <f t="shared" si="12"/>
        <v>11</v>
      </c>
      <c r="J835" s="2">
        <v>50</v>
      </c>
      <c r="K835" s="3">
        <v>-50000</v>
      </c>
      <c r="L835" s="2" t="s">
        <v>26</v>
      </c>
      <c r="M835" s="3">
        <v>-50000</v>
      </c>
      <c r="N835" s="2" t="s">
        <v>26</v>
      </c>
      <c r="R835" s="2" t="s">
        <v>27</v>
      </c>
      <c r="S835" s="2" t="s">
        <v>1257</v>
      </c>
      <c r="T835" s="2" t="s">
        <v>334</v>
      </c>
      <c r="U835" s="2" t="s">
        <v>1259</v>
      </c>
      <c r="V835" s="4">
        <f>+VLOOKUP(U835,'FBCJ Jul-Des 2025'!$G$10:$P$1302,8,0)</f>
        <v>70001110</v>
      </c>
      <c r="W835" s="4" t="str">
        <f>+VLOOKUP(V835,Sheet1!$A$2:$B$27,2,0)</f>
        <v>Biaya Ekspor lainnya</v>
      </c>
      <c r="X835" s="4" t="str">
        <f>+VLOOKUP(U835,'FBCJ Jul-Des 2025'!$G$10:$P$1302,9,0)</f>
        <v>M204D1COMM</v>
      </c>
      <c r="Y835" s="2" t="s">
        <v>43</v>
      </c>
      <c r="Z835" s="2">
        <v>1793264</v>
      </c>
      <c r="AA835" s="2">
        <v>20251104</v>
      </c>
      <c r="AB835" s="3">
        <v>50000</v>
      </c>
    </row>
    <row r="836" spans="3:28" x14ac:dyDescent="0.25">
      <c r="C836" s="2">
        <v>10000001</v>
      </c>
      <c r="D836" s="2" t="s">
        <v>1227</v>
      </c>
      <c r="F836" s="2">
        <v>12009024</v>
      </c>
      <c r="H836" s="2" t="s">
        <v>1227</v>
      </c>
      <c r="I836" s="2" t="str">
        <f t="shared" si="12"/>
        <v>11</v>
      </c>
      <c r="J836" s="2">
        <v>50</v>
      </c>
      <c r="K836" s="3">
        <v>-50000</v>
      </c>
      <c r="L836" s="2" t="s">
        <v>26</v>
      </c>
      <c r="M836" s="3">
        <v>-50000</v>
      </c>
      <c r="N836" s="2" t="s">
        <v>26</v>
      </c>
      <c r="R836" s="2" t="s">
        <v>27</v>
      </c>
      <c r="S836" s="2" t="s">
        <v>1257</v>
      </c>
      <c r="T836" s="2" t="s">
        <v>334</v>
      </c>
      <c r="U836" s="2" t="s">
        <v>1260</v>
      </c>
      <c r="V836" s="4">
        <f>+VLOOKUP(U836,'FBCJ Jul-Des 2025'!$G$10:$P$1302,8,0)</f>
        <v>70001110</v>
      </c>
      <c r="W836" s="4" t="str">
        <f>+VLOOKUP(V836,Sheet1!$A$2:$B$27,2,0)</f>
        <v>Biaya Ekspor lainnya</v>
      </c>
      <c r="X836" s="4" t="str">
        <f>+VLOOKUP(U836,'FBCJ Jul-Des 2025'!$G$10:$P$1302,9,0)</f>
        <v>M204D1COMM</v>
      </c>
      <c r="Y836" s="2" t="s">
        <v>43</v>
      </c>
      <c r="Z836" s="2">
        <v>1793264</v>
      </c>
      <c r="AA836" s="2">
        <v>20251104</v>
      </c>
      <c r="AB836" s="3">
        <v>50000</v>
      </c>
    </row>
    <row r="837" spans="3:28" x14ac:dyDescent="0.25">
      <c r="C837" s="2">
        <v>10000001</v>
      </c>
      <c r="D837" s="2" t="s">
        <v>1227</v>
      </c>
      <c r="F837" s="2">
        <v>12009025</v>
      </c>
      <c r="H837" s="2" t="s">
        <v>1227</v>
      </c>
      <c r="I837" s="2" t="str">
        <f t="shared" si="12"/>
        <v>11</v>
      </c>
      <c r="J837" s="2">
        <v>50</v>
      </c>
      <c r="K837" s="3">
        <v>-50000</v>
      </c>
      <c r="L837" s="2" t="s">
        <v>26</v>
      </c>
      <c r="M837" s="3">
        <v>-50000</v>
      </c>
      <c r="N837" s="2" t="s">
        <v>26</v>
      </c>
      <c r="R837" s="2" t="s">
        <v>27</v>
      </c>
      <c r="S837" s="2" t="s">
        <v>1257</v>
      </c>
      <c r="T837" s="2" t="s">
        <v>334</v>
      </c>
      <c r="U837" s="2" t="s">
        <v>1261</v>
      </c>
      <c r="V837" s="4">
        <f>+VLOOKUP(U837,'FBCJ Jul-Des 2025'!$G$10:$P$1302,8,0)</f>
        <v>70001110</v>
      </c>
      <c r="W837" s="4" t="str">
        <f>+VLOOKUP(V837,Sheet1!$A$2:$B$27,2,0)</f>
        <v>Biaya Ekspor lainnya</v>
      </c>
      <c r="X837" s="4" t="str">
        <f>+VLOOKUP(U837,'FBCJ Jul-Des 2025'!$G$10:$P$1302,9,0)</f>
        <v>P206D1SLSS</v>
      </c>
      <c r="Y837" s="2" t="s">
        <v>43</v>
      </c>
      <c r="Z837" s="2">
        <v>1793264</v>
      </c>
      <c r="AA837" s="2">
        <v>20251104</v>
      </c>
      <c r="AB837" s="3">
        <v>50000</v>
      </c>
    </row>
    <row r="838" spans="3:28" x14ac:dyDescent="0.25">
      <c r="C838" s="2">
        <v>10000001</v>
      </c>
      <c r="D838" s="2" t="s">
        <v>1227</v>
      </c>
      <c r="F838" s="2">
        <v>12009026</v>
      </c>
      <c r="H838" s="2" t="s">
        <v>1227</v>
      </c>
      <c r="I838" s="2" t="str">
        <f t="shared" si="12"/>
        <v>11</v>
      </c>
      <c r="J838" s="2">
        <v>50</v>
      </c>
      <c r="K838" s="3">
        <v>-50000</v>
      </c>
      <c r="L838" s="2" t="s">
        <v>26</v>
      </c>
      <c r="M838" s="3">
        <v>-50000</v>
      </c>
      <c r="N838" s="2" t="s">
        <v>26</v>
      </c>
      <c r="R838" s="2" t="s">
        <v>27</v>
      </c>
      <c r="S838" s="2" t="s">
        <v>1257</v>
      </c>
      <c r="T838" s="2" t="s">
        <v>334</v>
      </c>
      <c r="U838" s="2" t="s">
        <v>1262</v>
      </c>
      <c r="V838" s="4">
        <f>+VLOOKUP(U838,'FBCJ Jul-Des 2025'!$G$10:$P$1302,8,0)</f>
        <v>70001110</v>
      </c>
      <c r="W838" s="4" t="str">
        <f>+VLOOKUP(V838,Sheet1!$A$2:$B$27,2,0)</f>
        <v>Biaya Ekspor lainnya</v>
      </c>
      <c r="X838" s="4" t="str">
        <f>+VLOOKUP(U838,'FBCJ Jul-Des 2025'!$G$10:$P$1302,9,0)</f>
        <v>P206D1SLSS</v>
      </c>
      <c r="Y838" s="2" t="s">
        <v>43</v>
      </c>
      <c r="Z838" s="2">
        <v>1793264</v>
      </c>
      <c r="AA838" s="2">
        <v>20251104</v>
      </c>
      <c r="AB838" s="3">
        <v>50000</v>
      </c>
    </row>
    <row r="839" spans="3:28" x14ac:dyDescent="0.25">
      <c r="C839" s="2">
        <v>10000001</v>
      </c>
      <c r="D839" s="2" t="s">
        <v>1227</v>
      </c>
      <c r="F839" s="2">
        <v>12009027</v>
      </c>
      <c r="H839" s="2" t="s">
        <v>1227</v>
      </c>
      <c r="I839" s="2" t="str">
        <f t="shared" si="12"/>
        <v>11</v>
      </c>
      <c r="J839" s="2">
        <v>50</v>
      </c>
      <c r="K839" s="3">
        <v>-50000</v>
      </c>
      <c r="L839" s="2" t="s">
        <v>26</v>
      </c>
      <c r="M839" s="3">
        <v>-50000</v>
      </c>
      <c r="N839" s="2" t="s">
        <v>26</v>
      </c>
      <c r="R839" s="2" t="s">
        <v>27</v>
      </c>
      <c r="S839" s="2" t="s">
        <v>1257</v>
      </c>
      <c r="T839" s="2" t="s">
        <v>334</v>
      </c>
      <c r="U839" s="2" t="s">
        <v>1263</v>
      </c>
      <c r="V839" s="4">
        <f>+VLOOKUP(U839,'FBCJ Jul-Des 2025'!$G$10:$P$1302,8,0)</f>
        <v>70001110</v>
      </c>
      <c r="W839" s="4" t="str">
        <f>+VLOOKUP(V839,Sheet1!$A$2:$B$27,2,0)</f>
        <v>Biaya Ekspor lainnya</v>
      </c>
      <c r="X839" s="4" t="str">
        <f>+VLOOKUP(U839,'FBCJ Jul-Des 2025'!$G$10:$P$1302,9,0)</f>
        <v>P206D1SLSS</v>
      </c>
      <c r="Y839" s="2" t="s">
        <v>43</v>
      </c>
      <c r="Z839" s="2">
        <v>1793264</v>
      </c>
      <c r="AA839" s="2">
        <v>20251104</v>
      </c>
      <c r="AB839" s="3">
        <v>50000</v>
      </c>
    </row>
    <row r="840" spans="3:28" x14ac:dyDescent="0.25">
      <c r="C840" s="2">
        <v>10000001</v>
      </c>
      <c r="D840" s="2" t="s">
        <v>1227</v>
      </c>
      <c r="F840" s="2">
        <v>12009028</v>
      </c>
      <c r="H840" s="2" t="s">
        <v>1227</v>
      </c>
      <c r="I840" s="2" t="str">
        <f t="shared" ref="I840:I903" si="13">+MID(H840,4,2)</f>
        <v>11</v>
      </c>
      <c r="J840" s="2">
        <v>50</v>
      </c>
      <c r="K840" s="3">
        <v>-50000</v>
      </c>
      <c r="L840" s="2" t="s">
        <v>26</v>
      </c>
      <c r="M840" s="3">
        <v>-50000</v>
      </c>
      <c r="N840" s="2" t="s">
        <v>26</v>
      </c>
      <c r="R840" s="2" t="s">
        <v>27</v>
      </c>
      <c r="S840" s="2" t="s">
        <v>1257</v>
      </c>
      <c r="T840" s="2" t="s">
        <v>334</v>
      </c>
      <c r="U840" s="2" t="s">
        <v>1264</v>
      </c>
      <c r="V840" s="4">
        <f>+VLOOKUP(U840,'FBCJ Jul-Des 2025'!$G$10:$P$1302,8,0)</f>
        <v>70001110</v>
      </c>
      <c r="W840" s="4" t="str">
        <f>+VLOOKUP(V840,Sheet1!$A$2:$B$27,2,0)</f>
        <v>Biaya Ekspor lainnya</v>
      </c>
      <c r="X840" s="4" t="str">
        <f>+VLOOKUP(U840,'FBCJ Jul-Des 2025'!$G$10:$P$1302,9,0)</f>
        <v>P206D1SLSS</v>
      </c>
      <c r="Y840" s="2" t="s">
        <v>43</v>
      </c>
      <c r="Z840" s="2">
        <v>1793264</v>
      </c>
      <c r="AA840" s="2">
        <v>20251104</v>
      </c>
      <c r="AB840" s="3">
        <v>50000</v>
      </c>
    </row>
    <row r="841" spans="3:28" x14ac:dyDescent="0.25">
      <c r="C841" s="2">
        <v>10000001</v>
      </c>
      <c r="D841" s="2" t="s">
        <v>1227</v>
      </c>
      <c r="F841" s="2">
        <v>12009029</v>
      </c>
      <c r="H841" s="2" t="s">
        <v>1227</v>
      </c>
      <c r="I841" s="2" t="str">
        <f t="shared" si="13"/>
        <v>11</v>
      </c>
      <c r="J841" s="2">
        <v>50</v>
      </c>
      <c r="K841" s="3">
        <v>-50000</v>
      </c>
      <c r="L841" s="2" t="s">
        <v>26</v>
      </c>
      <c r="M841" s="3">
        <v>-50000</v>
      </c>
      <c r="N841" s="2" t="s">
        <v>26</v>
      </c>
      <c r="R841" s="2" t="s">
        <v>27</v>
      </c>
      <c r="S841" s="2" t="s">
        <v>1257</v>
      </c>
      <c r="T841" s="2" t="s">
        <v>334</v>
      </c>
      <c r="U841" s="2" t="s">
        <v>1265</v>
      </c>
      <c r="V841" s="4">
        <f>+VLOOKUP(U841,'FBCJ Jul-Des 2025'!$G$10:$P$1302,8,0)</f>
        <v>70001110</v>
      </c>
      <c r="W841" s="4" t="str">
        <f>+VLOOKUP(V841,Sheet1!$A$2:$B$27,2,0)</f>
        <v>Biaya Ekspor lainnya</v>
      </c>
      <c r="X841" s="4" t="str">
        <f>+VLOOKUP(U841,'FBCJ Jul-Des 2025'!$G$10:$P$1302,9,0)</f>
        <v>C206D1SLSS</v>
      </c>
      <c r="Y841" s="2" t="s">
        <v>43</v>
      </c>
      <c r="Z841" s="2">
        <v>1793264</v>
      </c>
      <c r="AA841" s="2">
        <v>20251104</v>
      </c>
      <c r="AB841" s="3">
        <v>50000</v>
      </c>
    </row>
    <row r="842" spans="3:28" x14ac:dyDescent="0.25">
      <c r="C842" s="2">
        <v>10000001</v>
      </c>
      <c r="D842" s="2" t="s">
        <v>1227</v>
      </c>
      <c r="F842" s="2">
        <v>12009030</v>
      </c>
      <c r="H842" s="2" t="s">
        <v>1227</v>
      </c>
      <c r="I842" s="2" t="str">
        <f t="shared" si="13"/>
        <v>11</v>
      </c>
      <c r="J842" s="2">
        <v>50</v>
      </c>
      <c r="K842" s="3">
        <v>-50000</v>
      </c>
      <c r="L842" s="2" t="s">
        <v>26</v>
      </c>
      <c r="M842" s="3">
        <v>-50000</v>
      </c>
      <c r="N842" s="2" t="s">
        <v>26</v>
      </c>
      <c r="R842" s="2" t="s">
        <v>27</v>
      </c>
      <c r="S842" s="2" t="s">
        <v>1257</v>
      </c>
      <c r="T842" s="2" t="s">
        <v>334</v>
      </c>
      <c r="U842" s="2" t="s">
        <v>1266</v>
      </c>
      <c r="V842" s="4">
        <f>+VLOOKUP(U842,'FBCJ Jul-Des 2025'!$G$10:$P$1302,8,0)</f>
        <v>70001110</v>
      </c>
      <c r="W842" s="4" t="str">
        <f>+VLOOKUP(V842,Sheet1!$A$2:$B$27,2,0)</f>
        <v>Biaya Ekspor lainnya</v>
      </c>
      <c r="X842" s="4" t="str">
        <f>+VLOOKUP(U842,'FBCJ Jul-Des 2025'!$G$10:$P$1302,9,0)</f>
        <v>P206D1SLSS</v>
      </c>
      <c r="Y842" s="2" t="s">
        <v>43</v>
      </c>
      <c r="Z842" s="2">
        <v>1793264</v>
      </c>
      <c r="AA842" s="2">
        <v>20251104</v>
      </c>
      <c r="AB842" s="3">
        <v>50000</v>
      </c>
    </row>
    <row r="843" spans="3:28" x14ac:dyDescent="0.25">
      <c r="C843" s="2">
        <v>10000001</v>
      </c>
      <c r="D843" s="2" t="s">
        <v>1227</v>
      </c>
      <c r="F843" s="2">
        <v>12009031</v>
      </c>
      <c r="H843" s="2" t="s">
        <v>1227</v>
      </c>
      <c r="I843" s="2" t="str">
        <f t="shared" si="13"/>
        <v>11</v>
      </c>
      <c r="J843" s="2">
        <v>50</v>
      </c>
      <c r="K843" s="3">
        <v>-50000</v>
      </c>
      <c r="L843" s="2" t="s">
        <v>26</v>
      </c>
      <c r="M843" s="3">
        <v>-50000</v>
      </c>
      <c r="N843" s="2" t="s">
        <v>26</v>
      </c>
      <c r="R843" s="2" t="s">
        <v>27</v>
      </c>
      <c r="S843" s="2" t="s">
        <v>1257</v>
      </c>
      <c r="T843" s="2" t="s">
        <v>334</v>
      </c>
      <c r="U843" s="2" t="s">
        <v>1267</v>
      </c>
      <c r="V843" s="4">
        <f>+VLOOKUP(U843,'FBCJ Jul-Des 2025'!$G$10:$P$1302,8,0)</f>
        <v>70001110</v>
      </c>
      <c r="W843" s="4" t="str">
        <f>+VLOOKUP(V843,Sheet1!$A$2:$B$27,2,0)</f>
        <v>Biaya Ekspor lainnya</v>
      </c>
      <c r="X843" s="4" t="str">
        <f>+VLOOKUP(U843,'FBCJ Jul-Des 2025'!$G$10:$P$1302,9,0)</f>
        <v>P206D1SLSS</v>
      </c>
      <c r="Y843" s="2" t="s">
        <v>43</v>
      </c>
      <c r="Z843" s="2">
        <v>1793264</v>
      </c>
      <c r="AA843" s="2">
        <v>20251104</v>
      </c>
      <c r="AB843" s="3">
        <v>50000</v>
      </c>
    </row>
    <row r="844" spans="3:28" x14ac:dyDescent="0.25">
      <c r="C844" s="2">
        <v>10000001</v>
      </c>
      <c r="D844" s="2" t="s">
        <v>1227</v>
      </c>
      <c r="F844" s="2">
        <v>12009032</v>
      </c>
      <c r="H844" s="2" t="s">
        <v>1227</v>
      </c>
      <c r="I844" s="2" t="str">
        <f t="shared" si="13"/>
        <v>11</v>
      </c>
      <c r="J844" s="2">
        <v>50</v>
      </c>
      <c r="K844" s="3">
        <v>-50000</v>
      </c>
      <c r="L844" s="2" t="s">
        <v>26</v>
      </c>
      <c r="M844" s="3">
        <v>-50000</v>
      </c>
      <c r="N844" s="2" t="s">
        <v>26</v>
      </c>
      <c r="R844" s="2" t="s">
        <v>27</v>
      </c>
      <c r="S844" s="2" t="s">
        <v>1257</v>
      </c>
      <c r="T844" s="2" t="s">
        <v>334</v>
      </c>
      <c r="U844" s="2" t="s">
        <v>1268</v>
      </c>
      <c r="V844" s="4">
        <f>+VLOOKUP(U844,'FBCJ Jul-Des 2025'!$G$10:$P$1302,8,0)</f>
        <v>70001110</v>
      </c>
      <c r="W844" s="4" t="str">
        <f>+VLOOKUP(V844,Sheet1!$A$2:$B$27,2,0)</f>
        <v>Biaya Ekspor lainnya</v>
      </c>
      <c r="X844" s="4" t="str">
        <f>+VLOOKUP(U844,'FBCJ Jul-Des 2025'!$G$10:$P$1302,9,0)</f>
        <v>M204D1COMM</v>
      </c>
      <c r="Y844" s="2" t="s">
        <v>43</v>
      </c>
      <c r="Z844" s="2">
        <v>1793264</v>
      </c>
      <c r="AA844" s="2">
        <v>20251104</v>
      </c>
      <c r="AB844" s="3">
        <v>50000</v>
      </c>
    </row>
    <row r="845" spans="3:28" x14ac:dyDescent="0.25">
      <c r="C845" s="2">
        <v>10000001</v>
      </c>
      <c r="D845" s="2" t="s">
        <v>1227</v>
      </c>
      <c r="F845" s="2">
        <v>12009033</v>
      </c>
      <c r="H845" s="2" t="s">
        <v>1227</v>
      </c>
      <c r="I845" s="2" t="str">
        <f t="shared" si="13"/>
        <v>11</v>
      </c>
      <c r="J845" s="2">
        <v>50</v>
      </c>
      <c r="K845" s="3">
        <v>-50000</v>
      </c>
      <c r="L845" s="2" t="s">
        <v>26</v>
      </c>
      <c r="M845" s="3">
        <v>-50000</v>
      </c>
      <c r="N845" s="2" t="s">
        <v>26</v>
      </c>
      <c r="R845" s="2" t="s">
        <v>27</v>
      </c>
      <c r="S845" s="2" t="s">
        <v>1257</v>
      </c>
      <c r="T845" s="2" t="s">
        <v>334</v>
      </c>
      <c r="U845" s="2" t="s">
        <v>1269</v>
      </c>
      <c r="V845" s="4">
        <f>+VLOOKUP(U845,'FBCJ Jul-Des 2025'!$G$10:$P$1302,8,0)</f>
        <v>70001110</v>
      </c>
      <c r="W845" s="4" t="str">
        <f>+VLOOKUP(V845,Sheet1!$A$2:$B$27,2,0)</f>
        <v>Biaya Ekspor lainnya</v>
      </c>
      <c r="X845" s="4" t="str">
        <f>+VLOOKUP(U845,'FBCJ Jul-Des 2025'!$G$10:$P$1302,9,0)</f>
        <v>P206D1SLSS</v>
      </c>
      <c r="Y845" s="2" t="s">
        <v>43</v>
      </c>
      <c r="Z845" s="2">
        <v>1793264</v>
      </c>
      <c r="AA845" s="2">
        <v>20251104</v>
      </c>
      <c r="AB845" s="3">
        <v>50000</v>
      </c>
    </row>
    <row r="846" spans="3:28" x14ac:dyDescent="0.25">
      <c r="C846" s="2">
        <v>10000001</v>
      </c>
      <c r="D846" s="2" t="s">
        <v>1227</v>
      </c>
      <c r="F846" s="2">
        <v>12009034</v>
      </c>
      <c r="H846" s="2" t="s">
        <v>1227</v>
      </c>
      <c r="I846" s="2" t="str">
        <f t="shared" si="13"/>
        <v>11</v>
      </c>
      <c r="J846" s="2">
        <v>50</v>
      </c>
      <c r="K846" s="3">
        <v>-50000</v>
      </c>
      <c r="L846" s="2" t="s">
        <v>26</v>
      </c>
      <c r="M846" s="3">
        <v>-50000</v>
      </c>
      <c r="N846" s="2" t="s">
        <v>26</v>
      </c>
      <c r="R846" s="2" t="s">
        <v>27</v>
      </c>
      <c r="S846" s="2" t="s">
        <v>1257</v>
      </c>
      <c r="T846" s="2" t="s">
        <v>334</v>
      </c>
      <c r="U846" s="2" t="s">
        <v>1270</v>
      </c>
      <c r="V846" s="4">
        <f>+VLOOKUP(U846,'FBCJ Jul-Des 2025'!$G$10:$P$1302,8,0)</f>
        <v>70001110</v>
      </c>
      <c r="W846" s="4" t="str">
        <f>+VLOOKUP(V846,Sheet1!$A$2:$B$27,2,0)</f>
        <v>Biaya Ekspor lainnya</v>
      </c>
      <c r="X846" s="4" t="str">
        <f>+VLOOKUP(U846,'FBCJ Jul-Des 2025'!$G$10:$P$1302,9,0)</f>
        <v>P206D1SLSS</v>
      </c>
      <c r="Y846" s="2" t="s">
        <v>43</v>
      </c>
      <c r="Z846" s="2">
        <v>1793264</v>
      </c>
      <c r="AA846" s="2">
        <v>20251104</v>
      </c>
      <c r="AB846" s="3">
        <v>50000</v>
      </c>
    </row>
    <row r="847" spans="3:28" x14ac:dyDescent="0.25">
      <c r="C847" s="2">
        <v>10000001</v>
      </c>
      <c r="D847" s="2" t="s">
        <v>1227</v>
      </c>
      <c r="F847" s="2">
        <v>12009035</v>
      </c>
      <c r="H847" s="2" t="s">
        <v>1227</v>
      </c>
      <c r="I847" s="2" t="str">
        <f t="shared" si="13"/>
        <v>11</v>
      </c>
      <c r="J847" s="2">
        <v>50</v>
      </c>
      <c r="K847" s="3">
        <v>-50000</v>
      </c>
      <c r="L847" s="2" t="s">
        <v>26</v>
      </c>
      <c r="M847" s="3">
        <v>-50000</v>
      </c>
      <c r="N847" s="2" t="s">
        <v>26</v>
      </c>
      <c r="R847" s="2" t="s">
        <v>27</v>
      </c>
      <c r="S847" s="2" t="s">
        <v>1257</v>
      </c>
      <c r="T847" s="2" t="s">
        <v>334</v>
      </c>
      <c r="U847" s="2" t="s">
        <v>1270</v>
      </c>
      <c r="V847" s="4">
        <f>+VLOOKUP(U847,'FBCJ Jul-Des 2025'!$G$10:$P$1302,8,0)</f>
        <v>70001110</v>
      </c>
      <c r="W847" s="4" t="str">
        <f>+VLOOKUP(V847,Sheet1!$A$2:$B$27,2,0)</f>
        <v>Biaya Ekspor lainnya</v>
      </c>
      <c r="X847" s="4" t="str">
        <f>+VLOOKUP(U847,'FBCJ Jul-Des 2025'!$G$10:$P$1302,9,0)</f>
        <v>P206D1SLSS</v>
      </c>
      <c r="Y847" s="2" t="s">
        <v>43</v>
      </c>
      <c r="Z847" s="2">
        <v>1793264</v>
      </c>
      <c r="AA847" s="2">
        <v>20251104</v>
      </c>
      <c r="AB847" s="3">
        <v>50000</v>
      </c>
    </row>
    <row r="848" spans="3:28" x14ac:dyDescent="0.25">
      <c r="C848" s="2">
        <v>10000001</v>
      </c>
      <c r="D848" s="2" t="s">
        <v>1227</v>
      </c>
      <c r="F848" s="2">
        <v>12009036</v>
      </c>
      <c r="H848" s="2" t="s">
        <v>1227</v>
      </c>
      <c r="I848" s="2" t="str">
        <f t="shared" si="13"/>
        <v>11</v>
      </c>
      <c r="J848" s="2">
        <v>50</v>
      </c>
      <c r="K848" s="3">
        <v>-50000</v>
      </c>
      <c r="L848" s="2" t="s">
        <v>26</v>
      </c>
      <c r="M848" s="3">
        <v>-50000</v>
      </c>
      <c r="N848" s="2" t="s">
        <v>26</v>
      </c>
      <c r="R848" s="2" t="s">
        <v>27</v>
      </c>
      <c r="S848" s="2" t="s">
        <v>1257</v>
      </c>
      <c r="T848" s="2" t="s">
        <v>334</v>
      </c>
      <c r="U848" s="2" t="s">
        <v>1270</v>
      </c>
      <c r="V848" s="4">
        <f>+VLOOKUP(U848,'FBCJ Jul-Des 2025'!$G$10:$P$1302,8,0)</f>
        <v>70001110</v>
      </c>
      <c r="W848" s="4" t="str">
        <f>+VLOOKUP(V848,Sheet1!$A$2:$B$27,2,0)</f>
        <v>Biaya Ekspor lainnya</v>
      </c>
      <c r="X848" s="4" t="str">
        <f>+VLOOKUP(U848,'FBCJ Jul-Des 2025'!$G$10:$P$1302,9,0)</f>
        <v>P206D1SLSS</v>
      </c>
      <c r="Y848" s="2" t="s">
        <v>43</v>
      </c>
      <c r="Z848" s="2">
        <v>1793264</v>
      </c>
      <c r="AA848" s="2">
        <v>20251104</v>
      </c>
      <c r="AB848" s="3">
        <v>50000</v>
      </c>
    </row>
    <row r="849" spans="3:28" x14ac:dyDescent="0.25">
      <c r="C849" s="2">
        <v>10000001</v>
      </c>
      <c r="D849" s="2" t="s">
        <v>1227</v>
      </c>
      <c r="F849" s="2">
        <v>12009037</v>
      </c>
      <c r="H849" s="2" t="s">
        <v>1227</v>
      </c>
      <c r="I849" s="2" t="str">
        <f t="shared" si="13"/>
        <v>11</v>
      </c>
      <c r="J849" s="2">
        <v>50</v>
      </c>
      <c r="K849" s="3">
        <v>-50000</v>
      </c>
      <c r="L849" s="2" t="s">
        <v>26</v>
      </c>
      <c r="M849" s="3">
        <v>-50000</v>
      </c>
      <c r="N849" s="2" t="s">
        <v>26</v>
      </c>
      <c r="R849" s="2" t="s">
        <v>27</v>
      </c>
      <c r="S849" s="2" t="s">
        <v>1257</v>
      </c>
      <c r="T849" s="2" t="s">
        <v>334</v>
      </c>
      <c r="U849" s="2" t="s">
        <v>1270</v>
      </c>
      <c r="V849" s="4">
        <f>+VLOOKUP(U849,'FBCJ Jul-Des 2025'!$G$10:$P$1302,8,0)</f>
        <v>70001110</v>
      </c>
      <c r="W849" s="4" t="str">
        <f>+VLOOKUP(V849,Sheet1!$A$2:$B$27,2,0)</f>
        <v>Biaya Ekspor lainnya</v>
      </c>
      <c r="X849" s="4" t="str">
        <f>+VLOOKUP(U849,'FBCJ Jul-Des 2025'!$G$10:$P$1302,9,0)</f>
        <v>P206D1SLSS</v>
      </c>
      <c r="Y849" s="2" t="s">
        <v>43</v>
      </c>
      <c r="Z849" s="2">
        <v>1793264</v>
      </c>
      <c r="AA849" s="2">
        <v>20251104</v>
      </c>
      <c r="AB849" s="3">
        <v>50000</v>
      </c>
    </row>
    <row r="850" spans="3:28" x14ac:dyDescent="0.25">
      <c r="C850" s="2">
        <v>10000001</v>
      </c>
      <c r="D850" s="2" t="s">
        <v>1227</v>
      </c>
      <c r="F850" s="2">
        <v>12009038</v>
      </c>
      <c r="H850" s="2" t="s">
        <v>1227</v>
      </c>
      <c r="I850" s="2" t="str">
        <f t="shared" si="13"/>
        <v>11</v>
      </c>
      <c r="J850" s="2">
        <v>50</v>
      </c>
      <c r="K850" s="3">
        <v>-50000</v>
      </c>
      <c r="L850" s="2" t="s">
        <v>26</v>
      </c>
      <c r="M850" s="3">
        <v>-50000</v>
      </c>
      <c r="N850" s="2" t="s">
        <v>26</v>
      </c>
      <c r="R850" s="2" t="s">
        <v>27</v>
      </c>
      <c r="S850" s="2" t="s">
        <v>1257</v>
      </c>
      <c r="T850" s="2" t="s">
        <v>334</v>
      </c>
      <c r="U850" s="2" t="s">
        <v>1270</v>
      </c>
      <c r="V850" s="4">
        <f>+VLOOKUP(U850,'FBCJ Jul-Des 2025'!$G$10:$P$1302,8,0)</f>
        <v>70001110</v>
      </c>
      <c r="W850" s="4" t="str">
        <f>+VLOOKUP(V850,Sheet1!$A$2:$B$27,2,0)</f>
        <v>Biaya Ekspor lainnya</v>
      </c>
      <c r="X850" s="4" t="str">
        <f>+VLOOKUP(U850,'FBCJ Jul-Des 2025'!$G$10:$P$1302,9,0)</f>
        <v>P206D1SLSS</v>
      </c>
      <c r="Y850" s="2" t="s">
        <v>43</v>
      </c>
      <c r="Z850" s="2">
        <v>1793264</v>
      </c>
      <c r="AA850" s="2">
        <v>20251104</v>
      </c>
      <c r="AB850" s="3">
        <v>50000</v>
      </c>
    </row>
    <row r="851" spans="3:28" x14ac:dyDescent="0.25">
      <c r="C851" s="2">
        <v>10000001</v>
      </c>
      <c r="D851" s="2" t="s">
        <v>1227</v>
      </c>
      <c r="F851" s="2">
        <v>12009039</v>
      </c>
      <c r="H851" s="2" t="s">
        <v>1227</v>
      </c>
      <c r="I851" s="2" t="str">
        <f t="shared" si="13"/>
        <v>11</v>
      </c>
      <c r="J851" s="2">
        <v>50</v>
      </c>
      <c r="K851" s="3">
        <v>-50000</v>
      </c>
      <c r="L851" s="2" t="s">
        <v>26</v>
      </c>
      <c r="M851" s="3">
        <v>-50000</v>
      </c>
      <c r="N851" s="2" t="s">
        <v>26</v>
      </c>
      <c r="R851" s="2" t="s">
        <v>27</v>
      </c>
      <c r="S851" s="2" t="s">
        <v>1257</v>
      </c>
      <c r="T851" s="2" t="s">
        <v>334</v>
      </c>
      <c r="U851" s="2" t="s">
        <v>1270</v>
      </c>
      <c r="V851" s="4">
        <f>+VLOOKUP(U851,'FBCJ Jul-Des 2025'!$G$10:$P$1302,8,0)</f>
        <v>70001110</v>
      </c>
      <c r="W851" s="4" t="str">
        <f>+VLOOKUP(V851,Sheet1!$A$2:$B$27,2,0)</f>
        <v>Biaya Ekspor lainnya</v>
      </c>
      <c r="X851" s="4" t="str">
        <f>+VLOOKUP(U851,'FBCJ Jul-Des 2025'!$G$10:$P$1302,9,0)</f>
        <v>P206D1SLSS</v>
      </c>
      <c r="Y851" s="2" t="s">
        <v>43</v>
      </c>
      <c r="Z851" s="2">
        <v>1793264</v>
      </c>
      <c r="AA851" s="2">
        <v>20251104</v>
      </c>
      <c r="AB851" s="3">
        <v>50000</v>
      </c>
    </row>
    <row r="852" spans="3:28" x14ac:dyDescent="0.25">
      <c r="C852" s="2">
        <v>10000001</v>
      </c>
      <c r="D852" s="2" t="s">
        <v>1227</v>
      </c>
      <c r="F852" s="2">
        <v>12009040</v>
      </c>
      <c r="H852" s="2" t="s">
        <v>1227</v>
      </c>
      <c r="I852" s="2" t="str">
        <f t="shared" si="13"/>
        <v>11</v>
      </c>
      <c r="J852" s="2">
        <v>50</v>
      </c>
      <c r="K852" s="3">
        <v>-50000</v>
      </c>
      <c r="L852" s="2" t="s">
        <v>26</v>
      </c>
      <c r="M852" s="3">
        <v>-50000</v>
      </c>
      <c r="N852" s="2" t="s">
        <v>26</v>
      </c>
      <c r="R852" s="2" t="s">
        <v>27</v>
      </c>
      <c r="S852" s="2" t="s">
        <v>1257</v>
      </c>
      <c r="T852" s="2" t="s">
        <v>334</v>
      </c>
      <c r="U852" s="2" t="s">
        <v>1271</v>
      </c>
      <c r="V852" s="4">
        <f>+VLOOKUP(U852,'FBCJ Jul-Des 2025'!$G$10:$P$1302,8,0)</f>
        <v>70001110</v>
      </c>
      <c r="W852" s="4" t="str">
        <f>+VLOOKUP(V852,Sheet1!$A$2:$B$27,2,0)</f>
        <v>Biaya Ekspor lainnya</v>
      </c>
      <c r="X852" s="4" t="str">
        <f>+VLOOKUP(U852,'FBCJ Jul-Des 2025'!$G$10:$P$1302,9,0)</f>
        <v>P206D1SLSS</v>
      </c>
      <c r="Y852" s="2" t="s">
        <v>43</v>
      </c>
      <c r="Z852" s="2">
        <v>1793264</v>
      </c>
      <c r="AA852" s="2">
        <v>20251104</v>
      </c>
      <c r="AB852" s="3">
        <v>50000</v>
      </c>
    </row>
    <row r="853" spans="3:28" x14ac:dyDescent="0.25">
      <c r="C853" s="2">
        <v>10000001</v>
      </c>
      <c r="D853" s="2" t="s">
        <v>1227</v>
      </c>
      <c r="F853" s="2">
        <v>12009041</v>
      </c>
      <c r="H853" s="2" t="s">
        <v>1227</v>
      </c>
      <c r="I853" s="2" t="str">
        <f t="shared" si="13"/>
        <v>11</v>
      </c>
      <c r="J853" s="2">
        <v>50</v>
      </c>
      <c r="K853" s="3">
        <v>-50000</v>
      </c>
      <c r="L853" s="2" t="s">
        <v>26</v>
      </c>
      <c r="M853" s="3">
        <v>-50000</v>
      </c>
      <c r="N853" s="2" t="s">
        <v>26</v>
      </c>
      <c r="R853" s="2" t="s">
        <v>27</v>
      </c>
      <c r="S853" s="2" t="s">
        <v>1257</v>
      </c>
      <c r="T853" s="2" t="s">
        <v>334</v>
      </c>
      <c r="U853" s="2" t="s">
        <v>1272</v>
      </c>
      <c r="V853" s="4">
        <f>+VLOOKUP(U853,'FBCJ Jul-Des 2025'!$G$10:$P$1302,8,0)</f>
        <v>70001110</v>
      </c>
      <c r="W853" s="4" t="str">
        <f>+VLOOKUP(V853,Sheet1!$A$2:$B$27,2,0)</f>
        <v>Biaya Ekspor lainnya</v>
      </c>
      <c r="X853" s="4" t="str">
        <f>+VLOOKUP(U853,'FBCJ Jul-Des 2025'!$G$10:$P$1302,9,0)</f>
        <v>P206D1SLSS</v>
      </c>
      <c r="Y853" s="2" t="s">
        <v>43</v>
      </c>
      <c r="Z853" s="2">
        <v>1793264</v>
      </c>
      <c r="AA853" s="2">
        <v>20251104</v>
      </c>
      <c r="AB853" s="3">
        <v>50000</v>
      </c>
    </row>
    <row r="854" spans="3:28" x14ac:dyDescent="0.25">
      <c r="C854" s="2">
        <v>10000001</v>
      </c>
      <c r="D854" s="2" t="s">
        <v>1227</v>
      </c>
      <c r="F854" s="2">
        <v>12009042</v>
      </c>
      <c r="H854" s="2" t="s">
        <v>1227</v>
      </c>
      <c r="I854" s="2" t="str">
        <f t="shared" si="13"/>
        <v>11</v>
      </c>
      <c r="J854" s="2">
        <v>50</v>
      </c>
      <c r="K854" s="3">
        <v>-50000</v>
      </c>
      <c r="L854" s="2" t="s">
        <v>26</v>
      </c>
      <c r="M854" s="3">
        <v>-50000</v>
      </c>
      <c r="N854" s="2" t="s">
        <v>26</v>
      </c>
      <c r="R854" s="2" t="s">
        <v>27</v>
      </c>
      <c r="S854" s="2" t="s">
        <v>1273</v>
      </c>
      <c r="T854" s="2" t="s">
        <v>334</v>
      </c>
      <c r="U854" s="2" t="s">
        <v>1274</v>
      </c>
      <c r="V854" s="4">
        <f>+VLOOKUP(U854,'FBCJ Jul-Des 2025'!$G$10:$P$1302,8,0)</f>
        <v>70001110</v>
      </c>
      <c r="W854" s="4" t="str">
        <f>+VLOOKUP(V854,Sheet1!$A$2:$B$27,2,0)</f>
        <v>Biaya Ekspor lainnya</v>
      </c>
      <c r="X854" s="4" t="str">
        <f>+VLOOKUP(U854,'FBCJ Jul-Des 2025'!$G$10:$P$1302,9,0)</f>
        <v>P206D1SLSS</v>
      </c>
      <c r="Y854" s="2" t="s">
        <v>43</v>
      </c>
      <c r="Z854" s="2">
        <v>1793264</v>
      </c>
      <c r="AA854" s="2">
        <v>20251104</v>
      </c>
      <c r="AB854" s="3">
        <v>50000</v>
      </c>
    </row>
    <row r="855" spans="3:28" x14ac:dyDescent="0.25">
      <c r="C855" s="2">
        <v>10000001</v>
      </c>
      <c r="D855" s="2" t="s">
        <v>1227</v>
      </c>
      <c r="F855" s="2">
        <v>12009043</v>
      </c>
      <c r="H855" s="2" t="s">
        <v>1227</v>
      </c>
      <c r="I855" s="2" t="str">
        <f t="shared" si="13"/>
        <v>11</v>
      </c>
      <c r="J855" s="2">
        <v>50</v>
      </c>
      <c r="K855" s="3">
        <v>-50000</v>
      </c>
      <c r="L855" s="2" t="s">
        <v>26</v>
      </c>
      <c r="M855" s="3">
        <v>-50000</v>
      </c>
      <c r="N855" s="2" t="s">
        <v>26</v>
      </c>
      <c r="R855" s="2" t="s">
        <v>27</v>
      </c>
      <c r="S855" s="2" t="s">
        <v>1273</v>
      </c>
      <c r="T855" s="2" t="s">
        <v>334</v>
      </c>
      <c r="U855" s="2" t="s">
        <v>1275</v>
      </c>
      <c r="V855" s="4">
        <f>+VLOOKUP(U855,'FBCJ Jul-Des 2025'!$G$10:$P$1302,8,0)</f>
        <v>70001110</v>
      </c>
      <c r="W855" s="4" t="str">
        <f>+VLOOKUP(V855,Sheet1!$A$2:$B$27,2,0)</f>
        <v>Biaya Ekspor lainnya</v>
      </c>
      <c r="X855" s="4" t="str">
        <f>+VLOOKUP(U855,'FBCJ Jul-Des 2025'!$G$10:$P$1302,9,0)</f>
        <v>P206D1SLSS</v>
      </c>
      <c r="Y855" s="2" t="s">
        <v>43</v>
      </c>
      <c r="Z855" s="2">
        <v>1793264</v>
      </c>
      <c r="AA855" s="2">
        <v>20251104</v>
      </c>
      <c r="AB855" s="3">
        <v>50000</v>
      </c>
    </row>
    <row r="856" spans="3:28" x14ac:dyDescent="0.25">
      <c r="C856" s="2">
        <v>10000001</v>
      </c>
      <c r="D856" s="2" t="s">
        <v>1227</v>
      </c>
      <c r="F856" s="2">
        <v>12009044</v>
      </c>
      <c r="H856" s="2" t="s">
        <v>1227</v>
      </c>
      <c r="I856" s="2" t="str">
        <f t="shared" si="13"/>
        <v>11</v>
      </c>
      <c r="J856" s="2">
        <v>50</v>
      </c>
      <c r="K856" s="3">
        <v>-50000</v>
      </c>
      <c r="L856" s="2" t="s">
        <v>26</v>
      </c>
      <c r="M856" s="3">
        <v>-50000</v>
      </c>
      <c r="N856" s="2" t="s">
        <v>26</v>
      </c>
      <c r="R856" s="2" t="s">
        <v>27</v>
      </c>
      <c r="S856" s="2" t="s">
        <v>1273</v>
      </c>
      <c r="T856" s="2" t="s">
        <v>334</v>
      </c>
      <c r="U856" s="2" t="s">
        <v>1276</v>
      </c>
      <c r="V856" s="4">
        <f>+VLOOKUP(U856,'FBCJ Jul-Des 2025'!$G$10:$P$1302,8,0)</f>
        <v>70001110</v>
      </c>
      <c r="W856" s="4" t="str">
        <f>+VLOOKUP(V856,Sheet1!$A$2:$B$27,2,0)</f>
        <v>Biaya Ekspor lainnya</v>
      </c>
      <c r="X856" s="4" t="str">
        <f>+VLOOKUP(U856,'FBCJ Jul-Des 2025'!$G$10:$P$1302,9,0)</f>
        <v>P206D1SLSS</v>
      </c>
      <c r="Y856" s="2" t="s">
        <v>43</v>
      </c>
      <c r="Z856" s="2">
        <v>1793264</v>
      </c>
      <c r="AA856" s="2">
        <v>20251104</v>
      </c>
      <c r="AB856" s="3">
        <v>50000</v>
      </c>
    </row>
    <row r="857" spans="3:28" x14ac:dyDescent="0.25">
      <c r="C857" s="2">
        <v>10000001</v>
      </c>
      <c r="D857" s="2" t="s">
        <v>1227</v>
      </c>
      <c r="F857" s="2">
        <v>12009045</v>
      </c>
      <c r="H857" s="2" t="s">
        <v>1227</v>
      </c>
      <c r="I857" s="2" t="str">
        <f t="shared" si="13"/>
        <v>11</v>
      </c>
      <c r="J857" s="2">
        <v>50</v>
      </c>
      <c r="K857" s="3">
        <v>-50000</v>
      </c>
      <c r="L857" s="2" t="s">
        <v>26</v>
      </c>
      <c r="M857" s="3">
        <v>-50000</v>
      </c>
      <c r="N857" s="2" t="s">
        <v>26</v>
      </c>
      <c r="R857" s="2" t="s">
        <v>27</v>
      </c>
      <c r="S857" s="2" t="s">
        <v>1273</v>
      </c>
      <c r="T857" s="2" t="s">
        <v>334</v>
      </c>
      <c r="U857" s="2" t="s">
        <v>1277</v>
      </c>
      <c r="V857" s="4">
        <f>+VLOOKUP(U857,'FBCJ Jul-Des 2025'!$G$10:$P$1302,8,0)</f>
        <v>70001110</v>
      </c>
      <c r="W857" s="4" t="str">
        <f>+VLOOKUP(V857,Sheet1!$A$2:$B$27,2,0)</f>
        <v>Biaya Ekspor lainnya</v>
      </c>
      <c r="X857" s="4" t="str">
        <f>+VLOOKUP(U857,'FBCJ Jul-Des 2025'!$G$10:$P$1302,9,0)</f>
        <v>P206D1SLSS</v>
      </c>
      <c r="Y857" s="2" t="s">
        <v>43</v>
      </c>
      <c r="Z857" s="2">
        <v>1793264</v>
      </c>
      <c r="AA857" s="2">
        <v>20251104</v>
      </c>
      <c r="AB857" s="3">
        <v>50000</v>
      </c>
    </row>
    <row r="858" spans="3:28" x14ac:dyDescent="0.25">
      <c r="C858" s="2">
        <v>10000001</v>
      </c>
      <c r="D858" s="2" t="s">
        <v>1227</v>
      </c>
      <c r="F858" s="2">
        <v>12009046</v>
      </c>
      <c r="H858" s="2" t="s">
        <v>1227</v>
      </c>
      <c r="I858" s="2" t="str">
        <f t="shared" si="13"/>
        <v>11</v>
      </c>
      <c r="J858" s="2">
        <v>50</v>
      </c>
      <c r="K858" s="3">
        <v>-50000</v>
      </c>
      <c r="L858" s="2" t="s">
        <v>26</v>
      </c>
      <c r="M858" s="3">
        <v>-50000</v>
      </c>
      <c r="N858" s="2" t="s">
        <v>26</v>
      </c>
      <c r="R858" s="2" t="s">
        <v>27</v>
      </c>
      <c r="S858" s="2" t="s">
        <v>1273</v>
      </c>
      <c r="T858" s="2" t="s">
        <v>334</v>
      </c>
      <c r="U858" s="2" t="s">
        <v>1278</v>
      </c>
      <c r="V858" s="4">
        <f>+VLOOKUP(U858,'FBCJ Jul-Des 2025'!$G$10:$P$1302,8,0)</f>
        <v>70001110</v>
      </c>
      <c r="W858" s="4" t="str">
        <f>+VLOOKUP(V858,Sheet1!$A$2:$B$27,2,0)</f>
        <v>Biaya Ekspor lainnya</v>
      </c>
      <c r="X858" s="4" t="str">
        <f>+VLOOKUP(U858,'FBCJ Jul-Des 2025'!$G$10:$P$1302,9,0)</f>
        <v>P206D1SLSS</v>
      </c>
      <c r="Y858" s="2" t="s">
        <v>43</v>
      </c>
      <c r="Z858" s="2">
        <v>1793264</v>
      </c>
      <c r="AA858" s="2">
        <v>20251104</v>
      </c>
      <c r="AB858" s="3">
        <v>50000</v>
      </c>
    </row>
    <row r="859" spans="3:28" x14ac:dyDescent="0.25">
      <c r="C859" s="2">
        <v>10000001</v>
      </c>
      <c r="D859" s="2" t="s">
        <v>1227</v>
      </c>
      <c r="F859" s="2">
        <v>12009047</v>
      </c>
      <c r="H859" s="2" t="s">
        <v>1227</v>
      </c>
      <c r="I859" s="2" t="str">
        <f t="shared" si="13"/>
        <v>11</v>
      </c>
      <c r="J859" s="2">
        <v>50</v>
      </c>
      <c r="K859" s="3">
        <v>-50000</v>
      </c>
      <c r="L859" s="2" t="s">
        <v>26</v>
      </c>
      <c r="M859" s="3">
        <v>-50000</v>
      </c>
      <c r="N859" s="2" t="s">
        <v>26</v>
      </c>
      <c r="R859" s="2" t="s">
        <v>27</v>
      </c>
      <c r="S859" s="2" t="s">
        <v>1273</v>
      </c>
      <c r="T859" s="2" t="s">
        <v>334</v>
      </c>
      <c r="U859" s="2" t="s">
        <v>1279</v>
      </c>
      <c r="V859" s="4">
        <f>+VLOOKUP(U859,'FBCJ Jul-Des 2025'!$G$10:$P$1302,8,0)</f>
        <v>70001110</v>
      </c>
      <c r="W859" s="4" t="str">
        <f>+VLOOKUP(V859,Sheet1!$A$2:$B$27,2,0)</f>
        <v>Biaya Ekspor lainnya</v>
      </c>
      <c r="X859" s="4" t="str">
        <f>+VLOOKUP(U859,'FBCJ Jul-Des 2025'!$G$10:$P$1302,9,0)</f>
        <v>P206D1SLSS</v>
      </c>
      <c r="Y859" s="2" t="s">
        <v>43</v>
      </c>
      <c r="Z859" s="2">
        <v>1793264</v>
      </c>
      <c r="AA859" s="2">
        <v>20251104</v>
      </c>
      <c r="AB859" s="3">
        <v>50000</v>
      </c>
    </row>
    <row r="860" spans="3:28" x14ac:dyDescent="0.25">
      <c r="C860" s="2">
        <v>10000001</v>
      </c>
      <c r="D860" s="2" t="s">
        <v>1227</v>
      </c>
      <c r="F860" s="2">
        <v>12009048</v>
      </c>
      <c r="H860" s="2" t="s">
        <v>1227</v>
      </c>
      <c r="I860" s="2" t="str">
        <f t="shared" si="13"/>
        <v>11</v>
      </c>
      <c r="J860" s="2">
        <v>50</v>
      </c>
      <c r="K860" s="3">
        <v>-50000</v>
      </c>
      <c r="L860" s="2" t="s">
        <v>26</v>
      </c>
      <c r="M860" s="3">
        <v>-50000</v>
      </c>
      <c r="N860" s="2" t="s">
        <v>26</v>
      </c>
      <c r="R860" s="2" t="s">
        <v>27</v>
      </c>
      <c r="S860" s="2" t="s">
        <v>1273</v>
      </c>
      <c r="T860" s="2" t="s">
        <v>334</v>
      </c>
      <c r="U860" s="2" t="s">
        <v>1280</v>
      </c>
      <c r="V860" s="4">
        <f>+VLOOKUP(U860,'FBCJ Jul-Des 2025'!$G$10:$P$1302,8,0)</f>
        <v>70001110</v>
      </c>
      <c r="W860" s="4" t="str">
        <f>+VLOOKUP(V860,Sheet1!$A$2:$B$27,2,0)</f>
        <v>Biaya Ekspor lainnya</v>
      </c>
      <c r="X860" s="4" t="str">
        <f>+VLOOKUP(U860,'FBCJ Jul-Des 2025'!$G$10:$P$1302,9,0)</f>
        <v>P206D1SLSS</v>
      </c>
      <c r="Y860" s="2" t="s">
        <v>43</v>
      </c>
      <c r="Z860" s="2">
        <v>1793264</v>
      </c>
      <c r="AA860" s="2">
        <v>20251104</v>
      </c>
      <c r="AB860" s="3">
        <v>50000</v>
      </c>
    </row>
    <row r="861" spans="3:28" x14ac:dyDescent="0.25">
      <c r="C861" s="2">
        <v>10000001</v>
      </c>
      <c r="D861" s="2" t="s">
        <v>1227</v>
      </c>
      <c r="F861" s="2">
        <v>12009049</v>
      </c>
      <c r="H861" s="2" t="s">
        <v>1227</v>
      </c>
      <c r="I861" s="2" t="str">
        <f t="shared" si="13"/>
        <v>11</v>
      </c>
      <c r="J861" s="2">
        <v>50</v>
      </c>
      <c r="K861" s="3">
        <v>-50000</v>
      </c>
      <c r="L861" s="2" t="s">
        <v>26</v>
      </c>
      <c r="M861" s="3">
        <v>-50000</v>
      </c>
      <c r="N861" s="2" t="s">
        <v>26</v>
      </c>
      <c r="R861" s="2" t="s">
        <v>27</v>
      </c>
      <c r="S861" s="2" t="s">
        <v>1273</v>
      </c>
      <c r="T861" s="2" t="s">
        <v>334</v>
      </c>
      <c r="U861" s="2" t="s">
        <v>1281</v>
      </c>
      <c r="V861" s="4">
        <f>+VLOOKUP(U861,'FBCJ Jul-Des 2025'!$G$10:$P$1302,8,0)</f>
        <v>70001110</v>
      </c>
      <c r="W861" s="4" t="str">
        <f>+VLOOKUP(V861,Sheet1!$A$2:$B$27,2,0)</f>
        <v>Biaya Ekspor lainnya</v>
      </c>
      <c r="X861" s="4" t="str">
        <f>+VLOOKUP(U861,'FBCJ Jul-Des 2025'!$G$10:$P$1302,9,0)</f>
        <v>P206D1SLSS</v>
      </c>
      <c r="Y861" s="2" t="s">
        <v>43</v>
      </c>
      <c r="Z861" s="2">
        <v>1793264</v>
      </c>
      <c r="AA861" s="2">
        <v>20251104</v>
      </c>
      <c r="AB861" s="3">
        <v>50000</v>
      </c>
    </row>
    <row r="862" spans="3:28" x14ac:dyDescent="0.25">
      <c r="C862" s="2">
        <v>10000001</v>
      </c>
      <c r="D862" s="2" t="s">
        <v>1227</v>
      </c>
      <c r="F862" s="2">
        <v>12009050</v>
      </c>
      <c r="H862" s="2" t="s">
        <v>1227</v>
      </c>
      <c r="I862" s="2" t="str">
        <f t="shared" si="13"/>
        <v>11</v>
      </c>
      <c r="J862" s="2">
        <v>50</v>
      </c>
      <c r="K862" s="3">
        <v>-50000</v>
      </c>
      <c r="L862" s="2" t="s">
        <v>26</v>
      </c>
      <c r="M862" s="3">
        <v>-50000</v>
      </c>
      <c r="N862" s="2" t="s">
        <v>26</v>
      </c>
      <c r="R862" s="2" t="s">
        <v>27</v>
      </c>
      <c r="S862" s="2" t="s">
        <v>1273</v>
      </c>
      <c r="T862" s="2" t="s">
        <v>334</v>
      </c>
      <c r="U862" s="2" t="s">
        <v>1282</v>
      </c>
      <c r="V862" s="4">
        <f>+VLOOKUP(U862,'FBCJ Jul-Des 2025'!$G$10:$P$1302,8,0)</f>
        <v>70001110</v>
      </c>
      <c r="W862" s="4" t="str">
        <f>+VLOOKUP(V862,Sheet1!$A$2:$B$27,2,0)</f>
        <v>Biaya Ekspor lainnya</v>
      </c>
      <c r="X862" s="4" t="str">
        <f>+VLOOKUP(U862,'FBCJ Jul-Des 2025'!$G$10:$P$1302,9,0)</f>
        <v>P206D1SLSS</v>
      </c>
      <c r="Y862" s="2" t="s">
        <v>43</v>
      </c>
      <c r="Z862" s="2">
        <v>1793264</v>
      </c>
      <c r="AA862" s="2">
        <v>20251104</v>
      </c>
      <c r="AB862" s="3">
        <v>50000</v>
      </c>
    </row>
    <row r="863" spans="3:28" x14ac:dyDescent="0.25">
      <c r="C863" s="2">
        <v>10000001</v>
      </c>
      <c r="D863" s="2" t="s">
        <v>1227</v>
      </c>
      <c r="F863" s="2">
        <v>12009051</v>
      </c>
      <c r="H863" s="2" t="s">
        <v>1227</v>
      </c>
      <c r="I863" s="2" t="str">
        <f t="shared" si="13"/>
        <v>11</v>
      </c>
      <c r="J863" s="2">
        <v>50</v>
      </c>
      <c r="K863" s="3">
        <v>-2000</v>
      </c>
      <c r="L863" s="2" t="s">
        <v>26</v>
      </c>
      <c r="M863" s="3">
        <v>-2000</v>
      </c>
      <c r="N863" s="2" t="s">
        <v>26</v>
      </c>
      <c r="R863" s="2" t="s">
        <v>27</v>
      </c>
      <c r="S863" s="2" t="s">
        <v>1273</v>
      </c>
      <c r="T863" s="2" t="s">
        <v>334</v>
      </c>
      <c r="U863" s="2" t="s">
        <v>1283</v>
      </c>
      <c r="V863" s="4">
        <f>+VLOOKUP(U863,'FBCJ Jul-Des 2025'!$G$10:$P$1302,8,0)</f>
        <v>70001110</v>
      </c>
      <c r="W863" s="4" t="str">
        <f>+VLOOKUP(V863,Sheet1!$A$2:$B$27,2,0)</f>
        <v>Biaya Ekspor lainnya</v>
      </c>
      <c r="X863" s="4" t="str">
        <f>+VLOOKUP(U863,'FBCJ Jul-Des 2025'!$G$10:$P$1302,9,0)</f>
        <v>M204D1COMM</v>
      </c>
      <c r="Y863" s="2" t="s">
        <v>43</v>
      </c>
      <c r="Z863" s="2">
        <v>1793264</v>
      </c>
      <c r="AA863" s="2">
        <v>20251104</v>
      </c>
      <c r="AB863" s="3">
        <v>2000</v>
      </c>
    </row>
    <row r="864" spans="3:28" x14ac:dyDescent="0.25">
      <c r="C864" s="2">
        <v>10000001</v>
      </c>
      <c r="D864" s="2" t="s">
        <v>1227</v>
      </c>
      <c r="F864" s="2">
        <v>12009052</v>
      </c>
      <c r="H864" s="2" t="s">
        <v>1227</v>
      </c>
      <c r="I864" s="2" t="str">
        <f t="shared" si="13"/>
        <v>11</v>
      </c>
      <c r="J864" s="2">
        <v>50</v>
      </c>
      <c r="K864" s="3">
        <v>-954000</v>
      </c>
      <c r="L864" s="2" t="s">
        <v>26</v>
      </c>
      <c r="M864" s="3">
        <v>-954000</v>
      </c>
      <c r="N864" s="2" t="s">
        <v>26</v>
      </c>
      <c r="R864" s="2" t="s">
        <v>27</v>
      </c>
      <c r="S864" s="2" t="s">
        <v>1284</v>
      </c>
      <c r="T864" s="2" t="s">
        <v>67</v>
      </c>
      <c r="U864" s="2" t="s">
        <v>1285</v>
      </c>
      <c r="V864" s="4">
        <f>+VLOOKUP(U864,'FBCJ Jul-Des 2025'!$G$10:$P$1302,8,0)</f>
        <v>70106100</v>
      </c>
      <c r="W864" s="4" t="str">
        <f>+VLOOKUP(V864,Sheet1!$A$2:$B$27,2,0)</f>
        <v>Biaya Transportasi Lokal</v>
      </c>
      <c r="X864" s="4" t="str">
        <f>+VLOOKUP(U864,'FBCJ Jul-Des 2025'!$G$10:$P$1302,9,0)</f>
        <v>R124BLR</v>
      </c>
      <c r="Y864" s="2" t="s">
        <v>43</v>
      </c>
      <c r="Z864" s="2">
        <v>1793264</v>
      </c>
      <c r="AA864" s="2">
        <v>20251104</v>
      </c>
      <c r="AB864" s="3">
        <v>954000</v>
      </c>
    </row>
    <row r="865" spans="3:28" x14ac:dyDescent="0.25">
      <c r="C865" s="2">
        <v>10000001</v>
      </c>
      <c r="D865" s="2" t="s">
        <v>1227</v>
      </c>
      <c r="F865" s="2">
        <v>12009053</v>
      </c>
      <c r="H865" s="2" t="s">
        <v>1227</v>
      </c>
      <c r="I865" s="2" t="str">
        <f t="shared" si="13"/>
        <v>11</v>
      </c>
      <c r="J865" s="2">
        <v>50</v>
      </c>
      <c r="K865" s="3">
        <v>-945000</v>
      </c>
      <c r="L865" s="2" t="s">
        <v>26</v>
      </c>
      <c r="M865" s="3">
        <v>-945000</v>
      </c>
      <c r="N865" s="2" t="s">
        <v>26</v>
      </c>
      <c r="R865" s="2" t="s">
        <v>27</v>
      </c>
      <c r="S865" s="2" t="s">
        <v>1286</v>
      </c>
      <c r="T865" s="2" t="s">
        <v>129</v>
      </c>
      <c r="U865" s="2" t="s">
        <v>1287</v>
      </c>
      <c r="V865" s="4">
        <f>+VLOOKUP(U865,'FBCJ Jul-Des 2025'!$G$10:$P$1302,8,0)</f>
        <v>70101102</v>
      </c>
      <c r="W865" s="4" t="str">
        <f>+VLOOKUP(V865,Sheet1!$A$2:$B$27,2,0)</f>
        <v>By Pemeliharaan BgnanPrasarana Material Pihak3</v>
      </c>
      <c r="X865" s="4" t="str">
        <f>+VLOOKUP(U865,'FBCJ Jul-Des 2025'!$G$10:$P$1302,9,0)</f>
        <v>R124D1HRGA</v>
      </c>
      <c r="Y865" s="2" t="s">
        <v>43</v>
      </c>
      <c r="Z865" s="2">
        <v>1793264</v>
      </c>
      <c r="AA865" s="2">
        <v>20251104</v>
      </c>
      <c r="AB865" s="3">
        <v>945000</v>
      </c>
    </row>
    <row r="866" spans="3:28" x14ac:dyDescent="0.25">
      <c r="C866" s="2">
        <v>10000001</v>
      </c>
      <c r="D866" s="2" t="s">
        <v>1227</v>
      </c>
      <c r="F866" s="2">
        <v>12009054</v>
      </c>
      <c r="H866" s="2" t="s">
        <v>1227</v>
      </c>
      <c r="I866" s="2" t="str">
        <f t="shared" si="13"/>
        <v>11</v>
      </c>
      <c r="J866" s="2">
        <v>50</v>
      </c>
      <c r="K866" s="3">
        <v>-443000</v>
      </c>
      <c r="L866" s="2" t="s">
        <v>26</v>
      </c>
      <c r="M866" s="3">
        <v>-443000</v>
      </c>
      <c r="N866" s="2" t="s">
        <v>26</v>
      </c>
      <c r="R866" s="2" t="s">
        <v>27</v>
      </c>
      <c r="S866" s="2" t="s">
        <v>1288</v>
      </c>
      <c r="T866" s="2" t="s">
        <v>59</v>
      </c>
      <c r="U866" s="2" t="s">
        <v>1289</v>
      </c>
      <c r="V866" s="4">
        <f>+VLOOKUP(U866,'FBCJ Jul-Des 2025'!$G$10:$P$1302,8,0)</f>
        <v>70101114</v>
      </c>
      <c r="W866" s="4" t="str">
        <f>+VLOOKUP(V866,Sheet1!$A$2:$B$27,2,0)</f>
        <v>By Perbaikan &amp; Perawatan Perabot Material Pihak3</v>
      </c>
      <c r="X866" s="4" t="str">
        <f>+VLOOKUP(U866,'FBCJ Jul-Des 2025'!$G$10:$P$1302,9,0)</f>
        <v>R124REF</v>
      </c>
      <c r="Y866" s="2" t="s">
        <v>43</v>
      </c>
      <c r="Z866" s="2">
        <v>1793264</v>
      </c>
      <c r="AA866" s="2">
        <v>20251104</v>
      </c>
      <c r="AB866" s="3">
        <v>443000</v>
      </c>
    </row>
    <row r="867" spans="3:28" x14ac:dyDescent="0.25">
      <c r="C867" s="2">
        <v>10000001</v>
      </c>
      <c r="D867" s="2" t="s">
        <v>1227</v>
      </c>
      <c r="F867" s="2">
        <v>12009055</v>
      </c>
      <c r="H867" s="2" t="s">
        <v>1227</v>
      </c>
      <c r="I867" s="2" t="str">
        <f t="shared" si="13"/>
        <v>11</v>
      </c>
      <c r="J867" s="2">
        <v>50</v>
      </c>
      <c r="K867" s="3">
        <v>-1000000</v>
      </c>
      <c r="L867" s="2" t="s">
        <v>26</v>
      </c>
      <c r="M867" s="3">
        <v>-1000000</v>
      </c>
      <c r="N867" s="2" t="s">
        <v>26</v>
      </c>
      <c r="R867" s="2" t="s">
        <v>27</v>
      </c>
      <c r="S867" s="2" t="s">
        <v>1290</v>
      </c>
      <c r="T867" s="2" t="s">
        <v>259</v>
      </c>
      <c r="U867" s="2" t="s">
        <v>1291</v>
      </c>
      <c r="V867" s="4">
        <f>+VLOOKUP(U867,'FBCJ Jul-Des 2025'!$G$10:$P$1302,8,0)</f>
        <v>70119300</v>
      </c>
      <c r="W867" s="4" t="str">
        <f>+VLOOKUP(V867,Sheet1!$A$2:$B$27,2,0)</f>
        <v>Biaya Umum dan Administrasi</v>
      </c>
      <c r="X867" s="4" t="str">
        <f>+VLOOKUP(U867,'FBCJ Jul-Des 2025'!$G$10:$P$1302,9,0)</f>
        <v>P206D1SLSS</v>
      </c>
      <c r="Y867" s="2" t="s">
        <v>43</v>
      </c>
      <c r="Z867" s="2">
        <v>1793264</v>
      </c>
      <c r="AA867" s="2">
        <v>20251104</v>
      </c>
      <c r="AB867" s="3">
        <v>1000000</v>
      </c>
    </row>
    <row r="868" spans="3:28" x14ac:dyDescent="0.25">
      <c r="C868" s="2">
        <v>10000001</v>
      </c>
      <c r="D868" s="2" t="s">
        <v>1227</v>
      </c>
      <c r="F868" s="2">
        <v>12009056</v>
      </c>
      <c r="H868" s="2" t="s">
        <v>1227</v>
      </c>
      <c r="I868" s="2" t="str">
        <f t="shared" si="13"/>
        <v>11</v>
      </c>
      <c r="J868" s="2">
        <v>50</v>
      </c>
      <c r="K868" s="3">
        <v>-490000</v>
      </c>
      <c r="L868" s="2" t="s">
        <v>26</v>
      </c>
      <c r="M868" s="3">
        <v>-490000</v>
      </c>
      <c r="N868" s="2" t="s">
        <v>26</v>
      </c>
      <c r="R868" s="2" t="s">
        <v>27</v>
      </c>
      <c r="S868" s="2" t="s">
        <v>1292</v>
      </c>
      <c r="T868" s="2" t="s">
        <v>96</v>
      </c>
      <c r="U868" s="2" t="s">
        <v>1293</v>
      </c>
      <c r="V868" s="4">
        <f>+VLOOKUP(U868,'FBCJ Jul-Des 2025'!$G$10:$P$1302,8,0)</f>
        <v>70106400</v>
      </c>
      <c r="W868" s="4" t="str">
        <f>+VLOOKUP(V868,Sheet1!$A$2:$B$27,2,0)</f>
        <v>Biaya Bahan Bakar</v>
      </c>
      <c r="X868" s="4" t="str">
        <f>+VLOOKUP(U868,'FBCJ Jul-Des 2025'!$G$10:$P$1302,9,0)</f>
        <v>R124D1HRGA</v>
      </c>
      <c r="Y868" s="2" t="s">
        <v>43</v>
      </c>
      <c r="Z868" s="2">
        <v>1793264</v>
      </c>
      <c r="AA868" s="2">
        <v>20251104</v>
      </c>
      <c r="AB868" s="3">
        <v>490000</v>
      </c>
    </row>
    <row r="869" spans="3:28" x14ac:dyDescent="0.25">
      <c r="C869" s="2">
        <v>10000001</v>
      </c>
      <c r="D869" s="2" t="s">
        <v>1227</v>
      </c>
      <c r="F869" s="2">
        <v>12009057</v>
      </c>
      <c r="H869" s="2" t="s">
        <v>1227</v>
      </c>
      <c r="I869" s="2" t="str">
        <f t="shared" si="13"/>
        <v>11</v>
      </c>
      <c r="J869" s="2">
        <v>50</v>
      </c>
      <c r="K869" s="3">
        <v>-509500</v>
      </c>
      <c r="L869" s="2" t="s">
        <v>26</v>
      </c>
      <c r="M869" s="3">
        <v>-509500</v>
      </c>
      <c r="N869" s="2" t="s">
        <v>26</v>
      </c>
      <c r="R869" s="2" t="s">
        <v>27</v>
      </c>
      <c r="S869" s="2" t="s">
        <v>1292</v>
      </c>
      <c r="T869" s="2" t="s">
        <v>67</v>
      </c>
      <c r="U869" s="2" t="s">
        <v>98</v>
      </c>
      <c r="V869" s="4">
        <f>+VLOOKUP(U869,'FBCJ Jul-Des 2025'!$G$10:$P$1302,8,0)</f>
        <v>70106100</v>
      </c>
      <c r="W869" s="4" t="str">
        <f>+VLOOKUP(V869,Sheet1!$A$2:$B$27,2,0)</f>
        <v>Biaya Transportasi Lokal</v>
      </c>
      <c r="X869" s="4" t="str">
        <f>+VLOOKUP(U869,'FBCJ Jul-Des 2025'!$G$10:$P$1302,9,0)</f>
        <v>R124D1HRGA</v>
      </c>
      <c r="Y869" s="2" t="s">
        <v>43</v>
      </c>
      <c r="Z869" s="2">
        <v>1793264</v>
      </c>
      <c r="AA869" s="2">
        <v>20251104</v>
      </c>
      <c r="AB869" s="3">
        <v>509500</v>
      </c>
    </row>
    <row r="870" spans="3:28" x14ac:dyDescent="0.25">
      <c r="C870" s="2">
        <v>10000001</v>
      </c>
      <c r="D870" s="2" t="s">
        <v>1227</v>
      </c>
      <c r="F870" s="2">
        <v>12009058</v>
      </c>
      <c r="H870" s="2" t="s">
        <v>1227</v>
      </c>
      <c r="I870" s="2" t="str">
        <f t="shared" si="13"/>
        <v>11</v>
      </c>
      <c r="J870" s="2">
        <v>50</v>
      </c>
      <c r="K870" s="3">
        <v>-176000</v>
      </c>
      <c r="L870" s="2" t="s">
        <v>26</v>
      </c>
      <c r="M870" s="3">
        <v>-176000</v>
      </c>
      <c r="N870" s="2" t="s">
        <v>26</v>
      </c>
      <c r="R870" s="2" t="s">
        <v>27</v>
      </c>
      <c r="S870" s="2" t="s">
        <v>1294</v>
      </c>
      <c r="T870" s="2" t="s">
        <v>67</v>
      </c>
      <c r="U870" s="2" t="s">
        <v>1295</v>
      </c>
      <c r="V870" s="4">
        <f>+VLOOKUP(U870,'FBCJ Jul-Des 2025'!$G$10:$P$1302,8,0)</f>
        <v>70106100</v>
      </c>
      <c r="W870" s="4" t="str">
        <f>+VLOOKUP(V870,Sheet1!$A$2:$B$27,2,0)</f>
        <v>Biaya Transportasi Lokal</v>
      </c>
      <c r="X870" s="4" t="str">
        <f>+VLOOKUP(U870,'FBCJ Jul-Des 2025'!$G$10:$P$1302,9,0)</f>
        <v>P206D1SLSS</v>
      </c>
      <c r="Y870" s="2" t="s">
        <v>43</v>
      </c>
      <c r="Z870" s="2">
        <v>1793264</v>
      </c>
      <c r="AA870" s="2">
        <v>20251104</v>
      </c>
      <c r="AB870" s="3">
        <v>176000</v>
      </c>
    </row>
    <row r="871" spans="3:28" x14ac:dyDescent="0.25">
      <c r="C871" s="2">
        <v>10000001</v>
      </c>
      <c r="D871" s="2" t="s">
        <v>1227</v>
      </c>
      <c r="F871" s="2">
        <v>12009059</v>
      </c>
      <c r="H871" s="2" t="s">
        <v>1227</v>
      </c>
      <c r="I871" s="2" t="str">
        <f t="shared" si="13"/>
        <v>11</v>
      </c>
      <c r="J871" s="2">
        <v>50</v>
      </c>
      <c r="K871" s="3">
        <v>-790000</v>
      </c>
      <c r="L871" s="2" t="s">
        <v>26</v>
      </c>
      <c r="M871" s="3">
        <v>-790000</v>
      </c>
      <c r="N871" s="2" t="s">
        <v>26</v>
      </c>
      <c r="R871" s="2" t="s">
        <v>27</v>
      </c>
      <c r="S871" s="2" t="s">
        <v>1296</v>
      </c>
      <c r="T871" s="2" t="s">
        <v>96</v>
      </c>
      <c r="U871" s="2" t="s">
        <v>1297</v>
      </c>
      <c r="V871" s="4">
        <f>+VLOOKUP(U871,'FBCJ Jul-Des 2025'!$G$10:$P$1302,8,0)</f>
        <v>70106400</v>
      </c>
      <c r="W871" s="4" t="str">
        <f>+VLOOKUP(V871,Sheet1!$A$2:$B$27,2,0)</f>
        <v>Biaya Bahan Bakar</v>
      </c>
      <c r="X871" s="4" t="str">
        <f>+VLOOKUP(U871,'FBCJ Jul-Des 2025'!$G$10:$P$1302,9,0)</f>
        <v>R124D1HRGA</v>
      </c>
      <c r="Y871" s="2" t="s">
        <v>43</v>
      </c>
      <c r="Z871" s="2">
        <v>1793264</v>
      </c>
      <c r="AA871" s="2">
        <v>20251104</v>
      </c>
      <c r="AB871" s="3">
        <v>790000</v>
      </c>
    </row>
    <row r="872" spans="3:28" x14ac:dyDescent="0.25">
      <c r="C872" s="2">
        <v>10000001</v>
      </c>
      <c r="D872" s="2" t="s">
        <v>1227</v>
      </c>
      <c r="F872" s="2">
        <v>12009060</v>
      </c>
      <c r="H872" s="2" t="s">
        <v>1227</v>
      </c>
      <c r="I872" s="2" t="str">
        <f t="shared" si="13"/>
        <v>11</v>
      </c>
      <c r="J872" s="2">
        <v>50</v>
      </c>
      <c r="K872" s="3">
        <v>-210000</v>
      </c>
      <c r="L872" s="2" t="s">
        <v>26</v>
      </c>
      <c r="M872" s="3">
        <v>-210000</v>
      </c>
      <c r="N872" s="2" t="s">
        <v>26</v>
      </c>
      <c r="R872" s="2" t="s">
        <v>27</v>
      </c>
      <c r="S872" s="2" t="s">
        <v>1296</v>
      </c>
      <c r="T872" s="2" t="s">
        <v>67</v>
      </c>
      <c r="U872" s="2" t="s">
        <v>98</v>
      </c>
      <c r="V872" s="4">
        <f>+VLOOKUP(U872,'FBCJ Jul-Des 2025'!$G$10:$P$1302,8,0)</f>
        <v>70106100</v>
      </c>
      <c r="W872" s="4" t="str">
        <f>+VLOOKUP(V872,Sheet1!$A$2:$B$27,2,0)</f>
        <v>Biaya Transportasi Lokal</v>
      </c>
      <c r="X872" s="4" t="str">
        <f>+VLOOKUP(U872,'FBCJ Jul-Des 2025'!$G$10:$P$1302,9,0)</f>
        <v>R124D1HRGA</v>
      </c>
      <c r="Y872" s="2" t="s">
        <v>43</v>
      </c>
      <c r="Z872" s="2">
        <v>1793264</v>
      </c>
      <c r="AA872" s="2">
        <v>20251104</v>
      </c>
      <c r="AB872" s="3">
        <v>210000</v>
      </c>
    </row>
    <row r="873" spans="3:28" x14ac:dyDescent="0.25">
      <c r="C873" s="2">
        <v>10000001</v>
      </c>
      <c r="D873" s="2" t="s">
        <v>1227</v>
      </c>
      <c r="F873" s="2">
        <v>12009061</v>
      </c>
      <c r="H873" s="2" t="s">
        <v>1227</v>
      </c>
      <c r="I873" s="2" t="str">
        <f t="shared" si="13"/>
        <v>11</v>
      </c>
      <c r="J873" s="2">
        <v>50</v>
      </c>
      <c r="K873" s="3">
        <v>-715000</v>
      </c>
      <c r="L873" s="2" t="s">
        <v>26</v>
      </c>
      <c r="M873" s="3">
        <v>-715000</v>
      </c>
      <c r="N873" s="2" t="s">
        <v>26</v>
      </c>
      <c r="R873" s="2" t="s">
        <v>27</v>
      </c>
      <c r="S873" s="2" t="s">
        <v>1298</v>
      </c>
      <c r="T873" s="2" t="s">
        <v>59</v>
      </c>
      <c r="U873" s="2" t="s">
        <v>1299</v>
      </c>
      <c r="V873" s="4">
        <f>+VLOOKUP(U873,'FBCJ Jul-Des 2025'!$G$10:$P$1302,8,0)</f>
        <v>70101114</v>
      </c>
      <c r="W873" s="4" t="str">
        <f>+VLOOKUP(V873,Sheet1!$A$2:$B$27,2,0)</f>
        <v>By Perbaikan &amp; Perawatan Perabot Material Pihak3</v>
      </c>
      <c r="X873" s="4" t="str">
        <f>+VLOOKUP(U873,'FBCJ Jul-Des 2025'!$G$10:$P$1302,9,0)</f>
        <v>R124QCA</v>
      </c>
      <c r="Y873" s="2" t="s">
        <v>43</v>
      </c>
      <c r="Z873" s="2">
        <v>1793264</v>
      </c>
      <c r="AA873" s="2">
        <v>20251104</v>
      </c>
      <c r="AB873" s="3">
        <v>715000</v>
      </c>
    </row>
    <row r="874" spans="3:28" x14ac:dyDescent="0.25">
      <c r="C874" s="2">
        <v>10000001</v>
      </c>
      <c r="D874" s="2" t="s">
        <v>1227</v>
      </c>
      <c r="F874" s="2">
        <v>12009062</v>
      </c>
      <c r="H874" s="2" t="s">
        <v>1227</v>
      </c>
      <c r="I874" s="2" t="str">
        <f t="shared" si="13"/>
        <v>11</v>
      </c>
      <c r="J874" s="2">
        <v>50</v>
      </c>
      <c r="K874" s="3">
        <v>-22000</v>
      </c>
      <c r="L874" s="2" t="s">
        <v>26</v>
      </c>
      <c r="M874" s="3">
        <v>-22000</v>
      </c>
      <c r="N874" s="2" t="s">
        <v>26</v>
      </c>
      <c r="R874" s="2" t="s">
        <v>27</v>
      </c>
      <c r="S874" s="2" t="s">
        <v>1298</v>
      </c>
      <c r="T874" s="2" t="s">
        <v>146</v>
      </c>
      <c r="U874" s="2" t="s">
        <v>1300</v>
      </c>
      <c r="V874" s="4">
        <f>+VLOOKUP(U874,'FBCJ Jul-Des 2025'!$G$10:$P$1302,8,0)</f>
        <v>70115100</v>
      </c>
      <c r="W874" s="4" t="str">
        <f>+VLOOKUP(V874,Sheet1!$A$2:$B$27,2,0)</f>
        <v>Biaya Riset, Pengembangan, dan Laboratorium</v>
      </c>
      <c r="X874" s="4" t="str">
        <f>+VLOOKUP(U874,'FBCJ Jul-Des 2025'!$G$10:$P$1302,9,0)</f>
        <v>R124QCA</v>
      </c>
      <c r="Y874" s="2" t="s">
        <v>43</v>
      </c>
      <c r="Z874" s="2">
        <v>1793264</v>
      </c>
      <c r="AA874" s="2">
        <v>20251104</v>
      </c>
      <c r="AB874" s="3">
        <v>22000</v>
      </c>
    </row>
    <row r="875" spans="3:28" x14ac:dyDescent="0.25">
      <c r="C875" s="2">
        <v>10000001</v>
      </c>
      <c r="D875" s="2" t="s">
        <v>1227</v>
      </c>
      <c r="F875" s="2">
        <v>12009063</v>
      </c>
      <c r="H875" s="2" t="s">
        <v>1227</v>
      </c>
      <c r="I875" s="2" t="str">
        <f t="shared" si="13"/>
        <v>11</v>
      </c>
      <c r="J875" s="2">
        <v>50</v>
      </c>
      <c r="K875" s="3">
        <v>-188500</v>
      </c>
      <c r="L875" s="2" t="s">
        <v>26</v>
      </c>
      <c r="M875" s="3">
        <v>-188500</v>
      </c>
      <c r="N875" s="2" t="s">
        <v>26</v>
      </c>
      <c r="R875" s="2" t="s">
        <v>27</v>
      </c>
      <c r="S875" s="2" t="s">
        <v>1301</v>
      </c>
      <c r="T875" s="2" t="s">
        <v>57</v>
      </c>
      <c r="U875" s="2" t="s">
        <v>1302</v>
      </c>
      <c r="V875" s="4">
        <f>+VLOOKUP(U875,'FBCJ Jul-Des 2025'!$G$10:$P$1302,8,0)</f>
        <v>70101202</v>
      </c>
      <c r="W875" s="4" t="str">
        <f>+VLOOKUP(V875,Sheet1!$A$2:$B$27,2,0)</f>
        <v>By Pemeliharaan Kend,ABerat,Mesin-Material Pihak3</v>
      </c>
      <c r="X875" s="4" t="str">
        <f>+VLOOKUP(U875,'FBCJ Jul-Des 2025'!$G$10:$P$1302,9,0)</f>
        <v>R124FRA3</v>
      </c>
      <c r="Y875" s="2" t="s">
        <v>43</v>
      </c>
      <c r="Z875" s="2">
        <v>1793264</v>
      </c>
      <c r="AA875" s="2">
        <v>20251104</v>
      </c>
      <c r="AB875" s="3">
        <v>188500</v>
      </c>
    </row>
    <row r="876" spans="3:28" x14ac:dyDescent="0.25">
      <c r="C876" s="2">
        <v>10000001</v>
      </c>
      <c r="D876" s="2" t="s">
        <v>1227</v>
      </c>
      <c r="F876" s="2">
        <v>12009064</v>
      </c>
      <c r="H876" s="2" t="s">
        <v>1227</v>
      </c>
      <c r="I876" s="2" t="str">
        <f t="shared" si="13"/>
        <v>11</v>
      </c>
      <c r="J876" s="2">
        <v>50</v>
      </c>
      <c r="K876" s="3">
        <v>-180000</v>
      </c>
      <c r="L876" s="2" t="s">
        <v>26</v>
      </c>
      <c r="M876" s="3">
        <v>-180000</v>
      </c>
      <c r="N876" s="2" t="s">
        <v>26</v>
      </c>
      <c r="R876" s="2" t="s">
        <v>27</v>
      </c>
      <c r="S876" s="2" t="s">
        <v>1303</v>
      </c>
      <c r="T876" s="2" t="s">
        <v>64</v>
      </c>
      <c r="U876" s="2" t="s">
        <v>1304</v>
      </c>
      <c r="V876" s="4">
        <f>+VLOOKUP(U876,'FBCJ Jul-Des 2025'!$G$10:$P$1302,8,0)</f>
        <v>70108110</v>
      </c>
      <c r="W876" s="4" t="str">
        <f>+VLOOKUP(V876,Sheet1!$A$2:$B$27,2,0)</f>
        <v>Biaya  Fotocopy</v>
      </c>
      <c r="X876" s="4" t="str">
        <f>+VLOOKUP(U876,'FBCJ Jul-Des 2025'!$G$10:$P$1302,9,0)</f>
        <v>R124QMR</v>
      </c>
      <c r="Y876" s="2" t="s">
        <v>43</v>
      </c>
      <c r="Z876" s="2">
        <v>1793264</v>
      </c>
      <c r="AA876" s="2">
        <v>20251104</v>
      </c>
      <c r="AB876" s="3">
        <v>180000</v>
      </c>
    </row>
    <row r="877" spans="3:28" x14ac:dyDescent="0.25">
      <c r="C877" s="2">
        <v>10000001</v>
      </c>
      <c r="D877" s="2" t="s">
        <v>1227</v>
      </c>
      <c r="F877" s="2">
        <v>12009065</v>
      </c>
      <c r="H877" s="2" t="s">
        <v>1227</v>
      </c>
      <c r="I877" s="2" t="str">
        <f t="shared" si="13"/>
        <v>11</v>
      </c>
      <c r="J877" s="2">
        <v>50</v>
      </c>
      <c r="K877" s="3">
        <v>-385000</v>
      </c>
      <c r="L877" s="2" t="s">
        <v>26</v>
      </c>
      <c r="M877" s="3">
        <v>-385000</v>
      </c>
      <c r="N877" s="2" t="s">
        <v>26</v>
      </c>
      <c r="R877" s="2" t="s">
        <v>27</v>
      </c>
      <c r="S877" s="2" t="s">
        <v>1305</v>
      </c>
      <c r="T877" s="2" t="s">
        <v>259</v>
      </c>
      <c r="U877" s="2" t="s">
        <v>1306</v>
      </c>
      <c r="V877" s="4">
        <f>+VLOOKUP(U877,'FBCJ Jul-Des 2025'!$G$10:$P$1302,8,0)</f>
        <v>70119300</v>
      </c>
      <c r="W877" s="4" t="str">
        <f>+VLOOKUP(V877,Sheet1!$A$2:$B$27,2,0)</f>
        <v>Biaya Umum dan Administrasi</v>
      </c>
      <c r="X877" s="4" t="str">
        <f>+VLOOKUP(U877,'FBCJ Jul-Des 2025'!$G$10:$P$1302,9,0)</f>
        <v>R124D1TPDU</v>
      </c>
      <c r="Y877" s="2" t="s">
        <v>43</v>
      </c>
      <c r="Z877" s="2">
        <v>1793264</v>
      </c>
      <c r="AA877" s="2">
        <v>20251104</v>
      </c>
      <c r="AB877" s="3">
        <v>385000</v>
      </c>
    </row>
    <row r="878" spans="3:28" x14ac:dyDescent="0.25">
      <c r="C878" s="2">
        <v>10000001</v>
      </c>
      <c r="D878" s="2" t="s">
        <v>1227</v>
      </c>
      <c r="F878" s="2">
        <v>12009066</v>
      </c>
      <c r="H878" s="2" t="s">
        <v>1227</v>
      </c>
      <c r="I878" s="2" t="str">
        <f t="shared" si="13"/>
        <v>11</v>
      </c>
      <c r="J878" s="2">
        <v>50</v>
      </c>
      <c r="K878" s="3">
        <v>-50000</v>
      </c>
      <c r="L878" s="2" t="s">
        <v>26</v>
      </c>
      <c r="M878" s="3">
        <v>-50000</v>
      </c>
      <c r="N878" s="2" t="s">
        <v>26</v>
      </c>
      <c r="R878" s="2" t="s">
        <v>27</v>
      </c>
      <c r="S878" s="2" t="s">
        <v>1307</v>
      </c>
      <c r="T878" s="2" t="s">
        <v>334</v>
      </c>
      <c r="U878" s="2" t="s">
        <v>1308</v>
      </c>
      <c r="V878" s="4">
        <f>+VLOOKUP(U878,'FBCJ Jul-Des 2025'!$G$10:$P$1302,8,0)</f>
        <v>70001110</v>
      </c>
      <c r="W878" s="4" t="str">
        <f>+VLOOKUP(V878,Sheet1!$A$2:$B$27,2,0)</f>
        <v>Biaya Ekspor lainnya</v>
      </c>
      <c r="X878" s="4" t="str">
        <f>+VLOOKUP(U878,'FBCJ Jul-Des 2025'!$G$10:$P$1302,9,0)</f>
        <v>P206D1SLSS</v>
      </c>
      <c r="Y878" s="2" t="s">
        <v>43</v>
      </c>
      <c r="Z878" s="2">
        <v>1793264</v>
      </c>
      <c r="AA878" s="2">
        <v>20251104</v>
      </c>
      <c r="AB878" s="3">
        <v>50000</v>
      </c>
    </row>
    <row r="879" spans="3:28" x14ac:dyDescent="0.25">
      <c r="C879" s="2">
        <v>10000001</v>
      </c>
      <c r="D879" s="2" t="s">
        <v>1227</v>
      </c>
      <c r="F879" s="2">
        <v>12009067</v>
      </c>
      <c r="H879" s="2" t="s">
        <v>1227</v>
      </c>
      <c r="I879" s="2" t="str">
        <f t="shared" si="13"/>
        <v>11</v>
      </c>
      <c r="J879" s="2">
        <v>50</v>
      </c>
      <c r="K879" s="3">
        <v>-50000</v>
      </c>
      <c r="L879" s="2" t="s">
        <v>26</v>
      </c>
      <c r="M879" s="3">
        <v>-50000</v>
      </c>
      <c r="N879" s="2" t="s">
        <v>26</v>
      </c>
      <c r="R879" s="2" t="s">
        <v>27</v>
      </c>
      <c r="S879" s="2" t="s">
        <v>1307</v>
      </c>
      <c r="T879" s="2" t="s">
        <v>334</v>
      </c>
      <c r="U879" s="2" t="s">
        <v>1309</v>
      </c>
      <c r="V879" s="4">
        <f>+VLOOKUP(U879,'FBCJ Jul-Des 2025'!$G$10:$P$1302,8,0)</f>
        <v>70001110</v>
      </c>
      <c r="W879" s="4" t="str">
        <f>+VLOOKUP(V879,Sheet1!$A$2:$B$27,2,0)</f>
        <v>Biaya Ekspor lainnya</v>
      </c>
      <c r="X879" s="4" t="str">
        <f>+VLOOKUP(U879,'FBCJ Jul-Des 2025'!$G$10:$P$1302,9,0)</f>
        <v>P206D1SLSS</v>
      </c>
      <c r="Y879" s="2" t="s">
        <v>43</v>
      </c>
      <c r="Z879" s="2">
        <v>1793264</v>
      </c>
      <c r="AA879" s="2">
        <v>20251104</v>
      </c>
      <c r="AB879" s="3">
        <v>50000</v>
      </c>
    </row>
    <row r="880" spans="3:28" x14ac:dyDescent="0.25">
      <c r="C880" s="2">
        <v>10000001</v>
      </c>
      <c r="D880" s="2" t="s">
        <v>1227</v>
      </c>
      <c r="F880" s="2">
        <v>12009068</v>
      </c>
      <c r="H880" s="2" t="s">
        <v>1227</v>
      </c>
      <c r="I880" s="2" t="str">
        <f t="shared" si="13"/>
        <v>11</v>
      </c>
      <c r="J880" s="2">
        <v>50</v>
      </c>
      <c r="K880" s="3">
        <v>-50000</v>
      </c>
      <c r="L880" s="2" t="s">
        <v>26</v>
      </c>
      <c r="M880" s="3">
        <v>-50000</v>
      </c>
      <c r="N880" s="2" t="s">
        <v>26</v>
      </c>
      <c r="R880" s="2" t="s">
        <v>27</v>
      </c>
      <c r="S880" s="2" t="s">
        <v>1307</v>
      </c>
      <c r="T880" s="2" t="s">
        <v>334</v>
      </c>
      <c r="U880" s="2" t="s">
        <v>1310</v>
      </c>
      <c r="V880" s="4">
        <f>+VLOOKUP(U880,'FBCJ Jul-Des 2025'!$G$10:$P$1302,8,0)</f>
        <v>70001110</v>
      </c>
      <c r="W880" s="4" t="str">
        <f>+VLOOKUP(V880,Sheet1!$A$2:$B$27,2,0)</f>
        <v>Biaya Ekspor lainnya</v>
      </c>
      <c r="X880" s="4" t="str">
        <f>+VLOOKUP(U880,'FBCJ Jul-Des 2025'!$G$10:$P$1302,9,0)</f>
        <v>P206D1SLSS</v>
      </c>
      <c r="Y880" s="2" t="s">
        <v>43</v>
      </c>
      <c r="Z880" s="2">
        <v>1793264</v>
      </c>
      <c r="AA880" s="2">
        <v>20251104</v>
      </c>
      <c r="AB880" s="3">
        <v>50000</v>
      </c>
    </row>
    <row r="881" spans="3:28" x14ac:dyDescent="0.25">
      <c r="C881" s="2">
        <v>10000001</v>
      </c>
      <c r="D881" s="2" t="s">
        <v>1227</v>
      </c>
      <c r="F881" s="2">
        <v>12009069</v>
      </c>
      <c r="H881" s="2" t="s">
        <v>1227</v>
      </c>
      <c r="I881" s="2" t="str">
        <f t="shared" si="13"/>
        <v>11</v>
      </c>
      <c r="J881" s="2">
        <v>50</v>
      </c>
      <c r="K881" s="3">
        <v>-992050</v>
      </c>
      <c r="L881" s="2" t="s">
        <v>26</v>
      </c>
      <c r="M881" s="3">
        <v>-992050</v>
      </c>
      <c r="N881" s="2" t="s">
        <v>26</v>
      </c>
      <c r="R881" s="2" t="s">
        <v>27</v>
      </c>
      <c r="S881" s="2" t="s">
        <v>1311</v>
      </c>
      <c r="T881" s="2" t="s">
        <v>126</v>
      </c>
      <c r="U881" s="2" t="s">
        <v>1312</v>
      </c>
      <c r="V881" s="4">
        <f>+VLOOKUP(U881,'FBCJ Jul-Des 2025'!$G$10:$P$1302,8,0)</f>
        <v>70107600</v>
      </c>
      <c r="W881" s="4" t="str">
        <f>+VLOOKUP(V881,Sheet1!$A$2:$B$27,2,0)</f>
        <v>Biaya Konsumsi Kantor</v>
      </c>
      <c r="X881" s="4" t="str">
        <f>+VLOOKUP(U881,'FBCJ Jul-Des 2025'!$G$10:$P$1302,9,0)</f>
        <v>R124NSS</v>
      </c>
      <c r="Y881" s="2" t="s">
        <v>43</v>
      </c>
      <c r="Z881" s="2">
        <v>1793264</v>
      </c>
      <c r="AA881" s="2">
        <v>20251104</v>
      </c>
      <c r="AB881" s="3">
        <v>992050</v>
      </c>
    </row>
    <row r="882" spans="3:28" x14ac:dyDescent="0.25">
      <c r="C882" s="2">
        <v>10000001</v>
      </c>
      <c r="D882" s="2" t="s">
        <v>1227</v>
      </c>
      <c r="F882" s="2">
        <v>12009070</v>
      </c>
      <c r="H882" s="2" t="s">
        <v>1227</v>
      </c>
      <c r="I882" s="2" t="str">
        <f t="shared" si="13"/>
        <v>11</v>
      </c>
      <c r="J882" s="2">
        <v>50</v>
      </c>
      <c r="K882" s="3">
        <v>-500000</v>
      </c>
      <c r="L882" s="2" t="s">
        <v>26</v>
      </c>
      <c r="M882" s="3">
        <v>-500000</v>
      </c>
      <c r="N882" s="2" t="s">
        <v>26</v>
      </c>
      <c r="R882" s="2" t="s">
        <v>27</v>
      </c>
      <c r="S882" s="2" t="s">
        <v>1313</v>
      </c>
      <c r="T882" s="2" t="s">
        <v>41</v>
      </c>
      <c r="U882" s="2" t="s">
        <v>1314</v>
      </c>
      <c r="V882" s="4">
        <f>+VLOOKUP(U882,'FBCJ Jul-Des 2025'!$G$10:$P$1302,8,0)</f>
        <v>70107300</v>
      </c>
      <c r="W882" s="4" t="str">
        <f>+VLOOKUP(V882,Sheet1!$A$2:$B$27,2,0)</f>
        <v>Biaya Olahraga Dan Permainan</v>
      </c>
      <c r="X882" s="4" t="str">
        <f>+VLOOKUP(U882,'FBCJ Jul-Des 2025'!$G$10:$P$1302,9,0)</f>
        <v>R124D1HRDV</v>
      </c>
      <c r="Y882" s="2" t="s">
        <v>43</v>
      </c>
      <c r="Z882" s="2">
        <v>1793264</v>
      </c>
      <c r="AA882" s="2">
        <v>20251104</v>
      </c>
      <c r="AB882" s="3">
        <v>500000</v>
      </c>
    </row>
    <row r="883" spans="3:28" x14ac:dyDescent="0.25">
      <c r="C883" s="2">
        <v>10000001</v>
      </c>
      <c r="D883" s="2" t="s">
        <v>1227</v>
      </c>
      <c r="F883" s="2">
        <v>12009071</v>
      </c>
      <c r="H883" s="2" t="s">
        <v>1227</v>
      </c>
      <c r="I883" s="2" t="str">
        <f t="shared" si="13"/>
        <v>11</v>
      </c>
      <c r="J883" s="2">
        <v>50</v>
      </c>
      <c r="K883" s="3">
        <v>-256000</v>
      </c>
      <c r="L883" s="2" t="s">
        <v>26</v>
      </c>
      <c r="M883" s="3">
        <v>-256000</v>
      </c>
      <c r="N883" s="2" t="s">
        <v>26</v>
      </c>
      <c r="R883" s="2" t="s">
        <v>27</v>
      </c>
      <c r="S883" s="2" t="s">
        <v>1315</v>
      </c>
      <c r="T883" s="2" t="s">
        <v>67</v>
      </c>
      <c r="U883" s="2" t="s">
        <v>1316</v>
      </c>
      <c r="V883" s="4">
        <f>+VLOOKUP(U883,'FBCJ Jul-Des 2025'!$G$10:$P$1302,8,0)</f>
        <v>70106100</v>
      </c>
      <c r="W883" s="4" t="str">
        <f>+VLOOKUP(V883,Sheet1!$A$2:$B$27,2,0)</f>
        <v>Biaya Transportasi Lokal</v>
      </c>
      <c r="X883" s="4" t="str">
        <f>+VLOOKUP(U883,'FBCJ Jul-Des 2025'!$G$10:$P$1302,9,0)</f>
        <v>P206D1SLSS</v>
      </c>
      <c r="Y883" s="2" t="s">
        <v>43</v>
      </c>
      <c r="Z883" s="2">
        <v>1793264</v>
      </c>
      <c r="AA883" s="2">
        <v>20251104</v>
      </c>
      <c r="AB883" s="3">
        <v>256000</v>
      </c>
    </row>
    <row r="884" spans="3:28" x14ac:dyDescent="0.25">
      <c r="C884" s="2">
        <v>10000001</v>
      </c>
      <c r="D884" s="2" t="s">
        <v>1227</v>
      </c>
      <c r="F884" s="2">
        <v>12009072</v>
      </c>
      <c r="H884" s="2" t="s">
        <v>1227</v>
      </c>
      <c r="I884" s="2" t="str">
        <f t="shared" si="13"/>
        <v>11</v>
      </c>
      <c r="J884" s="2">
        <v>50</v>
      </c>
      <c r="K884" s="3">
        <v>-16000</v>
      </c>
      <c r="L884" s="2" t="s">
        <v>26</v>
      </c>
      <c r="M884" s="3">
        <v>-16000</v>
      </c>
      <c r="N884" s="2" t="s">
        <v>26</v>
      </c>
      <c r="R884" s="2" t="s">
        <v>27</v>
      </c>
      <c r="S884" s="2" t="s">
        <v>1315</v>
      </c>
      <c r="T884" s="2" t="s">
        <v>64</v>
      </c>
      <c r="U884" s="2" t="s">
        <v>1317</v>
      </c>
      <c r="V884" s="4">
        <f>+VLOOKUP(U884,'FBCJ Jul-Des 2025'!$G$10:$P$1302,8,0)</f>
        <v>70108110</v>
      </c>
      <c r="W884" s="4" t="str">
        <f>+VLOOKUP(V884,Sheet1!$A$2:$B$27,2,0)</f>
        <v>Biaya  Fotocopy</v>
      </c>
      <c r="X884" s="4" t="str">
        <f>+VLOOKUP(U884,'FBCJ Jul-Des 2025'!$G$10:$P$1302,9,0)</f>
        <v>P206D1SLSS</v>
      </c>
      <c r="Y884" s="2" t="s">
        <v>43</v>
      </c>
      <c r="Z884" s="2">
        <v>1793264</v>
      </c>
      <c r="AA884" s="2">
        <v>20251104</v>
      </c>
      <c r="AB884" s="3">
        <v>16000</v>
      </c>
    </row>
    <row r="885" spans="3:28" x14ac:dyDescent="0.25">
      <c r="C885" s="2">
        <v>10000001</v>
      </c>
      <c r="D885" s="2" t="s">
        <v>1227</v>
      </c>
      <c r="F885" s="2">
        <v>12009073</v>
      </c>
      <c r="H885" s="2" t="s">
        <v>1227</v>
      </c>
      <c r="I885" s="2" t="str">
        <f t="shared" si="13"/>
        <v>11</v>
      </c>
      <c r="J885" s="2">
        <v>50</v>
      </c>
      <c r="K885" s="3">
        <v>-700000</v>
      </c>
      <c r="L885" s="2" t="s">
        <v>26</v>
      </c>
      <c r="M885" s="3">
        <v>-700000</v>
      </c>
      <c r="N885" s="2" t="s">
        <v>26</v>
      </c>
      <c r="R885" s="2" t="s">
        <v>27</v>
      </c>
      <c r="S885" s="2" t="s">
        <v>1318</v>
      </c>
      <c r="T885" s="2" t="s">
        <v>96</v>
      </c>
      <c r="U885" s="2" t="s">
        <v>1319</v>
      </c>
      <c r="V885" s="4">
        <f>+VLOOKUP(U885,'FBCJ Jul-Des 2025'!$G$10:$P$1302,8,0)</f>
        <v>70106400</v>
      </c>
      <c r="W885" s="4" t="str">
        <f>+VLOOKUP(V885,Sheet1!$A$2:$B$27,2,0)</f>
        <v>Biaya Bahan Bakar</v>
      </c>
      <c r="X885" s="4" t="str">
        <f>+VLOOKUP(U885,'FBCJ Jul-Des 2025'!$G$10:$P$1302,9,0)</f>
        <v>R124D1HRGA</v>
      </c>
      <c r="Y885" s="2" t="s">
        <v>43</v>
      </c>
      <c r="Z885" s="2">
        <v>1793264</v>
      </c>
      <c r="AA885" s="2">
        <v>20251104</v>
      </c>
      <c r="AB885" s="3">
        <v>700000</v>
      </c>
    </row>
    <row r="886" spans="3:28" x14ac:dyDescent="0.25">
      <c r="C886" s="2">
        <v>10000001</v>
      </c>
      <c r="D886" s="2" t="s">
        <v>1227</v>
      </c>
      <c r="F886" s="2">
        <v>12009074</v>
      </c>
      <c r="H886" s="2" t="s">
        <v>1227</v>
      </c>
      <c r="I886" s="2" t="str">
        <f t="shared" si="13"/>
        <v>11</v>
      </c>
      <c r="J886" s="2">
        <v>50</v>
      </c>
      <c r="K886" s="3">
        <v>-300000</v>
      </c>
      <c r="L886" s="2" t="s">
        <v>26</v>
      </c>
      <c r="M886" s="3">
        <v>-300000</v>
      </c>
      <c r="N886" s="2" t="s">
        <v>26</v>
      </c>
      <c r="R886" s="2" t="s">
        <v>27</v>
      </c>
      <c r="S886" s="2" t="s">
        <v>1318</v>
      </c>
      <c r="T886" s="2" t="s">
        <v>67</v>
      </c>
      <c r="U886" s="2" t="s">
        <v>98</v>
      </c>
      <c r="V886" s="4">
        <f>+VLOOKUP(U886,'FBCJ Jul-Des 2025'!$G$10:$P$1302,8,0)</f>
        <v>70106100</v>
      </c>
      <c r="W886" s="4" t="str">
        <f>+VLOOKUP(V886,Sheet1!$A$2:$B$27,2,0)</f>
        <v>Biaya Transportasi Lokal</v>
      </c>
      <c r="X886" s="4" t="str">
        <f>+VLOOKUP(U886,'FBCJ Jul-Des 2025'!$G$10:$P$1302,9,0)</f>
        <v>R124D1HRGA</v>
      </c>
      <c r="Y886" s="2" t="s">
        <v>43</v>
      </c>
      <c r="Z886" s="2">
        <v>1793264</v>
      </c>
      <c r="AA886" s="2">
        <v>20251104</v>
      </c>
      <c r="AB886" s="3">
        <v>300000</v>
      </c>
    </row>
    <row r="887" spans="3:28" x14ac:dyDescent="0.25">
      <c r="C887" s="2">
        <v>10000001</v>
      </c>
      <c r="D887" s="2" t="s">
        <v>1227</v>
      </c>
      <c r="F887" s="2">
        <v>12009075</v>
      </c>
      <c r="H887" s="2" t="s">
        <v>1227</v>
      </c>
      <c r="I887" s="2" t="str">
        <f t="shared" si="13"/>
        <v>11</v>
      </c>
      <c r="J887" s="2">
        <v>50</v>
      </c>
      <c r="K887" s="3">
        <v>-915000</v>
      </c>
      <c r="L887" s="2" t="s">
        <v>26</v>
      </c>
      <c r="M887" s="3">
        <v>-915000</v>
      </c>
      <c r="N887" s="2" t="s">
        <v>26</v>
      </c>
      <c r="R887" s="2" t="s">
        <v>27</v>
      </c>
      <c r="S887" s="2" t="s">
        <v>1320</v>
      </c>
      <c r="T887" s="2" t="s">
        <v>67</v>
      </c>
      <c r="U887" s="2" t="s">
        <v>1321</v>
      </c>
      <c r="V887" s="4">
        <f>+VLOOKUP(U887,'FBCJ Jul-Des 2025'!$G$10:$P$1302,8,0)</f>
        <v>70106100</v>
      </c>
      <c r="W887" s="4" t="str">
        <f>+VLOOKUP(V887,Sheet1!$A$2:$B$27,2,0)</f>
        <v>Biaya Transportasi Lokal</v>
      </c>
      <c r="X887" s="4" t="str">
        <f>+VLOOKUP(U887,'FBCJ Jul-Des 2025'!$G$10:$P$1302,9,0)</f>
        <v>R124BLR</v>
      </c>
      <c r="Y887" s="2" t="s">
        <v>43</v>
      </c>
      <c r="Z887" s="2">
        <v>1793264</v>
      </c>
      <c r="AA887" s="2">
        <v>20251104</v>
      </c>
      <c r="AB887" s="3">
        <v>915000</v>
      </c>
    </row>
    <row r="888" spans="3:28" x14ac:dyDescent="0.25">
      <c r="C888" s="2">
        <v>10000001</v>
      </c>
      <c r="D888" s="2" t="s">
        <v>1227</v>
      </c>
      <c r="F888" s="2">
        <v>12009076</v>
      </c>
      <c r="H888" s="2" t="s">
        <v>1227</v>
      </c>
      <c r="I888" s="2" t="str">
        <f t="shared" si="13"/>
        <v>11</v>
      </c>
      <c r="J888" s="2">
        <v>50</v>
      </c>
      <c r="K888" s="3">
        <v>-543510</v>
      </c>
      <c r="L888" s="2" t="s">
        <v>26</v>
      </c>
      <c r="M888" s="3">
        <v>-543510</v>
      </c>
      <c r="N888" s="2" t="s">
        <v>26</v>
      </c>
      <c r="R888" s="2" t="s">
        <v>27</v>
      </c>
      <c r="S888" s="2" t="s">
        <v>1322</v>
      </c>
      <c r="T888" s="2" t="s">
        <v>129</v>
      </c>
      <c r="U888" s="2" t="s">
        <v>1323</v>
      </c>
      <c r="V888" s="4">
        <f>+VLOOKUP(U888,'FBCJ Jul-Des 2025'!$G$10:$P$1302,8,0)</f>
        <v>70101102</v>
      </c>
      <c r="W888" s="4" t="str">
        <f>+VLOOKUP(V888,Sheet1!$A$2:$B$27,2,0)</f>
        <v>By Pemeliharaan BgnanPrasarana Material Pihak3</v>
      </c>
      <c r="X888" s="4" t="str">
        <f>+VLOOKUP(U888,'FBCJ Jul-Des 2025'!$G$10:$P$1302,9,0)</f>
        <v>R124FPO</v>
      </c>
      <c r="Y888" s="2" t="s">
        <v>43</v>
      </c>
      <c r="Z888" s="2">
        <v>1793264</v>
      </c>
      <c r="AA888" s="2">
        <v>20251104</v>
      </c>
      <c r="AB888" s="3">
        <v>543510</v>
      </c>
    </row>
    <row r="889" spans="3:28" x14ac:dyDescent="0.25">
      <c r="C889" s="2">
        <v>10000001</v>
      </c>
      <c r="D889" s="2" t="s">
        <v>1227</v>
      </c>
      <c r="F889" s="2">
        <v>12009077</v>
      </c>
      <c r="H889" s="2" t="s">
        <v>1227</v>
      </c>
      <c r="I889" s="2" t="str">
        <f t="shared" si="13"/>
        <v>11</v>
      </c>
      <c r="J889" s="2">
        <v>50</v>
      </c>
      <c r="K889" s="3">
        <v>-490000</v>
      </c>
      <c r="L889" s="2" t="s">
        <v>26</v>
      </c>
      <c r="M889" s="3">
        <v>-490000</v>
      </c>
      <c r="N889" s="2" t="s">
        <v>26</v>
      </c>
      <c r="R889" s="2" t="s">
        <v>27</v>
      </c>
      <c r="S889" s="2" t="s">
        <v>1324</v>
      </c>
      <c r="T889" s="2" t="s">
        <v>96</v>
      </c>
      <c r="U889" s="2" t="s">
        <v>1325</v>
      </c>
      <c r="V889" s="4">
        <f>+VLOOKUP(U889,'FBCJ Jul-Des 2025'!$G$10:$P$1302,8,0)</f>
        <v>70106400</v>
      </c>
      <c r="W889" s="4" t="str">
        <f>+VLOOKUP(V889,Sheet1!$A$2:$B$27,2,0)</f>
        <v>Biaya Bahan Bakar</v>
      </c>
      <c r="X889" s="4" t="str">
        <f>+VLOOKUP(U889,'FBCJ Jul-Des 2025'!$G$10:$P$1302,9,0)</f>
        <v>R124D1HRGA</v>
      </c>
      <c r="Y889" s="2" t="s">
        <v>43</v>
      </c>
      <c r="Z889" s="2">
        <v>1793264</v>
      </c>
      <c r="AA889" s="2">
        <v>20251104</v>
      </c>
      <c r="AB889" s="3">
        <v>490000</v>
      </c>
    </row>
    <row r="890" spans="3:28" x14ac:dyDescent="0.25">
      <c r="C890" s="2">
        <v>10000001</v>
      </c>
      <c r="D890" s="2" t="s">
        <v>1227</v>
      </c>
      <c r="F890" s="2">
        <v>12009078</v>
      </c>
      <c r="H890" s="2" t="s">
        <v>1227</v>
      </c>
      <c r="I890" s="2" t="str">
        <f t="shared" si="13"/>
        <v>11</v>
      </c>
      <c r="J890" s="2">
        <v>50</v>
      </c>
      <c r="K890" s="3">
        <v>-509500</v>
      </c>
      <c r="L890" s="2" t="s">
        <v>26</v>
      </c>
      <c r="M890" s="3">
        <v>-509500</v>
      </c>
      <c r="N890" s="2" t="s">
        <v>26</v>
      </c>
      <c r="R890" s="2" t="s">
        <v>27</v>
      </c>
      <c r="S890" s="2" t="s">
        <v>1324</v>
      </c>
      <c r="T890" s="2" t="s">
        <v>67</v>
      </c>
      <c r="U890" s="2" t="s">
        <v>98</v>
      </c>
      <c r="V890" s="4">
        <f>+VLOOKUP(U890,'FBCJ Jul-Des 2025'!$G$10:$P$1302,8,0)</f>
        <v>70106100</v>
      </c>
      <c r="W890" s="4" t="str">
        <f>+VLOOKUP(V890,Sheet1!$A$2:$B$27,2,0)</f>
        <v>Biaya Transportasi Lokal</v>
      </c>
      <c r="X890" s="4" t="str">
        <f>+VLOOKUP(U890,'FBCJ Jul-Des 2025'!$G$10:$P$1302,9,0)</f>
        <v>R124D1HRGA</v>
      </c>
      <c r="Y890" s="2" t="s">
        <v>43</v>
      </c>
      <c r="Z890" s="2">
        <v>1793264</v>
      </c>
      <c r="AA890" s="2">
        <v>20251104</v>
      </c>
      <c r="AB890" s="3">
        <v>509500</v>
      </c>
    </row>
    <row r="891" spans="3:28" x14ac:dyDescent="0.25">
      <c r="C891" s="2">
        <v>10000001</v>
      </c>
      <c r="D891" s="2" t="s">
        <v>1211</v>
      </c>
      <c r="F891" s="2">
        <v>12009079</v>
      </c>
      <c r="H891" s="2" t="s">
        <v>1211</v>
      </c>
      <c r="I891" s="2" t="str">
        <f t="shared" si="13"/>
        <v>11</v>
      </c>
      <c r="J891" s="2">
        <v>50</v>
      </c>
      <c r="K891" s="3">
        <v>-100000</v>
      </c>
      <c r="L891" s="2" t="s">
        <v>26</v>
      </c>
      <c r="M891" s="3">
        <v>-100000</v>
      </c>
      <c r="N891" s="2" t="s">
        <v>26</v>
      </c>
      <c r="R891" s="2" t="s">
        <v>27</v>
      </c>
      <c r="S891" s="2" t="s">
        <v>1326</v>
      </c>
      <c r="T891" s="2" t="s">
        <v>334</v>
      </c>
      <c r="U891" s="2" t="s">
        <v>1327</v>
      </c>
      <c r="V891" s="4">
        <f>+VLOOKUP(U891,'FBCJ Jul-Des 2025'!$G$10:$P$1302,8,0)</f>
        <v>70001110</v>
      </c>
      <c r="W891" s="4" t="str">
        <f>+VLOOKUP(V891,Sheet1!$A$2:$B$27,2,0)</f>
        <v>Biaya Ekspor lainnya</v>
      </c>
      <c r="X891" s="4" t="str">
        <f>+VLOOKUP(U891,'FBCJ Jul-Des 2025'!$G$10:$P$1302,9,0)</f>
        <v>M204D1COMM</v>
      </c>
      <c r="Y891" s="2" t="s">
        <v>43</v>
      </c>
      <c r="Z891" s="2">
        <v>1793264</v>
      </c>
      <c r="AA891" s="2">
        <v>20251105</v>
      </c>
      <c r="AB891" s="3">
        <v>100000</v>
      </c>
    </row>
    <row r="892" spans="3:28" x14ac:dyDescent="0.25">
      <c r="C892" s="2">
        <v>10000001</v>
      </c>
      <c r="D892" s="2" t="s">
        <v>1211</v>
      </c>
      <c r="F892" s="2">
        <v>12009080</v>
      </c>
      <c r="H892" s="2" t="s">
        <v>1211</v>
      </c>
      <c r="I892" s="2" t="str">
        <f t="shared" si="13"/>
        <v>11</v>
      </c>
      <c r="J892" s="2">
        <v>50</v>
      </c>
      <c r="K892" s="3">
        <v>-100000</v>
      </c>
      <c r="L892" s="2" t="s">
        <v>26</v>
      </c>
      <c r="M892" s="3">
        <v>-100000</v>
      </c>
      <c r="N892" s="2" t="s">
        <v>26</v>
      </c>
      <c r="R892" s="2" t="s">
        <v>27</v>
      </c>
      <c r="S892" s="2" t="s">
        <v>1326</v>
      </c>
      <c r="T892" s="2" t="s">
        <v>334</v>
      </c>
      <c r="U892" s="2" t="s">
        <v>1328</v>
      </c>
      <c r="V892" s="4">
        <f>+VLOOKUP(U892,'FBCJ Jul-Des 2025'!$G$10:$P$1302,8,0)</f>
        <v>70001110</v>
      </c>
      <c r="W892" s="4" t="str">
        <f>+VLOOKUP(V892,Sheet1!$A$2:$B$27,2,0)</f>
        <v>Biaya Ekspor lainnya</v>
      </c>
      <c r="X892" s="4" t="str">
        <f>+VLOOKUP(U892,'FBCJ Jul-Des 2025'!$G$10:$P$1302,9,0)</f>
        <v>M204D1COMM</v>
      </c>
      <c r="Y892" s="2" t="s">
        <v>43</v>
      </c>
      <c r="Z892" s="2">
        <v>1793264</v>
      </c>
      <c r="AA892" s="2">
        <v>20251105</v>
      </c>
      <c r="AB892" s="3">
        <v>100000</v>
      </c>
    </row>
    <row r="893" spans="3:28" x14ac:dyDescent="0.25">
      <c r="C893" s="2">
        <v>10000001</v>
      </c>
      <c r="D893" s="2" t="s">
        <v>1211</v>
      </c>
      <c r="F893" s="2">
        <v>12009081</v>
      </c>
      <c r="H893" s="2" t="s">
        <v>1211</v>
      </c>
      <c r="I893" s="2" t="str">
        <f t="shared" si="13"/>
        <v>11</v>
      </c>
      <c r="J893" s="2">
        <v>50</v>
      </c>
      <c r="K893" s="3">
        <v>-50000</v>
      </c>
      <c r="L893" s="2" t="s">
        <v>26</v>
      </c>
      <c r="M893" s="3">
        <v>-50000</v>
      </c>
      <c r="N893" s="2" t="s">
        <v>26</v>
      </c>
      <c r="R893" s="2" t="s">
        <v>27</v>
      </c>
      <c r="S893" s="2" t="s">
        <v>1326</v>
      </c>
      <c r="T893" s="2" t="s">
        <v>334</v>
      </c>
      <c r="U893" s="2" t="s">
        <v>1329</v>
      </c>
      <c r="V893" s="4">
        <f>+VLOOKUP(U893,'FBCJ Jul-Des 2025'!$G$10:$P$1302,8,0)</f>
        <v>70001110</v>
      </c>
      <c r="W893" s="4" t="str">
        <f>+VLOOKUP(V893,Sheet1!$A$2:$B$27,2,0)</f>
        <v>Biaya Ekspor lainnya</v>
      </c>
      <c r="X893" s="4" t="str">
        <f>+VLOOKUP(U893,'FBCJ Jul-Des 2025'!$G$10:$P$1302,9,0)</f>
        <v>C206D1SLSS</v>
      </c>
      <c r="Y893" s="2" t="s">
        <v>43</v>
      </c>
      <c r="Z893" s="2">
        <v>1793264</v>
      </c>
      <c r="AA893" s="2">
        <v>20251105</v>
      </c>
      <c r="AB893" s="3">
        <v>50000</v>
      </c>
    </row>
    <row r="894" spans="3:28" x14ac:dyDescent="0.25">
      <c r="C894" s="2">
        <v>10000001</v>
      </c>
      <c r="D894" s="2" t="s">
        <v>1211</v>
      </c>
      <c r="F894" s="2">
        <v>12009082</v>
      </c>
      <c r="H894" s="2" t="s">
        <v>1211</v>
      </c>
      <c r="I894" s="2" t="str">
        <f t="shared" si="13"/>
        <v>11</v>
      </c>
      <c r="J894" s="2">
        <v>50</v>
      </c>
      <c r="K894" s="3">
        <v>-50000</v>
      </c>
      <c r="L894" s="2" t="s">
        <v>26</v>
      </c>
      <c r="M894" s="3">
        <v>-50000</v>
      </c>
      <c r="N894" s="2" t="s">
        <v>26</v>
      </c>
      <c r="R894" s="2" t="s">
        <v>27</v>
      </c>
      <c r="S894" s="2" t="s">
        <v>1326</v>
      </c>
      <c r="T894" s="2" t="s">
        <v>334</v>
      </c>
      <c r="U894" s="2" t="s">
        <v>1330</v>
      </c>
      <c r="V894" s="4">
        <f>+VLOOKUP(U894,'FBCJ Jul-Des 2025'!$G$10:$P$1302,8,0)</f>
        <v>70001110</v>
      </c>
      <c r="W894" s="4" t="str">
        <f>+VLOOKUP(V894,Sheet1!$A$2:$B$27,2,0)</f>
        <v>Biaya Ekspor lainnya</v>
      </c>
      <c r="X894" s="4" t="str">
        <f>+VLOOKUP(U894,'FBCJ Jul-Des 2025'!$G$10:$P$1302,9,0)</f>
        <v>P206D1SLSS</v>
      </c>
      <c r="Y894" s="2" t="s">
        <v>43</v>
      </c>
      <c r="Z894" s="2">
        <v>1793264</v>
      </c>
      <c r="AA894" s="2">
        <v>20251105</v>
      </c>
      <c r="AB894" s="3">
        <v>50000</v>
      </c>
    </row>
    <row r="895" spans="3:28" x14ac:dyDescent="0.25">
      <c r="C895" s="2">
        <v>10000001</v>
      </c>
      <c r="D895" s="2" t="s">
        <v>1211</v>
      </c>
      <c r="F895" s="2">
        <v>12009083</v>
      </c>
      <c r="H895" s="2" t="s">
        <v>1211</v>
      </c>
      <c r="I895" s="2" t="str">
        <f t="shared" si="13"/>
        <v>11</v>
      </c>
      <c r="J895" s="2">
        <v>50</v>
      </c>
      <c r="K895" s="3">
        <v>-50000</v>
      </c>
      <c r="L895" s="2" t="s">
        <v>26</v>
      </c>
      <c r="M895" s="3">
        <v>-50000</v>
      </c>
      <c r="N895" s="2" t="s">
        <v>26</v>
      </c>
      <c r="R895" s="2" t="s">
        <v>27</v>
      </c>
      <c r="S895" s="2" t="s">
        <v>1326</v>
      </c>
      <c r="T895" s="2" t="s">
        <v>334</v>
      </c>
      <c r="U895" s="2" t="s">
        <v>1331</v>
      </c>
      <c r="V895" s="4">
        <f>+VLOOKUP(U895,'FBCJ Jul-Des 2025'!$G$10:$P$1302,8,0)</f>
        <v>70001110</v>
      </c>
      <c r="W895" s="4" t="str">
        <f>+VLOOKUP(V895,Sheet1!$A$2:$B$27,2,0)</f>
        <v>Biaya Ekspor lainnya</v>
      </c>
      <c r="X895" s="4" t="str">
        <f>+VLOOKUP(U895,'FBCJ Jul-Des 2025'!$G$10:$P$1302,9,0)</f>
        <v>P206D1SLSS</v>
      </c>
      <c r="Y895" s="2" t="s">
        <v>43</v>
      </c>
      <c r="Z895" s="2">
        <v>1793264</v>
      </c>
      <c r="AA895" s="2">
        <v>20251105</v>
      </c>
      <c r="AB895" s="3">
        <v>50000</v>
      </c>
    </row>
    <row r="896" spans="3:28" x14ac:dyDescent="0.25">
      <c r="C896" s="2">
        <v>10000001</v>
      </c>
      <c r="D896" s="2" t="s">
        <v>1211</v>
      </c>
      <c r="F896" s="2">
        <v>12009084</v>
      </c>
      <c r="H896" s="2" t="s">
        <v>1211</v>
      </c>
      <c r="I896" s="2" t="str">
        <f t="shared" si="13"/>
        <v>11</v>
      </c>
      <c r="J896" s="2">
        <v>50</v>
      </c>
      <c r="K896" s="3">
        <v>-50000</v>
      </c>
      <c r="L896" s="2" t="s">
        <v>26</v>
      </c>
      <c r="M896" s="3">
        <v>-50000</v>
      </c>
      <c r="N896" s="2" t="s">
        <v>26</v>
      </c>
      <c r="R896" s="2" t="s">
        <v>27</v>
      </c>
      <c r="S896" s="2" t="s">
        <v>1326</v>
      </c>
      <c r="T896" s="2" t="s">
        <v>334</v>
      </c>
      <c r="U896" s="2" t="s">
        <v>1332</v>
      </c>
      <c r="V896" s="4">
        <f>+VLOOKUP(U896,'FBCJ Jul-Des 2025'!$G$10:$P$1302,8,0)</f>
        <v>70001110</v>
      </c>
      <c r="W896" s="4" t="str">
        <f>+VLOOKUP(V896,Sheet1!$A$2:$B$27,2,0)</f>
        <v>Biaya Ekspor lainnya</v>
      </c>
      <c r="X896" s="4" t="str">
        <f>+VLOOKUP(U896,'FBCJ Jul-Des 2025'!$G$10:$P$1302,9,0)</f>
        <v>C206D1SLSS</v>
      </c>
      <c r="Y896" s="2" t="s">
        <v>43</v>
      </c>
      <c r="Z896" s="2">
        <v>1793264</v>
      </c>
      <c r="AA896" s="2">
        <v>20251105</v>
      </c>
      <c r="AB896" s="3">
        <v>50000</v>
      </c>
    </row>
    <row r="897" spans="3:28" x14ac:dyDescent="0.25">
      <c r="C897" s="2">
        <v>10000001</v>
      </c>
      <c r="D897" s="2" t="s">
        <v>1211</v>
      </c>
      <c r="F897" s="2">
        <v>12009085</v>
      </c>
      <c r="H897" s="2" t="s">
        <v>1211</v>
      </c>
      <c r="I897" s="2" t="str">
        <f t="shared" si="13"/>
        <v>11</v>
      </c>
      <c r="J897" s="2">
        <v>50</v>
      </c>
      <c r="K897" s="3">
        <v>-50000</v>
      </c>
      <c r="L897" s="2" t="s">
        <v>26</v>
      </c>
      <c r="M897" s="3">
        <v>-50000</v>
      </c>
      <c r="N897" s="2" t="s">
        <v>26</v>
      </c>
      <c r="R897" s="2" t="s">
        <v>27</v>
      </c>
      <c r="S897" s="2" t="s">
        <v>1333</v>
      </c>
      <c r="T897" s="2" t="s">
        <v>126</v>
      </c>
      <c r="U897" s="2" t="s">
        <v>1334</v>
      </c>
      <c r="V897" s="4">
        <f>+VLOOKUP(U897,'FBCJ Jul-Des 2025'!$G$10:$P$1302,8,0)</f>
        <v>70107600</v>
      </c>
      <c r="W897" s="4" t="str">
        <f>+VLOOKUP(V897,Sheet1!$A$2:$B$27,2,0)</f>
        <v>Biaya Konsumsi Kantor</v>
      </c>
      <c r="X897" s="4" t="str">
        <f>+VLOOKUP(U897,'FBCJ Jul-Des 2025'!$G$10:$P$1302,9,0)</f>
        <v>R124MNT</v>
      </c>
      <c r="Y897" s="2" t="s">
        <v>43</v>
      </c>
      <c r="Z897" s="2">
        <v>1793264</v>
      </c>
      <c r="AA897" s="2">
        <v>20251105</v>
      </c>
      <c r="AB897" s="3">
        <v>50000</v>
      </c>
    </row>
    <row r="898" spans="3:28" x14ac:dyDescent="0.25">
      <c r="C898" s="2">
        <v>10000001</v>
      </c>
      <c r="D898" s="2" t="s">
        <v>1211</v>
      </c>
      <c r="F898" s="2">
        <v>12009086</v>
      </c>
      <c r="H898" s="2" t="s">
        <v>1211</v>
      </c>
      <c r="I898" s="2" t="str">
        <f t="shared" si="13"/>
        <v>11</v>
      </c>
      <c r="J898" s="2">
        <v>50</v>
      </c>
      <c r="K898" s="3">
        <v>-50000</v>
      </c>
      <c r="L898" s="2" t="s">
        <v>26</v>
      </c>
      <c r="M898" s="3">
        <v>-50000</v>
      </c>
      <c r="N898" s="2" t="s">
        <v>26</v>
      </c>
      <c r="R898" s="2" t="s">
        <v>27</v>
      </c>
      <c r="S898" s="2" t="s">
        <v>1333</v>
      </c>
      <c r="T898" s="2" t="s">
        <v>126</v>
      </c>
      <c r="U898" s="2" t="s">
        <v>1335</v>
      </c>
      <c r="V898" s="4">
        <f>+VLOOKUP(U898,'FBCJ Jul-Des 2025'!$G$10:$P$1302,8,0)</f>
        <v>70107600</v>
      </c>
      <c r="W898" s="4" t="str">
        <f>+VLOOKUP(V898,Sheet1!$A$2:$B$27,2,0)</f>
        <v>Biaya Konsumsi Kantor</v>
      </c>
      <c r="X898" s="4" t="str">
        <f>+VLOOKUP(U898,'FBCJ Jul-Des 2025'!$G$10:$P$1302,9,0)</f>
        <v>R124MNT</v>
      </c>
      <c r="Y898" s="2" t="s">
        <v>43</v>
      </c>
      <c r="Z898" s="2">
        <v>1793264</v>
      </c>
      <c r="AA898" s="2">
        <v>20251105</v>
      </c>
      <c r="AB898" s="3">
        <v>50000</v>
      </c>
    </row>
    <row r="899" spans="3:28" x14ac:dyDescent="0.25">
      <c r="C899" s="2">
        <v>10000001</v>
      </c>
      <c r="D899" s="2" t="s">
        <v>1211</v>
      </c>
      <c r="F899" s="2">
        <v>12009087</v>
      </c>
      <c r="H899" s="2" t="s">
        <v>1211</v>
      </c>
      <c r="I899" s="2" t="str">
        <f t="shared" si="13"/>
        <v>11</v>
      </c>
      <c r="J899" s="2">
        <v>50</v>
      </c>
      <c r="K899" s="3">
        <v>-350000</v>
      </c>
      <c r="L899" s="2" t="s">
        <v>26</v>
      </c>
      <c r="M899" s="3">
        <v>-350000</v>
      </c>
      <c r="N899" s="2" t="s">
        <v>26</v>
      </c>
      <c r="R899" s="2" t="s">
        <v>27</v>
      </c>
      <c r="S899" s="2" t="s">
        <v>1336</v>
      </c>
      <c r="T899" s="2" t="s">
        <v>334</v>
      </c>
      <c r="U899" s="2" t="s">
        <v>1337</v>
      </c>
      <c r="V899" s="4">
        <f>+VLOOKUP(U899,'FBCJ Jul-Des 2025'!$G$10:$P$1302,8,0)</f>
        <v>70001110</v>
      </c>
      <c r="W899" s="4" t="str">
        <f>+VLOOKUP(V899,Sheet1!$A$2:$B$27,2,0)</f>
        <v>Biaya Ekspor lainnya</v>
      </c>
      <c r="X899" s="4" t="str">
        <f>+VLOOKUP(U899,'FBCJ Jul-Des 2025'!$G$10:$P$1302,9,0)</f>
        <v>C206D1SLSS</v>
      </c>
      <c r="Y899" s="2" t="s">
        <v>43</v>
      </c>
      <c r="Z899" s="2">
        <v>1793264</v>
      </c>
      <c r="AA899" s="2">
        <v>20251105</v>
      </c>
      <c r="AB899" s="3">
        <v>350000</v>
      </c>
    </row>
    <row r="900" spans="3:28" x14ac:dyDescent="0.25">
      <c r="C900" s="2">
        <v>10000001</v>
      </c>
      <c r="D900" s="2" t="s">
        <v>1211</v>
      </c>
      <c r="F900" s="2">
        <v>12009088</v>
      </c>
      <c r="H900" s="2" t="s">
        <v>1211</v>
      </c>
      <c r="I900" s="2" t="str">
        <f t="shared" si="13"/>
        <v>11</v>
      </c>
      <c r="J900" s="2">
        <v>50</v>
      </c>
      <c r="K900" s="3">
        <v>-200000</v>
      </c>
      <c r="L900" s="2" t="s">
        <v>26</v>
      </c>
      <c r="M900" s="3">
        <v>-200000</v>
      </c>
      <c r="N900" s="2" t="s">
        <v>26</v>
      </c>
      <c r="R900" s="2" t="s">
        <v>27</v>
      </c>
      <c r="S900" s="2" t="s">
        <v>1336</v>
      </c>
      <c r="T900" s="2" t="s">
        <v>334</v>
      </c>
      <c r="U900" s="2" t="s">
        <v>1338</v>
      </c>
      <c r="V900" s="4">
        <f>+VLOOKUP(U900,'FBCJ Jul-Des 2025'!$G$10:$P$1302,8,0)</f>
        <v>70001110</v>
      </c>
      <c r="W900" s="4" t="str">
        <f>+VLOOKUP(V900,Sheet1!$A$2:$B$27,2,0)</f>
        <v>Biaya Ekspor lainnya</v>
      </c>
      <c r="X900" s="4" t="str">
        <f>+VLOOKUP(U900,'FBCJ Jul-Des 2025'!$G$10:$P$1302,9,0)</f>
        <v>P206D1SLSS</v>
      </c>
      <c r="Y900" s="2" t="s">
        <v>43</v>
      </c>
      <c r="Z900" s="2">
        <v>1793264</v>
      </c>
      <c r="AA900" s="2">
        <v>20251105</v>
      </c>
      <c r="AB900" s="3">
        <v>200000</v>
      </c>
    </row>
    <row r="901" spans="3:28" x14ac:dyDescent="0.25">
      <c r="C901" s="2">
        <v>10000001</v>
      </c>
      <c r="D901" s="2" t="s">
        <v>1211</v>
      </c>
      <c r="F901" s="2">
        <v>12009089</v>
      </c>
      <c r="H901" s="2" t="s">
        <v>1211</v>
      </c>
      <c r="I901" s="2" t="str">
        <f t="shared" si="13"/>
        <v>11</v>
      </c>
      <c r="J901" s="2">
        <v>50</v>
      </c>
      <c r="K901" s="3">
        <v>-50000</v>
      </c>
      <c r="L901" s="2" t="s">
        <v>26</v>
      </c>
      <c r="M901" s="3">
        <v>-50000</v>
      </c>
      <c r="N901" s="2" t="s">
        <v>26</v>
      </c>
      <c r="R901" s="2" t="s">
        <v>27</v>
      </c>
      <c r="S901" s="2" t="s">
        <v>1336</v>
      </c>
      <c r="T901" s="2" t="s">
        <v>259</v>
      </c>
      <c r="U901" s="2" t="s">
        <v>1339</v>
      </c>
      <c r="V901" s="4">
        <f>+VLOOKUP(U901,'FBCJ Jul-Des 2025'!$G$10:$P$1302,8,0)</f>
        <v>70119300</v>
      </c>
      <c r="W901" s="4" t="str">
        <f>+VLOOKUP(V901,Sheet1!$A$2:$B$27,2,0)</f>
        <v>Biaya Umum dan Administrasi</v>
      </c>
      <c r="X901" s="4" t="str">
        <f>+VLOOKUP(U901,'FBCJ Jul-Des 2025'!$G$10:$P$1302,9,0)</f>
        <v>P206D1SLSS</v>
      </c>
      <c r="Y901" s="2" t="s">
        <v>43</v>
      </c>
      <c r="Z901" s="2">
        <v>1793264</v>
      </c>
      <c r="AA901" s="2">
        <v>20251105</v>
      </c>
      <c r="AB901" s="3">
        <v>50000</v>
      </c>
    </row>
    <row r="902" spans="3:28" x14ac:dyDescent="0.25">
      <c r="C902" s="2">
        <v>10000001</v>
      </c>
      <c r="D902" s="2" t="s">
        <v>1211</v>
      </c>
      <c r="F902" s="2">
        <v>12009090</v>
      </c>
      <c r="H902" s="2" t="s">
        <v>1211</v>
      </c>
      <c r="I902" s="2" t="str">
        <f t="shared" si="13"/>
        <v>11</v>
      </c>
      <c r="J902" s="2">
        <v>50</v>
      </c>
      <c r="K902" s="3">
        <v>-200000</v>
      </c>
      <c r="L902" s="2" t="s">
        <v>26</v>
      </c>
      <c r="M902" s="3">
        <v>-200000</v>
      </c>
      <c r="N902" s="2" t="s">
        <v>26</v>
      </c>
      <c r="R902" s="2" t="s">
        <v>27</v>
      </c>
      <c r="S902" s="2" t="s">
        <v>1340</v>
      </c>
      <c r="T902" s="2" t="s">
        <v>96</v>
      </c>
      <c r="U902" s="2" t="s">
        <v>1341</v>
      </c>
      <c r="V902" s="4">
        <f>+VLOOKUP(U902,'FBCJ Jul-Des 2025'!$G$10:$P$1302,8,0)</f>
        <v>70106400</v>
      </c>
      <c r="W902" s="4" t="str">
        <f>+VLOOKUP(V902,Sheet1!$A$2:$B$27,2,0)</f>
        <v>Biaya Bahan Bakar</v>
      </c>
      <c r="X902" s="4" t="str">
        <f>+VLOOKUP(U902,'FBCJ Jul-Des 2025'!$G$10:$P$1302,9,0)</f>
        <v>R124D1HRGA</v>
      </c>
      <c r="Y902" s="2" t="s">
        <v>43</v>
      </c>
      <c r="Z902" s="2">
        <v>1793264</v>
      </c>
      <c r="AA902" s="2">
        <v>20251105</v>
      </c>
      <c r="AB902" s="3">
        <v>200000</v>
      </c>
    </row>
    <row r="903" spans="3:28" x14ac:dyDescent="0.25">
      <c r="C903" s="2">
        <v>10000001</v>
      </c>
      <c r="D903" s="2" t="s">
        <v>1211</v>
      </c>
      <c r="F903" s="2">
        <v>12009091</v>
      </c>
      <c r="H903" s="2" t="s">
        <v>1211</v>
      </c>
      <c r="I903" s="2" t="str">
        <f t="shared" si="13"/>
        <v>11</v>
      </c>
      <c r="J903" s="2">
        <v>50</v>
      </c>
      <c r="K903" s="3">
        <v>-798500</v>
      </c>
      <c r="L903" s="2" t="s">
        <v>26</v>
      </c>
      <c r="M903" s="3">
        <v>-798500</v>
      </c>
      <c r="N903" s="2" t="s">
        <v>26</v>
      </c>
      <c r="R903" s="2" t="s">
        <v>27</v>
      </c>
      <c r="S903" s="2" t="s">
        <v>1340</v>
      </c>
      <c r="T903" s="2" t="s">
        <v>67</v>
      </c>
      <c r="U903" s="2" t="s">
        <v>98</v>
      </c>
      <c r="V903" s="4">
        <f>+VLOOKUP(U903,'FBCJ Jul-Des 2025'!$G$10:$P$1302,8,0)</f>
        <v>70106100</v>
      </c>
      <c r="W903" s="4" t="str">
        <f>+VLOOKUP(V903,Sheet1!$A$2:$B$27,2,0)</f>
        <v>Biaya Transportasi Lokal</v>
      </c>
      <c r="X903" s="4" t="str">
        <f>+VLOOKUP(U903,'FBCJ Jul-Des 2025'!$G$10:$P$1302,9,0)</f>
        <v>R124D1HRGA</v>
      </c>
      <c r="Y903" s="2" t="s">
        <v>43</v>
      </c>
      <c r="Z903" s="2">
        <v>1793264</v>
      </c>
      <c r="AA903" s="2">
        <v>20251105</v>
      </c>
      <c r="AB903" s="3">
        <v>798500</v>
      </c>
    </row>
    <row r="904" spans="3:28" x14ac:dyDescent="0.25">
      <c r="C904" s="2">
        <v>10000001</v>
      </c>
      <c r="D904" s="2" t="s">
        <v>1211</v>
      </c>
      <c r="F904" s="2">
        <v>12009092</v>
      </c>
      <c r="H904" s="2" t="s">
        <v>1211</v>
      </c>
      <c r="I904" s="2" t="str">
        <f t="shared" ref="I904:I967" si="14">+MID(H904,4,2)</f>
        <v>11</v>
      </c>
      <c r="J904" s="2">
        <v>50</v>
      </c>
      <c r="K904" s="3">
        <v>-50000</v>
      </c>
      <c r="L904" s="2" t="s">
        <v>26</v>
      </c>
      <c r="M904" s="3">
        <v>-50000</v>
      </c>
      <c r="N904" s="2" t="s">
        <v>26</v>
      </c>
      <c r="R904" s="2" t="s">
        <v>27</v>
      </c>
      <c r="S904" s="2" t="s">
        <v>1342</v>
      </c>
      <c r="T904" s="2" t="s">
        <v>334</v>
      </c>
      <c r="U904" s="2" t="s">
        <v>1343</v>
      </c>
      <c r="V904" s="4">
        <f>+VLOOKUP(U904,'FBCJ Jul-Des 2025'!$G$10:$P$1302,8,0)</f>
        <v>70001110</v>
      </c>
      <c r="W904" s="4" t="str">
        <f>+VLOOKUP(V904,Sheet1!$A$2:$B$27,2,0)</f>
        <v>Biaya Ekspor lainnya</v>
      </c>
      <c r="X904" s="4" t="str">
        <f>+VLOOKUP(U904,'FBCJ Jul-Des 2025'!$G$10:$P$1302,9,0)</f>
        <v>P206D1SLSS</v>
      </c>
      <c r="Y904" s="2" t="s">
        <v>43</v>
      </c>
      <c r="Z904" s="2">
        <v>1793264</v>
      </c>
      <c r="AA904" s="2">
        <v>20251105</v>
      </c>
      <c r="AB904" s="3">
        <v>50000</v>
      </c>
    </row>
    <row r="905" spans="3:28" x14ac:dyDescent="0.25">
      <c r="C905" s="2">
        <v>10000001</v>
      </c>
      <c r="D905" s="2" t="s">
        <v>1211</v>
      </c>
      <c r="F905" s="2">
        <v>12009093</v>
      </c>
      <c r="H905" s="2" t="s">
        <v>1211</v>
      </c>
      <c r="I905" s="2" t="str">
        <f t="shared" si="14"/>
        <v>11</v>
      </c>
      <c r="J905" s="2">
        <v>50</v>
      </c>
      <c r="K905" s="3">
        <v>-100000</v>
      </c>
      <c r="L905" s="2" t="s">
        <v>26</v>
      </c>
      <c r="M905" s="3">
        <v>-100000</v>
      </c>
      <c r="N905" s="2" t="s">
        <v>26</v>
      </c>
      <c r="R905" s="2" t="s">
        <v>27</v>
      </c>
      <c r="S905" s="2" t="s">
        <v>1344</v>
      </c>
      <c r="T905" s="2" t="s">
        <v>129</v>
      </c>
      <c r="U905" s="2" t="s">
        <v>1345</v>
      </c>
      <c r="V905" s="4">
        <f>+VLOOKUP(U905,'FBCJ Jul-Des 2025'!$G$10:$P$1302,8,0)</f>
        <v>70101102</v>
      </c>
      <c r="W905" s="4" t="str">
        <f>+VLOOKUP(V905,Sheet1!$A$2:$B$27,2,0)</f>
        <v>By Pemeliharaan BgnanPrasarana Material Pihak3</v>
      </c>
      <c r="X905" s="4" t="str">
        <f>+VLOOKUP(U905,'FBCJ Jul-Des 2025'!$G$10:$P$1302,9,0)</f>
        <v>R124WHRS</v>
      </c>
      <c r="Y905" s="2" t="s">
        <v>43</v>
      </c>
      <c r="Z905" s="2">
        <v>1793264</v>
      </c>
      <c r="AA905" s="2">
        <v>20251105</v>
      </c>
      <c r="AB905" s="3">
        <v>100000</v>
      </c>
    </row>
    <row r="906" spans="3:28" x14ac:dyDescent="0.25">
      <c r="C906" s="2">
        <v>10000001</v>
      </c>
      <c r="D906" s="2" t="s">
        <v>1211</v>
      </c>
      <c r="F906" s="2">
        <v>12009094</v>
      </c>
      <c r="H906" s="2" t="s">
        <v>1211</v>
      </c>
      <c r="I906" s="2" t="str">
        <f t="shared" si="14"/>
        <v>11</v>
      </c>
      <c r="J906" s="2">
        <v>50</v>
      </c>
      <c r="K906" s="3">
        <v>-500000</v>
      </c>
      <c r="L906" s="2" t="s">
        <v>26</v>
      </c>
      <c r="M906" s="3">
        <v>-500000</v>
      </c>
      <c r="N906" s="2" t="s">
        <v>26</v>
      </c>
      <c r="R906" s="2" t="s">
        <v>27</v>
      </c>
      <c r="S906" s="2" t="s">
        <v>1346</v>
      </c>
      <c r="T906" s="2" t="s">
        <v>41</v>
      </c>
      <c r="U906" s="2" t="s">
        <v>1347</v>
      </c>
      <c r="V906" s="4">
        <f>+VLOOKUP(U906,'FBCJ Jul-Des 2025'!$G$10:$P$1302,8,0)</f>
        <v>70107300</v>
      </c>
      <c r="W906" s="4" t="str">
        <f>+VLOOKUP(V906,Sheet1!$A$2:$B$27,2,0)</f>
        <v>Biaya Olahraga Dan Permainan</v>
      </c>
      <c r="X906" s="4" t="str">
        <f>+VLOOKUP(U906,'FBCJ Jul-Des 2025'!$G$10:$P$1302,9,0)</f>
        <v>R124D1HRDV</v>
      </c>
      <c r="Y906" s="2" t="s">
        <v>43</v>
      </c>
      <c r="Z906" s="2">
        <v>1793264</v>
      </c>
      <c r="AA906" s="2">
        <v>20251105</v>
      </c>
      <c r="AB906" s="3">
        <v>500000</v>
      </c>
    </row>
    <row r="907" spans="3:28" x14ac:dyDescent="0.25">
      <c r="C907" s="2">
        <v>10000001</v>
      </c>
      <c r="D907" s="2" t="s">
        <v>1211</v>
      </c>
      <c r="F907" s="2">
        <v>12009095</v>
      </c>
      <c r="H907" s="2" t="s">
        <v>1211</v>
      </c>
      <c r="I907" s="2" t="str">
        <f t="shared" si="14"/>
        <v>11</v>
      </c>
      <c r="J907" s="2">
        <v>50</v>
      </c>
      <c r="K907" s="3">
        <v>-826800</v>
      </c>
      <c r="L907" s="2" t="s">
        <v>26</v>
      </c>
      <c r="M907" s="3">
        <v>-826800</v>
      </c>
      <c r="N907" s="2" t="s">
        <v>26</v>
      </c>
      <c r="R907" s="2" t="s">
        <v>27</v>
      </c>
      <c r="S907" s="2" t="s">
        <v>1348</v>
      </c>
      <c r="T907" s="2" t="s">
        <v>126</v>
      </c>
      <c r="U907" s="2" t="s">
        <v>1349</v>
      </c>
      <c r="V907" s="4">
        <f>+VLOOKUP(U907,'FBCJ Jul-Des 2025'!$G$10:$P$1302,8,0)</f>
        <v>70107600</v>
      </c>
      <c r="W907" s="4" t="str">
        <f>+VLOOKUP(V907,Sheet1!$A$2:$B$27,2,0)</f>
        <v>Biaya Konsumsi Kantor</v>
      </c>
      <c r="X907" s="4" t="str">
        <f>+VLOOKUP(U907,'FBCJ Jul-Des 2025'!$G$10:$P$1302,9,0)</f>
        <v>R124D1EHFS</v>
      </c>
      <c r="Y907" s="2" t="s">
        <v>43</v>
      </c>
      <c r="Z907" s="2">
        <v>1793264</v>
      </c>
      <c r="AA907" s="2">
        <v>20251105</v>
      </c>
      <c r="AB907" s="3">
        <v>826800</v>
      </c>
    </row>
    <row r="908" spans="3:28" x14ac:dyDescent="0.25">
      <c r="C908" s="2">
        <v>10000001</v>
      </c>
      <c r="D908" s="2" t="s">
        <v>1211</v>
      </c>
      <c r="F908" s="2">
        <v>12009096</v>
      </c>
      <c r="H908" s="2" t="s">
        <v>1211</v>
      </c>
      <c r="I908" s="2" t="str">
        <f t="shared" si="14"/>
        <v>11</v>
      </c>
      <c r="J908" s="2">
        <v>50</v>
      </c>
      <c r="K908" s="3">
        <v>-75000</v>
      </c>
      <c r="L908" s="2" t="s">
        <v>26</v>
      </c>
      <c r="M908" s="3">
        <v>-75000</v>
      </c>
      <c r="N908" s="2" t="s">
        <v>26</v>
      </c>
      <c r="R908" s="2" t="s">
        <v>27</v>
      </c>
      <c r="S908" s="2" t="s">
        <v>1350</v>
      </c>
      <c r="T908" s="2" t="s">
        <v>126</v>
      </c>
      <c r="U908" s="2" t="s">
        <v>1351</v>
      </c>
      <c r="V908" s="4">
        <f>+VLOOKUP(U908,'FBCJ Jul-Des 2025'!$G$10:$P$1302,8,0)</f>
        <v>70107600</v>
      </c>
      <c r="W908" s="4" t="str">
        <f>+VLOOKUP(V908,Sheet1!$A$2:$B$27,2,0)</f>
        <v>Biaya Konsumsi Kantor</v>
      </c>
      <c r="X908" s="4" t="str">
        <f>+VLOOKUP(U908,'FBCJ Jul-Des 2025'!$G$10:$P$1302,9,0)</f>
        <v>R124MNT</v>
      </c>
      <c r="Y908" s="2" t="s">
        <v>43</v>
      </c>
      <c r="Z908" s="2">
        <v>1793264</v>
      </c>
      <c r="AA908" s="2">
        <v>20251105</v>
      </c>
      <c r="AB908" s="3">
        <v>75000</v>
      </c>
    </row>
    <row r="909" spans="3:28" x14ac:dyDescent="0.25">
      <c r="C909" s="2">
        <v>10000001</v>
      </c>
      <c r="D909" s="2" t="s">
        <v>1211</v>
      </c>
      <c r="F909" s="2">
        <v>12009097</v>
      </c>
      <c r="H909" s="2" t="s">
        <v>1211</v>
      </c>
      <c r="I909" s="2" t="str">
        <f t="shared" si="14"/>
        <v>11</v>
      </c>
      <c r="J909" s="2">
        <v>50</v>
      </c>
      <c r="K909" s="3">
        <v>-75000</v>
      </c>
      <c r="L909" s="2" t="s">
        <v>26</v>
      </c>
      <c r="M909" s="3">
        <v>-75000</v>
      </c>
      <c r="N909" s="2" t="s">
        <v>26</v>
      </c>
      <c r="R909" s="2" t="s">
        <v>27</v>
      </c>
      <c r="S909" s="2" t="s">
        <v>1352</v>
      </c>
      <c r="T909" s="2" t="s">
        <v>126</v>
      </c>
      <c r="U909" s="2" t="s">
        <v>1353</v>
      </c>
      <c r="V909" s="4">
        <f>+VLOOKUP(U909,'FBCJ Jul-Des 2025'!$G$10:$P$1302,8,0)</f>
        <v>70107600</v>
      </c>
      <c r="W909" s="4" t="str">
        <f>+VLOOKUP(V909,Sheet1!$A$2:$B$27,2,0)</f>
        <v>Biaya Konsumsi Kantor</v>
      </c>
      <c r="X909" s="4" t="str">
        <f>+VLOOKUP(U909,'FBCJ Jul-Des 2025'!$G$10:$P$1302,9,0)</f>
        <v>R124MNT</v>
      </c>
      <c r="Y909" s="2" t="s">
        <v>43</v>
      </c>
      <c r="Z909" s="2">
        <v>1793264</v>
      </c>
      <c r="AA909" s="2">
        <v>20251105</v>
      </c>
      <c r="AB909" s="3">
        <v>75000</v>
      </c>
    </row>
    <row r="910" spans="3:28" x14ac:dyDescent="0.25">
      <c r="C910" s="2">
        <v>10000001</v>
      </c>
      <c r="D910" s="2" t="s">
        <v>1211</v>
      </c>
      <c r="F910" s="2">
        <v>12009098</v>
      </c>
      <c r="H910" s="2" t="s">
        <v>1211</v>
      </c>
      <c r="I910" s="2" t="str">
        <f t="shared" si="14"/>
        <v>11</v>
      </c>
      <c r="J910" s="2">
        <v>50</v>
      </c>
      <c r="K910" s="3">
        <v>-50000</v>
      </c>
      <c r="L910" s="2" t="s">
        <v>26</v>
      </c>
      <c r="M910" s="3">
        <v>-50000</v>
      </c>
      <c r="N910" s="2" t="s">
        <v>26</v>
      </c>
      <c r="R910" s="2" t="s">
        <v>27</v>
      </c>
      <c r="S910" s="2" t="s">
        <v>1354</v>
      </c>
      <c r="T910" s="2" t="s">
        <v>126</v>
      </c>
      <c r="U910" s="2" t="s">
        <v>1355</v>
      </c>
      <c r="V910" s="4">
        <f>+VLOOKUP(U910,'FBCJ Jul-Des 2025'!$G$10:$P$1302,8,0)</f>
        <v>70107600</v>
      </c>
      <c r="W910" s="4" t="str">
        <f>+VLOOKUP(V910,Sheet1!$A$2:$B$27,2,0)</f>
        <v>Biaya Konsumsi Kantor</v>
      </c>
      <c r="X910" s="4" t="str">
        <f>+VLOOKUP(U910,'FBCJ Jul-Des 2025'!$G$10:$P$1302,9,0)</f>
        <v>R124MNT</v>
      </c>
      <c r="Y910" s="2" t="s">
        <v>43</v>
      </c>
      <c r="Z910" s="2">
        <v>1793264</v>
      </c>
      <c r="AA910" s="2">
        <v>20251105</v>
      </c>
      <c r="AB910" s="3">
        <v>50000</v>
      </c>
    </row>
    <row r="911" spans="3:28" x14ac:dyDescent="0.25">
      <c r="C911" s="2">
        <v>10000001</v>
      </c>
      <c r="D911" s="2" t="s">
        <v>1211</v>
      </c>
      <c r="F911" s="2">
        <v>12009099</v>
      </c>
      <c r="H911" s="2" t="s">
        <v>1211</v>
      </c>
      <c r="I911" s="2" t="str">
        <f t="shared" si="14"/>
        <v>11</v>
      </c>
      <c r="J911" s="2">
        <v>50</v>
      </c>
      <c r="K911" s="3">
        <v>-50000</v>
      </c>
      <c r="L911" s="2" t="s">
        <v>26</v>
      </c>
      <c r="M911" s="3">
        <v>-50000</v>
      </c>
      <c r="N911" s="2" t="s">
        <v>26</v>
      </c>
      <c r="R911" s="2" t="s">
        <v>27</v>
      </c>
      <c r="S911" s="2" t="s">
        <v>1356</v>
      </c>
      <c r="T911" s="2" t="s">
        <v>334</v>
      </c>
      <c r="U911" s="2" t="s">
        <v>1357</v>
      </c>
      <c r="V911" s="4">
        <f>+VLOOKUP(U911,'FBCJ Jul-Des 2025'!$G$10:$P$1302,8,0)</f>
        <v>70001110</v>
      </c>
      <c r="W911" s="4" t="str">
        <f>+VLOOKUP(V911,Sheet1!$A$2:$B$27,2,0)</f>
        <v>Biaya Ekspor lainnya</v>
      </c>
      <c r="X911" s="4" t="str">
        <f>+VLOOKUP(U911,'FBCJ Jul-Des 2025'!$G$10:$P$1302,9,0)</f>
        <v>M204D1COMM</v>
      </c>
      <c r="Y911" s="2" t="s">
        <v>43</v>
      </c>
      <c r="Z911" s="2">
        <v>1793264</v>
      </c>
      <c r="AA911" s="2">
        <v>20251105</v>
      </c>
      <c r="AB911" s="3">
        <v>50000</v>
      </c>
    </row>
    <row r="912" spans="3:28" x14ac:dyDescent="0.25">
      <c r="C912" s="2">
        <v>10000001</v>
      </c>
      <c r="D912" s="2" t="s">
        <v>1211</v>
      </c>
      <c r="F912" s="2">
        <v>12009100</v>
      </c>
      <c r="H912" s="2" t="s">
        <v>1211</v>
      </c>
      <c r="I912" s="2" t="str">
        <f t="shared" si="14"/>
        <v>11</v>
      </c>
      <c r="J912" s="2">
        <v>50</v>
      </c>
      <c r="K912" s="3">
        <v>-50000</v>
      </c>
      <c r="L912" s="2" t="s">
        <v>26</v>
      </c>
      <c r="M912" s="3">
        <v>-50000</v>
      </c>
      <c r="N912" s="2" t="s">
        <v>26</v>
      </c>
      <c r="R912" s="2" t="s">
        <v>27</v>
      </c>
      <c r="S912" s="2" t="s">
        <v>1356</v>
      </c>
      <c r="T912" s="2" t="s">
        <v>334</v>
      </c>
      <c r="U912" s="2" t="s">
        <v>1358</v>
      </c>
      <c r="V912" s="4">
        <f>+VLOOKUP(U912,'FBCJ Jul-Des 2025'!$G$10:$P$1302,8,0)</f>
        <v>70001110</v>
      </c>
      <c r="W912" s="4" t="str">
        <f>+VLOOKUP(V912,Sheet1!$A$2:$B$27,2,0)</f>
        <v>Biaya Ekspor lainnya</v>
      </c>
      <c r="X912" s="4" t="str">
        <f>+VLOOKUP(U912,'FBCJ Jul-Des 2025'!$G$10:$P$1302,9,0)</f>
        <v>M204D1COMM</v>
      </c>
      <c r="Y912" s="2" t="s">
        <v>43</v>
      </c>
      <c r="Z912" s="2">
        <v>1793264</v>
      </c>
      <c r="AA912" s="2">
        <v>20251105</v>
      </c>
      <c r="AB912" s="3">
        <v>50000</v>
      </c>
    </row>
    <row r="913" spans="3:28" x14ac:dyDescent="0.25">
      <c r="C913" s="2">
        <v>10000001</v>
      </c>
      <c r="D913" s="2" t="s">
        <v>1211</v>
      </c>
      <c r="F913" s="2">
        <v>12009101</v>
      </c>
      <c r="H913" s="2" t="s">
        <v>1211</v>
      </c>
      <c r="I913" s="2" t="str">
        <f t="shared" si="14"/>
        <v>11</v>
      </c>
      <c r="J913" s="2">
        <v>50</v>
      </c>
      <c r="K913" s="3">
        <v>-50000</v>
      </c>
      <c r="L913" s="2" t="s">
        <v>26</v>
      </c>
      <c r="M913" s="3">
        <v>-50000</v>
      </c>
      <c r="N913" s="2" t="s">
        <v>26</v>
      </c>
      <c r="R913" s="2" t="s">
        <v>27</v>
      </c>
      <c r="S913" s="2" t="s">
        <v>1356</v>
      </c>
      <c r="T913" s="2" t="s">
        <v>334</v>
      </c>
      <c r="U913" s="2" t="s">
        <v>1359</v>
      </c>
      <c r="V913" s="4">
        <f>+VLOOKUP(U913,'FBCJ Jul-Des 2025'!$G$10:$P$1302,8,0)</f>
        <v>70001110</v>
      </c>
      <c r="W913" s="4" t="str">
        <f>+VLOOKUP(V913,Sheet1!$A$2:$B$27,2,0)</f>
        <v>Biaya Ekspor lainnya</v>
      </c>
      <c r="X913" s="4" t="str">
        <f>+VLOOKUP(U913,'FBCJ Jul-Des 2025'!$G$10:$P$1302,9,0)</f>
        <v>C206D1SLSS</v>
      </c>
      <c r="Y913" s="2" t="s">
        <v>43</v>
      </c>
      <c r="Z913" s="2">
        <v>1793264</v>
      </c>
      <c r="AA913" s="2">
        <v>20251105</v>
      </c>
      <c r="AB913" s="3">
        <v>50000</v>
      </c>
    </row>
    <row r="914" spans="3:28" x14ac:dyDescent="0.25">
      <c r="C914" s="2">
        <v>10000001</v>
      </c>
      <c r="D914" s="2" t="s">
        <v>1211</v>
      </c>
      <c r="F914" s="2">
        <v>12009102</v>
      </c>
      <c r="H914" s="2" t="s">
        <v>1211</v>
      </c>
      <c r="I914" s="2" t="str">
        <f t="shared" si="14"/>
        <v>11</v>
      </c>
      <c r="J914" s="2">
        <v>50</v>
      </c>
      <c r="K914" s="3">
        <v>-50000</v>
      </c>
      <c r="L914" s="2" t="s">
        <v>26</v>
      </c>
      <c r="M914" s="3">
        <v>-50000</v>
      </c>
      <c r="N914" s="2" t="s">
        <v>26</v>
      </c>
      <c r="R914" s="2" t="s">
        <v>27</v>
      </c>
      <c r="S914" s="2" t="s">
        <v>1356</v>
      </c>
      <c r="T914" s="2" t="s">
        <v>334</v>
      </c>
      <c r="U914" s="2" t="s">
        <v>1360</v>
      </c>
      <c r="V914" s="4">
        <f>+VLOOKUP(U914,'FBCJ Jul-Des 2025'!$G$10:$P$1302,8,0)</f>
        <v>70001110</v>
      </c>
      <c r="W914" s="4" t="str">
        <f>+VLOOKUP(V914,Sheet1!$A$2:$B$27,2,0)</f>
        <v>Biaya Ekspor lainnya</v>
      </c>
      <c r="X914" s="4" t="str">
        <f>+VLOOKUP(U914,'FBCJ Jul-Des 2025'!$G$10:$P$1302,9,0)</f>
        <v>P206D1SLSS</v>
      </c>
      <c r="Y914" s="2" t="s">
        <v>43</v>
      </c>
      <c r="Z914" s="2">
        <v>1793264</v>
      </c>
      <c r="AA914" s="2">
        <v>20251105</v>
      </c>
      <c r="AB914" s="3">
        <v>50000</v>
      </c>
    </row>
    <row r="915" spans="3:28" x14ac:dyDescent="0.25">
      <c r="C915" s="2">
        <v>10000001</v>
      </c>
      <c r="D915" s="2" t="s">
        <v>1211</v>
      </c>
      <c r="F915" s="2">
        <v>12009103</v>
      </c>
      <c r="H915" s="2" t="s">
        <v>1211</v>
      </c>
      <c r="I915" s="2" t="str">
        <f t="shared" si="14"/>
        <v>11</v>
      </c>
      <c r="J915" s="2">
        <v>50</v>
      </c>
      <c r="K915" s="3">
        <v>-50000</v>
      </c>
      <c r="L915" s="2" t="s">
        <v>26</v>
      </c>
      <c r="M915" s="3">
        <v>-50000</v>
      </c>
      <c r="N915" s="2" t="s">
        <v>26</v>
      </c>
      <c r="R915" s="2" t="s">
        <v>27</v>
      </c>
      <c r="S915" s="2" t="s">
        <v>1356</v>
      </c>
      <c r="T915" s="2" t="s">
        <v>334</v>
      </c>
      <c r="U915" s="2" t="s">
        <v>1361</v>
      </c>
      <c r="V915" s="4">
        <f>+VLOOKUP(U915,'FBCJ Jul-Des 2025'!$G$10:$P$1302,8,0)</f>
        <v>70001110</v>
      </c>
      <c r="W915" s="4" t="str">
        <f>+VLOOKUP(V915,Sheet1!$A$2:$B$27,2,0)</f>
        <v>Biaya Ekspor lainnya</v>
      </c>
      <c r="X915" s="4" t="str">
        <f>+VLOOKUP(U915,'FBCJ Jul-Des 2025'!$G$10:$P$1302,9,0)</f>
        <v>P206D1SLSS</v>
      </c>
      <c r="Y915" s="2" t="s">
        <v>43</v>
      </c>
      <c r="Z915" s="2">
        <v>1793264</v>
      </c>
      <c r="AA915" s="2">
        <v>20251105</v>
      </c>
      <c r="AB915" s="3">
        <v>50000</v>
      </c>
    </row>
    <row r="916" spans="3:28" x14ac:dyDescent="0.25">
      <c r="C916" s="2">
        <v>10000001</v>
      </c>
      <c r="D916" s="2" t="s">
        <v>1211</v>
      </c>
      <c r="F916" s="2">
        <v>12009104</v>
      </c>
      <c r="H916" s="2" t="s">
        <v>1211</v>
      </c>
      <c r="I916" s="2" t="str">
        <f t="shared" si="14"/>
        <v>11</v>
      </c>
      <c r="J916" s="2">
        <v>50</v>
      </c>
      <c r="K916" s="3">
        <v>-50000</v>
      </c>
      <c r="L916" s="2" t="s">
        <v>26</v>
      </c>
      <c r="M916" s="3">
        <v>-50000</v>
      </c>
      <c r="N916" s="2" t="s">
        <v>26</v>
      </c>
      <c r="R916" s="2" t="s">
        <v>27</v>
      </c>
      <c r="S916" s="2" t="s">
        <v>1356</v>
      </c>
      <c r="T916" s="2" t="s">
        <v>334</v>
      </c>
      <c r="U916" s="2" t="s">
        <v>1362</v>
      </c>
      <c r="V916" s="4">
        <f>+VLOOKUP(U916,'FBCJ Jul-Des 2025'!$G$10:$P$1302,8,0)</f>
        <v>70001110</v>
      </c>
      <c r="W916" s="4" t="str">
        <f>+VLOOKUP(V916,Sheet1!$A$2:$B$27,2,0)</f>
        <v>Biaya Ekspor lainnya</v>
      </c>
      <c r="X916" s="4" t="str">
        <f>+VLOOKUP(U916,'FBCJ Jul-Des 2025'!$G$10:$P$1302,9,0)</f>
        <v>P206D1SLSS</v>
      </c>
      <c r="Y916" s="2" t="s">
        <v>43</v>
      </c>
      <c r="Z916" s="2">
        <v>1793264</v>
      </c>
      <c r="AA916" s="2">
        <v>20251105</v>
      </c>
      <c r="AB916" s="3">
        <v>50000</v>
      </c>
    </row>
    <row r="917" spans="3:28" x14ac:dyDescent="0.25">
      <c r="C917" s="2">
        <v>10000001</v>
      </c>
      <c r="D917" s="2" t="s">
        <v>1211</v>
      </c>
      <c r="F917" s="2">
        <v>12009105</v>
      </c>
      <c r="H917" s="2" t="s">
        <v>1211</v>
      </c>
      <c r="I917" s="2" t="str">
        <f t="shared" si="14"/>
        <v>11</v>
      </c>
      <c r="J917" s="2">
        <v>50</v>
      </c>
      <c r="K917" s="3">
        <v>-50000</v>
      </c>
      <c r="L917" s="2" t="s">
        <v>26</v>
      </c>
      <c r="M917" s="3">
        <v>-50000</v>
      </c>
      <c r="N917" s="2" t="s">
        <v>26</v>
      </c>
      <c r="R917" s="2" t="s">
        <v>27</v>
      </c>
      <c r="S917" s="2" t="s">
        <v>1356</v>
      </c>
      <c r="T917" s="2" t="s">
        <v>334</v>
      </c>
      <c r="U917" s="2" t="s">
        <v>1363</v>
      </c>
      <c r="V917" s="4">
        <f>+VLOOKUP(U917,'FBCJ Jul-Des 2025'!$G$10:$P$1302,8,0)</f>
        <v>70001110</v>
      </c>
      <c r="W917" s="4" t="str">
        <f>+VLOOKUP(V917,Sheet1!$A$2:$B$27,2,0)</f>
        <v>Biaya Ekspor lainnya</v>
      </c>
      <c r="X917" s="4" t="str">
        <f>+VLOOKUP(U917,'FBCJ Jul-Des 2025'!$G$10:$P$1302,9,0)</f>
        <v>P206D1SLSC</v>
      </c>
      <c r="Y917" s="2" t="s">
        <v>43</v>
      </c>
      <c r="Z917" s="2">
        <v>1793264</v>
      </c>
      <c r="AA917" s="2">
        <v>20251105</v>
      </c>
      <c r="AB917" s="3">
        <v>50000</v>
      </c>
    </row>
    <row r="918" spans="3:28" x14ac:dyDescent="0.25">
      <c r="C918" s="2">
        <v>10000001</v>
      </c>
      <c r="D918" s="2" t="s">
        <v>1211</v>
      </c>
      <c r="F918" s="2">
        <v>12009106</v>
      </c>
      <c r="H918" s="2" t="s">
        <v>1211</v>
      </c>
      <c r="I918" s="2" t="str">
        <f t="shared" si="14"/>
        <v>11</v>
      </c>
      <c r="J918" s="2">
        <v>50</v>
      </c>
      <c r="K918" s="3">
        <v>-50000</v>
      </c>
      <c r="L918" s="2" t="s">
        <v>26</v>
      </c>
      <c r="M918" s="3">
        <v>-50000</v>
      </c>
      <c r="N918" s="2" t="s">
        <v>26</v>
      </c>
      <c r="R918" s="2" t="s">
        <v>27</v>
      </c>
      <c r="S918" s="2" t="s">
        <v>1356</v>
      </c>
      <c r="T918" s="2" t="s">
        <v>334</v>
      </c>
      <c r="U918" s="2" t="s">
        <v>1364</v>
      </c>
      <c r="V918" s="4">
        <f>+VLOOKUP(U918,'FBCJ Jul-Des 2025'!$G$10:$P$1302,8,0)</f>
        <v>70001110</v>
      </c>
      <c r="W918" s="4" t="str">
        <f>+VLOOKUP(V918,Sheet1!$A$2:$B$27,2,0)</f>
        <v>Biaya Ekspor lainnya</v>
      </c>
      <c r="X918" s="4" t="str">
        <f>+VLOOKUP(U918,'FBCJ Jul-Des 2025'!$G$10:$P$1302,9,0)</f>
        <v>M204D1COMM</v>
      </c>
      <c r="Y918" s="2" t="s">
        <v>43</v>
      </c>
      <c r="Z918" s="2">
        <v>1793264</v>
      </c>
      <c r="AA918" s="2">
        <v>20251105</v>
      </c>
      <c r="AB918" s="3">
        <v>50000</v>
      </c>
    </row>
    <row r="919" spans="3:28" x14ac:dyDescent="0.25">
      <c r="C919" s="2">
        <v>10000001</v>
      </c>
      <c r="D919" s="2" t="s">
        <v>1211</v>
      </c>
      <c r="F919" s="2">
        <v>12009107</v>
      </c>
      <c r="H919" s="2" t="s">
        <v>1211</v>
      </c>
      <c r="I919" s="2" t="str">
        <f t="shared" si="14"/>
        <v>11</v>
      </c>
      <c r="J919" s="2">
        <v>50</v>
      </c>
      <c r="K919" s="3">
        <v>-50000</v>
      </c>
      <c r="L919" s="2" t="s">
        <v>26</v>
      </c>
      <c r="M919" s="3">
        <v>-50000</v>
      </c>
      <c r="N919" s="2" t="s">
        <v>26</v>
      </c>
      <c r="R919" s="2" t="s">
        <v>27</v>
      </c>
      <c r="S919" s="2" t="s">
        <v>1356</v>
      </c>
      <c r="T919" s="2" t="s">
        <v>334</v>
      </c>
      <c r="U919" s="2" t="s">
        <v>1365</v>
      </c>
      <c r="V919" s="4">
        <f>+VLOOKUP(U919,'FBCJ Jul-Des 2025'!$G$10:$P$1302,8,0)</f>
        <v>70001110</v>
      </c>
      <c r="W919" s="4" t="str">
        <f>+VLOOKUP(V919,Sheet1!$A$2:$B$27,2,0)</f>
        <v>Biaya Ekspor lainnya</v>
      </c>
      <c r="X919" s="4" t="str">
        <f>+VLOOKUP(U919,'FBCJ Jul-Des 2025'!$G$10:$P$1302,9,0)</f>
        <v>P206D1SLSC</v>
      </c>
      <c r="Y919" s="2" t="s">
        <v>43</v>
      </c>
      <c r="Z919" s="2">
        <v>1793264</v>
      </c>
      <c r="AA919" s="2">
        <v>20251105</v>
      </c>
      <c r="AB919" s="3">
        <v>50000</v>
      </c>
    </row>
    <row r="920" spans="3:28" x14ac:dyDescent="0.25">
      <c r="C920" s="2">
        <v>10000001</v>
      </c>
      <c r="D920" s="2" t="s">
        <v>1211</v>
      </c>
      <c r="F920" s="2">
        <v>12009108</v>
      </c>
      <c r="H920" s="2" t="s">
        <v>1211</v>
      </c>
      <c r="I920" s="2" t="str">
        <f t="shared" si="14"/>
        <v>11</v>
      </c>
      <c r="J920" s="2">
        <v>50</v>
      </c>
      <c r="K920" s="3">
        <v>-50000</v>
      </c>
      <c r="L920" s="2" t="s">
        <v>26</v>
      </c>
      <c r="M920" s="3">
        <v>-50000</v>
      </c>
      <c r="N920" s="2" t="s">
        <v>26</v>
      </c>
      <c r="R920" s="2" t="s">
        <v>27</v>
      </c>
      <c r="S920" s="2" t="s">
        <v>1366</v>
      </c>
      <c r="T920" s="2" t="s">
        <v>334</v>
      </c>
      <c r="U920" s="2" t="s">
        <v>1367</v>
      </c>
      <c r="V920" s="4">
        <f>+VLOOKUP(U920,'FBCJ Jul-Des 2025'!$G$10:$P$1302,8,0)</f>
        <v>70001110</v>
      </c>
      <c r="W920" s="4" t="str">
        <f>+VLOOKUP(V920,Sheet1!$A$2:$B$27,2,0)</f>
        <v>Biaya Ekspor lainnya</v>
      </c>
      <c r="X920" s="4" t="str">
        <f>+VLOOKUP(U920,'FBCJ Jul-Des 2025'!$G$10:$P$1302,9,0)</f>
        <v>P206D1SLSS</v>
      </c>
      <c r="Y920" s="2" t="s">
        <v>43</v>
      </c>
      <c r="Z920" s="2">
        <v>1793264</v>
      </c>
      <c r="AA920" s="2">
        <v>20251105</v>
      </c>
      <c r="AB920" s="3">
        <v>50000</v>
      </c>
    </row>
    <row r="921" spans="3:28" x14ac:dyDescent="0.25">
      <c r="C921" s="2">
        <v>10000001</v>
      </c>
      <c r="D921" s="2" t="s">
        <v>1211</v>
      </c>
      <c r="F921" s="2">
        <v>12009109</v>
      </c>
      <c r="H921" s="2" t="s">
        <v>1211</v>
      </c>
      <c r="I921" s="2" t="str">
        <f t="shared" si="14"/>
        <v>11</v>
      </c>
      <c r="J921" s="2">
        <v>50</v>
      </c>
      <c r="K921" s="3">
        <v>-50000</v>
      </c>
      <c r="L921" s="2" t="s">
        <v>26</v>
      </c>
      <c r="M921" s="3">
        <v>-50000</v>
      </c>
      <c r="N921" s="2" t="s">
        <v>26</v>
      </c>
      <c r="R921" s="2" t="s">
        <v>27</v>
      </c>
      <c r="S921" s="2" t="s">
        <v>1366</v>
      </c>
      <c r="T921" s="2" t="s">
        <v>334</v>
      </c>
      <c r="U921" s="2" t="s">
        <v>1368</v>
      </c>
      <c r="V921" s="4">
        <f>+VLOOKUP(U921,'FBCJ Jul-Des 2025'!$G$10:$P$1302,8,0)</f>
        <v>70001110</v>
      </c>
      <c r="W921" s="4" t="str">
        <f>+VLOOKUP(V921,Sheet1!$A$2:$B$27,2,0)</f>
        <v>Biaya Ekspor lainnya</v>
      </c>
      <c r="X921" s="4" t="str">
        <f>+VLOOKUP(U921,'FBCJ Jul-Des 2025'!$G$10:$P$1302,9,0)</f>
        <v>P206D1SLSC</v>
      </c>
      <c r="Y921" s="2" t="s">
        <v>43</v>
      </c>
      <c r="Z921" s="2">
        <v>1793264</v>
      </c>
      <c r="AA921" s="2">
        <v>20251105</v>
      </c>
      <c r="AB921" s="3">
        <v>50000</v>
      </c>
    </row>
    <row r="922" spans="3:28" x14ac:dyDescent="0.25">
      <c r="C922" s="2">
        <v>10000001</v>
      </c>
      <c r="D922" s="2" t="s">
        <v>1211</v>
      </c>
      <c r="F922" s="2">
        <v>12009110</v>
      </c>
      <c r="H922" s="2" t="s">
        <v>1211</v>
      </c>
      <c r="I922" s="2" t="str">
        <f t="shared" si="14"/>
        <v>11</v>
      </c>
      <c r="J922" s="2">
        <v>50</v>
      </c>
      <c r="K922" s="3">
        <v>-50000</v>
      </c>
      <c r="L922" s="2" t="s">
        <v>26</v>
      </c>
      <c r="M922" s="3">
        <v>-50000</v>
      </c>
      <c r="N922" s="2" t="s">
        <v>26</v>
      </c>
      <c r="R922" s="2" t="s">
        <v>27</v>
      </c>
      <c r="S922" s="2" t="s">
        <v>1366</v>
      </c>
      <c r="T922" s="2" t="s">
        <v>334</v>
      </c>
      <c r="U922" s="2" t="s">
        <v>1369</v>
      </c>
      <c r="V922" s="4">
        <f>+VLOOKUP(U922,'FBCJ Jul-Des 2025'!$G$10:$P$1302,8,0)</f>
        <v>70001110</v>
      </c>
      <c r="W922" s="4" t="str">
        <f>+VLOOKUP(V922,Sheet1!$A$2:$B$27,2,0)</f>
        <v>Biaya Ekspor lainnya</v>
      </c>
      <c r="X922" s="4" t="str">
        <f>+VLOOKUP(U922,'FBCJ Jul-Des 2025'!$G$10:$P$1302,9,0)</f>
        <v>P206D1SLSS</v>
      </c>
      <c r="Y922" s="2" t="s">
        <v>43</v>
      </c>
      <c r="Z922" s="2">
        <v>1793264</v>
      </c>
      <c r="AA922" s="2">
        <v>20251105</v>
      </c>
      <c r="AB922" s="3">
        <v>50000</v>
      </c>
    </row>
    <row r="923" spans="3:28" x14ac:dyDescent="0.25">
      <c r="C923" s="2">
        <v>10000001</v>
      </c>
      <c r="D923" s="2" t="s">
        <v>1211</v>
      </c>
      <c r="F923" s="2">
        <v>12009111</v>
      </c>
      <c r="H923" s="2" t="s">
        <v>1211</v>
      </c>
      <c r="I923" s="2" t="str">
        <f t="shared" si="14"/>
        <v>11</v>
      </c>
      <c r="J923" s="2">
        <v>50</v>
      </c>
      <c r="K923" s="3">
        <v>-50000</v>
      </c>
      <c r="L923" s="2" t="s">
        <v>26</v>
      </c>
      <c r="M923" s="3">
        <v>-50000</v>
      </c>
      <c r="N923" s="2" t="s">
        <v>26</v>
      </c>
      <c r="R923" s="2" t="s">
        <v>27</v>
      </c>
      <c r="S923" s="2" t="s">
        <v>1366</v>
      </c>
      <c r="T923" s="2" t="s">
        <v>334</v>
      </c>
      <c r="U923" s="2" t="s">
        <v>1370</v>
      </c>
      <c r="V923" s="4">
        <f>+VLOOKUP(U923,'FBCJ Jul-Des 2025'!$G$10:$P$1302,8,0)</f>
        <v>70001110</v>
      </c>
      <c r="W923" s="4" t="str">
        <f>+VLOOKUP(V923,Sheet1!$A$2:$B$27,2,0)</f>
        <v>Biaya Ekspor lainnya</v>
      </c>
      <c r="X923" s="4" t="str">
        <f>+VLOOKUP(U923,'FBCJ Jul-Des 2025'!$G$10:$P$1302,9,0)</f>
        <v>P206D1SLSS</v>
      </c>
      <c r="Y923" s="2" t="s">
        <v>43</v>
      </c>
      <c r="Z923" s="2">
        <v>1793264</v>
      </c>
      <c r="AA923" s="2">
        <v>20251105</v>
      </c>
      <c r="AB923" s="3">
        <v>50000</v>
      </c>
    </row>
    <row r="924" spans="3:28" x14ac:dyDescent="0.25">
      <c r="C924" s="2">
        <v>10000001</v>
      </c>
      <c r="D924" s="2" t="s">
        <v>1211</v>
      </c>
      <c r="F924" s="2">
        <v>12009112</v>
      </c>
      <c r="H924" s="2" t="s">
        <v>1211</v>
      </c>
      <c r="I924" s="2" t="str">
        <f t="shared" si="14"/>
        <v>11</v>
      </c>
      <c r="J924" s="2">
        <v>50</v>
      </c>
      <c r="K924" s="3">
        <v>-50000</v>
      </c>
      <c r="L924" s="2" t="s">
        <v>26</v>
      </c>
      <c r="M924" s="3">
        <v>-50000</v>
      </c>
      <c r="N924" s="2" t="s">
        <v>26</v>
      </c>
      <c r="R924" s="2" t="s">
        <v>27</v>
      </c>
      <c r="S924" s="2" t="s">
        <v>1366</v>
      </c>
      <c r="T924" s="2" t="s">
        <v>334</v>
      </c>
      <c r="U924" s="2" t="s">
        <v>1371</v>
      </c>
      <c r="V924" s="4">
        <f>+VLOOKUP(U924,'FBCJ Jul-Des 2025'!$G$10:$P$1302,8,0)</f>
        <v>70001110</v>
      </c>
      <c r="W924" s="4" t="str">
        <f>+VLOOKUP(V924,Sheet1!$A$2:$B$27,2,0)</f>
        <v>Biaya Ekspor lainnya</v>
      </c>
      <c r="X924" s="4" t="str">
        <f>+VLOOKUP(U924,'FBCJ Jul-Des 2025'!$G$10:$P$1302,9,0)</f>
        <v>P206D1SLSS</v>
      </c>
      <c r="Y924" s="2" t="s">
        <v>43</v>
      </c>
      <c r="Z924" s="2">
        <v>1793264</v>
      </c>
      <c r="AA924" s="2">
        <v>20251105</v>
      </c>
      <c r="AB924" s="3">
        <v>50000</v>
      </c>
    </row>
    <row r="925" spans="3:28" x14ac:dyDescent="0.25">
      <c r="C925" s="2">
        <v>10000001</v>
      </c>
      <c r="D925" s="2" t="s">
        <v>1211</v>
      </c>
      <c r="F925" s="2">
        <v>12009113</v>
      </c>
      <c r="H925" s="2" t="s">
        <v>1211</v>
      </c>
      <c r="I925" s="2" t="str">
        <f t="shared" si="14"/>
        <v>11</v>
      </c>
      <c r="J925" s="2">
        <v>50</v>
      </c>
      <c r="K925" s="3">
        <v>-50000</v>
      </c>
      <c r="L925" s="2" t="s">
        <v>26</v>
      </c>
      <c r="M925" s="3">
        <v>-50000</v>
      </c>
      <c r="N925" s="2" t="s">
        <v>26</v>
      </c>
      <c r="R925" s="2" t="s">
        <v>27</v>
      </c>
      <c r="S925" s="2" t="s">
        <v>1366</v>
      </c>
      <c r="T925" s="2" t="s">
        <v>334</v>
      </c>
      <c r="U925" s="2" t="s">
        <v>1372</v>
      </c>
      <c r="V925" s="4">
        <f>+VLOOKUP(U925,'FBCJ Jul-Des 2025'!$G$10:$P$1302,8,0)</f>
        <v>70001110</v>
      </c>
      <c r="W925" s="4" t="str">
        <f>+VLOOKUP(V925,Sheet1!$A$2:$B$27,2,0)</f>
        <v>Biaya Ekspor lainnya</v>
      </c>
      <c r="X925" s="4" t="str">
        <f>+VLOOKUP(U925,'FBCJ Jul-Des 2025'!$G$10:$P$1302,9,0)</f>
        <v>P206D1SLSS</v>
      </c>
      <c r="Y925" s="2" t="s">
        <v>43</v>
      </c>
      <c r="Z925" s="2">
        <v>1793264</v>
      </c>
      <c r="AA925" s="2">
        <v>20251105</v>
      </c>
      <c r="AB925" s="3">
        <v>50000</v>
      </c>
    </row>
    <row r="926" spans="3:28" x14ac:dyDescent="0.25">
      <c r="C926" s="2">
        <v>10000001</v>
      </c>
      <c r="D926" s="2" t="s">
        <v>1211</v>
      </c>
      <c r="F926" s="2">
        <v>12009114</v>
      </c>
      <c r="H926" s="2" t="s">
        <v>1211</v>
      </c>
      <c r="I926" s="2" t="str">
        <f t="shared" si="14"/>
        <v>11</v>
      </c>
      <c r="J926" s="2">
        <v>50</v>
      </c>
      <c r="K926" s="3">
        <v>-50000</v>
      </c>
      <c r="L926" s="2" t="s">
        <v>26</v>
      </c>
      <c r="M926" s="3">
        <v>-50000</v>
      </c>
      <c r="N926" s="2" t="s">
        <v>26</v>
      </c>
      <c r="R926" s="2" t="s">
        <v>27</v>
      </c>
      <c r="S926" s="2" t="s">
        <v>1373</v>
      </c>
      <c r="T926" s="2" t="s">
        <v>334</v>
      </c>
      <c r="U926" s="2" t="s">
        <v>1374</v>
      </c>
      <c r="V926" s="4">
        <f>+VLOOKUP(U926,'FBCJ Jul-Des 2025'!$G$10:$P$1302,8,0)</f>
        <v>70001110</v>
      </c>
      <c r="W926" s="4" t="str">
        <f>+VLOOKUP(V926,Sheet1!$A$2:$B$27,2,0)</f>
        <v>Biaya Ekspor lainnya</v>
      </c>
      <c r="X926" s="4" t="str">
        <f>+VLOOKUP(U926,'FBCJ Jul-Des 2025'!$G$10:$P$1302,9,0)</f>
        <v>P206D1SLSS</v>
      </c>
      <c r="Y926" s="2" t="s">
        <v>43</v>
      </c>
      <c r="Z926" s="2">
        <v>1793264</v>
      </c>
      <c r="AA926" s="2">
        <v>20251105</v>
      </c>
      <c r="AB926" s="3">
        <v>50000</v>
      </c>
    </row>
    <row r="927" spans="3:28" x14ac:dyDescent="0.25">
      <c r="C927" s="2">
        <v>10000001</v>
      </c>
      <c r="D927" s="2" t="s">
        <v>1211</v>
      </c>
      <c r="F927" s="2">
        <v>12009115</v>
      </c>
      <c r="H927" s="2" t="s">
        <v>1211</v>
      </c>
      <c r="I927" s="2" t="str">
        <f t="shared" si="14"/>
        <v>11</v>
      </c>
      <c r="J927" s="2">
        <v>50</v>
      </c>
      <c r="K927" s="3">
        <v>-50000</v>
      </c>
      <c r="L927" s="2" t="s">
        <v>26</v>
      </c>
      <c r="M927" s="3">
        <v>-50000</v>
      </c>
      <c r="N927" s="2" t="s">
        <v>26</v>
      </c>
      <c r="R927" s="2" t="s">
        <v>27</v>
      </c>
      <c r="S927" s="2" t="s">
        <v>1373</v>
      </c>
      <c r="T927" s="2" t="s">
        <v>334</v>
      </c>
      <c r="U927" s="2" t="s">
        <v>1375</v>
      </c>
      <c r="V927" s="4">
        <f>+VLOOKUP(U927,'FBCJ Jul-Des 2025'!$G$10:$P$1302,8,0)</f>
        <v>70001110</v>
      </c>
      <c r="W927" s="4" t="str">
        <f>+VLOOKUP(V927,Sheet1!$A$2:$B$27,2,0)</f>
        <v>Biaya Ekspor lainnya</v>
      </c>
      <c r="X927" s="4" t="str">
        <f>+VLOOKUP(U927,'FBCJ Jul-Des 2025'!$G$10:$P$1302,9,0)</f>
        <v>P206D1SLSS</v>
      </c>
      <c r="Y927" s="2" t="s">
        <v>43</v>
      </c>
      <c r="Z927" s="2">
        <v>1793264</v>
      </c>
      <c r="AA927" s="2">
        <v>20251105</v>
      </c>
      <c r="AB927" s="3">
        <v>50000</v>
      </c>
    </row>
    <row r="928" spans="3:28" x14ac:dyDescent="0.25">
      <c r="C928" s="2">
        <v>10000001</v>
      </c>
      <c r="D928" s="2" t="s">
        <v>1211</v>
      </c>
      <c r="F928" s="2">
        <v>12009116</v>
      </c>
      <c r="H928" s="2" t="s">
        <v>1211</v>
      </c>
      <c r="I928" s="2" t="str">
        <f t="shared" si="14"/>
        <v>11</v>
      </c>
      <c r="J928" s="2">
        <v>50</v>
      </c>
      <c r="K928" s="3">
        <v>-50000</v>
      </c>
      <c r="L928" s="2" t="s">
        <v>26</v>
      </c>
      <c r="M928" s="3">
        <v>-50000</v>
      </c>
      <c r="N928" s="2" t="s">
        <v>26</v>
      </c>
      <c r="R928" s="2" t="s">
        <v>27</v>
      </c>
      <c r="S928" s="2" t="s">
        <v>1373</v>
      </c>
      <c r="T928" s="2" t="s">
        <v>334</v>
      </c>
      <c r="U928" s="2" t="s">
        <v>1376</v>
      </c>
      <c r="V928" s="4">
        <f>+VLOOKUP(U928,'FBCJ Jul-Des 2025'!$G$10:$P$1302,8,0)</f>
        <v>70001110</v>
      </c>
      <c r="W928" s="4" t="str">
        <f>+VLOOKUP(V928,Sheet1!$A$2:$B$27,2,0)</f>
        <v>Biaya Ekspor lainnya</v>
      </c>
      <c r="X928" s="4" t="str">
        <f>+VLOOKUP(U928,'FBCJ Jul-Des 2025'!$G$10:$P$1302,9,0)</f>
        <v>P206D1SLSC</v>
      </c>
      <c r="Y928" s="2" t="s">
        <v>43</v>
      </c>
      <c r="Z928" s="2">
        <v>1793264</v>
      </c>
      <c r="AA928" s="2">
        <v>20251105</v>
      </c>
      <c r="AB928" s="3">
        <v>50000</v>
      </c>
    </row>
    <row r="929" spans="3:28" x14ac:dyDescent="0.25">
      <c r="C929" s="2">
        <v>10000001</v>
      </c>
      <c r="D929" s="2" t="s">
        <v>1211</v>
      </c>
      <c r="F929" s="2">
        <v>12009117</v>
      </c>
      <c r="H929" s="2" t="s">
        <v>1211</v>
      </c>
      <c r="I929" s="2" t="str">
        <f t="shared" si="14"/>
        <v>11</v>
      </c>
      <c r="J929" s="2">
        <v>50</v>
      </c>
      <c r="K929" s="3">
        <v>-50000</v>
      </c>
      <c r="L929" s="2" t="s">
        <v>26</v>
      </c>
      <c r="M929" s="3">
        <v>-50000</v>
      </c>
      <c r="N929" s="2" t="s">
        <v>26</v>
      </c>
      <c r="R929" s="2" t="s">
        <v>27</v>
      </c>
      <c r="S929" s="2" t="s">
        <v>1373</v>
      </c>
      <c r="T929" s="2" t="s">
        <v>334</v>
      </c>
      <c r="U929" s="2" t="s">
        <v>1377</v>
      </c>
      <c r="V929" s="4">
        <f>+VLOOKUP(U929,'FBCJ Jul-Des 2025'!$G$10:$P$1302,8,0)</f>
        <v>70001110</v>
      </c>
      <c r="W929" s="4" t="str">
        <f>+VLOOKUP(V929,Sheet1!$A$2:$B$27,2,0)</f>
        <v>Biaya Ekspor lainnya</v>
      </c>
      <c r="X929" s="4" t="str">
        <f>+VLOOKUP(U929,'FBCJ Jul-Des 2025'!$G$10:$P$1302,9,0)</f>
        <v>P206D1SLSS</v>
      </c>
      <c r="Y929" s="2" t="s">
        <v>43</v>
      </c>
      <c r="Z929" s="2">
        <v>1793264</v>
      </c>
      <c r="AA929" s="2">
        <v>20251105</v>
      </c>
      <c r="AB929" s="3">
        <v>50000</v>
      </c>
    </row>
    <row r="930" spans="3:28" x14ac:dyDescent="0.25">
      <c r="C930" s="2">
        <v>10000001</v>
      </c>
      <c r="D930" s="2" t="s">
        <v>1211</v>
      </c>
      <c r="F930" s="2">
        <v>12009118</v>
      </c>
      <c r="H930" s="2" t="s">
        <v>1211</v>
      </c>
      <c r="I930" s="2" t="str">
        <f t="shared" si="14"/>
        <v>11</v>
      </c>
      <c r="J930" s="2">
        <v>50</v>
      </c>
      <c r="K930" s="3">
        <v>-977650</v>
      </c>
      <c r="L930" s="2" t="s">
        <v>26</v>
      </c>
      <c r="M930" s="3">
        <v>-977650</v>
      </c>
      <c r="N930" s="2" t="s">
        <v>26</v>
      </c>
      <c r="R930" s="2" t="s">
        <v>27</v>
      </c>
      <c r="S930" s="2" t="s">
        <v>1378</v>
      </c>
      <c r="T930" s="2" t="s">
        <v>1187</v>
      </c>
      <c r="U930" s="2" t="s">
        <v>1379</v>
      </c>
      <c r="V930" s="4">
        <f>+VLOOKUP(U930,'FBCJ Jul-Des 2025'!$G$10:$P$1302,8,0)</f>
        <v>70110210</v>
      </c>
      <c r="W930" s="4">
        <f>+VLOOKUP(V930,Sheet1!$A$2:$B$27,2,0)</f>
        <v>0</v>
      </c>
      <c r="X930" s="4" t="str">
        <f>+VLOOKUP(U930,'FBCJ Jul-Des 2025'!$G$10:$P$1302,9,0)</f>
        <v>H200D1MMDP</v>
      </c>
      <c r="Y930" s="2" t="s">
        <v>43</v>
      </c>
      <c r="Z930" s="2">
        <v>1793264</v>
      </c>
      <c r="AA930" s="2">
        <v>20251105</v>
      </c>
      <c r="AB930" s="3">
        <v>977650</v>
      </c>
    </row>
    <row r="931" spans="3:28" x14ac:dyDescent="0.25">
      <c r="C931" s="2">
        <v>10000001</v>
      </c>
      <c r="D931" s="2" t="s">
        <v>1211</v>
      </c>
      <c r="F931" s="2">
        <v>12009119</v>
      </c>
      <c r="H931" s="2" t="s">
        <v>1211</v>
      </c>
      <c r="I931" s="2" t="str">
        <f t="shared" si="14"/>
        <v>11</v>
      </c>
      <c r="J931" s="2">
        <v>50</v>
      </c>
      <c r="K931" s="3">
        <v>-950000</v>
      </c>
      <c r="L931" s="2" t="s">
        <v>26</v>
      </c>
      <c r="M931" s="3">
        <v>-950000</v>
      </c>
      <c r="N931" s="2" t="s">
        <v>26</v>
      </c>
      <c r="R931" s="2" t="s">
        <v>27</v>
      </c>
      <c r="S931" s="2" t="s">
        <v>1380</v>
      </c>
      <c r="T931" s="2" t="s">
        <v>1187</v>
      </c>
      <c r="U931" s="2" t="s">
        <v>1381</v>
      </c>
      <c r="V931" s="4">
        <f>+VLOOKUP(U931,'FBCJ Jul-Des 2025'!$G$10:$P$1302,8,0)</f>
        <v>70110210</v>
      </c>
      <c r="W931" s="4">
        <f>+VLOOKUP(V931,Sheet1!$A$2:$B$27,2,0)</f>
        <v>0</v>
      </c>
      <c r="X931" s="4" t="str">
        <f>+VLOOKUP(U931,'FBCJ Jul-Des 2025'!$G$10:$P$1302,9,0)</f>
        <v>H200D1MMDP</v>
      </c>
      <c r="Y931" s="2" t="s">
        <v>43</v>
      </c>
      <c r="Z931" s="2">
        <v>1793264</v>
      </c>
      <c r="AA931" s="2">
        <v>20251105</v>
      </c>
      <c r="AB931" s="3">
        <v>950000</v>
      </c>
    </row>
    <row r="932" spans="3:28" x14ac:dyDescent="0.25">
      <c r="C932" s="2">
        <v>10000001</v>
      </c>
      <c r="D932" s="2" t="s">
        <v>1211</v>
      </c>
      <c r="F932" s="2">
        <v>12009120</v>
      </c>
      <c r="H932" s="2" t="s">
        <v>1211</v>
      </c>
      <c r="I932" s="2" t="str">
        <f t="shared" si="14"/>
        <v>11</v>
      </c>
      <c r="J932" s="2">
        <v>50</v>
      </c>
      <c r="K932" s="3">
        <v>-952650</v>
      </c>
      <c r="L932" s="2" t="s">
        <v>26</v>
      </c>
      <c r="M932" s="3">
        <v>-952650</v>
      </c>
      <c r="N932" s="2" t="s">
        <v>26</v>
      </c>
      <c r="R932" s="2" t="s">
        <v>27</v>
      </c>
      <c r="S932" s="2" t="s">
        <v>1382</v>
      </c>
      <c r="T932" s="2" t="s">
        <v>1187</v>
      </c>
      <c r="U932" s="2" t="s">
        <v>1383</v>
      </c>
      <c r="V932" s="4">
        <f>+VLOOKUP(U932,'FBCJ Jul-Des 2025'!$G$10:$P$1302,8,0)</f>
        <v>70110210</v>
      </c>
      <c r="W932" s="4">
        <f>+VLOOKUP(V932,Sheet1!$A$2:$B$27,2,0)</f>
        <v>0</v>
      </c>
      <c r="X932" s="4" t="str">
        <f>+VLOOKUP(U932,'FBCJ Jul-Des 2025'!$G$10:$P$1302,9,0)</f>
        <v>H200D1MMDP</v>
      </c>
      <c r="Y932" s="2" t="s">
        <v>43</v>
      </c>
      <c r="Z932" s="2">
        <v>1793264</v>
      </c>
      <c r="AA932" s="2">
        <v>20251105</v>
      </c>
      <c r="AB932" s="3">
        <v>952650</v>
      </c>
    </row>
    <row r="933" spans="3:28" x14ac:dyDescent="0.25">
      <c r="C933" s="2">
        <v>10000001</v>
      </c>
      <c r="D933" s="2" t="s">
        <v>1211</v>
      </c>
      <c r="F933" s="2">
        <v>12009121</v>
      </c>
      <c r="H933" s="2" t="s">
        <v>1211</v>
      </c>
      <c r="I933" s="2" t="str">
        <f t="shared" si="14"/>
        <v>11</v>
      </c>
      <c r="J933" s="2">
        <v>50</v>
      </c>
      <c r="K933" s="3">
        <v>-289600</v>
      </c>
      <c r="L933" s="2" t="s">
        <v>26</v>
      </c>
      <c r="M933" s="3">
        <v>-289600</v>
      </c>
      <c r="N933" s="2" t="s">
        <v>26</v>
      </c>
      <c r="R933" s="2" t="s">
        <v>27</v>
      </c>
      <c r="S933" s="2" t="s">
        <v>1384</v>
      </c>
      <c r="T933" s="2" t="s">
        <v>57</v>
      </c>
      <c r="U933" s="2" t="s">
        <v>1385</v>
      </c>
      <c r="V933" s="4">
        <f>+VLOOKUP(U933,'FBCJ Jul-Des 2025'!$G$10:$P$1302,8,0)</f>
        <v>70101202</v>
      </c>
      <c r="W933" s="4" t="str">
        <f>+VLOOKUP(V933,Sheet1!$A$2:$B$27,2,0)</f>
        <v>By Pemeliharaan Kend,ABerat,Mesin-Material Pihak3</v>
      </c>
      <c r="X933" s="4" t="str">
        <f>+VLOOKUP(U933,'FBCJ Jul-Des 2025'!$G$10:$P$1302,9,0)</f>
        <v>R124REF3</v>
      </c>
      <c r="Y933" s="2" t="s">
        <v>43</v>
      </c>
      <c r="Z933" s="2">
        <v>1793264</v>
      </c>
      <c r="AA933" s="2">
        <v>20251105</v>
      </c>
      <c r="AB933" s="3">
        <v>289600</v>
      </c>
    </row>
    <row r="934" spans="3:28" x14ac:dyDescent="0.25">
      <c r="C934" s="2">
        <v>10000001</v>
      </c>
      <c r="D934" s="2" t="s">
        <v>1211</v>
      </c>
      <c r="F934" s="2">
        <v>12009122</v>
      </c>
      <c r="H934" s="2" t="s">
        <v>1211</v>
      </c>
      <c r="I934" s="2" t="str">
        <f t="shared" si="14"/>
        <v>11</v>
      </c>
      <c r="J934" s="2">
        <v>50</v>
      </c>
      <c r="K934" s="3">
        <v>-710400</v>
      </c>
      <c r="L934" s="2" t="s">
        <v>26</v>
      </c>
      <c r="M934" s="3">
        <v>-710400</v>
      </c>
      <c r="N934" s="2" t="s">
        <v>26</v>
      </c>
      <c r="R934" s="2" t="s">
        <v>27</v>
      </c>
      <c r="S934" s="2" t="s">
        <v>1384</v>
      </c>
      <c r="T934" s="2" t="s">
        <v>375</v>
      </c>
      <c r="U934" s="2" t="s">
        <v>1386</v>
      </c>
      <c r="V934" s="4">
        <v>15000900</v>
      </c>
      <c r="W934" s="4" t="str">
        <f>+VLOOKUP(V934,Sheet1!$A$2:$B$27,2,0)</f>
        <v>Biaya Lainnya Yang Dibayar Di Muka</v>
      </c>
      <c r="X934" s="4" t="s">
        <v>1913</v>
      </c>
      <c r="Y934" s="2" t="s">
        <v>43</v>
      </c>
      <c r="Z934" s="2">
        <v>1793264</v>
      </c>
      <c r="AA934" s="2">
        <v>20251105</v>
      </c>
      <c r="AB934" s="3">
        <v>710400</v>
      </c>
    </row>
    <row r="935" spans="3:28" x14ac:dyDescent="0.25">
      <c r="C935" s="2">
        <v>10000001</v>
      </c>
      <c r="D935" s="2" t="s">
        <v>1211</v>
      </c>
      <c r="F935" s="2">
        <v>12009123</v>
      </c>
      <c r="H935" s="2" t="s">
        <v>1211</v>
      </c>
      <c r="I935" s="2" t="str">
        <f t="shared" si="14"/>
        <v>11</v>
      </c>
      <c r="J935" s="2">
        <v>50</v>
      </c>
      <c r="K935" s="3">
        <v>-174000</v>
      </c>
      <c r="L935" s="2" t="s">
        <v>26</v>
      </c>
      <c r="M935" s="3">
        <v>-174000</v>
      </c>
      <c r="N935" s="2" t="s">
        <v>26</v>
      </c>
      <c r="R935" s="2" t="s">
        <v>27</v>
      </c>
      <c r="S935" s="2" t="s">
        <v>1387</v>
      </c>
      <c r="T935" s="2" t="s">
        <v>57</v>
      </c>
      <c r="U935" s="2" t="s">
        <v>1388</v>
      </c>
      <c r="V935" s="4">
        <v>70101202</v>
      </c>
      <c r="W935" s="4" t="str">
        <f>+VLOOKUP(V935,Sheet1!$A$2:$B$27,2,0)</f>
        <v>By Pemeliharaan Kend,ABerat,Mesin-Material Pihak3</v>
      </c>
      <c r="X935" s="4" t="str">
        <f>+VLOOKUP(U935,'FBCJ Jul-Des 2025'!$G$10:$P$1302,9,0)</f>
        <v>R124FRA3</v>
      </c>
      <c r="Y935" s="2" t="s">
        <v>43</v>
      </c>
      <c r="Z935" s="2">
        <v>1793264</v>
      </c>
      <c r="AA935" s="2">
        <v>20251105</v>
      </c>
      <c r="AB935" s="3">
        <v>174000</v>
      </c>
    </row>
    <row r="936" spans="3:28" x14ac:dyDescent="0.25">
      <c r="C936" s="2">
        <v>10000001</v>
      </c>
      <c r="D936" s="2" t="s">
        <v>1211</v>
      </c>
      <c r="F936" s="2">
        <v>12009124</v>
      </c>
      <c r="H936" s="2" t="s">
        <v>1211</v>
      </c>
      <c r="I936" s="2" t="str">
        <f t="shared" si="14"/>
        <v>11</v>
      </c>
      <c r="J936" s="2">
        <v>50</v>
      </c>
      <c r="K936" s="3">
        <v>-700010</v>
      </c>
      <c r="L936" s="2" t="s">
        <v>26</v>
      </c>
      <c r="M936" s="3">
        <v>-700010</v>
      </c>
      <c r="N936" s="2" t="s">
        <v>26</v>
      </c>
      <c r="R936" s="2" t="s">
        <v>27</v>
      </c>
      <c r="S936" s="2" t="s">
        <v>1387</v>
      </c>
      <c r="T936" s="2" t="s">
        <v>375</v>
      </c>
      <c r="U936" s="2" t="s">
        <v>1389</v>
      </c>
      <c r="V936" s="4">
        <v>15000900</v>
      </c>
      <c r="W936" s="4" t="str">
        <f>+VLOOKUP(V936,Sheet1!$A$2:$B$27,2,0)</f>
        <v>Biaya Lainnya Yang Dibayar Di Muka</v>
      </c>
      <c r="X936" s="4" t="s">
        <v>1913</v>
      </c>
      <c r="Y936" s="2" t="s">
        <v>43</v>
      </c>
      <c r="Z936" s="2">
        <v>1793264</v>
      </c>
      <c r="AA936" s="2">
        <v>20251105</v>
      </c>
      <c r="AB936" s="3">
        <v>700010</v>
      </c>
    </row>
    <row r="937" spans="3:28" x14ac:dyDescent="0.25">
      <c r="C937" s="2">
        <v>10000001</v>
      </c>
      <c r="D937" s="2" t="s">
        <v>1211</v>
      </c>
      <c r="F937" s="2">
        <v>12009125</v>
      </c>
      <c r="H937" s="2" t="s">
        <v>1211</v>
      </c>
      <c r="I937" s="2" t="str">
        <f t="shared" si="14"/>
        <v>11</v>
      </c>
      <c r="J937" s="2">
        <v>50</v>
      </c>
      <c r="K937" s="3">
        <v>-123601</v>
      </c>
      <c r="L937" s="2" t="s">
        <v>26</v>
      </c>
      <c r="M937" s="3">
        <v>-123601</v>
      </c>
      <c r="N937" s="2" t="s">
        <v>26</v>
      </c>
      <c r="R937" s="2" t="s">
        <v>27</v>
      </c>
      <c r="S937" s="2" t="s">
        <v>1387</v>
      </c>
      <c r="T937" s="2" t="s">
        <v>375</v>
      </c>
      <c r="U937" s="2" t="s">
        <v>1390</v>
      </c>
      <c r="V937" s="4">
        <v>15000900</v>
      </c>
      <c r="W937" s="4" t="str">
        <f>+VLOOKUP(V937,Sheet1!$A$2:$B$27,2,0)</f>
        <v>Biaya Lainnya Yang Dibayar Di Muka</v>
      </c>
      <c r="X937" s="4" t="s">
        <v>1913</v>
      </c>
      <c r="Y937" s="2" t="s">
        <v>43</v>
      </c>
      <c r="Z937" s="2">
        <v>1793264</v>
      </c>
      <c r="AA937" s="2">
        <v>20251105</v>
      </c>
      <c r="AB937" s="3">
        <v>123601</v>
      </c>
    </row>
    <row r="938" spans="3:28" x14ac:dyDescent="0.25">
      <c r="C938" s="2">
        <v>10000001</v>
      </c>
      <c r="D938" s="2" t="s">
        <v>1211</v>
      </c>
      <c r="F938" s="2">
        <v>12009126</v>
      </c>
      <c r="H938" s="2" t="s">
        <v>1211</v>
      </c>
      <c r="I938" s="2" t="str">
        <f t="shared" si="14"/>
        <v>11</v>
      </c>
      <c r="J938" s="2">
        <v>50</v>
      </c>
      <c r="K938" s="3">
        <v>-980014</v>
      </c>
      <c r="L938" s="2" t="s">
        <v>26</v>
      </c>
      <c r="M938" s="3">
        <v>-980014</v>
      </c>
      <c r="N938" s="2" t="s">
        <v>26</v>
      </c>
      <c r="R938" s="2" t="s">
        <v>27</v>
      </c>
      <c r="S938" s="2" t="s">
        <v>1391</v>
      </c>
      <c r="T938" s="2" t="s">
        <v>375</v>
      </c>
      <c r="U938" s="2" t="s">
        <v>1392</v>
      </c>
      <c r="V938" s="4">
        <v>15000900</v>
      </c>
      <c r="W938" s="4" t="str">
        <f>+VLOOKUP(V938,Sheet1!$A$2:$B$27,2,0)</f>
        <v>Biaya Lainnya Yang Dibayar Di Muka</v>
      </c>
      <c r="X938" s="4" t="s">
        <v>1913</v>
      </c>
      <c r="Y938" s="2" t="s">
        <v>43</v>
      </c>
      <c r="Z938" s="2">
        <v>1793264</v>
      </c>
      <c r="AA938" s="2">
        <v>20251105</v>
      </c>
      <c r="AB938" s="3">
        <v>980014</v>
      </c>
    </row>
    <row r="939" spans="3:28" x14ac:dyDescent="0.25">
      <c r="C939" s="2">
        <v>10000001</v>
      </c>
      <c r="D939" s="2" t="s">
        <v>1211</v>
      </c>
      <c r="F939" s="2">
        <v>12009127</v>
      </c>
      <c r="H939" s="2" t="s">
        <v>1211</v>
      </c>
      <c r="I939" s="2" t="str">
        <f t="shared" si="14"/>
        <v>11</v>
      </c>
      <c r="J939" s="2">
        <v>50</v>
      </c>
      <c r="K939" s="3">
        <v>-299200</v>
      </c>
      <c r="L939" s="2" t="s">
        <v>26</v>
      </c>
      <c r="M939" s="3">
        <v>-299200</v>
      </c>
      <c r="N939" s="2" t="s">
        <v>26</v>
      </c>
      <c r="R939" s="2" t="s">
        <v>27</v>
      </c>
      <c r="S939" s="2" t="s">
        <v>1393</v>
      </c>
      <c r="T939" s="2" t="s">
        <v>126</v>
      </c>
      <c r="U939" s="2" t="s">
        <v>1394</v>
      </c>
      <c r="V939" s="4">
        <v>70107600</v>
      </c>
      <c r="W939" s="4" t="str">
        <f>+VLOOKUP(V939,Sheet1!$A$2:$B$27,2,0)</f>
        <v>Biaya Konsumsi Kantor</v>
      </c>
      <c r="X939" s="4" t="str">
        <f>+VLOOKUP(U939,'FBCJ Jul-Des 2025'!$G$10:$P$1302,9,0)</f>
        <v>R124LOG</v>
      </c>
      <c r="Y939" s="2" t="s">
        <v>43</v>
      </c>
      <c r="Z939" s="2">
        <v>1793264</v>
      </c>
      <c r="AA939" s="2">
        <v>20251105</v>
      </c>
      <c r="AB939" s="3">
        <v>299200</v>
      </c>
    </row>
    <row r="940" spans="3:28" x14ac:dyDescent="0.25">
      <c r="C940" s="2">
        <v>10000001</v>
      </c>
      <c r="D940" s="2" t="s">
        <v>1395</v>
      </c>
      <c r="F940" s="2">
        <v>12009128</v>
      </c>
      <c r="H940" s="2" t="s">
        <v>1395</v>
      </c>
      <c r="I940" s="2" t="str">
        <f t="shared" si="14"/>
        <v>11</v>
      </c>
      <c r="J940" s="2">
        <v>40</v>
      </c>
      <c r="K940" s="3">
        <v>35051945</v>
      </c>
      <c r="L940" s="2" t="s">
        <v>26</v>
      </c>
      <c r="M940" s="3">
        <v>35051945</v>
      </c>
      <c r="N940" s="2" t="s">
        <v>26</v>
      </c>
      <c r="R940" s="2" t="s">
        <v>27</v>
      </c>
      <c r="T940" s="2" t="s">
        <v>249</v>
      </c>
      <c r="U940" s="2" t="s">
        <v>1396</v>
      </c>
      <c r="Y940" s="2" t="s">
        <v>43</v>
      </c>
      <c r="Z940" s="2">
        <v>1793264</v>
      </c>
      <c r="AA940" s="2">
        <v>20251106</v>
      </c>
      <c r="AB940" s="3">
        <v>35051945</v>
      </c>
    </row>
    <row r="941" spans="3:28" x14ac:dyDescent="0.25">
      <c r="C941" s="2">
        <v>10000001</v>
      </c>
      <c r="D941" s="2" t="s">
        <v>1397</v>
      </c>
      <c r="F941" s="2">
        <v>12009372</v>
      </c>
      <c r="H941" s="2" t="s">
        <v>1397</v>
      </c>
      <c r="I941" s="2" t="str">
        <f t="shared" si="14"/>
        <v>11</v>
      </c>
      <c r="J941" s="2">
        <v>50</v>
      </c>
      <c r="K941" s="3">
        <v>-350000</v>
      </c>
      <c r="L941" s="2" t="s">
        <v>26</v>
      </c>
      <c r="M941" s="3">
        <v>-350000</v>
      </c>
      <c r="N941" s="2" t="s">
        <v>26</v>
      </c>
      <c r="R941" s="2" t="s">
        <v>27</v>
      </c>
      <c r="S941" s="2" t="s">
        <v>1398</v>
      </c>
      <c r="T941" s="2" t="s">
        <v>41</v>
      </c>
      <c r="U941" s="2" t="s">
        <v>1399</v>
      </c>
      <c r="V941" s="4">
        <f>+VLOOKUP(U941,'FBCJ Jul-Des 2025'!$G$10:$P$1302,8,0)</f>
        <v>70107300</v>
      </c>
      <c r="W941" s="4" t="str">
        <f>+VLOOKUP(V941,Sheet1!$A$2:$B$27,2,0)</f>
        <v>Biaya Olahraga Dan Permainan</v>
      </c>
      <c r="X941" s="4" t="str">
        <f>+VLOOKUP(U941,'FBCJ Jul-Des 2025'!$G$10:$P$1302,9,0)</f>
        <v>R124D1HRDV</v>
      </c>
      <c r="Y941" s="2" t="s">
        <v>43</v>
      </c>
      <c r="Z941" s="2">
        <v>1793264</v>
      </c>
      <c r="AA941" s="2">
        <v>20251110</v>
      </c>
      <c r="AB941" s="3">
        <v>350000</v>
      </c>
    </row>
    <row r="942" spans="3:28" x14ac:dyDescent="0.25">
      <c r="C942" s="2">
        <v>10000001</v>
      </c>
      <c r="D942" s="2" t="s">
        <v>1397</v>
      </c>
      <c r="F942" s="2">
        <v>12009373</v>
      </c>
      <c r="H942" s="2" t="s">
        <v>1397</v>
      </c>
      <c r="I942" s="2" t="str">
        <f t="shared" si="14"/>
        <v>11</v>
      </c>
      <c r="J942" s="2">
        <v>50</v>
      </c>
      <c r="K942" s="3">
        <v>-302000</v>
      </c>
      <c r="L942" s="2" t="s">
        <v>26</v>
      </c>
      <c r="M942" s="3">
        <v>-302000</v>
      </c>
      <c r="N942" s="2" t="s">
        <v>26</v>
      </c>
      <c r="R942" s="2" t="s">
        <v>27</v>
      </c>
      <c r="S942" s="2" t="s">
        <v>1400</v>
      </c>
      <c r="T942" s="2" t="s">
        <v>59</v>
      </c>
      <c r="U942" s="2" t="s">
        <v>1401</v>
      </c>
      <c r="V942" s="4">
        <f>+VLOOKUP(U942,'FBCJ Jul-Des 2025'!$G$10:$P$1302,8,0)</f>
        <v>70101114</v>
      </c>
      <c r="W942" s="4" t="str">
        <f>+VLOOKUP(V942,Sheet1!$A$2:$B$27,2,0)</f>
        <v>By Perbaikan &amp; Perawatan Perabot Material Pihak3</v>
      </c>
      <c r="X942" s="4" t="str">
        <f>+VLOOKUP(U942,'FBCJ Jul-Des 2025'!$G$10:$P$1302,9,0)</f>
        <v>R124FPO</v>
      </c>
      <c r="Y942" s="2" t="s">
        <v>43</v>
      </c>
      <c r="Z942" s="2">
        <v>1793264</v>
      </c>
      <c r="AA942" s="2">
        <v>20251110</v>
      </c>
      <c r="AB942" s="3">
        <v>302000</v>
      </c>
    </row>
    <row r="943" spans="3:28" x14ac:dyDescent="0.25">
      <c r="C943" s="2">
        <v>10000001</v>
      </c>
      <c r="D943" s="2" t="s">
        <v>1397</v>
      </c>
      <c r="F943" s="2">
        <v>12009374</v>
      </c>
      <c r="H943" s="2" t="s">
        <v>1397</v>
      </c>
      <c r="I943" s="2" t="str">
        <f t="shared" si="14"/>
        <v>11</v>
      </c>
      <c r="J943" s="2">
        <v>50</v>
      </c>
      <c r="K943" s="3">
        <v>-210500</v>
      </c>
      <c r="L943" s="2" t="s">
        <v>26</v>
      </c>
      <c r="M943" s="3">
        <v>-210500</v>
      </c>
      <c r="N943" s="2" t="s">
        <v>26</v>
      </c>
      <c r="R943" s="2" t="s">
        <v>27</v>
      </c>
      <c r="S943" s="2" t="s">
        <v>1402</v>
      </c>
      <c r="T943" s="2" t="s">
        <v>193</v>
      </c>
      <c r="U943" s="2" t="s">
        <v>1403</v>
      </c>
      <c r="V943" s="4">
        <f>+VLOOKUP(U943,'FBCJ Jul-Des 2025'!$G$10:$P$1302,8,0)</f>
        <v>70105300</v>
      </c>
      <c r="W943" s="4" t="str">
        <f>+VLOOKUP(V943,Sheet1!$A$2:$B$27,2,0)</f>
        <v>Biaya Perizinan Pemerintah</v>
      </c>
      <c r="X943" s="4" t="str">
        <f>+VLOOKUP(U943,'FBCJ Jul-Des 2025'!$G$10:$P$1302,9,0)</f>
        <v>R124D1HRGA</v>
      </c>
      <c r="Y943" s="2" t="s">
        <v>43</v>
      </c>
      <c r="Z943" s="2">
        <v>1793264</v>
      </c>
      <c r="AA943" s="2">
        <v>20251110</v>
      </c>
      <c r="AB943" s="3">
        <v>210500</v>
      </c>
    </row>
    <row r="944" spans="3:28" x14ac:dyDescent="0.25">
      <c r="C944" s="2">
        <v>10000001</v>
      </c>
      <c r="D944" s="2" t="s">
        <v>1397</v>
      </c>
      <c r="F944" s="2">
        <v>12009375</v>
      </c>
      <c r="H944" s="2" t="s">
        <v>1397</v>
      </c>
      <c r="I944" s="2" t="str">
        <f t="shared" si="14"/>
        <v>11</v>
      </c>
      <c r="J944" s="2">
        <v>50</v>
      </c>
      <c r="K944" s="3">
        <v>-50000</v>
      </c>
      <c r="L944" s="2" t="s">
        <v>26</v>
      </c>
      <c r="M944" s="3">
        <v>-50000</v>
      </c>
      <c r="N944" s="2" t="s">
        <v>26</v>
      </c>
      <c r="R944" s="2" t="s">
        <v>27</v>
      </c>
      <c r="S944" s="2" t="s">
        <v>1404</v>
      </c>
      <c r="T944" s="2" t="s">
        <v>334</v>
      </c>
      <c r="U944" s="2" t="s">
        <v>1405</v>
      </c>
      <c r="V944" s="4">
        <f>+VLOOKUP(U944,'FBCJ Jul-Des 2025'!$G$10:$P$1302,8,0)</f>
        <v>70001110</v>
      </c>
      <c r="W944" s="4" t="str">
        <f>+VLOOKUP(V944,Sheet1!$A$2:$B$27,2,0)</f>
        <v>Biaya Ekspor lainnya</v>
      </c>
      <c r="X944" s="4" t="str">
        <f>+VLOOKUP(U944,'FBCJ Jul-Des 2025'!$G$10:$P$1302,9,0)</f>
        <v>P206D1SLSS</v>
      </c>
      <c r="Y944" s="2" t="s">
        <v>43</v>
      </c>
      <c r="Z944" s="2">
        <v>1793264</v>
      </c>
      <c r="AA944" s="2">
        <v>20251110</v>
      </c>
      <c r="AB944" s="3">
        <v>50000</v>
      </c>
    </row>
    <row r="945" spans="3:28" x14ac:dyDescent="0.25">
      <c r="C945" s="2">
        <v>10000001</v>
      </c>
      <c r="D945" s="2" t="s">
        <v>1397</v>
      </c>
      <c r="F945" s="2">
        <v>12009376</v>
      </c>
      <c r="H945" s="2" t="s">
        <v>1397</v>
      </c>
      <c r="I945" s="2" t="str">
        <f t="shared" si="14"/>
        <v>11</v>
      </c>
      <c r="J945" s="2">
        <v>50</v>
      </c>
      <c r="K945" s="3">
        <v>-50000</v>
      </c>
      <c r="L945" s="2" t="s">
        <v>26</v>
      </c>
      <c r="M945" s="3">
        <v>-50000</v>
      </c>
      <c r="N945" s="2" t="s">
        <v>26</v>
      </c>
      <c r="R945" s="2" t="s">
        <v>27</v>
      </c>
      <c r="S945" s="2" t="s">
        <v>1404</v>
      </c>
      <c r="T945" s="2" t="s">
        <v>334</v>
      </c>
      <c r="U945" s="2" t="s">
        <v>1406</v>
      </c>
      <c r="V945" s="4">
        <f>+VLOOKUP(U945,'FBCJ Jul-Des 2025'!$G$10:$P$1302,8,0)</f>
        <v>70001110</v>
      </c>
      <c r="W945" s="4" t="str">
        <f>+VLOOKUP(V945,Sheet1!$A$2:$B$27,2,0)</f>
        <v>Biaya Ekspor lainnya</v>
      </c>
      <c r="X945" s="4" t="str">
        <f>+VLOOKUP(U945,'FBCJ Jul-Des 2025'!$G$10:$P$1302,9,0)</f>
        <v>P206D1SLSS</v>
      </c>
      <c r="Y945" s="2" t="s">
        <v>43</v>
      </c>
      <c r="Z945" s="2">
        <v>1793264</v>
      </c>
      <c r="AA945" s="2">
        <v>20251110</v>
      </c>
      <c r="AB945" s="3">
        <v>50000</v>
      </c>
    </row>
    <row r="946" spans="3:28" x14ac:dyDescent="0.25">
      <c r="C946" s="2">
        <v>10000001</v>
      </c>
      <c r="D946" s="2" t="s">
        <v>1397</v>
      </c>
      <c r="F946" s="2">
        <v>12009377</v>
      </c>
      <c r="H946" s="2" t="s">
        <v>1397</v>
      </c>
      <c r="I946" s="2" t="str">
        <f t="shared" si="14"/>
        <v>11</v>
      </c>
      <c r="J946" s="2">
        <v>50</v>
      </c>
      <c r="K946" s="3">
        <v>-975000</v>
      </c>
      <c r="L946" s="2" t="s">
        <v>26</v>
      </c>
      <c r="M946" s="3">
        <v>-975000</v>
      </c>
      <c r="N946" s="2" t="s">
        <v>26</v>
      </c>
      <c r="R946" s="2" t="s">
        <v>27</v>
      </c>
      <c r="S946" s="2" t="s">
        <v>1407</v>
      </c>
      <c r="T946" s="2" t="s">
        <v>1187</v>
      </c>
      <c r="U946" s="2" t="s">
        <v>1408</v>
      </c>
      <c r="V946" s="4">
        <f>+VLOOKUP(U946,'FBCJ Jul-Des 2025'!$G$10:$P$1302,8,0)</f>
        <v>70110210</v>
      </c>
      <c r="W946" s="4">
        <f>+VLOOKUP(V946,Sheet1!$A$2:$B$27,2,0)</f>
        <v>0</v>
      </c>
      <c r="X946" s="4" t="str">
        <f>+VLOOKUP(U946,'FBCJ Jul-Des 2025'!$G$10:$P$1302,9,0)</f>
        <v>H200D1MMDP</v>
      </c>
      <c r="Y946" s="2" t="s">
        <v>43</v>
      </c>
      <c r="Z946" s="2">
        <v>1793264</v>
      </c>
      <c r="AA946" s="2">
        <v>20251110</v>
      </c>
      <c r="AB946" s="3">
        <v>975000</v>
      </c>
    </row>
    <row r="947" spans="3:28" x14ac:dyDescent="0.25">
      <c r="C947" s="2">
        <v>10000001</v>
      </c>
      <c r="D947" s="2" t="s">
        <v>1397</v>
      </c>
      <c r="F947" s="2">
        <v>12009378</v>
      </c>
      <c r="H947" s="2" t="s">
        <v>1397</v>
      </c>
      <c r="I947" s="2" t="str">
        <f t="shared" si="14"/>
        <v>11</v>
      </c>
      <c r="J947" s="2">
        <v>50</v>
      </c>
      <c r="K947" s="3">
        <v>-490000</v>
      </c>
      <c r="L947" s="2" t="s">
        <v>26</v>
      </c>
      <c r="M947" s="3">
        <v>-490000</v>
      </c>
      <c r="N947" s="2" t="s">
        <v>26</v>
      </c>
      <c r="R947" s="2" t="s">
        <v>27</v>
      </c>
      <c r="S947" s="2" t="s">
        <v>1409</v>
      </c>
      <c r="T947" s="2" t="s">
        <v>96</v>
      </c>
      <c r="U947" s="2" t="s">
        <v>1410</v>
      </c>
      <c r="V947" s="4">
        <f>+VLOOKUP(U947,'FBCJ Jul-Des 2025'!$G$10:$P$1302,8,0)</f>
        <v>70106400</v>
      </c>
      <c r="W947" s="4" t="str">
        <f>+VLOOKUP(V947,Sheet1!$A$2:$B$27,2,0)</f>
        <v>Biaya Bahan Bakar</v>
      </c>
      <c r="X947" s="4" t="str">
        <f>+VLOOKUP(U947,'FBCJ Jul-Des 2025'!$G$10:$P$1302,9,0)</f>
        <v>R124D1HRGA</v>
      </c>
      <c r="Y947" s="2" t="s">
        <v>43</v>
      </c>
      <c r="Z947" s="2">
        <v>1793264</v>
      </c>
      <c r="AA947" s="2">
        <v>20251110</v>
      </c>
      <c r="AB947" s="3">
        <v>490000</v>
      </c>
    </row>
    <row r="948" spans="3:28" x14ac:dyDescent="0.25">
      <c r="C948" s="2">
        <v>10000001</v>
      </c>
      <c r="D948" s="2" t="s">
        <v>1397</v>
      </c>
      <c r="F948" s="2">
        <v>12009379</v>
      </c>
      <c r="H948" s="2" t="s">
        <v>1397</v>
      </c>
      <c r="I948" s="2" t="str">
        <f t="shared" si="14"/>
        <v>11</v>
      </c>
      <c r="J948" s="2">
        <v>50</v>
      </c>
      <c r="K948" s="3">
        <v>-508000</v>
      </c>
      <c r="L948" s="2" t="s">
        <v>26</v>
      </c>
      <c r="M948" s="3">
        <v>-508000</v>
      </c>
      <c r="N948" s="2" t="s">
        <v>26</v>
      </c>
      <c r="R948" s="2" t="s">
        <v>27</v>
      </c>
      <c r="S948" s="2" t="s">
        <v>1409</v>
      </c>
      <c r="T948" s="2" t="s">
        <v>67</v>
      </c>
      <c r="U948" s="2" t="s">
        <v>98</v>
      </c>
      <c r="V948" s="4">
        <f>+VLOOKUP(U948,'FBCJ Jul-Des 2025'!$G$10:$P$1302,8,0)</f>
        <v>70106100</v>
      </c>
      <c r="W948" s="4" t="str">
        <f>+VLOOKUP(V948,Sheet1!$A$2:$B$27,2,0)</f>
        <v>Biaya Transportasi Lokal</v>
      </c>
      <c r="X948" s="4" t="str">
        <f>+VLOOKUP(U948,'FBCJ Jul-Des 2025'!$G$10:$P$1302,9,0)</f>
        <v>R124D1HRGA</v>
      </c>
      <c r="Y948" s="2" t="s">
        <v>43</v>
      </c>
      <c r="Z948" s="2">
        <v>1793264</v>
      </c>
      <c r="AA948" s="2">
        <v>20251110</v>
      </c>
      <c r="AB948" s="3">
        <v>508000</v>
      </c>
    </row>
    <row r="949" spans="3:28" x14ac:dyDescent="0.25">
      <c r="C949" s="2">
        <v>10000001</v>
      </c>
      <c r="D949" s="2" t="s">
        <v>1397</v>
      </c>
      <c r="F949" s="2">
        <v>12009380</v>
      </c>
      <c r="H949" s="2" t="s">
        <v>1397</v>
      </c>
      <c r="I949" s="2" t="str">
        <f t="shared" si="14"/>
        <v>11</v>
      </c>
      <c r="J949" s="2">
        <v>50</v>
      </c>
      <c r="K949" s="3">
        <v>-800000</v>
      </c>
      <c r="L949" s="2" t="s">
        <v>26</v>
      </c>
      <c r="M949" s="3">
        <v>-800000</v>
      </c>
      <c r="N949" s="2" t="s">
        <v>26</v>
      </c>
      <c r="R949" s="2" t="s">
        <v>27</v>
      </c>
      <c r="S949" s="2" t="s">
        <v>1411</v>
      </c>
      <c r="T949" s="2" t="s">
        <v>96</v>
      </c>
      <c r="U949" s="2" t="s">
        <v>1412</v>
      </c>
      <c r="V949" s="4">
        <f>+VLOOKUP(U949,'FBCJ Jul-Des 2025'!$G$10:$P$1302,8,0)</f>
        <v>70106400</v>
      </c>
      <c r="W949" s="4" t="str">
        <f>+VLOOKUP(V949,Sheet1!$A$2:$B$27,2,0)</f>
        <v>Biaya Bahan Bakar</v>
      </c>
      <c r="X949" s="4" t="str">
        <f>+VLOOKUP(U949,'FBCJ Jul-Des 2025'!$G$10:$P$1302,9,0)</f>
        <v>R124D1HRGA</v>
      </c>
      <c r="Y949" s="2" t="s">
        <v>43</v>
      </c>
      <c r="Z949" s="2">
        <v>1793264</v>
      </c>
      <c r="AA949" s="2">
        <v>20251110</v>
      </c>
      <c r="AB949" s="3">
        <v>800000</v>
      </c>
    </row>
    <row r="950" spans="3:28" x14ac:dyDescent="0.25">
      <c r="C950" s="2">
        <v>10000001</v>
      </c>
      <c r="D950" s="2" t="s">
        <v>1397</v>
      </c>
      <c r="F950" s="2">
        <v>12009381</v>
      </c>
      <c r="H950" s="2" t="s">
        <v>1397</v>
      </c>
      <c r="I950" s="2" t="str">
        <f t="shared" si="14"/>
        <v>11</v>
      </c>
      <c r="J950" s="2">
        <v>50</v>
      </c>
      <c r="K950" s="3">
        <v>-200000</v>
      </c>
      <c r="L950" s="2" t="s">
        <v>26</v>
      </c>
      <c r="M950" s="3">
        <v>-200000</v>
      </c>
      <c r="N950" s="2" t="s">
        <v>26</v>
      </c>
      <c r="R950" s="2" t="s">
        <v>27</v>
      </c>
      <c r="S950" s="2" t="s">
        <v>1411</v>
      </c>
      <c r="T950" s="2" t="s">
        <v>67</v>
      </c>
      <c r="U950" s="2" t="s">
        <v>98</v>
      </c>
      <c r="V950" s="4">
        <f>+VLOOKUP(U950,'FBCJ Jul-Des 2025'!$G$10:$P$1302,8,0)</f>
        <v>70106100</v>
      </c>
      <c r="W950" s="4" t="str">
        <f>+VLOOKUP(V950,Sheet1!$A$2:$B$27,2,0)</f>
        <v>Biaya Transportasi Lokal</v>
      </c>
      <c r="X950" s="4" t="str">
        <f>+VLOOKUP(U950,'FBCJ Jul-Des 2025'!$G$10:$P$1302,9,0)</f>
        <v>R124D1HRGA</v>
      </c>
      <c r="Y950" s="2" t="s">
        <v>43</v>
      </c>
      <c r="Z950" s="2">
        <v>1793264</v>
      </c>
      <c r="AA950" s="2">
        <v>20251110</v>
      </c>
      <c r="AB950" s="3">
        <v>200000</v>
      </c>
    </row>
    <row r="951" spans="3:28" x14ac:dyDescent="0.25">
      <c r="C951" s="2">
        <v>10000001</v>
      </c>
      <c r="D951" s="2" t="s">
        <v>1397</v>
      </c>
      <c r="F951" s="2">
        <v>12009382</v>
      </c>
      <c r="H951" s="2" t="s">
        <v>1397</v>
      </c>
      <c r="I951" s="2" t="str">
        <f t="shared" si="14"/>
        <v>11</v>
      </c>
      <c r="J951" s="2">
        <v>50</v>
      </c>
      <c r="K951" s="3">
        <v>-877100</v>
      </c>
      <c r="L951" s="2" t="s">
        <v>26</v>
      </c>
      <c r="M951" s="3">
        <v>-877100</v>
      </c>
      <c r="N951" s="2" t="s">
        <v>26</v>
      </c>
      <c r="R951" s="2" t="s">
        <v>27</v>
      </c>
      <c r="S951" s="2" t="s">
        <v>1413</v>
      </c>
      <c r="T951" s="2" t="s">
        <v>126</v>
      </c>
      <c r="U951" s="2" t="s">
        <v>1414</v>
      </c>
      <c r="V951" s="4">
        <f>+VLOOKUP(U951,'FBCJ Jul-Des 2025'!$G$10:$P$1302,8,0)</f>
        <v>70107600</v>
      </c>
      <c r="W951" s="4" t="str">
        <f>+VLOOKUP(V951,Sheet1!$A$2:$B$27,2,0)</f>
        <v>Biaya Konsumsi Kantor</v>
      </c>
      <c r="X951" s="4" t="str">
        <f>+VLOOKUP(U951,'FBCJ Jul-Des 2025'!$G$10:$P$1302,9,0)</f>
        <v>R124REF4</v>
      </c>
      <c r="Y951" s="2" t="s">
        <v>43</v>
      </c>
      <c r="Z951" s="2">
        <v>1793264</v>
      </c>
      <c r="AA951" s="2">
        <v>20251110</v>
      </c>
      <c r="AB951" s="3">
        <v>877100</v>
      </c>
    </row>
    <row r="952" spans="3:28" x14ac:dyDescent="0.25">
      <c r="C952" s="2">
        <v>10000001</v>
      </c>
      <c r="D952" s="2" t="s">
        <v>1397</v>
      </c>
      <c r="F952" s="2">
        <v>12009383</v>
      </c>
      <c r="H952" s="2" t="s">
        <v>1397</v>
      </c>
      <c r="I952" s="2" t="str">
        <f t="shared" si="14"/>
        <v>11</v>
      </c>
      <c r="J952" s="2">
        <v>50</v>
      </c>
      <c r="K952" s="3">
        <v>-950000</v>
      </c>
      <c r="L952" s="2" t="s">
        <v>26</v>
      </c>
      <c r="M952" s="3">
        <v>-950000</v>
      </c>
      <c r="N952" s="2" t="s">
        <v>26</v>
      </c>
      <c r="R952" s="2" t="s">
        <v>27</v>
      </c>
      <c r="S952" s="2" t="s">
        <v>1415</v>
      </c>
      <c r="T952" s="2" t="s">
        <v>1187</v>
      </c>
      <c r="U952" s="2" t="s">
        <v>1416</v>
      </c>
      <c r="V952" s="4">
        <f>+VLOOKUP(U952,'FBCJ Jul-Des 2025'!$G$10:$P$1302,8,0)</f>
        <v>70110210</v>
      </c>
      <c r="W952" s="4">
        <f>+VLOOKUP(V952,Sheet1!$A$2:$B$27,2,0)</f>
        <v>0</v>
      </c>
      <c r="X952" s="4" t="str">
        <f>+VLOOKUP(U952,'FBCJ Jul-Des 2025'!$G$10:$P$1302,9,0)</f>
        <v>H200D1MMDP</v>
      </c>
      <c r="Y952" s="2" t="s">
        <v>43</v>
      </c>
      <c r="Z952" s="2">
        <v>1793264</v>
      </c>
      <c r="AA952" s="2">
        <v>20251110</v>
      </c>
      <c r="AB952" s="3">
        <v>950000</v>
      </c>
    </row>
    <row r="953" spans="3:28" x14ac:dyDescent="0.25">
      <c r="C953" s="2">
        <v>10000001</v>
      </c>
      <c r="D953" s="2" t="s">
        <v>1397</v>
      </c>
      <c r="F953" s="2">
        <v>12009384</v>
      </c>
      <c r="H953" s="2" t="s">
        <v>1397</v>
      </c>
      <c r="I953" s="2" t="str">
        <f t="shared" si="14"/>
        <v>11</v>
      </c>
      <c r="J953" s="2">
        <v>50</v>
      </c>
      <c r="K953" s="3">
        <v>-1000000</v>
      </c>
      <c r="L953" s="2" t="s">
        <v>26</v>
      </c>
      <c r="M953" s="3">
        <v>-1000000</v>
      </c>
      <c r="N953" s="2" t="s">
        <v>26</v>
      </c>
      <c r="R953" s="2" t="s">
        <v>27</v>
      </c>
      <c r="S953" s="2" t="s">
        <v>1417</v>
      </c>
      <c r="T953" s="2" t="s">
        <v>259</v>
      </c>
      <c r="U953" s="2" t="s">
        <v>1418</v>
      </c>
      <c r="V953" s="4">
        <f>+VLOOKUP(U953,'FBCJ Jul-Des 2025'!$G$10:$P$1302,8,0)</f>
        <v>70119300</v>
      </c>
      <c r="W953" s="4" t="str">
        <f>+VLOOKUP(V953,Sheet1!$A$2:$B$27,2,0)</f>
        <v>Biaya Umum dan Administrasi</v>
      </c>
      <c r="X953" s="4" t="str">
        <f>+VLOOKUP(U953,'FBCJ Jul-Des 2025'!$G$10:$P$1302,9,0)</f>
        <v>R124D1HRDV</v>
      </c>
      <c r="Y953" s="2" t="s">
        <v>43</v>
      </c>
      <c r="Z953" s="2">
        <v>1793264</v>
      </c>
      <c r="AA953" s="2">
        <v>20251110</v>
      </c>
      <c r="AB953" s="3">
        <v>1000000</v>
      </c>
    </row>
    <row r="954" spans="3:28" x14ac:dyDescent="0.25">
      <c r="C954" s="2">
        <v>10000001</v>
      </c>
      <c r="D954" s="2" t="s">
        <v>1397</v>
      </c>
      <c r="F954" s="2">
        <v>12009385</v>
      </c>
      <c r="H954" s="2" t="s">
        <v>1397</v>
      </c>
      <c r="I954" s="2" t="str">
        <f t="shared" si="14"/>
        <v>11</v>
      </c>
      <c r="J954" s="2">
        <v>50</v>
      </c>
      <c r="K954" s="3">
        <v>-129500</v>
      </c>
      <c r="L954" s="2" t="s">
        <v>26</v>
      </c>
      <c r="M954" s="3">
        <v>-129500</v>
      </c>
      <c r="N954" s="2" t="s">
        <v>26</v>
      </c>
      <c r="R954" s="2" t="s">
        <v>27</v>
      </c>
      <c r="S954" s="2" t="s">
        <v>1419</v>
      </c>
      <c r="T954" s="2" t="s">
        <v>67</v>
      </c>
      <c r="U954" s="2" t="s">
        <v>1420</v>
      </c>
      <c r="V954" s="4">
        <f>+VLOOKUP(U954,'FBCJ Jul-Des 2025'!$G$10:$P$1302,8,0)</f>
        <v>70106100</v>
      </c>
      <c r="W954" s="4" t="str">
        <f>+VLOOKUP(V954,Sheet1!$A$2:$B$27,2,0)</f>
        <v>Biaya Transportasi Lokal</v>
      </c>
      <c r="X954" s="4" t="str">
        <f>+VLOOKUP(U954,'FBCJ Jul-Des 2025'!$G$10:$P$1302,9,0)</f>
        <v>R124BLR</v>
      </c>
      <c r="Y954" s="2" t="s">
        <v>43</v>
      </c>
      <c r="Z954" s="2">
        <v>1793264</v>
      </c>
      <c r="AA954" s="2">
        <v>20251110</v>
      </c>
      <c r="AB954" s="3">
        <v>129500</v>
      </c>
    </row>
    <row r="955" spans="3:28" x14ac:dyDescent="0.25">
      <c r="C955" s="2">
        <v>10000001</v>
      </c>
      <c r="D955" s="2" t="s">
        <v>1397</v>
      </c>
      <c r="F955" s="2">
        <v>12009386</v>
      </c>
      <c r="H955" s="2" t="s">
        <v>1397</v>
      </c>
      <c r="I955" s="2" t="str">
        <f t="shared" si="14"/>
        <v>11</v>
      </c>
      <c r="J955" s="2">
        <v>50</v>
      </c>
      <c r="K955" s="3">
        <v>-50000</v>
      </c>
      <c r="L955" s="2" t="s">
        <v>26</v>
      </c>
      <c r="M955" s="3">
        <v>-50000</v>
      </c>
      <c r="N955" s="2" t="s">
        <v>26</v>
      </c>
      <c r="R955" s="2" t="s">
        <v>27</v>
      </c>
      <c r="S955" s="2" t="s">
        <v>1419</v>
      </c>
      <c r="T955" s="2" t="s">
        <v>126</v>
      </c>
      <c r="U955" s="2" t="s">
        <v>1421</v>
      </c>
      <c r="V955" s="4">
        <f>+VLOOKUP(U955,'FBCJ Jul-Des 2025'!$G$10:$P$1302,8,0)</f>
        <v>70107600</v>
      </c>
      <c r="W955" s="4" t="str">
        <f>+VLOOKUP(V955,Sheet1!$A$2:$B$27,2,0)</f>
        <v>Biaya Konsumsi Kantor</v>
      </c>
      <c r="X955" s="4" t="str">
        <f>+VLOOKUP(U955,'FBCJ Jul-Des 2025'!$G$10:$P$1302,9,0)</f>
        <v>R124BLR</v>
      </c>
      <c r="Y955" s="2" t="s">
        <v>43</v>
      </c>
      <c r="Z955" s="2">
        <v>1793264</v>
      </c>
      <c r="AA955" s="2">
        <v>20251110</v>
      </c>
      <c r="AB955" s="3">
        <v>50000</v>
      </c>
    </row>
    <row r="956" spans="3:28" x14ac:dyDescent="0.25">
      <c r="C956" s="2">
        <v>10000001</v>
      </c>
      <c r="D956" s="2" t="s">
        <v>1397</v>
      </c>
      <c r="F956" s="2">
        <v>12009387</v>
      </c>
      <c r="H956" s="2" t="s">
        <v>1397</v>
      </c>
      <c r="I956" s="2" t="str">
        <f t="shared" si="14"/>
        <v>11</v>
      </c>
      <c r="J956" s="2">
        <v>50</v>
      </c>
      <c r="K956" s="3">
        <v>-75000</v>
      </c>
      <c r="L956" s="2" t="s">
        <v>26</v>
      </c>
      <c r="M956" s="3">
        <v>-75000</v>
      </c>
      <c r="N956" s="2" t="s">
        <v>26</v>
      </c>
      <c r="R956" s="2" t="s">
        <v>27</v>
      </c>
      <c r="S956" s="2" t="s">
        <v>1422</v>
      </c>
      <c r="T956" s="2" t="s">
        <v>126</v>
      </c>
      <c r="U956" s="2" t="s">
        <v>1423</v>
      </c>
      <c r="V956" s="4">
        <f>+VLOOKUP(U956,'FBCJ Jul-Des 2025'!$G$10:$P$1302,8,0)</f>
        <v>70107600</v>
      </c>
      <c r="W956" s="4" t="str">
        <f>+VLOOKUP(V956,Sheet1!$A$2:$B$27,2,0)</f>
        <v>Biaya Konsumsi Kantor</v>
      </c>
      <c r="X956" s="4" t="str">
        <f>+VLOOKUP(U956,'FBCJ Jul-Des 2025'!$G$10:$P$1302,9,0)</f>
        <v>R124QCA</v>
      </c>
      <c r="Y956" s="2" t="s">
        <v>43</v>
      </c>
      <c r="Z956" s="2">
        <v>1793264</v>
      </c>
      <c r="AA956" s="2">
        <v>20251110</v>
      </c>
      <c r="AB956" s="3">
        <v>75000</v>
      </c>
    </row>
    <row r="957" spans="3:28" x14ac:dyDescent="0.25">
      <c r="C957" s="2">
        <v>10000001</v>
      </c>
      <c r="D957" s="2" t="s">
        <v>1397</v>
      </c>
      <c r="F957" s="2">
        <v>12009388</v>
      </c>
      <c r="H957" s="2" t="s">
        <v>1397</v>
      </c>
      <c r="I957" s="2" t="str">
        <f t="shared" si="14"/>
        <v>11</v>
      </c>
      <c r="J957" s="2">
        <v>50</v>
      </c>
      <c r="K957" s="3">
        <v>-262820</v>
      </c>
      <c r="L957" s="2" t="s">
        <v>26</v>
      </c>
      <c r="M957" s="3">
        <v>-262820</v>
      </c>
      <c r="N957" s="2" t="s">
        <v>26</v>
      </c>
      <c r="R957" s="2" t="s">
        <v>27</v>
      </c>
      <c r="S957" s="2" t="s">
        <v>1422</v>
      </c>
      <c r="T957" s="2" t="s">
        <v>59</v>
      </c>
      <c r="U957" s="2" t="s">
        <v>1424</v>
      </c>
      <c r="V957" s="4">
        <f>+VLOOKUP(U957,'FBCJ Jul-Des 2025'!$G$10:$P$1302,8,0)</f>
        <v>70101114</v>
      </c>
      <c r="W957" s="4" t="str">
        <f>+VLOOKUP(V957,Sheet1!$A$2:$B$27,2,0)</f>
        <v>By Perbaikan &amp; Perawatan Perabot Material Pihak3</v>
      </c>
      <c r="X957" s="4" t="str">
        <f>+VLOOKUP(U957,'FBCJ Jul-Des 2025'!$G$10:$P$1302,9,0)</f>
        <v>R124QCA</v>
      </c>
      <c r="Y957" s="2" t="s">
        <v>43</v>
      </c>
      <c r="Z957" s="2">
        <v>1793264</v>
      </c>
      <c r="AA957" s="2">
        <v>20251110</v>
      </c>
      <c r="AB957" s="3">
        <v>262820</v>
      </c>
    </row>
    <row r="958" spans="3:28" x14ac:dyDescent="0.25">
      <c r="C958" s="2">
        <v>10000001</v>
      </c>
      <c r="D958" s="2" t="s">
        <v>1397</v>
      </c>
      <c r="F958" s="2">
        <v>12009389</v>
      </c>
      <c r="H958" s="2" t="s">
        <v>1397</v>
      </c>
      <c r="I958" s="2" t="str">
        <f t="shared" si="14"/>
        <v>11</v>
      </c>
      <c r="J958" s="2">
        <v>50</v>
      </c>
      <c r="K958" s="3">
        <v>-225500</v>
      </c>
      <c r="L958" s="2" t="s">
        <v>26</v>
      </c>
      <c r="M958" s="3">
        <v>-225500</v>
      </c>
      <c r="N958" s="2" t="s">
        <v>26</v>
      </c>
      <c r="R958" s="2" t="s">
        <v>27</v>
      </c>
      <c r="S958" s="2" t="s">
        <v>1422</v>
      </c>
      <c r="T958" s="2" t="s">
        <v>146</v>
      </c>
      <c r="U958" s="2" t="s">
        <v>1425</v>
      </c>
      <c r="V958" s="4">
        <f>+VLOOKUP(U958,'FBCJ Jul-Des 2025'!$G$10:$P$1302,8,0)</f>
        <v>70115100</v>
      </c>
      <c r="W958" s="4" t="str">
        <f>+VLOOKUP(V958,Sheet1!$A$2:$B$27,2,0)</f>
        <v>Biaya Riset, Pengembangan, dan Laboratorium</v>
      </c>
      <c r="X958" s="4" t="str">
        <f>+VLOOKUP(U958,'FBCJ Jul-Des 2025'!$G$10:$P$1302,9,0)</f>
        <v>R124QCA</v>
      </c>
      <c r="Y958" s="2" t="s">
        <v>43</v>
      </c>
      <c r="Z958" s="2">
        <v>1793264</v>
      </c>
      <c r="AA958" s="2">
        <v>20251110</v>
      </c>
      <c r="AB958" s="3">
        <v>225500</v>
      </c>
    </row>
    <row r="959" spans="3:28" x14ac:dyDescent="0.25">
      <c r="C959" s="2">
        <v>10000001</v>
      </c>
      <c r="D959" s="2" t="s">
        <v>1397</v>
      </c>
      <c r="F959" s="2">
        <v>12009390</v>
      </c>
      <c r="H959" s="2" t="s">
        <v>1397</v>
      </c>
      <c r="I959" s="2" t="str">
        <f t="shared" si="14"/>
        <v>11</v>
      </c>
      <c r="J959" s="2">
        <v>50</v>
      </c>
      <c r="K959" s="3">
        <v>-118400</v>
      </c>
      <c r="L959" s="2" t="s">
        <v>26</v>
      </c>
      <c r="M959" s="3">
        <v>-118400</v>
      </c>
      <c r="N959" s="2" t="s">
        <v>26</v>
      </c>
      <c r="R959" s="2" t="s">
        <v>27</v>
      </c>
      <c r="S959" s="2" t="s">
        <v>1422</v>
      </c>
      <c r="T959" s="2" t="s">
        <v>146</v>
      </c>
      <c r="U959" s="2" t="s">
        <v>1426</v>
      </c>
      <c r="V959" s="4">
        <f>+VLOOKUP(U959,'FBCJ Jul-Des 2025'!$G$10:$P$1302,8,0)</f>
        <v>70115100</v>
      </c>
      <c r="W959" s="4" t="str">
        <f>+VLOOKUP(V959,Sheet1!$A$2:$B$27,2,0)</f>
        <v>Biaya Riset, Pengembangan, dan Laboratorium</v>
      </c>
      <c r="X959" s="4" t="str">
        <f>+VLOOKUP(U959,'FBCJ Jul-Des 2025'!$G$10:$P$1302,9,0)</f>
        <v>R124QCA</v>
      </c>
      <c r="Y959" s="2" t="s">
        <v>43</v>
      </c>
      <c r="Z959" s="2">
        <v>1793264</v>
      </c>
      <c r="AA959" s="2">
        <v>20251110</v>
      </c>
      <c r="AB959" s="3">
        <v>118400</v>
      </c>
    </row>
    <row r="960" spans="3:28" x14ac:dyDescent="0.25">
      <c r="C960" s="2">
        <v>10000001</v>
      </c>
      <c r="D960" s="2" t="s">
        <v>1397</v>
      </c>
      <c r="F960" s="2">
        <v>12009391</v>
      </c>
      <c r="H960" s="2" t="s">
        <v>1397</v>
      </c>
      <c r="I960" s="2" t="str">
        <f t="shared" si="14"/>
        <v>11</v>
      </c>
      <c r="J960" s="2">
        <v>50</v>
      </c>
      <c r="K960" s="3">
        <v>-452000</v>
      </c>
      <c r="L960" s="2" t="s">
        <v>26</v>
      </c>
      <c r="M960" s="3">
        <v>-452000</v>
      </c>
      <c r="N960" s="2" t="s">
        <v>26</v>
      </c>
      <c r="R960" s="2" t="s">
        <v>27</v>
      </c>
      <c r="S960" s="2" t="s">
        <v>1427</v>
      </c>
      <c r="T960" s="2" t="s">
        <v>57</v>
      </c>
      <c r="U960" s="2" t="s">
        <v>181</v>
      </c>
      <c r="V960" s="4">
        <f>+VLOOKUP(U960,'FBCJ Jul-Des 2025'!$G$10:$P$1302,8,0)</f>
        <v>70101202</v>
      </c>
      <c r="W960" s="4" t="str">
        <f>+VLOOKUP(V960,Sheet1!$A$2:$B$27,2,0)</f>
        <v>By Pemeliharaan Kend,ABerat,Mesin-Material Pihak3</v>
      </c>
      <c r="X960" s="4" t="str">
        <f>+VLOOKUP(U960,'FBCJ Jul-Des 2025'!$G$10:$P$1302,9,0)</f>
        <v>P206D1SLSS</v>
      </c>
      <c r="Y960" s="2" t="s">
        <v>43</v>
      </c>
      <c r="Z960" s="2">
        <v>1793264</v>
      </c>
      <c r="AA960" s="2">
        <v>20251110</v>
      </c>
      <c r="AB960" s="3">
        <v>452000</v>
      </c>
    </row>
    <row r="961" spans="3:28" x14ac:dyDescent="0.25">
      <c r="C961" s="2">
        <v>10000001</v>
      </c>
      <c r="D961" s="2" t="s">
        <v>1397</v>
      </c>
      <c r="F961" s="2">
        <v>12009392</v>
      </c>
      <c r="H961" s="2" t="s">
        <v>1397</v>
      </c>
      <c r="I961" s="2" t="str">
        <f t="shared" si="14"/>
        <v>11</v>
      </c>
      <c r="J961" s="2">
        <v>50</v>
      </c>
      <c r="K961" s="3">
        <v>-358000</v>
      </c>
      <c r="L961" s="2" t="s">
        <v>26</v>
      </c>
      <c r="M961" s="3">
        <v>-358000</v>
      </c>
      <c r="N961" s="2" t="s">
        <v>26</v>
      </c>
      <c r="R961" s="2" t="s">
        <v>27</v>
      </c>
      <c r="S961" s="2" t="s">
        <v>1428</v>
      </c>
      <c r="T961" s="2" t="s">
        <v>57</v>
      </c>
      <c r="U961" s="2" t="s">
        <v>179</v>
      </c>
      <c r="V961" s="4">
        <f>+VLOOKUP(U961,'FBCJ Jul-Des 2025'!$G$10:$P$1302,8,0)</f>
        <v>70101202</v>
      </c>
      <c r="W961" s="4" t="str">
        <f>+VLOOKUP(V961,Sheet1!$A$2:$B$27,2,0)</f>
        <v>By Pemeliharaan Kend,ABerat,Mesin-Material Pihak3</v>
      </c>
      <c r="X961" s="4" t="str">
        <f>+VLOOKUP(U961,'FBCJ Jul-Des 2025'!$G$10:$P$1302,9,0)</f>
        <v>C206D1SLSS</v>
      </c>
      <c r="Y961" s="2" t="s">
        <v>43</v>
      </c>
      <c r="Z961" s="2">
        <v>1793264</v>
      </c>
      <c r="AA961" s="2">
        <v>20251110</v>
      </c>
      <c r="AB961" s="3">
        <v>358000</v>
      </c>
    </row>
    <row r="962" spans="3:28" x14ac:dyDescent="0.25">
      <c r="C962" s="2">
        <v>10000001</v>
      </c>
      <c r="D962" s="2" t="s">
        <v>1397</v>
      </c>
      <c r="F962" s="2">
        <v>12009393</v>
      </c>
      <c r="H962" s="2" t="s">
        <v>1397</v>
      </c>
      <c r="I962" s="2" t="str">
        <f t="shared" si="14"/>
        <v>11</v>
      </c>
      <c r="J962" s="2">
        <v>50</v>
      </c>
      <c r="K962" s="3">
        <v>-50000</v>
      </c>
      <c r="L962" s="2" t="s">
        <v>26</v>
      </c>
      <c r="M962" s="3">
        <v>-50000</v>
      </c>
      <c r="N962" s="2" t="s">
        <v>26</v>
      </c>
      <c r="R962" s="2" t="s">
        <v>27</v>
      </c>
      <c r="S962" s="2" t="s">
        <v>1429</v>
      </c>
      <c r="T962" s="2" t="s">
        <v>334</v>
      </c>
      <c r="U962" s="2" t="s">
        <v>1430</v>
      </c>
      <c r="V962" s="4">
        <f>+VLOOKUP(U962,'FBCJ Jul-Des 2025'!$G$10:$P$1302,8,0)</f>
        <v>70001110</v>
      </c>
      <c r="W962" s="4" t="str">
        <f>+VLOOKUP(V962,Sheet1!$A$2:$B$27,2,0)</f>
        <v>Biaya Ekspor lainnya</v>
      </c>
      <c r="X962" s="4" t="str">
        <f>+VLOOKUP(U962,'FBCJ Jul-Des 2025'!$G$10:$P$1302,9,0)</f>
        <v>P206D1SLSS</v>
      </c>
      <c r="Y962" s="2" t="s">
        <v>43</v>
      </c>
      <c r="Z962" s="2">
        <v>1793264</v>
      </c>
      <c r="AA962" s="2">
        <v>20251110</v>
      </c>
      <c r="AB962" s="3">
        <v>50000</v>
      </c>
    </row>
    <row r="963" spans="3:28" x14ac:dyDescent="0.25">
      <c r="C963" s="2">
        <v>10000001</v>
      </c>
      <c r="D963" s="2" t="s">
        <v>1397</v>
      </c>
      <c r="F963" s="2">
        <v>12009394</v>
      </c>
      <c r="H963" s="2" t="s">
        <v>1397</v>
      </c>
      <c r="I963" s="2" t="str">
        <f t="shared" si="14"/>
        <v>11</v>
      </c>
      <c r="J963" s="2">
        <v>50</v>
      </c>
      <c r="K963" s="3">
        <v>-50000</v>
      </c>
      <c r="L963" s="2" t="s">
        <v>26</v>
      </c>
      <c r="M963" s="3">
        <v>-50000</v>
      </c>
      <c r="N963" s="2" t="s">
        <v>26</v>
      </c>
      <c r="R963" s="2" t="s">
        <v>27</v>
      </c>
      <c r="S963" s="2" t="s">
        <v>1429</v>
      </c>
      <c r="T963" s="2" t="s">
        <v>334</v>
      </c>
      <c r="U963" s="2" t="s">
        <v>1431</v>
      </c>
      <c r="V963" s="4">
        <f>+VLOOKUP(U963,'FBCJ Jul-Des 2025'!$G$10:$P$1302,8,0)</f>
        <v>70001110</v>
      </c>
      <c r="W963" s="4" t="str">
        <f>+VLOOKUP(V963,Sheet1!$A$2:$B$27,2,0)</f>
        <v>Biaya Ekspor lainnya</v>
      </c>
      <c r="X963" s="4" t="str">
        <f>+VLOOKUP(U963,'FBCJ Jul-Des 2025'!$G$10:$P$1302,9,0)</f>
        <v>P206D1SLSS</v>
      </c>
      <c r="Y963" s="2" t="s">
        <v>43</v>
      </c>
      <c r="Z963" s="2">
        <v>1793264</v>
      </c>
      <c r="AA963" s="2">
        <v>20251110</v>
      </c>
      <c r="AB963" s="3">
        <v>50000</v>
      </c>
    </row>
    <row r="964" spans="3:28" x14ac:dyDescent="0.25">
      <c r="C964" s="2">
        <v>10000001</v>
      </c>
      <c r="D964" s="2" t="s">
        <v>1397</v>
      </c>
      <c r="F964" s="2">
        <v>12009395</v>
      </c>
      <c r="H964" s="2" t="s">
        <v>1397</v>
      </c>
      <c r="I964" s="2" t="str">
        <f t="shared" si="14"/>
        <v>11</v>
      </c>
      <c r="J964" s="2">
        <v>50</v>
      </c>
      <c r="K964" s="3">
        <v>-50000</v>
      </c>
      <c r="L964" s="2" t="s">
        <v>26</v>
      </c>
      <c r="M964" s="3">
        <v>-50000</v>
      </c>
      <c r="N964" s="2" t="s">
        <v>26</v>
      </c>
      <c r="R964" s="2" t="s">
        <v>27</v>
      </c>
      <c r="S964" s="2" t="s">
        <v>1429</v>
      </c>
      <c r="T964" s="2" t="s">
        <v>334</v>
      </c>
      <c r="U964" s="2" t="s">
        <v>1432</v>
      </c>
      <c r="V964" s="4">
        <f>+VLOOKUP(U964,'FBCJ Jul-Des 2025'!$G$10:$P$1302,8,0)</f>
        <v>70001110</v>
      </c>
      <c r="W964" s="4" t="str">
        <f>+VLOOKUP(V964,Sheet1!$A$2:$B$27,2,0)</f>
        <v>Biaya Ekspor lainnya</v>
      </c>
      <c r="X964" s="4" t="str">
        <f>+VLOOKUP(U964,'FBCJ Jul-Des 2025'!$G$10:$P$1302,9,0)</f>
        <v>P206D1SLSS</v>
      </c>
      <c r="Y964" s="2" t="s">
        <v>43</v>
      </c>
      <c r="Z964" s="2">
        <v>1793264</v>
      </c>
      <c r="AA964" s="2">
        <v>20251110</v>
      </c>
      <c r="AB964" s="3">
        <v>50000</v>
      </c>
    </row>
    <row r="965" spans="3:28" x14ac:dyDescent="0.25">
      <c r="C965" s="2">
        <v>10000001</v>
      </c>
      <c r="D965" s="2" t="s">
        <v>1397</v>
      </c>
      <c r="F965" s="2">
        <v>12009396</v>
      </c>
      <c r="H965" s="2" t="s">
        <v>1397</v>
      </c>
      <c r="I965" s="2" t="str">
        <f t="shared" si="14"/>
        <v>11</v>
      </c>
      <c r="J965" s="2">
        <v>50</v>
      </c>
      <c r="K965" s="3">
        <v>-50000</v>
      </c>
      <c r="L965" s="2" t="s">
        <v>26</v>
      </c>
      <c r="M965" s="3">
        <v>-50000</v>
      </c>
      <c r="N965" s="2" t="s">
        <v>26</v>
      </c>
      <c r="R965" s="2" t="s">
        <v>27</v>
      </c>
      <c r="S965" s="2" t="s">
        <v>1429</v>
      </c>
      <c r="T965" s="2" t="s">
        <v>334</v>
      </c>
      <c r="U965" s="2" t="s">
        <v>1433</v>
      </c>
      <c r="V965" s="4">
        <f>+VLOOKUP(U965,'FBCJ Jul-Des 2025'!$G$10:$P$1302,8,0)</f>
        <v>70001110</v>
      </c>
      <c r="W965" s="4" t="str">
        <f>+VLOOKUP(V965,Sheet1!$A$2:$B$27,2,0)</f>
        <v>Biaya Ekspor lainnya</v>
      </c>
      <c r="X965" s="4" t="str">
        <f>+VLOOKUP(U965,'FBCJ Jul-Des 2025'!$G$10:$P$1302,9,0)</f>
        <v>P206D1SLSS</v>
      </c>
      <c r="Y965" s="2" t="s">
        <v>43</v>
      </c>
      <c r="Z965" s="2">
        <v>1793264</v>
      </c>
      <c r="AA965" s="2">
        <v>20251110</v>
      </c>
      <c r="AB965" s="3">
        <v>50000</v>
      </c>
    </row>
    <row r="966" spans="3:28" x14ac:dyDescent="0.25">
      <c r="C966" s="2">
        <v>10000001</v>
      </c>
      <c r="D966" s="2" t="s">
        <v>1397</v>
      </c>
      <c r="F966" s="2">
        <v>12009397</v>
      </c>
      <c r="H966" s="2" t="s">
        <v>1397</v>
      </c>
      <c r="I966" s="2" t="str">
        <f t="shared" si="14"/>
        <v>11</v>
      </c>
      <c r="J966" s="2">
        <v>50</v>
      </c>
      <c r="K966" s="3">
        <v>-50000</v>
      </c>
      <c r="L966" s="2" t="s">
        <v>26</v>
      </c>
      <c r="M966" s="3">
        <v>-50000</v>
      </c>
      <c r="N966" s="2" t="s">
        <v>26</v>
      </c>
      <c r="R966" s="2" t="s">
        <v>27</v>
      </c>
      <c r="S966" s="2" t="s">
        <v>1429</v>
      </c>
      <c r="T966" s="2" t="s">
        <v>334</v>
      </c>
      <c r="U966" s="2" t="s">
        <v>1434</v>
      </c>
      <c r="V966" s="4">
        <f>+VLOOKUP(U966,'FBCJ Jul-Des 2025'!$G$10:$P$1302,8,0)</f>
        <v>70001110</v>
      </c>
      <c r="W966" s="4" t="str">
        <f>+VLOOKUP(V966,Sheet1!$A$2:$B$27,2,0)</f>
        <v>Biaya Ekspor lainnya</v>
      </c>
      <c r="X966" s="4" t="str">
        <f>+VLOOKUP(U966,'FBCJ Jul-Des 2025'!$G$10:$P$1302,9,0)</f>
        <v>P206D1SLSS</v>
      </c>
      <c r="Y966" s="2" t="s">
        <v>43</v>
      </c>
      <c r="Z966" s="2">
        <v>1793264</v>
      </c>
      <c r="AA966" s="2">
        <v>20251110</v>
      </c>
      <c r="AB966" s="3">
        <v>50000</v>
      </c>
    </row>
    <row r="967" spans="3:28" x14ac:dyDescent="0.25">
      <c r="C967" s="2">
        <v>10000001</v>
      </c>
      <c r="D967" s="2" t="s">
        <v>1397</v>
      </c>
      <c r="F967" s="2">
        <v>12009398</v>
      </c>
      <c r="H967" s="2" t="s">
        <v>1397</v>
      </c>
      <c r="I967" s="2" t="str">
        <f t="shared" si="14"/>
        <v>11</v>
      </c>
      <c r="J967" s="2">
        <v>50</v>
      </c>
      <c r="K967" s="3">
        <v>-200000</v>
      </c>
      <c r="L967" s="2" t="s">
        <v>26</v>
      </c>
      <c r="M967" s="3">
        <v>-200000</v>
      </c>
      <c r="N967" s="2" t="s">
        <v>26</v>
      </c>
      <c r="R967" s="2" t="s">
        <v>27</v>
      </c>
      <c r="S967" s="2" t="s">
        <v>1429</v>
      </c>
      <c r="T967" s="2" t="s">
        <v>334</v>
      </c>
      <c r="U967" s="2" t="s">
        <v>1435</v>
      </c>
      <c r="V967" s="4">
        <f>+VLOOKUP(U967,'FBCJ Jul-Des 2025'!$G$10:$P$1302,8,0)</f>
        <v>70001110</v>
      </c>
      <c r="W967" s="4" t="str">
        <f>+VLOOKUP(V967,Sheet1!$A$2:$B$27,2,0)</f>
        <v>Biaya Ekspor lainnya</v>
      </c>
      <c r="X967" s="4" t="str">
        <f>+VLOOKUP(U967,'FBCJ Jul-Des 2025'!$G$10:$P$1302,9,0)</f>
        <v>P206D1SLSS</v>
      </c>
      <c r="Y967" s="2" t="s">
        <v>43</v>
      </c>
      <c r="Z967" s="2">
        <v>1793264</v>
      </c>
      <c r="AA967" s="2">
        <v>20251110</v>
      </c>
      <c r="AB967" s="3">
        <v>200000</v>
      </c>
    </row>
    <row r="968" spans="3:28" x14ac:dyDescent="0.25">
      <c r="C968" s="2">
        <v>10000001</v>
      </c>
      <c r="D968" s="2" t="s">
        <v>1397</v>
      </c>
      <c r="F968" s="2">
        <v>12009399</v>
      </c>
      <c r="H968" s="2" t="s">
        <v>1397</v>
      </c>
      <c r="I968" s="2" t="str">
        <f t="shared" ref="I968:I1031" si="15">+MID(H968,4,2)</f>
        <v>11</v>
      </c>
      <c r="J968" s="2">
        <v>50</v>
      </c>
      <c r="K968" s="3">
        <v>-200000</v>
      </c>
      <c r="L968" s="2" t="s">
        <v>26</v>
      </c>
      <c r="M968" s="3">
        <v>-200000</v>
      </c>
      <c r="N968" s="2" t="s">
        <v>26</v>
      </c>
      <c r="R968" s="2" t="s">
        <v>27</v>
      </c>
      <c r="S968" s="2" t="s">
        <v>1429</v>
      </c>
      <c r="T968" s="2" t="s">
        <v>334</v>
      </c>
      <c r="U968" s="2" t="s">
        <v>1436</v>
      </c>
      <c r="V968" s="4">
        <f>+VLOOKUP(U968,'FBCJ Jul-Des 2025'!$G$10:$P$1302,8,0)</f>
        <v>70001110</v>
      </c>
      <c r="W968" s="4" t="str">
        <f>+VLOOKUP(V968,Sheet1!$A$2:$B$27,2,0)</f>
        <v>Biaya Ekspor lainnya</v>
      </c>
      <c r="X968" s="4" t="str">
        <f>+VLOOKUP(U968,'FBCJ Jul-Des 2025'!$G$10:$P$1302,9,0)</f>
        <v>P206D1SLSS</v>
      </c>
      <c r="Y968" s="2" t="s">
        <v>43</v>
      </c>
      <c r="Z968" s="2">
        <v>1793264</v>
      </c>
      <c r="AA968" s="2">
        <v>20251110</v>
      </c>
      <c r="AB968" s="3">
        <v>200000</v>
      </c>
    </row>
    <row r="969" spans="3:28" x14ac:dyDescent="0.25">
      <c r="C969" s="2">
        <v>10000001</v>
      </c>
      <c r="D969" s="2" t="s">
        <v>1397</v>
      </c>
      <c r="F969" s="2">
        <v>12009400</v>
      </c>
      <c r="H969" s="2" t="s">
        <v>1397</v>
      </c>
      <c r="I969" s="2" t="str">
        <f t="shared" si="15"/>
        <v>11</v>
      </c>
      <c r="J969" s="2">
        <v>50</v>
      </c>
      <c r="K969" s="3">
        <v>-410000</v>
      </c>
      <c r="L969" s="2" t="s">
        <v>26</v>
      </c>
      <c r="M969" s="3">
        <v>-410000</v>
      </c>
      <c r="N969" s="2" t="s">
        <v>26</v>
      </c>
      <c r="R969" s="2" t="s">
        <v>27</v>
      </c>
      <c r="S969" s="2" t="s">
        <v>1437</v>
      </c>
      <c r="T969" s="2" t="s">
        <v>334</v>
      </c>
      <c r="U969" s="2" t="s">
        <v>1438</v>
      </c>
      <c r="V969" s="4">
        <f>+VLOOKUP(U969,'FBCJ Jul-Des 2025'!$G$10:$P$1302,8,0)</f>
        <v>70001110</v>
      </c>
      <c r="W969" s="4" t="str">
        <f>+VLOOKUP(V969,Sheet1!$A$2:$B$27,2,0)</f>
        <v>Biaya Ekspor lainnya</v>
      </c>
      <c r="X969" s="4" t="str">
        <f>+VLOOKUP(U969,'FBCJ Jul-Des 2025'!$G$10:$P$1302,9,0)</f>
        <v>C206D1SLSS</v>
      </c>
      <c r="Y969" s="2" t="s">
        <v>43</v>
      </c>
      <c r="Z969" s="2">
        <v>1793264</v>
      </c>
      <c r="AA969" s="2">
        <v>20251110</v>
      </c>
      <c r="AB969" s="3">
        <v>410000</v>
      </c>
    </row>
    <row r="970" spans="3:28" x14ac:dyDescent="0.25">
      <c r="C970" s="2">
        <v>10000001</v>
      </c>
      <c r="D970" s="2" t="s">
        <v>1397</v>
      </c>
      <c r="F970" s="2">
        <v>12009401</v>
      </c>
      <c r="H970" s="2" t="s">
        <v>1397</v>
      </c>
      <c r="I970" s="2" t="str">
        <f t="shared" si="15"/>
        <v>11</v>
      </c>
      <c r="J970" s="2">
        <v>50</v>
      </c>
      <c r="K970" s="3">
        <v>-410000</v>
      </c>
      <c r="L970" s="2" t="s">
        <v>26</v>
      </c>
      <c r="M970" s="3">
        <v>-410000</v>
      </c>
      <c r="N970" s="2" t="s">
        <v>26</v>
      </c>
      <c r="R970" s="2" t="s">
        <v>27</v>
      </c>
      <c r="S970" s="2" t="s">
        <v>1437</v>
      </c>
      <c r="T970" s="2" t="s">
        <v>334</v>
      </c>
      <c r="U970" s="2" t="s">
        <v>1439</v>
      </c>
      <c r="V970" s="4">
        <f>+VLOOKUP(U970,'FBCJ Jul-Des 2025'!$G$10:$P$1302,8,0)</f>
        <v>70001110</v>
      </c>
      <c r="W970" s="4" t="str">
        <f>+VLOOKUP(V970,Sheet1!$A$2:$B$27,2,0)</f>
        <v>Biaya Ekspor lainnya</v>
      </c>
      <c r="X970" s="4" t="str">
        <f>+VLOOKUP(U970,'FBCJ Jul-Des 2025'!$G$10:$P$1302,9,0)</f>
        <v>C206D1SLSS</v>
      </c>
      <c r="Y970" s="2" t="s">
        <v>43</v>
      </c>
      <c r="Z970" s="2">
        <v>1793264</v>
      </c>
      <c r="AA970" s="2">
        <v>20251110</v>
      </c>
      <c r="AB970" s="3">
        <v>410000</v>
      </c>
    </row>
    <row r="971" spans="3:28" x14ac:dyDescent="0.25">
      <c r="C971" s="2">
        <v>10000001</v>
      </c>
      <c r="D971" s="2" t="s">
        <v>1397</v>
      </c>
      <c r="F971" s="2">
        <v>12009402</v>
      </c>
      <c r="H971" s="2" t="s">
        <v>1397</v>
      </c>
      <c r="I971" s="2" t="str">
        <f t="shared" si="15"/>
        <v>11</v>
      </c>
      <c r="J971" s="2">
        <v>50</v>
      </c>
      <c r="K971" s="3">
        <v>-50000</v>
      </c>
      <c r="L971" s="2" t="s">
        <v>26</v>
      </c>
      <c r="M971" s="3">
        <v>-50000</v>
      </c>
      <c r="N971" s="2" t="s">
        <v>26</v>
      </c>
      <c r="R971" s="2" t="s">
        <v>27</v>
      </c>
      <c r="S971" s="2" t="s">
        <v>1440</v>
      </c>
      <c r="T971" s="2" t="s">
        <v>334</v>
      </c>
      <c r="U971" s="2" t="s">
        <v>1441</v>
      </c>
      <c r="V971" s="4">
        <f>+VLOOKUP(U971,'FBCJ Jul-Des 2025'!$G$10:$P$1302,8,0)</f>
        <v>70001110</v>
      </c>
      <c r="W971" s="4" t="str">
        <f>+VLOOKUP(V971,Sheet1!$A$2:$B$27,2,0)</f>
        <v>Biaya Ekspor lainnya</v>
      </c>
      <c r="X971" s="4" t="str">
        <f>+VLOOKUP(U971,'FBCJ Jul-Des 2025'!$G$10:$P$1302,9,0)</f>
        <v>P206D1SLSS</v>
      </c>
      <c r="Y971" s="2" t="s">
        <v>43</v>
      </c>
      <c r="Z971" s="2">
        <v>1793264</v>
      </c>
      <c r="AA971" s="2">
        <v>20251110</v>
      </c>
      <c r="AB971" s="3">
        <v>50000</v>
      </c>
    </row>
    <row r="972" spans="3:28" x14ac:dyDescent="0.25">
      <c r="C972" s="2">
        <v>10000001</v>
      </c>
      <c r="D972" s="2" t="s">
        <v>1397</v>
      </c>
      <c r="F972" s="2">
        <v>12009403</v>
      </c>
      <c r="H972" s="2" t="s">
        <v>1397</v>
      </c>
      <c r="I972" s="2" t="str">
        <f t="shared" si="15"/>
        <v>11</v>
      </c>
      <c r="J972" s="2">
        <v>50</v>
      </c>
      <c r="K972" s="3">
        <v>-25000</v>
      </c>
      <c r="L972" s="2" t="s">
        <v>26</v>
      </c>
      <c r="M972" s="3">
        <v>-25000</v>
      </c>
      <c r="N972" s="2" t="s">
        <v>26</v>
      </c>
      <c r="R972" s="2" t="s">
        <v>27</v>
      </c>
      <c r="S972" s="2" t="s">
        <v>1442</v>
      </c>
      <c r="T972" s="2" t="s">
        <v>126</v>
      </c>
      <c r="U972" s="2" t="s">
        <v>1443</v>
      </c>
      <c r="V972" s="4">
        <f>+VLOOKUP(U972,'FBCJ Jul-Des 2025'!$G$10:$P$1302,8,0)</f>
        <v>70107600</v>
      </c>
      <c r="W972" s="4" t="str">
        <f>+VLOOKUP(V972,Sheet1!$A$2:$B$27,2,0)</f>
        <v>Biaya Konsumsi Kantor</v>
      </c>
      <c r="X972" s="4" t="str">
        <f>+VLOOKUP(U972,'FBCJ Jul-Des 2025'!$G$10:$P$1302,9,0)</f>
        <v>R124MNT</v>
      </c>
      <c r="Y972" s="2" t="s">
        <v>43</v>
      </c>
      <c r="Z972" s="2">
        <v>1793264</v>
      </c>
      <c r="AA972" s="2">
        <v>20251110</v>
      </c>
      <c r="AB972" s="3">
        <v>25000</v>
      </c>
    </row>
    <row r="973" spans="3:28" x14ac:dyDescent="0.25">
      <c r="C973" s="2">
        <v>10000001</v>
      </c>
      <c r="D973" s="2" t="s">
        <v>1397</v>
      </c>
      <c r="F973" s="2">
        <v>12009404</v>
      </c>
      <c r="H973" s="2" t="s">
        <v>1397</v>
      </c>
      <c r="I973" s="2" t="str">
        <f t="shared" si="15"/>
        <v>11</v>
      </c>
      <c r="J973" s="2">
        <v>50</v>
      </c>
      <c r="K973" s="3">
        <v>-623500</v>
      </c>
      <c r="L973" s="2" t="s">
        <v>26</v>
      </c>
      <c r="M973" s="3">
        <v>-623500</v>
      </c>
      <c r="N973" s="2" t="s">
        <v>26</v>
      </c>
      <c r="R973" s="2" t="s">
        <v>27</v>
      </c>
      <c r="S973" s="2" t="s">
        <v>1444</v>
      </c>
      <c r="T973" s="2" t="s">
        <v>1187</v>
      </c>
      <c r="U973" s="2" t="s">
        <v>1445</v>
      </c>
      <c r="V973" s="4">
        <f>+VLOOKUP(U973,'FBCJ Jul-Des 2025'!$G$10:$P$1302,8,0)</f>
        <v>70110210</v>
      </c>
      <c r="W973" s="4">
        <f>+VLOOKUP(V973,Sheet1!$A$2:$B$27,2,0)</f>
        <v>0</v>
      </c>
      <c r="X973" s="4" t="str">
        <f>+VLOOKUP(U973,'FBCJ Jul-Des 2025'!$G$10:$P$1302,9,0)</f>
        <v>H200D1MMDP</v>
      </c>
      <c r="Y973" s="2" t="s">
        <v>43</v>
      </c>
      <c r="Z973" s="2">
        <v>1793264</v>
      </c>
      <c r="AA973" s="2">
        <v>20251110</v>
      </c>
      <c r="AB973" s="3">
        <v>623500</v>
      </c>
    </row>
    <row r="974" spans="3:28" x14ac:dyDescent="0.25">
      <c r="C974" s="2">
        <v>10000001</v>
      </c>
      <c r="D974" s="2" t="s">
        <v>1446</v>
      </c>
      <c r="F974" s="2">
        <v>12009405</v>
      </c>
      <c r="H974" s="2" t="s">
        <v>1446</v>
      </c>
      <c r="I974" s="2" t="str">
        <f t="shared" si="15"/>
        <v>11</v>
      </c>
      <c r="J974" s="2">
        <v>50</v>
      </c>
      <c r="K974" s="3">
        <v>-396000</v>
      </c>
      <c r="L974" s="2" t="s">
        <v>26</v>
      </c>
      <c r="M974" s="3">
        <v>-396000</v>
      </c>
      <c r="N974" s="2" t="s">
        <v>26</v>
      </c>
      <c r="R974" s="2" t="s">
        <v>27</v>
      </c>
      <c r="S974" s="2" t="s">
        <v>1447</v>
      </c>
      <c r="T974" s="2" t="s">
        <v>126</v>
      </c>
      <c r="U974" s="2" t="s">
        <v>1448</v>
      </c>
      <c r="V974" s="4">
        <f>+VLOOKUP(U974,'FBCJ Jul-Des 2025'!$G$10:$P$1302,8,0)</f>
        <v>70107600</v>
      </c>
      <c r="W974" s="4" t="str">
        <f>+VLOOKUP(V974,Sheet1!$A$2:$B$27,2,0)</f>
        <v>Biaya Konsumsi Kantor</v>
      </c>
      <c r="X974" s="4" t="str">
        <f>+VLOOKUP(U974,'FBCJ Jul-Des 2025'!$G$10:$P$1302,9,0)</f>
        <v>R124REF</v>
      </c>
      <c r="Y974" s="2" t="s">
        <v>43</v>
      </c>
      <c r="Z974" s="2">
        <v>1793264</v>
      </c>
      <c r="AA974" s="2">
        <v>20251113</v>
      </c>
      <c r="AB974" s="3">
        <v>396000</v>
      </c>
    </row>
    <row r="975" spans="3:28" x14ac:dyDescent="0.25">
      <c r="C975" s="2">
        <v>10000001</v>
      </c>
      <c r="D975" s="2" t="s">
        <v>1446</v>
      </c>
      <c r="F975" s="2">
        <v>12009406</v>
      </c>
      <c r="H975" s="2" t="s">
        <v>1446</v>
      </c>
      <c r="I975" s="2" t="str">
        <f t="shared" si="15"/>
        <v>11</v>
      </c>
      <c r="J975" s="2">
        <v>50</v>
      </c>
      <c r="K975" s="3">
        <v>-2000</v>
      </c>
      <c r="L975" s="2" t="s">
        <v>26</v>
      </c>
      <c r="M975" s="3">
        <v>-2000</v>
      </c>
      <c r="N975" s="2" t="s">
        <v>26</v>
      </c>
      <c r="R975" s="2" t="s">
        <v>27</v>
      </c>
      <c r="S975" s="2" t="s">
        <v>1449</v>
      </c>
      <c r="T975" s="2" t="s">
        <v>334</v>
      </c>
      <c r="U975" s="2" t="s">
        <v>1450</v>
      </c>
      <c r="V975" s="4">
        <f>+VLOOKUP(U975,'FBCJ Jul-Des 2025'!$G$10:$P$1302,8,0)</f>
        <v>70001110</v>
      </c>
      <c r="W975" s="4" t="str">
        <f>+VLOOKUP(V975,Sheet1!$A$2:$B$27,2,0)</f>
        <v>Biaya Ekspor lainnya</v>
      </c>
      <c r="X975" s="4" t="str">
        <f>+VLOOKUP(U975,'FBCJ Jul-Des 2025'!$G$10:$P$1302,9,0)</f>
        <v>M204D1COMM</v>
      </c>
      <c r="Y975" s="2" t="s">
        <v>43</v>
      </c>
      <c r="Z975" s="2">
        <v>1793264</v>
      </c>
      <c r="AA975" s="2">
        <v>20251113</v>
      </c>
      <c r="AB975" s="3">
        <v>2000</v>
      </c>
    </row>
    <row r="976" spans="3:28" x14ac:dyDescent="0.25">
      <c r="C976" s="2">
        <v>10000001</v>
      </c>
      <c r="D976" s="2" t="s">
        <v>1446</v>
      </c>
      <c r="F976" s="2">
        <v>12009407</v>
      </c>
      <c r="H976" s="2" t="s">
        <v>1446</v>
      </c>
      <c r="I976" s="2" t="str">
        <f t="shared" si="15"/>
        <v>11</v>
      </c>
      <c r="J976" s="2">
        <v>50</v>
      </c>
      <c r="K976" s="3">
        <v>-650000</v>
      </c>
      <c r="L976" s="2" t="s">
        <v>26</v>
      </c>
      <c r="M976" s="3">
        <v>-650000</v>
      </c>
      <c r="N976" s="2" t="s">
        <v>26</v>
      </c>
      <c r="R976" s="2" t="s">
        <v>27</v>
      </c>
      <c r="S976" s="2" t="s">
        <v>1451</v>
      </c>
      <c r="T976" s="2" t="s">
        <v>96</v>
      </c>
      <c r="U976" s="2" t="s">
        <v>1452</v>
      </c>
      <c r="V976" s="4">
        <f>+VLOOKUP(U976,'FBCJ Jul-Des 2025'!$G$10:$P$1302,8,0)</f>
        <v>70106400</v>
      </c>
      <c r="W976" s="4" t="str">
        <f>+VLOOKUP(V976,Sheet1!$A$2:$B$27,2,0)</f>
        <v>Biaya Bahan Bakar</v>
      </c>
      <c r="X976" s="4" t="str">
        <f>+VLOOKUP(U976,'FBCJ Jul-Des 2025'!$G$10:$P$1302,9,0)</f>
        <v>R124D1HRGA</v>
      </c>
      <c r="Y976" s="2" t="s">
        <v>43</v>
      </c>
      <c r="Z976" s="2">
        <v>1793264</v>
      </c>
      <c r="AA976" s="2">
        <v>20251113</v>
      </c>
      <c r="AB976" s="3">
        <v>650000</v>
      </c>
    </row>
    <row r="977" spans="3:28" x14ac:dyDescent="0.25">
      <c r="C977" s="2">
        <v>10000001</v>
      </c>
      <c r="D977" s="2" t="s">
        <v>1446</v>
      </c>
      <c r="F977" s="2">
        <v>12009408</v>
      </c>
      <c r="H977" s="2" t="s">
        <v>1446</v>
      </c>
      <c r="I977" s="2" t="str">
        <f t="shared" si="15"/>
        <v>11</v>
      </c>
      <c r="J977" s="2">
        <v>50</v>
      </c>
      <c r="K977" s="3">
        <v>-347500</v>
      </c>
      <c r="L977" s="2" t="s">
        <v>26</v>
      </c>
      <c r="M977" s="3">
        <v>-347500</v>
      </c>
      <c r="N977" s="2" t="s">
        <v>26</v>
      </c>
      <c r="R977" s="2" t="s">
        <v>27</v>
      </c>
      <c r="S977" s="2" t="s">
        <v>1451</v>
      </c>
      <c r="T977" s="2" t="s">
        <v>67</v>
      </c>
      <c r="U977" s="2" t="s">
        <v>98</v>
      </c>
      <c r="V977" s="4">
        <f>+VLOOKUP(U977,'FBCJ Jul-Des 2025'!$G$10:$P$1302,8,0)</f>
        <v>70106100</v>
      </c>
      <c r="W977" s="4" t="str">
        <f>+VLOOKUP(V977,Sheet1!$A$2:$B$27,2,0)</f>
        <v>Biaya Transportasi Lokal</v>
      </c>
      <c r="X977" s="4" t="str">
        <f>+VLOOKUP(U977,'FBCJ Jul-Des 2025'!$G$10:$P$1302,9,0)</f>
        <v>R124D1HRGA</v>
      </c>
      <c r="Y977" s="2" t="s">
        <v>43</v>
      </c>
      <c r="Z977" s="2">
        <v>1793264</v>
      </c>
      <c r="AA977" s="2">
        <v>20251113</v>
      </c>
      <c r="AB977" s="3">
        <v>347500</v>
      </c>
    </row>
    <row r="978" spans="3:28" x14ac:dyDescent="0.25">
      <c r="C978" s="2">
        <v>10000001</v>
      </c>
      <c r="D978" s="2" t="s">
        <v>1446</v>
      </c>
      <c r="F978" s="2">
        <v>12009409</v>
      </c>
      <c r="H978" s="2" t="s">
        <v>1446</v>
      </c>
      <c r="I978" s="2" t="str">
        <f t="shared" si="15"/>
        <v>11</v>
      </c>
      <c r="J978" s="2">
        <v>50</v>
      </c>
      <c r="K978" s="3">
        <v>-290500</v>
      </c>
      <c r="L978" s="2" t="s">
        <v>26</v>
      </c>
      <c r="M978" s="3">
        <v>-290500</v>
      </c>
      <c r="N978" s="2" t="s">
        <v>26</v>
      </c>
      <c r="R978" s="2" t="s">
        <v>27</v>
      </c>
      <c r="S978" s="2" t="s">
        <v>1453</v>
      </c>
      <c r="T978" s="2" t="s">
        <v>254</v>
      </c>
      <c r="U978" s="2" t="s">
        <v>1454</v>
      </c>
      <c r="V978" s="4">
        <f>+VLOOKUP(U978,'FBCJ Jul-Des 2025'!$G$10:$P$1302,8,0)</f>
        <v>70107100</v>
      </c>
      <c r="W978" s="4" t="str">
        <f>+VLOOKUP(V978,Sheet1!$A$2:$B$27,2,0)</f>
        <v>Biaya Mess</v>
      </c>
      <c r="X978" s="4" t="str">
        <f>+VLOOKUP(U978,'FBCJ Jul-Des 2025'!$G$10:$P$1302,9,0)</f>
        <v>R124D1HRGA</v>
      </c>
      <c r="Y978" s="2" t="s">
        <v>43</v>
      </c>
      <c r="Z978" s="2">
        <v>1793264</v>
      </c>
      <c r="AA978" s="2">
        <v>20251113</v>
      </c>
      <c r="AB978" s="3">
        <v>290500</v>
      </c>
    </row>
    <row r="979" spans="3:28" x14ac:dyDescent="0.25">
      <c r="C979" s="2">
        <v>10000001</v>
      </c>
      <c r="D979" s="2" t="s">
        <v>1446</v>
      </c>
      <c r="F979" s="2">
        <v>12009410</v>
      </c>
      <c r="H979" s="2" t="s">
        <v>1446</v>
      </c>
      <c r="I979" s="2" t="str">
        <f t="shared" si="15"/>
        <v>11</v>
      </c>
      <c r="J979" s="2">
        <v>50</v>
      </c>
      <c r="K979" s="3">
        <v>-510000</v>
      </c>
      <c r="L979" s="2" t="s">
        <v>26</v>
      </c>
      <c r="M979" s="3">
        <v>-510000</v>
      </c>
      <c r="N979" s="2" t="s">
        <v>26</v>
      </c>
      <c r="R979" s="2" t="s">
        <v>27</v>
      </c>
      <c r="S979" s="2" t="s">
        <v>1455</v>
      </c>
      <c r="T979" s="2" t="s">
        <v>96</v>
      </c>
      <c r="U979" s="2" t="s">
        <v>1456</v>
      </c>
      <c r="V979" s="4">
        <f>+VLOOKUP(U979,'FBCJ Jul-Des 2025'!$G$10:$P$1302,8,0)</f>
        <v>70106400</v>
      </c>
      <c r="W979" s="4" t="str">
        <f>+VLOOKUP(V979,Sheet1!$A$2:$B$27,2,0)</f>
        <v>Biaya Bahan Bakar</v>
      </c>
      <c r="X979" s="4" t="str">
        <f>+VLOOKUP(U979,'FBCJ Jul-Des 2025'!$G$10:$P$1302,9,0)</f>
        <v>R124D1HRGA</v>
      </c>
      <c r="Y979" s="2" t="s">
        <v>43</v>
      </c>
      <c r="Z979" s="2">
        <v>1793264</v>
      </c>
      <c r="AA979" s="2">
        <v>20251113</v>
      </c>
      <c r="AB979" s="3">
        <v>510000</v>
      </c>
    </row>
    <row r="980" spans="3:28" x14ac:dyDescent="0.25">
      <c r="C980" s="2">
        <v>10000001</v>
      </c>
      <c r="D980" s="2" t="s">
        <v>1446</v>
      </c>
      <c r="F980" s="2">
        <v>12009411</v>
      </c>
      <c r="H980" s="2" t="s">
        <v>1446</v>
      </c>
      <c r="I980" s="2" t="str">
        <f t="shared" si="15"/>
        <v>11</v>
      </c>
      <c r="J980" s="2">
        <v>50</v>
      </c>
      <c r="K980" s="3">
        <v>-488000</v>
      </c>
      <c r="L980" s="2" t="s">
        <v>26</v>
      </c>
      <c r="M980" s="3">
        <v>-488000</v>
      </c>
      <c r="N980" s="2" t="s">
        <v>26</v>
      </c>
      <c r="R980" s="2" t="s">
        <v>27</v>
      </c>
      <c r="S980" s="2" t="s">
        <v>1455</v>
      </c>
      <c r="T980" s="2" t="s">
        <v>67</v>
      </c>
      <c r="U980" s="2" t="s">
        <v>98</v>
      </c>
      <c r="V980" s="4">
        <f>+VLOOKUP(U980,'FBCJ Jul-Des 2025'!$G$10:$P$1302,8,0)</f>
        <v>70106100</v>
      </c>
      <c r="W980" s="4" t="str">
        <f>+VLOOKUP(V980,Sheet1!$A$2:$B$27,2,0)</f>
        <v>Biaya Transportasi Lokal</v>
      </c>
      <c r="X980" s="4" t="str">
        <f>+VLOOKUP(U980,'FBCJ Jul-Des 2025'!$G$10:$P$1302,9,0)</f>
        <v>R124D1HRGA</v>
      </c>
      <c r="Y980" s="2" t="s">
        <v>43</v>
      </c>
      <c r="Z980" s="2">
        <v>1793264</v>
      </c>
      <c r="AA980" s="2">
        <v>20251113</v>
      </c>
      <c r="AB980" s="3">
        <v>488000</v>
      </c>
    </row>
    <row r="981" spans="3:28" x14ac:dyDescent="0.25">
      <c r="C981" s="2">
        <v>10000001</v>
      </c>
      <c r="D981" s="2" t="s">
        <v>1446</v>
      </c>
      <c r="F981" s="2">
        <v>12009412</v>
      </c>
      <c r="H981" s="2" t="s">
        <v>1446</v>
      </c>
      <c r="I981" s="2" t="str">
        <f t="shared" si="15"/>
        <v>11</v>
      </c>
      <c r="J981" s="2">
        <v>50</v>
      </c>
      <c r="K981" s="3">
        <v>-50000</v>
      </c>
      <c r="L981" s="2" t="s">
        <v>26</v>
      </c>
      <c r="M981" s="3">
        <v>-50000</v>
      </c>
      <c r="N981" s="2" t="s">
        <v>26</v>
      </c>
      <c r="R981" s="2" t="s">
        <v>27</v>
      </c>
      <c r="S981" s="2" t="s">
        <v>1457</v>
      </c>
      <c r="T981" s="2" t="s">
        <v>334</v>
      </c>
      <c r="U981" s="2" t="s">
        <v>1458</v>
      </c>
      <c r="V981" s="4">
        <f>+VLOOKUP(U981,'FBCJ Jul-Des 2025'!$G$10:$P$1302,8,0)</f>
        <v>70001110</v>
      </c>
      <c r="W981" s="4" t="str">
        <f>+VLOOKUP(V981,Sheet1!$A$2:$B$27,2,0)</f>
        <v>Biaya Ekspor lainnya</v>
      </c>
      <c r="X981" s="4" t="str">
        <f>+VLOOKUP(U981,'FBCJ Jul-Des 2025'!$G$10:$P$1302,9,0)</f>
        <v>P206D1SLSC</v>
      </c>
      <c r="Y981" s="2" t="s">
        <v>43</v>
      </c>
      <c r="Z981" s="2">
        <v>1793264</v>
      </c>
      <c r="AA981" s="2">
        <v>20251113</v>
      </c>
      <c r="AB981" s="3">
        <v>50000</v>
      </c>
    </row>
    <row r="982" spans="3:28" x14ac:dyDescent="0.25">
      <c r="C982" s="2">
        <v>10000001</v>
      </c>
      <c r="D982" s="2" t="s">
        <v>1446</v>
      </c>
      <c r="F982" s="2">
        <v>12009413</v>
      </c>
      <c r="H982" s="2" t="s">
        <v>1446</v>
      </c>
      <c r="I982" s="2" t="str">
        <f t="shared" si="15"/>
        <v>11</v>
      </c>
      <c r="J982" s="2">
        <v>50</v>
      </c>
      <c r="K982" s="3">
        <v>-50000</v>
      </c>
      <c r="L982" s="2" t="s">
        <v>26</v>
      </c>
      <c r="M982" s="3">
        <v>-50000</v>
      </c>
      <c r="N982" s="2" t="s">
        <v>26</v>
      </c>
      <c r="R982" s="2" t="s">
        <v>27</v>
      </c>
      <c r="S982" s="2" t="s">
        <v>1457</v>
      </c>
      <c r="T982" s="2" t="s">
        <v>334</v>
      </c>
      <c r="U982" s="2" t="s">
        <v>1459</v>
      </c>
      <c r="V982" s="4">
        <f>+VLOOKUP(U982,'FBCJ Jul-Des 2025'!$G$10:$P$1302,8,0)</f>
        <v>70001110</v>
      </c>
      <c r="W982" s="4" t="str">
        <f>+VLOOKUP(V982,Sheet1!$A$2:$B$27,2,0)</f>
        <v>Biaya Ekspor lainnya</v>
      </c>
      <c r="X982" s="4" t="str">
        <f>+VLOOKUP(U982,'FBCJ Jul-Des 2025'!$G$10:$P$1302,9,0)</f>
        <v>P206D1SLSS</v>
      </c>
      <c r="Y982" s="2" t="s">
        <v>43</v>
      </c>
      <c r="Z982" s="2">
        <v>1793264</v>
      </c>
      <c r="AA982" s="2">
        <v>20251113</v>
      </c>
      <c r="AB982" s="3">
        <v>50000</v>
      </c>
    </row>
    <row r="983" spans="3:28" x14ac:dyDescent="0.25">
      <c r="C983" s="2">
        <v>10000001</v>
      </c>
      <c r="D983" s="2" t="s">
        <v>1446</v>
      </c>
      <c r="F983" s="2">
        <v>12009414</v>
      </c>
      <c r="H983" s="2" t="s">
        <v>1446</v>
      </c>
      <c r="I983" s="2" t="str">
        <f t="shared" si="15"/>
        <v>11</v>
      </c>
      <c r="J983" s="2">
        <v>50</v>
      </c>
      <c r="K983" s="3">
        <v>-50000</v>
      </c>
      <c r="L983" s="2" t="s">
        <v>26</v>
      </c>
      <c r="M983" s="3">
        <v>-50000</v>
      </c>
      <c r="N983" s="2" t="s">
        <v>26</v>
      </c>
      <c r="R983" s="2" t="s">
        <v>27</v>
      </c>
      <c r="S983" s="2" t="s">
        <v>1457</v>
      </c>
      <c r="T983" s="2" t="s">
        <v>334</v>
      </c>
      <c r="U983" s="2" t="s">
        <v>1460</v>
      </c>
      <c r="V983" s="4">
        <f>+VLOOKUP(U983,'FBCJ Jul-Des 2025'!$G$10:$P$1302,8,0)</f>
        <v>70001110</v>
      </c>
      <c r="W983" s="4" t="str">
        <f>+VLOOKUP(V983,Sheet1!$A$2:$B$27,2,0)</f>
        <v>Biaya Ekspor lainnya</v>
      </c>
      <c r="X983" s="4" t="str">
        <f>+VLOOKUP(U983,'FBCJ Jul-Des 2025'!$G$10:$P$1302,9,0)</f>
        <v>P206D1SLSS</v>
      </c>
      <c r="Y983" s="2" t="s">
        <v>43</v>
      </c>
      <c r="Z983" s="2">
        <v>1793264</v>
      </c>
      <c r="AA983" s="2">
        <v>20251113</v>
      </c>
      <c r="AB983" s="3">
        <v>50000</v>
      </c>
    </row>
    <row r="984" spans="3:28" x14ac:dyDescent="0.25">
      <c r="C984" s="2">
        <v>10000001</v>
      </c>
      <c r="D984" s="2" t="s">
        <v>1446</v>
      </c>
      <c r="F984" s="2">
        <v>12009415</v>
      </c>
      <c r="H984" s="2" t="s">
        <v>1446</v>
      </c>
      <c r="I984" s="2" t="str">
        <f t="shared" si="15"/>
        <v>11</v>
      </c>
      <c r="J984" s="2">
        <v>50</v>
      </c>
      <c r="K984" s="3">
        <v>-159800</v>
      </c>
      <c r="L984" s="2" t="s">
        <v>26</v>
      </c>
      <c r="M984" s="3">
        <v>-159800</v>
      </c>
      <c r="N984" s="2" t="s">
        <v>26</v>
      </c>
      <c r="R984" s="2" t="s">
        <v>27</v>
      </c>
      <c r="S984" s="2" t="s">
        <v>1461</v>
      </c>
      <c r="T984" s="2" t="s">
        <v>129</v>
      </c>
      <c r="U984" s="2" t="s">
        <v>1462</v>
      </c>
      <c r="V984" s="4">
        <f>+VLOOKUP(U984,'FBCJ Jul-Des 2025'!$G$10:$P$1302,8,0)</f>
        <v>70101102</v>
      </c>
      <c r="W984" s="4" t="str">
        <f>+VLOOKUP(V984,Sheet1!$A$2:$B$27,2,0)</f>
        <v>By Pemeliharaan BgnanPrasarana Material Pihak3</v>
      </c>
      <c r="X984" s="4" t="str">
        <f>+VLOOKUP(U984,'FBCJ Jul-Des 2025'!$G$10:$P$1302,9,0)</f>
        <v>R124D1HRGA</v>
      </c>
      <c r="Y984" s="2" t="s">
        <v>43</v>
      </c>
      <c r="Z984" s="2">
        <v>1793264</v>
      </c>
      <c r="AA984" s="2">
        <v>20251113</v>
      </c>
      <c r="AB984" s="3">
        <v>159800</v>
      </c>
    </row>
    <row r="985" spans="3:28" x14ac:dyDescent="0.25">
      <c r="C985" s="2">
        <v>10000001</v>
      </c>
      <c r="D985" s="2" t="s">
        <v>1446</v>
      </c>
      <c r="F985" s="2">
        <v>12009416</v>
      </c>
      <c r="H985" s="2" t="s">
        <v>1446</v>
      </c>
      <c r="I985" s="2" t="str">
        <f t="shared" si="15"/>
        <v>11</v>
      </c>
      <c r="J985" s="2">
        <v>50</v>
      </c>
      <c r="K985" s="3">
        <v>-106000</v>
      </c>
      <c r="L985" s="2" t="s">
        <v>26</v>
      </c>
      <c r="M985" s="3">
        <v>-106000</v>
      </c>
      <c r="N985" s="2" t="s">
        <v>26</v>
      </c>
      <c r="R985" s="2" t="s">
        <v>27</v>
      </c>
      <c r="S985" s="2" t="s">
        <v>1461</v>
      </c>
      <c r="T985" s="2" t="s">
        <v>59</v>
      </c>
      <c r="U985" s="2" t="s">
        <v>1463</v>
      </c>
      <c r="V985" s="4">
        <f>+VLOOKUP(U985,'FBCJ Jul-Des 2025'!$G$10:$P$1302,8,0)</f>
        <v>70101114</v>
      </c>
      <c r="W985" s="4" t="str">
        <f>+VLOOKUP(V985,Sheet1!$A$2:$B$27,2,0)</f>
        <v>By Perbaikan &amp; Perawatan Perabot Material Pihak3</v>
      </c>
      <c r="X985" s="4" t="str">
        <f>+VLOOKUP(U985,'FBCJ Jul-Des 2025'!$G$10:$P$1302,9,0)</f>
        <v>R124D1HRGA</v>
      </c>
      <c r="Y985" s="2" t="s">
        <v>43</v>
      </c>
      <c r="Z985" s="2">
        <v>1793264</v>
      </c>
      <c r="AA985" s="2">
        <v>20251113</v>
      </c>
      <c r="AB985" s="3">
        <v>106000</v>
      </c>
    </row>
    <row r="986" spans="3:28" x14ac:dyDescent="0.25">
      <c r="C986" s="2">
        <v>10000001</v>
      </c>
      <c r="D986" s="2" t="s">
        <v>1446</v>
      </c>
      <c r="F986" s="2">
        <v>12009417</v>
      </c>
      <c r="H986" s="2" t="s">
        <v>1446</v>
      </c>
      <c r="I986" s="2" t="str">
        <f t="shared" si="15"/>
        <v>11</v>
      </c>
      <c r="J986" s="2">
        <v>50</v>
      </c>
      <c r="K986" s="3">
        <v>-780000</v>
      </c>
      <c r="L986" s="2" t="s">
        <v>26</v>
      </c>
      <c r="M986" s="3">
        <v>-780000</v>
      </c>
      <c r="N986" s="2" t="s">
        <v>26</v>
      </c>
      <c r="R986" s="2" t="s">
        <v>27</v>
      </c>
      <c r="S986" s="2" t="s">
        <v>1464</v>
      </c>
      <c r="T986" s="2" t="s">
        <v>96</v>
      </c>
      <c r="U986" s="2" t="s">
        <v>1465</v>
      </c>
      <c r="V986" s="4">
        <f>+VLOOKUP(U986,'FBCJ Jul-Des 2025'!$G$10:$P$1302,8,0)</f>
        <v>70106400</v>
      </c>
      <c r="W986" s="4" t="str">
        <f>+VLOOKUP(V986,Sheet1!$A$2:$B$27,2,0)</f>
        <v>Biaya Bahan Bakar</v>
      </c>
      <c r="X986" s="4" t="str">
        <f>+VLOOKUP(U986,'FBCJ Jul-Des 2025'!$G$10:$P$1302,9,0)</f>
        <v>R124D1HRGA</v>
      </c>
      <c r="Y986" s="2" t="s">
        <v>43</v>
      </c>
      <c r="Z986" s="2">
        <v>1793264</v>
      </c>
      <c r="AA986" s="2">
        <v>20251113</v>
      </c>
      <c r="AB986" s="3">
        <v>780000</v>
      </c>
    </row>
    <row r="987" spans="3:28" x14ac:dyDescent="0.25">
      <c r="C987" s="2">
        <v>10000001</v>
      </c>
      <c r="D987" s="2" t="s">
        <v>1446</v>
      </c>
      <c r="F987" s="2">
        <v>12009418</v>
      </c>
      <c r="H987" s="2" t="s">
        <v>1446</v>
      </c>
      <c r="I987" s="2" t="str">
        <f t="shared" si="15"/>
        <v>11</v>
      </c>
      <c r="J987" s="2">
        <v>50</v>
      </c>
      <c r="K987" s="3">
        <v>-217500</v>
      </c>
      <c r="L987" s="2" t="s">
        <v>26</v>
      </c>
      <c r="M987" s="3">
        <v>-217500</v>
      </c>
      <c r="N987" s="2" t="s">
        <v>26</v>
      </c>
      <c r="R987" s="2" t="s">
        <v>27</v>
      </c>
      <c r="S987" s="2" t="s">
        <v>1464</v>
      </c>
      <c r="T987" s="2" t="s">
        <v>67</v>
      </c>
      <c r="U987" s="2" t="s">
        <v>98</v>
      </c>
      <c r="V987" s="4">
        <f>+VLOOKUP(U987,'FBCJ Jul-Des 2025'!$G$10:$P$1302,8,0)</f>
        <v>70106100</v>
      </c>
      <c r="W987" s="4" t="str">
        <f>+VLOOKUP(V987,Sheet1!$A$2:$B$27,2,0)</f>
        <v>Biaya Transportasi Lokal</v>
      </c>
      <c r="X987" s="4" t="str">
        <f>+VLOOKUP(U987,'FBCJ Jul-Des 2025'!$G$10:$P$1302,9,0)</f>
        <v>R124D1HRGA</v>
      </c>
      <c r="Y987" s="2" t="s">
        <v>43</v>
      </c>
      <c r="Z987" s="2">
        <v>1793264</v>
      </c>
      <c r="AA987" s="2">
        <v>20251113</v>
      </c>
      <c r="AB987" s="3">
        <v>217500</v>
      </c>
    </row>
    <row r="988" spans="3:28" x14ac:dyDescent="0.25">
      <c r="C988" s="2">
        <v>10000001</v>
      </c>
      <c r="D988" s="2" t="s">
        <v>1466</v>
      </c>
      <c r="F988" s="2">
        <v>12009419</v>
      </c>
      <c r="H988" s="2" t="s">
        <v>1466</v>
      </c>
      <c r="I988" s="2" t="str">
        <f t="shared" si="15"/>
        <v>11</v>
      </c>
      <c r="J988" s="2">
        <v>50</v>
      </c>
      <c r="K988" s="3">
        <v>-800000</v>
      </c>
      <c r="L988" s="2" t="s">
        <v>26</v>
      </c>
      <c r="M988" s="3">
        <v>-800000</v>
      </c>
      <c r="N988" s="2" t="s">
        <v>26</v>
      </c>
      <c r="R988" s="2" t="s">
        <v>27</v>
      </c>
      <c r="S988" s="2" t="s">
        <v>1467</v>
      </c>
      <c r="T988" s="2" t="s">
        <v>254</v>
      </c>
      <c r="U988" s="2" t="s">
        <v>1468</v>
      </c>
      <c r="V988" s="4">
        <f>+VLOOKUP(U988,'FBCJ Jul-Des 2025'!$G$10:$P$1302,8,0)</f>
        <v>70107100</v>
      </c>
      <c r="W988" s="4" t="str">
        <f>+VLOOKUP(V988,Sheet1!$A$2:$B$27,2,0)</f>
        <v>Biaya Mess</v>
      </c>
      <c r="X988" s="4" t="str">
        <f>+VLOOKUP(U988,'FBCJ Jul-Des 2025'!$G$10:$P$1302,9,0)</f>
        <v>R124D1HRGA</v>
      </c>
      <c r="Y988" s="2" t="s">
        <v>43</v>
      </c>
      <c r="Z988" s="2">
        <v>1793264</v>
      </c>
      <c r="AA988" s="2">
        <v>20251118</v>
      </c>
      <c r="AB988" s="3">
        <v>800000</v>
      </c>
    </row>
    <row r="989" spans="3:28" x14ac:dyDescent="0.25">
      <c r="C989" s="2">
        <v>10000001</v>
      </c>
      <c r="D989" s="2" t="s">
        <v>1466</v>
      </c>
      <c r="F989" s="2">
        <v>12009420</v>
      </c>
      <c r="H989" s="2" t="s">
        <v>1466</v>
      </c>
      <c r="I989" s="2" t="str">
        <f t="shared" si="15"/>
        <v>11</v>
      </c>
      <c r="J989" s="2">
        <v>50</v>
      </c>
      <c r="K989" s="3">
        <v>-482200</v>
      </c>
      <c r="L989" s="2" t="s">
        <v>26</v>
      </c>
      <c r="M989" s="3">
        <v>-482200</v>
      </c>
      <c r="N989" s="2" t="s">
        <v>26</v>
      </c>
      <c r="R989" s="2" t="s">
        <v>27</v>
      </c>
      <c r="S989" s="2" t="s">
        <v>1469</v>
      </c>
      <c r="T989" s="2" t="s">
        <v>126</v>
      </c>
      <c r="U989" s="2" t="s">
        <v>1470</v>
      </c>
      <c r="V989" s="4">
        <f>+VLOOKUP(U989,'FBCJ Jul-Des 2025'!$G$10:$P$1302,8,0)</f>
        <v>70107600</v>
      </c>
      <c r="W989" s="4" t="str">
        <f>+VLOOKUP(V989,Sheet1!$A$2:$B$27,2,0)</f>
        <v>Biaya Konsumsi Kantor</v>
      </c>
      <c r="X989" s="4" t="str">
        <f>+VLOOKUP(U989,'FBCJ Jul-Des 2025'!$G$10:$P$1302,9,0)</f>
        <v>R124REF2</v>
      </c>
      <c r="Y989" s="2" t="s">
        <v>43</v>
      </c>
      <c r="Z989" s="2">
        <v>1793264</v>
      </c>
      <c r="AA989" s="2">
        <v>20251118</v>
      </c>
      <c r="AB989" s="3">
        <v>482200</v>
      </c>
    </row>
    <row r="990" spans="3:28" x14ac:dyDescent="0.25">
      <c r="C990" s="2">
        <v>10000001</v>
      </c>
      <c r="D990" s="2" t="s">
        <v>1466</v>
      </c>
      <c r="F990" s="2">
        <v>12009421</v>
      </c>
      <c r="H990" s="2" t="s">
        <v>1466</v>
      </c>
      <c r="I990" s="2" t="str">
        <f t="shared" si="15"/>
        <v>11</v>
      </c>
      <c r="J990" s="2">
        <v>50</v>
      </c>
      <c r="K990" s="3">
        <v>-167756</v>
      </c>
      <c r="L990" s="2" t="s">
        <v>26</v>
      </c>
      <c r="M990" s="3">
        <v>-167756</v>
      </c>
      <c r="N990" s="2" t="s">
        <v>26</v>
      </c>
      <c r="R990" s="2" t="s">
        <v>27</v>
      </c>
      <c r="S990" s="2" t="s">
        <v>1469</v>
      </c>
      <c r="T990" s="2" t="s">
        <v>57</v>
      </c>
      <c r="U990" s="2" t="s">
        <v>1471</v>
      </c>
      <c r="V990" s="4">
        <f>+VLOOKUP(U990,'FBCJ Jul-Des 2025'!$G$10:$P$1302,8,0)</f>
        <v>70101202</v>
      </c>
      <c r="W990" s="4" t="str">
        <f>+VLOOKUP(V990,Sheet1!$A$2:$B$27,2,0)</f>
        <v>By Pemeliharaan Kend,ABerat,Mesin-Material Pihak3</v>
      </c>
      <c r="X990" s="4" t="str">
        <f>+VLOOKUP(U990,'FBCJ Jul-Des 2025'!$G$10:$P$1302,9,0)</f>
        <v>R124REF2</v>
      </c>
      <c r="Y990" s="2" t="s">
        <v>43</v>
      </c>
      <c r="Z990" s="2">
        <v>1793264</v>
      </c>
      <c r="AA990" s="2">
        <v>20251118</v>
      </c>
      <c r="AB990" s="3">
        <v>167756</v>
      </c>
    </row>
    <row r="991" spans="3:28" x14ac:dyDescent="0.25">
      <c r="C991" s="2">
        <v>10000001</v>
      </c>
      <c r="D991" s="2" t="s">
        <v>1466</v>
      </c>
      <c r="F991" s="2">
        <v>12009422</v>
      </c>
      <c r="H991" s="2" t="s">
        <v>1466</v>
      </c>
      <c r="I991" s="2" t="str">
        <f t="shared" si="15"/>
        <v>11</v>
      </c>
      <c r="J991" s="2">
        <v>50</v>
      </c>
      <c r="K991" s="3">
        <v>-423500</v>
      </c>
      <c r="L991" s="2" t="s">
        <v>26</v>
      </c>
      <c r="M991" s="3">
        <v>-423500</v>
      </c>
      <c r="N991" s="2" t="s">
        <v>26</v>
      </c>
      <c r="R991" s="2" t="s">
        <v>27</v>
      </c>
      <c r="S991" s="2" t="s">
        <v>1472</v>
      </c>
      <c r="T991" s="2" t="s">
        <v>59</v>
      </c>
      <c r="U991" s="2" t="s">
        <v>1473</v>
      </c>
      <c r="V991" s="4">
        <f>+VLOOKUP(U991,'FBCJ Jul-Des 2025'!$G$10:$P$1302,8,0)</f>
        <v>70101114</v>
      </c>
      <c r="W991" s="4" t="str">
        <f>+VLOOKUP(V991,Sheet1!$A$2:$B$27,2,0)</f>
        <v>By Perbaikan &amp; Perawatan Perabot Material Pihak3</v>
      </c>
      <c r="X991" s="4" t="str">
        <f>+VLOOKUP(U991,'FBCJ Jul-Des 2025'!$G$10:$P$1302,9,0)</f>
        <v>R124D1HRGA</v>
      </c>
      <c r="Y991" s="2" t="s">
        <v>43</v>
      </c>
      <c r="Z991" s="2">
        <v>1793264</v>
      </c>
      <c r="AA991" s="2">
        <v>20251118</v>
      </c>
      <c r="AB991" s="3">
        <v>423500</v>
      </c>
    </row>
    <row r="992" spans="3:28" x14ac:dyDescent="0.25">
      <c r="C992" s="2">
        <v>10000001</v>
      </c>
      <c r="D992" s="2" t="s">
        <v>1466</v>
      </c>
      <c r="F992" s="2">
        <v>12009423</v>
      </c>
      <c r="H992" s="2" t="s">
        <v>1466</v>
      </c>
      <c r="I992" s="2" t="str">
        <f t="shared" si="15"/>
        <v>11</v>
      </c>
      <c r="J992" s="2">
        <v>50</v>
      </c>
      <c r="K992" s="3">
        <v>-420500</v>
      </c>
      <c r="L992" s="2" t="s">
        <v>26</v>
      </c>
      <c r="M992" s="3">
        <v>-420500</v>
      </c>
      <c r="N992" s="2" t="s">
        <v>26</v>
      </c>
      <c r="R992" s="2" t="s">
        <v>27</v>
      </c>
      <c r="S992" s="2" t="s">
        <v>1472</v>
      </c>
      <c r="T992" s="2" t="s">
        <v>1474</v>
      </c>
      <c r="U992" s="2" t="s">
        <v>1475</v>
      </c>
      <c r="V992" s="4">
        <f>+VLOOKUP(U992,'FBCJ Jul-Des 2025'!$G$10:$P$1302,8,0)</f>
        <v>70105210</v>
      </c>
      <c r="W992" s="4" t="str">
        <f>+VLOOKUP(V992,Sheet1!$A$2:$B$27,2,0)</f>
        <v>Biaya Pajak Kendaraan Bermotor &amp; Alat Berat</v>
      </c>
      <c r="X992" s="4" t="str">
        <f>+VLOOKUP(U992,'FBCJ Jul-Des 2025'!$G$10:$P$1302,9,0)</f>
        <v>R124D1HRGA</v>
      </c>
      <c r="Y992" s="2" t="s">
        <v>43</v>
      </c>
      <c r="Z992" s="2">
        <v>1793264</v>
      </c>
      <c r="AA992" s="2">
        <v>20251118</v>
      </c>
      <c r="AB992" s="3">
        <v>420500</v>
      </c>
    </row>
    <row r="993" spans="3:28" x14ac:dyDescent="0.25">
      <c r="C993" s="2">
        <v>10000001</v>
      </c>
      <c r="D993" s="2" t="s">
        <v>1466</v>
      </c>
      <c r="F993" s="2">
        <v>12009424</v>
      </c>
      <c r="H993" s="2" t="s">
        <v>1466</v>
      </c>
      <c r="I993" s="2" t="str">
        <f t="shared" si="15"/>
        <v>11</v>
      </c>
      <c r="J993" s="2">
        <v>50</v>
      </c>
      <c r="K993" s="3">
        <v>-50000</v>
      </c>
      <c r="L993" s="2" t="s">
        <v>26</v>
      </c>
      <c r="M993" s="3">
        <v>-50000</v>
      </c>
      <c r="N993" s="2" t="s">
        <v>26</v>
      </c>
      <c r="R993" s="2" t="s">
        <v>27</v>
      </c>
      <c r="S993" s="2" t="s">
        <v>1476</v>
      </c>
      <c r="T993" s="2" t="s">
        <v>126</v>
      </c>
      <c r="U993" s="2" t="s">
        <v>1477</v>
      </c>
      <c r="V993" s="4">
        <f>+VLOOKUP(U993,'FBCJ Jul-Des 2025'!$G$10:$P$1302,8,0)</f>
        <v>70107600</v>
      </c>
      <c r="W993" s="4" t="str">
        <f>+VLOOKUP(V993,Sheet1!$A$2:$B$27,2,0)</f>
        <v>Biaya Konsumsi Kantor</v>
      </c>
      <c r="X993" s="4" t="str">
        <f>+VLOOKUP(U993,'FBCJ Jul-Des 2025'!$G$10:$P$1302,9,0)</f>
        <v>R124MNT</v>
      </c>
      <c r="Y993" s="2" t="s">
        <v>43</v>
      </c>
      <c r="Z993" s="2">
        <v>1793264</v>
      </c>
      <c r="AA993" s="2">
        <v>20251118</v>
      </c>
      <c r="AB993" s="3">
        <v>50000</v>
      </c>
    </row>
    <row r="994" spans="3:28" x14ac:dyDescent="0.25">
      <c r="C994" s="2">
        <v>10000001</v>
      </c>
      <c r="D994" s="2" t="s">
        <v>1466</v>
      </c>
      <c r="F994" s="2">
        <v>12009425</v>
      </c>
      <c r="H994" s="2" t="s">
        <v>1466</v>
      </c>
      <c r="I994" s="2" t="str">
        <f t="shared" si="15"/>
        <v>11</v>
      </c>
      <c r="J994" s="2">
        <v>50</v>
      </c>
      <c r="K994" s="3">
        <v>-50000</v>
      </c>
      <c r="L994" s="2" t="s">
        <v>26</v>
      </c>
      <c r="M994" s="3">
        <v>-50000</v>
      </c>
      <c r="N994" s="2" t="s">
        <v>26</v>
      </c>
      <c r="R994" s="2" t="s">
        <v>27</v>
      </c>
      <c r="S994" s="2" t="s">
        <v>1478</v>
      </c>
      <c r="T994" s="2" t="s">
        <v>126</v>
      </c>
      <c r="U994" s="2" t="s">
        <v>1479</v>
      </c>
      <c r="V994" s="4">
        <f>+VLOOKUP(U994,'FBCJ Jul-Des 2025'!$G$10:$P$1302,8,0)</f>
        <v>70107600</v>
      </c>
      <c r="W994" s="4" t="str">
        <f>+VLOOKUP(V994,Sheet1!$A$2:$B$27,2,0)</f>
        <v>Biaya Konsumsi Kantor</v>
      </c>
      <c r="X994" s="4" t="str">
        <f>+VLOOKUP(U994,'FBCJ Jul-Des 2025'!$G$10:$P$1302,9,0)</f>
        <v>R124MNT</v>
      </c>
      <c r="Y994" s="2" t="s">
        <v>43</v>
      </c>
      <c r="Z994" s="2">
        <v>1793264</v>
      </c>
      <c r="AA994" s="2">
        <v>20251118</v>
      </c>
      <c r="AB994" s="3">
        <v>50000</v>
      </c>
    </row>
    <row r="995" spans="3:28" x14ac:dyDescent="0.25">
      <c r="C995" s="2">
        <v>10000001</v>
      </c>
      <c r="D995" s="2" t="s">
        <v>1466</v>
      </c>
      <c r="F995" s="2">
        <v>12009426</v>
      </c>
      <c r="H995" s="2" t="s">
        <v>1466</v>
      </c>
      <c r="I995" s="2" t="str">
        <f t="shared" si="15"/>
        <v>11</v>
      </c>
      <c r="J995" s="2">
        <v>50</v>
      </c>
      <c r="K995" s="3">
        <v>-750000</v>
      </c>
      <c r="L995" s="2" t="s">
        <v>26</v>
      </c>
      <c r="M995" s="3">
        <v>-750000</v>
      </c>
      <c r="N995" s="2" t="s">
        <v>26</v>
      </c>
      <c r="R995" s="2" t="s">
        <v>27</v>
      </c>
      <c r="S995" s="2" t="s">
        <v>1480</v>
      </c>
      <c r="T995" s="2" t="s">
        <v>96</v>
      </c>
      <c r="U995" s="2" t="s">
        <v>1481</v>
      </c>
      <c r="V995" s="4">
        <f>+VLOOKUP(U995,'FBCJ Jul-Des 2025'!$G$10:$P$1302,8,0)</f>
        <v>70106400</v>
      </c>
      <c r="W995" s="4" t="str">
        <f>+VLOOKUP(V995,Sheet1!$A$2:$B$27,2,0)</f>
        <v>Biaya Bahan Bakar</v>
      </c>
      <c r="X995" s="4" t="str">
        <f>+VLOOKUP(U995,'FBCJ Jul-Des 2025'!$G$10:$P$1302,9,0)</f>
        <v>R124D1HRGA</v>
      </c>
      <c r="Y995" s="2" t="s">
        <v>43</v>
      </c>
      <c r="Z995" s="2">
        <v>1793264</v>
      </c>
      <c r="AA995" s="2">
        <v>20251118</v>
      </c>
      <c r="AB995" s="3">
        <v>750000</v>
      </c>
    </row>
    <row r="996" spans="3:28" x14ac:dyDescent="0.25">
      <c r="C996" s="2">
        <v>10000001</v>
      </c>
      <c r="D996" s="2" t="s">
        <v>1466</v>
      </c>
      <c r="F996" s="2">
        <v>12009427</v>
      </c>
      <c r="H996" s="2" t="s">
        <v>1466</v>
      </c>
      <c r="I996" s="2" t="str">
        <f t="shared" si="15"/>
        <v>11</v>
      </c>
      <c r="J996" s="2">
        <v>50</v>
      </c>
      <c r="K996" s="3">
        <v>-247500</v>
      </c>
      <c r="L996" s="2" t="s">
        <v>26</v>
      </c>
      <c r="M996" s="3">
        <v>-247500</v>
      </c>
      <c r="N996" s="2" t="s">
        <v>26</v>
      </c>
      <c r="R996" s="2" t="s">
        <v>27</v>
      </c>
      <c r="S996" s="2" t="s">
        <v>1480</v>
      </c>
      <c r="T996" s="2" t="s">
        <v>67</v>
      </c>
      <c r="U996" s="2" t="s">
        <v>98</v>
      </c>
      <c r="V996" s="4">
        <f>+VLOOKUP(U996,'FBCJ Jul-Des 2025'!$G$10:$P$1302,8,0)</f>
        <v>70106100</v>
      </c>
      <c r="W996" s="4" t="str">
        <f>+VLOOKUP(V996,Sheet1!$A$2:$B$27,2,0)</f>
        <v>Biaya Transportasi Lokal</v>
      </c>
      <c r="X996" s="4" t="str">
        <f>+VLOOKUP(U996,'FBCJ Jul-Des 2025'!$G$10:$P$1302,9,0)</f>
        <v>R124D1HRGA</v>
      </c>
      <c r="Y996" s="2" t="s">
        <v>43</v>
      </c>
      <c r="Z996" s="2">
        <v>1793264</v>
      </c>
      <c r="AA996" s="2">
        <v>20251118</v>
      </c>
      <c r="AB996" s="3">
        <v>247500</v>
      </c>
    </row>
    <row r="997" spans="3:28" x14ac:dyDescent="0.25">
      <c r="C997" s="2">
        <v>10000001</v>
      </c>
      <c r="D997" s="2" t="s">
        <v>1466</v>
      </c>
      <c r="F997" s="2">
        <v>12009428</v>
      </c>
      <c r="H997" s="2" t="s">
        <v>1466</v>
      </c>
      <c r="I997" s="2" t="str">
        <f t="shared" si="15"/>
        <v>11</v>
      </c>
      <c r="J997" s="2">
        <v>50</v>
      </c>
      <c r="K997" s="3">
        <v>-700000</v>
      </c>
      <c r="L997" s="2" t="s">
        <v>26</v>
      </c>
      <c r="M997" s="3">
        <v>-700000</v>
      </c>
      <c r="N997" s="2" t="s">
        <v>26</v>
      </c>
      <c r="R997" s="2" t="s">
        <v>27</v>
      </c>
      <c r="S997" s="2" t="s">
        <v>1482</v>
      </c>
      <c r="T997" s="2" t="s">
        <v>281</v>
      </c>
      <c r="U997" s="2" t="s">
        <v>1483</v>
      </c>
      <c r="V997" s="4">
        <f>+VLOOKUP(U997,'FBCJ Jul-Des 2025'!$G$10:$P$1302,8,0)</f>
        <v>70110110</v>
      </c>
      <c r="W997" s="4" t="str">
        <f>+VLOOKUP(V997,Sheet1!$A$2:$B$27,2,0)</f>
        <v>Biaya Organisasi Professional Nasional</v>
      </c>
      <c r="X997" s="4" t="str">
        <f>+VLOOKUP(U997,'FBCJ Jul-Des 2025'!$G$10:$P$1302,9,0)</f>
        <v>R124D1HRDV</v>
      </c>
      <c r="Y997" s="2" t="s">
        <v>43</v>
      </c>
      <c r="Z997" s="2">
        <v>1793264</v>
      </c>
      <c r="AA997" s="2">
        <v>20251118</v>
      </c>
      <c r="AB997" s="3">
        <v>700000</v>
      </c>
    </row>
    <row r="998" spans="3:28" x14ac:dyDescent="0.25">
      <c r="C998" s="2">
        <v>10000001</v>
      </c>
      <c r="D998" s="2" t="s">
        <v>1466</v>
      </c>
      <c r="F998" s="2">
        <v>12009429</v>
      </c>
      <c r="H998" s="2" t="s">
        <v>1466</v>
      </c>
      <c r="I998" s="2" t="str">
        <f t="shared" si="15"/>
        <v>11</v>
      </c>
      <c r="J998" s="2">
        <v>50</v>
      </c>
      <c r="K998" s="3">
        <v>-450000</v>
      </c>
      <c r="L998" s="2" t="s">
        <v>26</v>
      </c>
      <c r="M998" s="3">
        <v>-450000</v>
      </c>
      <c r="N998" s="2" t="s">
        <v>26</v>
      </c>
      <c r="R998" s="2" t="s">
        <v>27</v>
      </c>
      <c r="S998" s="2" t="s">
        <v>1484</v>
      </c>
      <c r="T998" s="2" t="s">
        <v>254</v>
      </c>
      <c r="U998" s="2" t="s">
        <v>1485</v>
      </c>
      <c r="V998" s="4">
        <f>+VLOOKUP(U998,'FBCJ Jul-Des 2025'!$G$10:$P$1302,8,0)</f>
        <v>70107100</v>
      </c>
      <c r="W998" s="4" t="str">
        <f>+VLOOKUP(V998,Sheet1!$A$2:$B$27,2,0)</f>
        <v>Biaya Mess</v>
      </c>
      <c r="X998" s="4" t="str">
        <f>+VLOOKUP(U998,'FBCJ Jul-Des 2025'!$G$10:$P$1302,9,0)</f>
        <v>R124D1HRGA</v>
      </c>
      <c r="Y998" s="2" t="s">
        <v>43</v>
      </c>
      <c r="Z998" s="2">
        <v>1793264</v>
      </c>
      <c r="AA998" s="2">
        <v>20251118</v>
      </c>
      <c r="AB998" s="3">
        <v>450000</v>
      </c>
    </row>
    <row r="999" spans="3:28" x14ac:dyDescent="0.25">
      <c r="C999" s="2">
        <v>10000001</v>
      </c>
      <c r="D999" s="2" t="s">
        <v>1466</v>
      </c>
      <c r="F999" s="2">
        <v>12009430</v>
      </c>
      <c r="H999" s="2" t="s">
        <v>1466</v>
      </c>
      <c r="I999" s="2" t="str">
        <f t="shared" si="15"/>
        <v>11</v>
      </c>
      <c r="J999" s="2">
        <v>50</v>
      </c>
      <c r="K999" s="3">
        <v>-50000</v>
      </c>
      <c r="L999" s="2" t="s">
        <v>26</v>
      </c>
      <c r="M999" s="3">
        <v>-50000</v>
      </c>
      <c r="N999" s="2" t="s">
        <v>26</v>
      </c>
      <c r="R999" s="2" t="s">
        <v>27</v>
      </c>
      <c r="S999" s="2" t="s">
        <v>1486</v>
      </c>
      <c r="T999" s="2" t="s">
        <v>334</v>
      </c>
      <c r="U999" s="2" t="s">
        <v>1487</v>
      </c>
      <c r="V999" s="4">
        <f>+VLOOKUP(U999,'FBCJ Jul-Des 2025'!$G$10:$P$1302,8,0)</f>
        <v>70001110</v>
      </c>
      <c r="W999" s="4" t="str">
        <f>+VLOOKUP(V999,Sheet1!$A$2:$B$27,2,0)</f>
        <v>Biaya Ekspor lainnya</v>
      </c>
      <c r="X999" s="4" t="str">
        <f>+VLOOKUP(U999,'FBCJ Jul-Des 2025'!$G$10:$P$1302,9,0)</f>
        <v>P206D1SLSS</v>
      </c>
      <c r="Y999" s="2" t="s">
        <v>43</v>
      </c>
      <c r="Z999" s="2">
        <v>1793264</v>
      </c>
      <c r="AA999" s="2">
        <v>20251118</v>
      </c>
      <c r="AB999" s="3">
        <v>50000</v>
      </c>
    </row>
    <row r="1000" spans="3:28" x14ac:dyDescent="0.25">
      <c r="C1000" s="2">
        <v>10000001</v>
      </c>
      <c r="D1000" s="2" t="s">
        <v>1466</v>
      </c>
      <c r="F1000" s="2">
        <v>12009431</v>
      </c>
      <c r="H1000" s="2" t="s">
        <v>1466</v>
      </c>
      <c r="I1000" s="2" t="str">
        <f t="shared" si="15"/>
        <v>11</v>
      </c>
      <c r="J1000" s="2">
        <v>50</v>
      </c>
      <c r="K1000" s="3">
        <v>-16000</v>
      </c>
      <c r="L1000" s="2" t="s">
        <v>26</v>
      </c>
      <c r="M1000" s="3">
        <v>-16000</v>
      </c>
      <c r="N1000" s="2" t="s">
        <v>26</v>
      </c>
      <c r="R1000" s="2" t="s">
        <v>27</v>
      </c>
      <c r="S1000" s="2" t="s">
        <v>1486</v>
      </c>
      <c r="T1000" s="2" t="s">
        <v>334</v>
      </c>
      <c r="U1000" s="2" t="s">
        <v>1488</v>
      </c>
      <c r="V1000" s="4">
        <f>+VLOOKUP(U1000,'FBCJ Jul-Des 2025'!$G$10:$P$1302,8,0)</f>
        <v>70001110</v>
      </c>
      <c r="W1000" s="4" t="str">
        <f>+VLOOKUP(V1000,Sheet1!$A$2:$B$27,2,0)</f>
        <v>Biaya Ekspor lainnya</v>
      </c>
      <c r="X1000" s="4" t="str">
        <f>+VLOOKUP(U1000,'FBCJ Jul-Des 2025'!$G$10:$P$1302,9,0)</f>
        <v>M204D1COMM</v>
      </c>
      <c r="Y1000" s="2" t="s">
        <v>43</v>
      </c>
      <c r="Z1000" s="2">
        <v>1793264</v>
      </c>
      <c r="AA1000" s="2">
        <v>20251118</v>
      </c>
      <c r="AB1000" s="3">
        <v>16000</v>
      </c>
    </row>
    <row r="1001" spans="3:28" x14ac:dyDescent="0.25">
      <c r="C1001" s="2">
        <v>10000001</v>
      </c>
      <c r="D1001" s="2" t="s">
        <v>1466</v>
      </c>
      <c r="F1001" s="2">
        <v>12009432</v>
      </c>
      <c r="H1001" s="2" t="s">
        <v>1466</v>
      </c>
      <c r="I1001" s="2" t="str">
        <f t="shared" si="15"/>
        <v>11</v>
      </c>
      <c r="J1001" s="2">
        <v>50</v>
      </c>
      <c r="K1001" s="3">
        <v>-740000</v>
      </c>
      <c r="L1001" s="2" t="s">
        <v>26</v>
      </c>
      <c r="M1001" s="3">
        <v>-740000</v>
      </c>
      <c r="N1001" s="2" t="s">
        <v>26</v>
      </c>
      <c r="R1001" s="2" t="s">
        <v>27</v>
      </c>
      <c r="S1001" s="2" t="s">
        <v>1489</v>
      </c>
      <c r="T1001" s="2" t="s">
        <v>96</v>
      </c>
      <c r="U1001" s="2" t="s">
        <v>1490</v>
      </c>
      <c r="V1001" s="4">
        <f>+VLOOKUP(U1001,'FBCJ Jul-Des 2025'!$G$10:$P$1302,8,0)</f>
        <v>70106400</v>
      </c>
      <c r="W1001" s="4" t="str">
        <f>+VLOOKUP(V1001,Sheet1!$A$2:$B$27,2,0)</f>
        <v>Biaya Bahan Bakar</v>
      </c>
      <c r="X1001" s="4" t="str">
        <f>+VLOOKUP(U1001,'FBCJ Jul-Des 2025'!$G$10:$P$1302,9,0)</f>
        <v>R124D1HRGA</v>
      </c>
      <c r="Y1001" s="2" t="s">
        <v>43</v>
      </c>
      <c r="Z1001" s="2">
        <v>1793264</v>
      </c>
      <c r="AA1001" s="2">
        <v>20251118</v>
      </c>
      <c r="AB1001" s="3">
        <v>740000</v>
      </c>
    </row>
    <row r="1002" spans="3:28" x14ac:dyDescent="0.25">
      <c r="C1002" s="2">
        <v>10000001</v>
      </c>
      <c r="D1002" s="2" t="s">
        <v>1466</v>
      </c>
      <c r="F1002" s="2">
        <v>12009433</v>
      </c>
      <c r="H1002" s="2" t="s">
        <v>1466</v>
      </c>
      <c r="I1002" s="2" t="str">
        <f t="shared" si="15"/>
        <v>11</v>
      </c>
      <c r="J1002" s="2">
        <v>50</v>
      </c>
      <c r="K1002" s="3">
        <v>-259000</v>
      </c>
      <c r="L1002" s="2" t="s">
        <v>26</v>
      </c>
      <c r="M1002" s="3">
        <v>-259000</v>
      </c>
      <c r="N1002" s="2" t="s">
        <v>26</v>
      </c>
      <c r="R1002" s="2" t="s">
        <v>27</v>
      </c>
      <c r="S1002" s="2" t="s">
        <v>1489</v>
      </c>
      <c r="T1002" s="2" t="s">
        <v>67</v>
      </c>
      <c r="U1002" s="2" t="s">
        <v>98</v>
      </c>
      <c r="V1002" s="4">
        <f>+VLOOKUP(U1002,'FBCJ Jul-Des 2025'!$G$10:$P$1302,8,0)</f>
        <v>70106100</v>
      </c>
      <c r="W1002" s="4" t="str">
        <f>+VLOOKUP(V1002,Sheet1!$A$2:$B$27,2,0)</f>
        <v>Biaya Transportasi Lokal</v>
      </c>
      <c r="X1002" s="4" t="str">
        <f>+VLOOKUP(U1002,'FBCJ Jul-Des 2025'!$G$10:$P$1302,9,0)</f>
        <v>R124D1HRGA</v>
      </c>
      <c r="Y1002" s="2" t="s">
        <v>43</v>
      </c>
      <c r="Z1002" s="2">
        <v>1793264</v>
      </c>
      <c r="AA1002" s="2">
        <v>20251118</v>
      </c>
      <c r="AB1002" s="3">
        <v>259000</v>
      </c>
    </row>
    <row r="1003" spans="3:28" x14ac:dyDescent="0.25">
      <c r="C1003" s="2">
        <v>10000001</v>
      </c>
      <c r="D1003" s="2" t="s">
        <v>1466</v>
      </c>
      <c r="F1003" s="2">
        <v>12009434</v>
      </c>
      <c r="H1003" s="2" t="s">
        <v>1466</v>
      </c>
      <c r="I1003" s="2" t="str">
        <f t="shared" si="15"/>
        <v>11</v>
      </c>
      <c r="J1003" s="2">
        <v>50</v>
      </c>
      <c r="K1003" s="3">
        <v>-400000</v>
      </c>
      <c r="L1003" s="2" t="s">
        <v>26</v>
      </c>
      <c r="M1003" s="3">
        <v>-400000</v>
      </c>
      <c r="N1003" s="2" t="s">
        <v>26</v>
      </c>
      <c r="R1003" s="2" t="s">
        <v>27</v>
      </c>
      <c r="S1003" s="2" t="s">
        <v>1491</v>
      </c>
      <c r="T1003" s="2" t="s">
        <v>41</v>
      </c>
      <c r="U1003" s="2" t="s">
        <v>1492</v>
      </c>
      <c r="V1003" s="4">
        <f>+VLOOKUP(U1003,'FBCJ Jul-Des 2025'!$G$10:$P$1302,8,0)</f>
        <v>70107300</v>
      </c>
      <c r="W1003" s="4" t="str">
        <f>+VLOOKUP(V1003,Sheet1!$A$2:$B$27,2,0)</f>
        <v>Biaya Olahraga Dan Permainan</v>
      </c>
      <c r="X1003" s="4" t="str">
        <f>+VLOOKUP(U1003,'FBCJ Jul-Des 2025'!$G$10:$P$1302,9,0)</f>
        <v>R124D1HRDV</v>
      </c>
      <c r="Y1003" s="2" t="s">
        <v>43</v>
      </c>
      <c r="Z1003" s="2">
        <v>1793264</v>
      </c>
      <c r="AA1003" s="2">
        <v>20251118</v>
      </c>
      <c r="AB1003" s="3">
        <v>400000</v>
      </c>
    </row>
    <row r="1004" spans="3:28" x14ac:dyDescent="0.25">
      <c r="C1004" s="2">
        <v>10000001</v>
      </c>
      <c r="D1004" s="2" t="s">
        <v>1466</v>
      </c>
      <c r="F1004" s="2">
        <v>12009435</v>
      </c>
      <c r="H1004" s="2" t="s">
        <v>1466</v>
      </c>
      <c r="I1004" s="2" t="str">
        <f t="shared" si="15"/>
        <v>11</v>
      </c>
      <c r="J1004" s="2">
        <v>50</v>
      </c>
      <c r="K1004" s="3">
        <v>-50000</v>
      </c>
      <c r="L1004" s="2" t="s">
        <v>26</v>
      </c>
      <c r="M1004" s="3">
        <v>-50000</v>
      </c>
      <c r="N1004" s="2" t="s">
        <v>26</v>
      </c>
      <c r="R1004" s="2" t="s">
        <v>27</v>
      </c>
      <c r="S1004" s="2" t="s">
        <v>1493</v>
      </c>
      <c r="T1004" s="2" t="s">
        <v>126</v>
      </c>
      <c r="U1004" s="2" t="s">
        <v>1494</v>
      </c>
      <c r="V1004" s="4">
        <f>+VLOOKUP(U1004,'FBCJ Jul-Des 2025'!$G$10:$P$1302,8,0)</f>
        <v>70107600</v>
      </c>
      <c r="W1004" s="4" t="str">
        <f>+VLOOKUP(V1004,Sheet1!$A$2:$B$27,2,0)</f>
        <v>Biaya Konsumsi Kantor</v>
      </c>
      <c r="X1004" s="4" t="str">
        <f>+VLOOKUP(U1004,'FBCJ Jul-Des 2025'!$G$10:$P$1302,9,0)</f>
        <v>R124MNT</v>
      </c>
      <c r="Y1004" s="2" t="s">
        <v>43</v>
      </c>
      <c r="Z1004" s="2">
        <v>1793264</v>
      </c>
      <c r="AA1004" s="2">
        <v>20251118</v>
      </c>
      <c r="AB1004" s="3">
        <v>50000</v>
      </c>
    </row>
    <row r="1005" spans="3:28" x14ac:dyDescent="0.25">
      <c r="C1005" s="2">
        <v>10000001</v>
      </c>
      <c r="D1005" s="2" t="s">
        <v>1495</v>
      </c>
      <c r="F1005" s="2">
        <v>12009436</v>
      </c>
      <c r="H1005" s="2" t="s">
        <v>1495</v>
      </c>
      <c r="I1005" s="2" t="str">
        <f t="shared" si="15"/>
        <v>11</v>
      </c>
      <c r="J1005" s="2">
        <v>50</v>
      </c>
      <c r="K1005" s="3">
        <v>-50000</v>
      </c>
      <c r="L1005" s="2" t="s">
        <v>26</v>
      </c>
      <c r="M1005" s="3">
        <v>-50000</v>
      </c>
      <c r="N1005" s="2" t="s">
        <v>26</v>
      </c>
      <c r="R1005" s="2" t="s">
        <v>27</v>
      </c>
      <c r="S1005" s="2" t="s">
        <v>1496</v>
      </c>
      <c r="T1005" s="2" t="s">
        <v>334</v>
      </c>
      <c r="U1005" s="2" t="s">
        <v>1497</v>
      </c>
      <c r="V1005" s="4">
        <f>+VLOOKUP(U1005,'FBCJ Jul-Des 2025'!$G$10:$P$1302,8,0)</f>
        <v>70001110</v>
      </c>
      <c r="W1005" s="4" t="str">
        <f>+VLOOKUP(V1005,Sheet1!$A$2:$B$27,2,0)</f>
        <v>Biaya Ekspor lainnya</v>
      </c>
      <c r="X1005" s="4" t="str">
        <f>+VLOOKUP(U1005,'FBCJ Jul-Des 2025'!$G$10:$P$1302,9,0)</f>
        <v>M204D1COMM</v>
      </c>
      <c r="Y1005" s="2" t="s">
        <v>43</v>
      </c>
      <c r="Z1005" s="2">
        <v>1793264</v>
      </c>
      <c r="AA1005" s="2">
        <v>20251120</v>
      </c>
      <c r="AB1005" s="3">
        <v>50000</v>
      </c>
    </row>
    <row r="1006" spans="3:28" x14ac:dyDescent="0.25">
      <c r="C1006" s="2">
        <v>10000001</v>
      </c>
      <c r="D1006" s="2" t="s">
        <v>1495</v>
      </c>
      <c r="F1006" s="2">
        <v>12009437</v>
      </c>
      <c r="H1006" s="2" t="s">
        <v>1495</v>
      </c>
      <c r="I1006" s="2" t="str">
        <f t="shared" si="15"/>
        <v>11</v>
      </c>
      <c r="J1006" s="2">
        <v>50</v>
      </c>
      <c r="K1006" s="3">
        <v>-100000</v>
      </c>
      <c r="L1006" s="2" t="s">
        <v>26</v>
      </c>
      <c r="M1006" s="3">
        <v>-100000</v>
      </c>
      <c r="N1006" s="2" t="s">
        <v>26</v>
      </c>
      <c r="R1006" s="2" t="s">
        <v>27</v>
      </c>
      <c r="S1006" s="2" t="s">
        <v>1496</v>
      </c>
      <c r="T1006" s="2" t="s">
        <v>334</v>
      </c>
      <c r="U1006" s="2" t="s">
        <v>1498</v>
      </c>
      <c r="V1006" s="4">
        <f>+VLOOKUP(U1006,'FBCJ Jul-Des 2025'!$G$10:$P$1302,8,0)</f>
        <v>70001110</v>
      </c>
      <c r="W1006" s="4" t="str">
        <f>+VLOOKUP(V1006,Sheet1!$A$2:$B$27,2,0)</f>
        <v>Biaya Ekspor lainnya</v>
      </c>
      <c r="X1006" s="4" t="str">
        <f>+VLOOKUP(U1006,'FBCJ Jul-Des 2025'!$G$10:$P$1302,9,0)</f>
        <v>M204D1COMM</v>
      </c>
      <c r="Y1006" s="2" t="s">
        <v>43</v>
      </c>
      <c r="Z1006" s="2">
        <v>1793264</v>
      </c>
      <c r="AA1006" s="2">
        <v>20251120</v>
      </c>
      <c r="AB1006" s="3">
        <v>100000</v>
      </c>
    </row>
    <row r="1007" spans="3:28" x14ac:dyDescent="0.25">
      <c r="C1007" s="2">
        <v>10000001</v>
      </c>
      <c r="D1007" s="2" t="s">
        <v>1495</v>
      </c>
      <c r="F1007" s="2">
        <v>12009438</v>
      </c>
      <c r="H1007" s="2" t="s">
        <v>1495</v>
      </c>
      <c r="I1007" s="2" t="str">
        <f t="shared" si="15"/>
        <v>11</v>
      </c>
      <c r="J1007" s="2">
        <v>50</v>
      </c>
      <c r="K1007" s="3">
        <v>-100000</v>
      </c>
      <c r="L1007" s="2" t="s">
        <v>26</v>
      </c>
      <c r="M1007" s="3">
        <v>-100000</v>
      </c>
      <c r="N1007" s="2" t="s">
        <v>26</v>
      </c>
      <c r="R1007" s="2" t="s">
        <v>27</v>
      </c>
      <c r="S1007" s="2" t="s">
        <v>1496</v>
      </c>
      <c r="T1007" s="2" t="s">
        <v>334</v>
      </c>
      <c r="U1007" s="2" t="s">
        <v>1499</v>
      </c>
      <c r="V1007" s="4">
        <f>+VLOOKUP(U1007,'FBCJ Jul-Des 2025'!$G$10:$P$1302,8,0)</f>
        <v>70001110</v>
      </c>
      <c r="W1007" s="4" t="str">
        <f>+VLOOKUP(V1007,Sheet1!$A$2:$B$27,2,0)</f>
        <v>Biaya Ekspor lainnya</v>
      </c>
      <c r="X1007" s="4" t="str">
        <f>+VLOOKUP(U1007,'FBCJ Jul-Des 2025'!$G$10:$P$1302,9,0)</f>
        <v>M204D1COMM</v>
      </c>
      <c r="Y1007" s="2" t="s">
        <v>43</v>
      </c>
      <c r="Z1007" s="2">
        <v>1793264</v>
      </c>
      <c r="AA1007" s="2">
        <v>20251120</v>
      </c>
      <c r="AB1007" s="3">
        <v>100000</v>
      </c>
    </row>
    <row r="1008" spans="3:28" x14ac:dyDescent="0.25">
      <c r="C1008" s="2">
        <v>10000001</v>
      </c>
      <c r="D1008" s="2" t="s">
        <v>1495</v>
      </c>
      <c r="F1008" s="2">
        <v>12009439</v>
      </c>
      <c r="H1008" s="2" t="s">
        <v>1495</v>
      </c>
      <c r="I1008" s="2" t="str">
        <f t="shared" si="15"/>
        <v>11</v>
      </c>
      <c r="J1008" s="2">
        <v>50</v>
      </c>
      <c r="K1008" s="3">
        <v>-200000</v>
      </c>
      <c r="L1008" s="2" t="s">
        <v>26</v>
      </c>
      <c r="M1008" s="3">
        <v>-200000</v>
      </c>
      <c r="N1008" s="2" t="s">
        <v>26</v>
      </c>
      <c r="R1008" s="2" t="s">
        <v>27</v>
      </c>
      <c r="S1008" s="2" t="s">
        <v>1496</v>
      </c>
      <c r="T1008" s="2" t="s">
        <v>334</v>
      </c>
      <c r="U1008" s="2" t="s">
        <v>1500</v>
      </c>
      <c r="V1008" s="4">
        <f>+VLOOKUP(U1008,'FBCJ Jul-Des 2025'!$G$10:$P$1302,8,0)</f>
        <v>70001110</v>
      </c>
      <c r="W1008" s="4" t="str">
        <f>+VLOOKUP(V1008,Sheet1!$A$2:$B$27,2,0)</f>
        <v>Biaya Ekspor lainnya</v>
      </c>
      <c r="X1008" s="4" t="str">
        <f>+VLOOKUP(U1008,'FBCJ Jul-Des 2025'!$G$10:$P$1302,9,0)</f>
        <v>M204D1COMM</v>
      </c>
      <c r="Y1008" s="2" t="s">
        <v>43</v>
      </c>
      <c r="Z1008" s="2">
        <v>1793264</v>
      </c>
      <c r="AA1008" s="2">
        <v>20251120</v>
      </c>
      <c r="AB1008" s="3">
        <v>200000</v>
      </c>
    </row>
    <row r="1009" spans="3:28" x14ac:dyDescent="0.25">
      <c r="C1009" s="2">
        <v>10000001</v>
      </c>
      <c r="D1009" s="2" t="s">
        <v>1495</v>
      </c>
      <c r="F1009" s="2">
        <v>12009440</v>
      </c>
      <c r="H1009" s="2" t="s">
        <v>1495</v>
      </c>
      <c r="I1009" s="2" t="str">
        <f t="shared" si="15"/>
        <v>11</v>
      </c>
      <c r="J1009" s="2">
        <v>50</v>
      </c>
      <c r="K1009" s="3">
        <v>-350000</v>
      </c>
      <c r="L1009" s="2" t="s">
        <v>26</v>
      </c>
      <c r="M1009" s="3">
        <v>-350000</v>
      </c>
      <c r="N1009" s="2" t="s">
        <v>26</v>
      </c>
      <c r="R1009" s="2" t="s">
        <v>27</v>
      </c>
      <c r="S1009" s="2" t="s">
        <v>1501</v>
      </c>
      <c r="T1009" s="2" t="s">
        <v>41</v>
      </c>
      <c r="U1009" s="2" t="s">
        <v>1502</v>
      </c>
      <c r="V1009" s="4">
        <f>+VLOOKUP(U1009,'FBCJ Jul-Des 2025'!$G$10:$P$1302,8,0)</f>
        <v>70107300</v>
      </c>
      <c r="W1009" s="4" t="str">
        <f>+VLOOKUP(V1009,Sheet1!$A$2:$B$27,2,0)</f>
        <v>Biaya Olahraga Dan Permainan</v>
      </c>
      <c r="X1009" s="4" t="str">
        <f>+VLOOKUP(U1009,'FBCJ Jul-Des 2025'!$G$10:$P$1302,9,0)</f>
        <v>R124D1HRDV</v>
      </c>
      <c r="Y1009" s="2" t="s">
        <v>43</v>
      </c>
      <c r="Z1009" s="2">
        <v>1793264</v>
      </c>
      <c r="AA1009" s="2">
        <v>20251120</v>
      </c>
      <c r="AB1009" s="3">
        <v>350000</v>
      </c>
    </row>
    <row r="1010" spans="3:28" x14ac:dyDescent="0.25">
      <c r="C1010" s="2">
        <v>10000001</v>
      </c>
      <c r="D1010" s="2" t="s">
        <v>1495</v>
      </c>
      <c r="F1010" s="2">
        <v>12009441</v>
      </c>
      <c r="H1010" s="2" t="s">
        <v>1495</v>
      </c>
      <c r="I1010" s="2" t="str">
        <f t="shared" si="15"/>
        <v>11</v>
      </c>
      <c r="J1010" s="2">
        <v>50</v>
      </c>
      <c r="K1010" s="3">
        <v>-119000</v>
      </c>
      <c r="L1010" s="2" t="s">
        <v>26</v>
      </c>
      <c r="M1010" s="3">
        <v>-119000</v>
      </c>
      <c r="N1010" s="2" t="s">
        <v>26</v>
      </c>
      <c r="R1010" s="2" t="s">
        <v>27</v>
      </c>
      <c r="S1010" s="2" t="s">
        <v>1503</v>
      </c>
      <c r="T1010" s="2" t="s">
        <v>126</v>
      </c>
      <c r="U1010" s="2" t="s">
        <v>1470</v>
      </c>
      <c r="V1010" s="4">
        <f>+VLOOKUP(U1010,'FBCJ Jul-Des 2025'!$G$10:$P$1302,8,0)</f>
        <v>70107600</v>
      </c>
      <c r="W1010" s="4" t="str">
        <f>+VLOOKUP(V1010,Sheet1!$A$2:$B$27,2,0)</f>
        <v>Biaya Konsumsi Kantor</v>
      </c>
      <c r="X1010" s="4" t="str">
        <f>+VLOOKUP(U1010,'FBCJ Jul-Des 2025'!$G$10:$P$1302,9,0)</f>
        <v>R124REF2</v>
      </c>
      <c r="Y1010" s="2" t="s">
        <v>43</v>
      </c>
      <c r="Z1010" s="2">
        <v>1793264</v>
      </c>
      <c r="AA1010" s="2">
        <v>20251120</v>
      </c>
      <c r="AB1010" s="3">
        <v>119000</v>
      </c>
    </row>
    <row r="1011" spans="3:28" x14ac:dyDescent="0.25">
      <c r="C1011" s="2">
        <v>10000001</v>
      </c>
      <c r="D1011" s="2" t="s">
        <v>1495</v>
      </c>
      <c r="F1011" s="2">
        <v>12009442</v>
      </c>
      <c r="H1011" s="2" t="s">
        <v>1495</v>
      </c>
      <c r="I1011" s="2" t="str">
        <f t="shared" si="15"/>
        <v>11</v>
      </c>
      <c r="J1011" s="2">
        <v>50</v>
      </c>
      <c r="K1011" s="3">
        <v>-80000</v>
      </c>
      <c r="L1011" s="2" t="s">
        <v>26</v>
      </c>
      <c r="M1011" s="3">
        <v>-80000</v>
      </c>
      <c r="N1011" s="2" t="s">
        <v>26</v>
      </c>
      <c r="R1011" s="2" t="s">
        <v>27</v>
      </c>
      <c r="S1011" s="2" t="s">
        <v>1503</v>
      </c>
      <c r="T1011" s="2" t="s">
        <v>59</v>
      </c>
      <c r="U1011" s="2" t="s">
        <v>1504</v>
      </c>
      <c r="V1011" s="4">
        <f>+VLOOKUP(U1011,'FBCJ Jul-Des 2025'!$G$10:$P$1302,8,0)</f>
        <v>70101114</v>
      </c>
      <c r="W1011" s="4" t="str">
        <f>+VLOOKUP(V1011,Sheet1!$A$2:$B$27,2,0)</f>
        <v>By Perbaikan &amp; Perawatan Perabot Material Pihak3</v>
      </c>
      <c r="X1011" s="4" t="str">
        <f>+VLOOKUP(U1011,'FBCJ Jul-Des 2025'!$G$10:$P$1302,9,0)</f>
        <v>R124REF</v>
      </c>
      <c r="Y1011" s="2" t="s">
        <v>43</v>
      </c>
      <c r="Z1011" s="2">
        <v>1793264</v>
      </c>
      <c r="AA1011" s="2">
        <v>20251120</v>
      </c>
      <c r="AB1011" s="3">
        <v>80000</v>
      </c>
    </row>
    <row r="1012" spans="3:28" x14ac:dyDescent="0.25">
      <c r="C1012" s="2">
        <v>10000001</v>
      </c>
      <c r="D1012" s="2" t="s">
        <v>1495</v>
      </c>
      <c r="F1012" s="2">
        <v>12009443</v>
      </c>
      <c r="H1012" s="2" t="s">
        <v>1495</v>
      </c>
      <c r="I1012" s="2" t="str">
        <f t="shared" si="15"/>
        <v>11</v>
      </c>
      <c r="J1012" s="2">
        <v>50</v>
      </c>
      <c r="K1012" s="3">
        <v>-800000</v>
      </c>
      <c r="L1012" s="2" t="s">
        <v>26</v>
      </c>
      <c r="M1012" s="3">
        <v>-800000</v>
      </c>
      <c r="N1012" s="2" t="s">
        <v>26</v>
      </c>
      <c r="R1012" s="2" t="s">
        <v>27</v>
      </c>
      <c r="S1012" s="2" t="s">
        <v>1505</v>
      </c>
      <c r="T1012" s="2" t="s">
        <v>96</v>
      </c>
      <c r="U1012" s="2" t="s">
        <v>1506</v>
      </c>
      <c r="V1012" s="4">
        <f>+VLOOKUP(U1012,'FBCJ Jul-Des 2025'!$G$10:$P$1302,8,0)</f>
        <v>70106400</v>
      </c>
      <c r="W1012" s="4" t="str">
        <f>+VLOOKUP(V1012,Sheet1!$A$2:$B$27,2,0)</f>
        <v>Biaya Bahan Bakar</v>
      </c>
      <c r="X1012" s="4" t="str">
        <f>+VLOOKUP(U1012,'FBCJ Jul-Des 2025'!$G$10:$P$1302,9,0)</f>
        <v>R124D1HRGA</v>
      </c>
      <c r="Y1012" s="2" t="s">
        <v>43</v>
      </c>
      <c r="Z1012" s="2">
        <v>1793264</v>
      </c>
      <c r="AA1012" s="2">
        <v>20251120</v>
      </c>
      <c r="AB1012" s="3">
        <v>800000</v>
      </c>
    </row>
    <row r="1013" spans="3:28" x14ac:dyDescent="0.25">
      <c r="C1013" s="2">
        <v>10000001</v>
      </c>
      <c r="D1013" s="2" t="s">
        <v>1495</v>
      </c>
      <c r="F1013" s="2">
        <v>12009444</v>
      </c>
      <c r="H1013" s="2" t="s">
        <v>1495</v>
      </c>
      <c r="I1013" s="2" t="str">
        <f t="shared" si="15"/>
        <v>11</v>
      </c>
      <c r="J1013" s="2">
        <v>50</v>
      </c>
      <c r="K1013" s="3">
        <v>-200000</v>
      </c>
      <c r="L1013" s="2" t="s">
        <v>26</v>
      </c>
      <c r="M1013" s="3">
        <v>-200000</v>
      </c>
      <c r="N1013" s="2" t="s">
        <v>26</v>
      </c>
      <c r="R1013" s="2" t="s">
        <v>27</v>
      </c>
      <c r="S1013" s="2" t="s">
        <v>1505</v>
      </c>
      <c r="T1013" s="2" t="s">
        <v>67</v>
      </c>
      <c r="U1013" s="2" t="s">
        <v>98</v>
      </c>
      <c r="V1013" s="4">
        <f>+VLOOKUP(U1013,'FBCJ Jul-Des 2025'!$G$10:$P$1302,8,0)</f>
        <v>70106100</v>
      </c>
      <c r="W1013" s="4" t="str">
        <f>+VLOOKUP(V1013,Sheet1!$A$2:$B$27,2,0)</f>
        <v>Biaya Transportasi Lokal</v>
      </c>
      <c r="X1013" s="4" t="str">
        <f>+VLOOKUP(U1013,'FBCJ Jul-Des 2025'!$G$10:$P$1302,9,0)</f>
        <v>R124D1HRGA</v>
      </c>
      <c r="Y1013" s="2" t="s">
        <v>43</v>
      </c>
      <c r="Z1013" s="2">
        <v>1793264</v>
      </c>
      <c r="AA1013" s="2">
        <v>20251120</v>
      </c>
      <c r="AB1013" s="3">
        <v>200000</v>
      </c>
    </row>
    <row r="1014" spans="3:28" x14ac:dyDescent="0.25">
      <c r="C1014" s="2">
        <v>10000001</v>
      </c>
      <c r="D1014" s="2" t="s">
        <v>1495</v>
      </c>
      <c r="F1014" s="2">
        <v>12009445</v>
      </c>
      <c r="H1014" s="2" t="s">
        <v>1495</v>
      </c>
      <c r="I1014" s="2" t="str">
        <f t="shared" si="15"/>
        <v>11</v>
      </c>
      <c r="J1014" s="2">
        <v>50</v>
      </c>
      <c r="K1014" s="3">
        <v>-500000</v>
      </c>
      <c r="L1014" s="2" t="s">
        <v>26</v>
      </c>
      <c r="M1014" s="3">
        <v>-500000</v>
      </c>
      <c r="N1014" s="2" t="s">
        <v>26</v>
      </c>
      <c r="R1014" s="2" t="s">
        <v>27</v>
      </c>
      <c r="S1014" s="2" t="s">
        <v>1507</v>
      </c>
      <c r="T1014" s="2" t="s">
        <v>126</v>
      </c>
      <c r="U1014" s="2" t="s">
        <v>1508</v>
      </c>
      <c r="V1014" s="4">
        <f>+VLOOKUP(U1014,'FBCJ Jul-Des 2025'!$G$10:$P$1302,8,0)</f>
        <v>70107600</v>
      </c>
      <c r="W1014" s="4" t="str">
        <f>+VLOOKUP(V1014,Sheet1!$A$2:$B$27,2,0)</f>
        <v>Biaya Konsumsi Kantor</v>
      </c>
      <c r="X1014" s="4" t="str">
        <f>+VLOOKUP(U1014,'FBCJ Jul-Des 2025'!$G$10:$P$1302,9,0)</f>
        <v>R124D1MGMT</v>
      </c>
      <c r="Y1014" s="2" t="s">
        <v>43</v>
      </c>
      <c r="Z1014" s="2">
        <v>1793264</v>
      </c>
      <c r="AA1014" s="2">
        <v>20251120</v>
      </c>
      <c r="AB1014" s="3">
        <v>500000</v>
      </c>
    </row>
    <row r="1015" spans="3:28" x14ac:dyDescent="0.25">
      <c r="C1015" s="2">
        <v>10000001</v>
      </c>
      <c r="D1015" s="2" t="s">
        <v>1495</v>
      </c>
      <c r="F1015" s="2">
        <v>12009446</v>
      </c>
      <c r="H1015" s="2" t="s">
        <v>1495</v>
      </c>
      <c r="I1015" s="2" t="str">
        <f t="shared" si="15"/>
        <v>11</v>
      </c>
      <c r="J1015" s="2">
        <v>50</v>
      </c>
      <c r="K1015" s="3">
        <v>-50000</v>
      </c>
      <c r="L1015" s="2" t="s">
        <v>26</v>
      </c>
      <c r="M1015" s="3">
        <v>-50000</v>
      </c>
      <c r="N1015" s="2" t="s">
        <v>26</v>
      </c>
      <c r="R1015" s="2" t="s">
        <v>27</v>
      </c>
      <c r="S1015" s="2" t="s">
        <v>1509</v>
      </c>
      <c r="T1015" s="2" t="s">
        <v>59</v>
      </c>
      <c r="U1015" s="2" t="s">
        <v>1510</v>
      </c>
      <c r="V1015" s="4">
        <f>+VLOOKUP(U1015,'FBCJ Jul-Des 2025'!$G$10:$P$1302,8,0)</f>
        <v>70101114</v>
      </c>
      <c r="W1015" s="4" t="str">
        <f>+VLOOKUP(V1015,Sheet1!$A$2:$B$27,2,0)</f>
        <v>By Perbaikan &amp; Perawatan Perabot Material Pihak3</v>
      </c>
      <c r="X1015" s="4" t="str">
        <f>+VLOOKUP(U1015,'FBCJ Jul-Des 2025'!$G$10:$P$1302,9,0)</f>
        <v>R124D1EHFS</v>
      </c>
      <c r="Y1015" s="2" t="s">
        <v>43</v>
      </c>
      <c r="Z1015" s="2">
        <v>1793264</v>
      </c>
      <c r="AA1015" s="2">
        <v>20251120</v>
      </c>
      <c r="AB1015" s="3">
        <v>50000</v>
      </c>
    </row>
    <row r="1016" spans="3:28" x14ac:dyDescent="0.25">
      <c r="C1016" s="2">
        <v>10000001</v>
      </c>
      <c r="D1016" s="2" t="s">
        <v>1495</v>
      </c>
      <c r="F1016" s="2">
        <v>12009447</v>
      </c>
      <c r="H1016" s="2" t="s">
        <v>1495</v>
      </c>
      <c r="I1016" s="2" t="str">
        <f t="shared" si="15"/>
        <v>11</v>
      </c>
      <c r="J1016" s="2">
        <v>50</v>
      </c>
      <c r="K1016" s="3">
        <v>-543200</v>
      </c>
      <c r="L1016" s="2" t="s">
        <v>26</v>
      </c>
      <c r="M1016" s="3">
        <v>-543200</v>
      </c>
      <c r="N1016" s="2" t="s">
        <v>26</v>
      </c>
      <c r="R1016" s="2" t="s">
        <v>27</v>
      </c>
      <c r="S1016" s="2" t="s">
        <v>1511</v>
      </c>
      <c r="T1016" s="2" t="s">
        <v>274</v>
      </c>
      <c r="U1016" s="2" t="s">
        <v>1512</v>
      </c>
      <c r="V1016" s="4">
        <f>+VLOOKUP(U1016,'FBCJ Jul-Des 2025'!$G$10:$P$1302,8,0)</f>
        <v>70108100</v>
      </c>
      <c r="W1016" s="4" t="str">
        <f>+VLOOKUP(V1016,Sheet1!$A$2:$B$27,2,0)</f>
        <v>Biaya Peralatan Dan Perabot Kantor</v>
      </c>
      <c r="X1016" s="4" t="str">
        <f>+VLOOKUP(U1016,'FBCJ Jul-Des 2025'!$G$10:$P$1302,9,0)</f>
        <v>R124D1FRCO</v>
      </c>
      <c r="Y1016" s="2" t="s">
        <v>43</v>
      </c>
      <c r="Z1016" s="2">
        <v>1793264</v>
      </c>
      <c r="AA1016" s="2">
        <v>20251120</v>
      </c>
      <c r="AB1016" s="3">
        <v>543200</v>
      </c>
    </row>
    <row r="1017" spans="3:28" x14ac:dyDescent="0.25">
      <c r="C1017" s="2">
        <v>10000001</v>
      </c>
      <c r="D1017" s="2" t="s">
        <v>1495</v>
      </c>
      <c r="F1017" s="2">
        <v>12009448</v>
      </c>
      <c r="H1017" s="2" t="s">
        <v>1495</v>
      </c>
      <c r="I1017" s="2" t="str">
        <f t="shared" si="15"/>
        <v>11</v>
      </c>
      <c r="J1017" s="2">
        <v>50</v>
      </c>
      <c r="K1017" s="3">
        <v>-550000</v>
      </c>
      <c r="L1017" s="2" t="s">
        <v>26</v>
      </c>
      <c r="M1017" s="3">
        <v>-550000</v>
      </c>
      <c r="N1017" s="2" t="s">
        <v>26</v>
      </c>
      <c r="R1017" s="2" t="s">
        <v>27</v>
      </c>
      <c r="S1017" s="2" t="s">
        <v>1513</v>
      </c>
      <c r="T1017" s="2" t="s">
        <v>96</v>
      </c>
      <c r="U1017" s="2" t="s">
        <v>1514</v>
      </c>
      <c r="V1017" s="4">
        <f>+VLOOKUP(U1017,'FBCJ Jul-Des 2025'!$G$10:$P$1302,8,0)</f>
        <v>70106400</v>
      </c>
      <c r="W1017" s="4" t="str">
        <f>+VLOOKUP(V1017,Sheet1!$A$2:$B$27,2,0)</f>
        <v>Biaya Bahan Bakar</v>
      </c>
      <c r="X1017" s="4" t="str">
        <f>+VLOOKUP(U1017,'FBCJ Jul-Des 2025'!$G$10:$P$1302,9,0)</f>
        <v>R124D1HRGA</v>
      </c>
      <c r="Y1017" s="2" t="s">
        <v>43</v>
      </c>
      <c r="Z1017" s="2">
        <v>1793264</v>
      </c>
      <c r="AA1017" s="2">
        <v>20251120</v>
      </c>
      <c r="AB1017" s="3">
        <v>550000</v>
      </c>
    </row>
    <row r="1018" spans="3:28" x14ac:dyDescent="0.25">
      <c r="C1018" s="2">
        <v>10000001</v>
      </c>
      <c r="D1018" s="2" t="s">
        <v>1495</v>
      </c>
      <c r="F1018" s="2">
        <v>12009449</v>
      </c>
      <c r="H1018" s="2" t="s">
        <v>1495</v>
      </c>
      <c r="I1018" s="2" t="str">
        <f t="shared" si="15"/>
        <v>11</v>
      </c>
      <c r="J1018" s="2">
        <v>50</v>
      </c>
      <c r="K1018" s="3">
        <v>-450000</v>
      </c>
      <c r="L1018" s="2" t="s">
        <v>26</v>
      </c>
      <c r="M1018" s="3">
        <v>-450000</v>
      </c>
      <c r="N1018" s="2" t="s">
        <v>26</v>
      </c>
      <c r="R1018" s="2" t="s">
        <v>27</v>
      </c>
      <c r="S1018" s="2" t="s">
        <v>1513</v>
      </c>
      <c r="T1018" s="2" t="s">
        <v>67</v>
      </c>
      <c r="U1018" s="2" t="s">
        <v>98</v>
      </c>
      <c r="V1018" s="4">
        <f>+VLOOKUP(U1018,'FBCJ Jul-Des 2025'!$G$10:$P$1302,8,0)</f>
        <v>70106100</v>
      </c>
      <c r="W1018" s="4" t="str">
        <f>+VLOOKUP(V1018,Sheet1!$A$2:$B$27,2,0)</f>
        <v>Biaya Transportasi Lokal</v>
      </c>
      <c r="X1018" s="4" t="str">
        <f>+VLOOKUP(U1018,'FBCJ Jul-Des 2025'!$G$10:$P$1302,9,0)</f>
        <v>R124D1HRGA</v>
      </c>
      <c r="Y1018" s="2" t="s">
        <v>43</v>
      </c>
      <c r="Z1018" s="2">
        <v>1793264</v>
      </c>
      <c r="AA1018" s="2">
        <v>20251120</v>
      </c>
      <c r="AB1018" s="3">
        <v>450000</v>
      </c>
    </row>
    <row r="1019" spans="3:28" x14ac:dyDescent="0.25">
      <c r="C1019" s="2">
        <v>10000001</v>
      </c>
      <c r="D1019" s="2" t="s">
        <v>1495</v>
      </c>
      <c r="F1019" s="2">
        <v>12009450</v>
      </c>
      <c r="H1019" s="2" t="s">
        <v>1495</v>
      </c>
      <c r="I1019" s="2" t="str">
        <f t="shared" si="15"/>
        <v>11</v>
      </c>
      <c r="J1019" s="2">
        <v>50</v>
      </c>
      <c r="K1019" s="3">
        <v>-430000</v>
      </c>
      <c r="L1019" s="2" t="s">
        <v>26</v>
      </c>
      <c r="M1019" s="3">
        <v>-430000</v>
      </c>
      <c r="N1019" s="2" t="s">
        <v>26</v>
      </c>
      <c r="R1019" s="2" t="s">
        <v>27</v>
      </c>
      <c r="S1019" s="2" t="s">
        <v>1515</v>
      </c>
      <c r="T1019" s="2" t="s">
        <v>59</v>
      </c>
      <c r="U1019" s="2" t="s">
        <v>1516</v>
      </c>
      <c r="V1019" s="4">
        <f>+VLOOKUP(U1019,'FBCJ Jul-Des 2025'!$G$10:$P$1302,8,0)</f>
        <v>70101114</v>
      </c>
      <c r="W1019" s="4" t="str">
        <f>+VLOOKUP(V1019,Sheet1!$A$2:$B$27,2,0)</f>
        <v>By Perbaikan &amp; Perawatan Perabot Material Pihak3</v>
      </c>
      <c r="X1019" s="4" t="str">
        <f>+VLOOKUP(U1019,'FBCJ Jul-Des 2025'!$G$10:$P$1302,9,0)</f>
        <v>R124D1HRGA</v>
      </c>
      <c r="Y1019" s="2" t="s">
        <v>43</v>
      </c>
      <c r="Z1019" s="2">
        <v>1793264</v>
      </c>
      <c r="AA1019" s="2">
        <v>20251120</v>
      </c>
      <c r="AB1019" s="3">
        <v>430000</v>
      </c>
    </row>
    <row r="1020" spans="3:28" x14ac:dyDescent="0.25">
      <c r="C1020" s="2">
        <v>10000001</v>
      </c>
      <c r="D1020" s="2" t="s">
        <v>1495</v>
      </c>
      <c r="F1020" s="2">
        <v>12009451</v>
      </c>
      <c r="H1020" s="2" t="s">
        <v>1495</v>
      </c>
      <c r="I1020" s="2" t="str">
        <f t="shared" si="15"/>
        <v>11</v>
      </c>
      <c r="J1020" s="2">
        <v>50</v>
      </c>
      <c r="K1020" s="3">
        <v>-996100</v>
      </c>
      <c r="L1020" s="2" t="s">
        <v>26</v>
      </c>
      <c r="M1020" s="3">
        <v>-996100</v>
      </c>
      <c r="N1020" s="2" t="s">
        <v>26</v>
      </c>
      <c r="R1020" s="2" t="s">
        <v>27</v>
      </c>
      <c r="S1020" s="2" t="s">
        <v>1517</v>
      </c>
      <c r="T1020" s="2" t="s">
        <v>274</v>
      </c>
      <c r="U1020" s="2" t="s">
        <v>1518</v>
      </c>
      <c r="V1020" s="4">
        <f>+VLOOKUP(U1020,'FBCJ Jul-Des 2025'!$G$10:$P$1302,8,0)</f>
        <v>70108100</v>
      </c>
      <c r="W1020" s="4" t="str">
        <f>+VLOOKUP(V1020,Sheet1!$A$2:$B$27,2,0)</f>
        <v>Biaya Peralatan Dan Perabot Kantor</v>
      </c>
      <c r="X1020" s="4" t="str">
        <f>+VLOOKUP(U1020,'FBCJ Jul-Des 2025'!$G$10:$P$1302,9,0)</f>
        <v>R124D1HRGA</v>
      </c>
      <c r="Y1020" s="2" t="s">
        <v>43</v>
      </c>
      <c r="Z1020" s="2">
        <v>1793264</v>
      </c>
      <c r="AA1020" s="2">
        <v>20251120</v>
      </c>
      <c r="AB1020" s="3">
        <v>996100</v>
      </c>
    </row>
    <row r="1021" spans="3:28" x14ac:dyDescent="0.25">
      <c r="C1021" s="2">
        <v>10000001</v>
      </c>
      <c r="D1021" s="2" t="s">
        <v>1495</v>
      </c>
      <c r="F1021" s="2">
        <v>12009452</v>
      </c>
      <c r="H1021" s="2" t="s">
        <v>1495</v>
      </c>
      <c r="I1021" s="2" t="str">
        <f t="shared" si="15"/>
        <v>11</v>
      </c>
      <c r="J1021" s="2">
        <v>50</v>
      </c>
      <c r="K1021" s="3">
        <v>-208000</v>
      </c>
      <c r="L1021" s="2" t="s">
        <v>26</v>
      </c>
      <c r="M1021" s="3">
        <v>-208000</v>
      </c>
      <c r="N1021" s="2" t="s">
        <v>26</v>
      </c>
      <c r="R1021" s="2" t="s">
        <v>27</v>
      </c>
      <c r="S1021" s="2" t="s">
        <v>1519</v>
      </c>
      <c r="T1021" s="2" t="s">
        <v>129</v>
      </c>
      <c r="U1021" s="2" t="s">
        <v>1520</v>
      </c>
      <c r="V1021" s="4">
        <f>+VLOOKUP(U1021,'FBCJ Jul-Des 2025'!$G$10:$P$1302,8,0)</f>
        <v>70101102</v>
      </c>
      <c r="W1021" s="4" t="str">
        <f>+VLOOKUP(V1021,Sheet1!$A$2:$B$27,2,0)</f>
        <v>By Pemeliharaan BgnanPrasarana Material Pihak3</v>
      </c>
      <c r="X1021" s="4" t="str">
        <f>+VLOOKUP(U1021,'FBCJ Jul-Des 2025'!$G$10:$P$1302,9,0)</f>
        <v>R124STTRK</v>
      </c>
      <c r="Y1021" s="2" t="s">
        <v>43</v>
      </c>
      <c r="Z1021" s="2">
        <v>1793264</v>
      </c>
      <c r="AA1021" s="2">
        <v>20251120</v>
      </c>
      <c r="AB1021" s="3">
        <v>208000</v>
      </c>
    </row>
    <row r="1022" spans="3:28" x14ac:dyDescent="0.25">
      <c r="C1022" s="2">
        <v>10000001</v>
      </c>
      <c r="D1022" s="2" t="s">
        <v>1521</v>
      </c>
      <c r="F1022" s="2">
        <v>12009453</v>
      </c>
      <c r="H1022" s="2" t="s">
        <v>1521</v>
      </c>
      <c r="I1022" s="2" t="str">
        <f t="shared" si="15"/>
        <v>11</v>
      </c>
      <c r="J1022" s="2">
        <v>50</v>
      </c>
      <c r="K1022" s="3">
        <v>-50000</v>
      </c>
      <c r="L1022" s="2" t="s">
        <v>26</v>
      </c>
      <c r="M1022" s="3">
        <v>-50000</v>
      </c>
      <c r="N1022" s="2" t="s">
        <v>26</v>
      </c>
      <c r="R1022" s="2" t="s">
        <v>27</v>
      </c>
      <c r="S1022" s="2" t="s">
        <v>1522</v>
      </c>
      <c r="T1022" s="2" t="s">
        <v>334</v>
      </c>
      <c r="U1022" s="2" t="s">
        <v>1523</v>
      </c>
      <c r="V1022" s="4">
        <f>+VLOOKUP(U1022,'FBCJ Jul-Des 2025'!$G$10:$P$1302,8,0)</f>
        <v>70001110</v>
      </c>
      <c r="W1022" s="4" t="str">
        <f>+VLOOKUP(V1022,Sheet1!$A$2:$B$27,2,0)</f>
        <v>Biaya Ekspor lainnya</v>
      </c>
      <c r="X1022" s="4" t="str">
        <f>+VLOOKUP(U1022,'FBCJ Jul-Des 2025'!$G$10:$P$1302,9,0)</f>
        <v>P206D1SLSS</v>
      </c>
      <c r="Y1022" s="2" t="s">
        <v>43</v>
      </c>
      <c r="Z1022" s="2">
        <v>1793264</v>
      </c>
      <c r="AA1022" s="2">
        <v>20251121</v>
      </c>
      <c r="AB1022" s="3">
        <v>50000</v>
      </c>
    </row>
    <row r="1023" spans="3:28" x14ac:dyDescent="0.25">
      <c r="C1023" s="2">
        <v>10000001</v>
      </c>
      <c r="D1023" s="2" t="s">
        <v>1521</v>
      </c>
      <c r="F1023" s="2">
        <v>12009454</v>
      </c>
      <c r="H1023" s="2" t="s">
        <v>1521</v>
      </c>
      <c r="I1023" s="2" t="str">
        <f t="shared" si="15"/>
        <v>11</v>
      </c>
      <c r="J1023" s="2">
        <v>50</v>
      </c>
      <c r="K1023" s="3">
        <v>-50000</v>
      </c>
      <c r="L1023" s="2" t="s">
        <v>26</v>
      </c>
      <c r="M1023" s="3">
        <v>-50000</v>
      </c>
      <c r="N1023" s="2" t="s">
        <v>26</v>
      </c>
      <c r="R1023" s="2" t="s">
        <v>27</v>
      </c>
      <c r="S1023" s="2" t="s">
        <v>1524</v>
      </c>
      <c r="T1023" s="2" t="s">
        <v>334</v>
      </c>
      <c r="U1023" s="2" t="s">
        <v>1525</v>
      </c>
      <c r="V1023" s="4">
        <f>+VLOOKUP(U1023,'FBCJ Jul-Des 2025'!$G$10:$P$1302,8,0)</f>
        <v>70001110</v>
      </c>
      <c r="W1023" s="4" t="str">
        <f>+VLOOKUP(V1023,Sheet1!$A$2:$B$27,2,0)</f>
        <v>Biaya Ekspor lainnya</v>
      </c>
      <c r="X1023" s="4" t="str">
        <f>+VLOOKUP(U1023,'FBCJ Jul-Des 2025'!$G$10:$P$1302,9,0)</f>
        <v>P206D1SLSC</v>
      </c>
      <c r="Y1023" s="2" t="s">
        <v>43</v>
      </c>
      <c r="Z1023" s="2">
        <v>1793264</v>
      </c>
      <c r="AA1023" s="2">
        <v>20251121</v>
      </c>
      <c r="AB1023" s="3">
        <v>50000</v>
      </c>
    </row>
    <row r="1024" spans="3:28" x14ac:dyDescent="0.25">
      <c r="C1024" s="2">
        <v>10000001</v>
      </c>
      <c r="D1024" s="2" t="s">
        <v>1521</v>
      </c>
      <c r="F1024" s="2">
        <v>12009455</v>
      </c>
      <c r="H1024" s="2" t="s">
        <v>1521</v>
      </c>
      <c r="I1024" s="2" t="str">
        <f t="shared" si="15"/>
        <v>11</v>
      </c>
      <c r="J1024" s="2">
        <v>50</v>
      </c>
      <c r="K1024" s="3">
        <v>-50000</v>
      </c>
      <c r="L1024" s="2" t="s">
        <v>26</v>
      </c>
      <c r="M1024" s="3">
        <v>-50000</v>
      </c>
      <c r="N1024" s="2" t="s">
        <v>26</v>
      </c>
      <c r="R1024" s="2" t="s">
        <v>27</v>
      </c>
      <c r="S1024" s="2" t="s">
        <v>1524</v>
      </c>
      <c r="T1024" s="2" t="s">
        <v>334</v>
      </c>
      <c r="U1024" s="2" t="s">
        <v>1526</v>
      </c>
      <c r="V1024" s="4">
        <f>+VLOOKUP(U1024,'FBCJ Jul-Des 2025'!$G$10:$P$1302,8,0)</f>
        <v>70001110</v>
      </c>
      <c r="W1024" s="4" t="str">
        <f>+VLOOKUP(V1024,Sheet1!$A$2:$B$27,2,0)</f>
        <v>Biaya Ekspor lainnya</v>
      </c>
      <c r="X1024" s="4" t="str">
        <f>+VLOOKUP(U1024,'FBCJ Jul-Des 2025'!$G$10:$P$1302,9,0)</f>
        <v>P206D1SLSS</v>
      </c>
      <c r="Y1024" s="2" t="s">
        <v>43</v>
      </c>
      <c r="Z1024" s="2">
        <v>1793264</v>
      </c>
      <c r="AA1024" s="2">
        <v>20251121</v>
      </c>
      <c r="AB1024" s="3">
        <v>50000</v>
      </c>
    </row>
    <row r="1025" spans="3:28" x14ac:dyDescent="0.25">
      <c r="C1025" s="2">
        <v>10000001</v>
      </c>
      <c r="D1025" s="2" t="s">
        <v>1521</v>
      </c>
      <c r="F1025" s="2">
        <v>12009456</v>
      </c>
      <c r="H1025" s="2" t="s">
        <v>1521</v>
      </c>
      <c r="I1025" s="2" t="str">
        <f t="shared" si="15"/>
        <v>11</v>
      </c>
      <c r="J1025" s="2">
        <v>50</v>
      </c>
      <c r="K1025" s="3">
        <v>-50000</v>
      </c>
      <c r="L1025" s="2" t="s">
        <v>26</v>
      </c>
      <c r="M1025" s="3">
        <v>-50000</v>
      </c>
      <c r="N1025" s="2" t="s">
        <v>26</v>
      </c>
      <c r="R1025" s="2" t="s">
        <v>27</v>
      </c>
      <c r="S1025" s="2" t="s">
        <v>1524</v>
      </c>
      <c r="T1025" s="2" t="s">
        <v>334</v>
      </c>
      <c r="U1025" s="2" t="s">
        <v>1527</v>
      </c>
      <c r="V1025" s="4">
        <f>+VLOOKUP(U1025,'FBCJ Jul-Des 2025'!$G$10:$P$1302,8,0)</f>
        <v>70001110</v>
      </c>
      <c r="W1025" s="4" t="str">
        <f>+VLOOKUP(V1025,Sheet1!$A$2:$B$27,2,0)</f>
        <v>Biaya Ekspor lainnya</v>
      </c>
      <c r="X1025" s="4" t="str">
        <f>+VLOOKUP(U1025,'FBCJ Jul-Des 2025'!$G$10:$P$1302,9,0)</f>
        <v>P206D1SLSS</v>
      </c>
      <c r="Y1025" s="2" t="s">
        <v>43</v>
      </c>
      <c r="Z1025" s="2">
        <v>1793264</v>
      </c>
      <c r="AA1025" s="2">
        <v>20251121</v>
      </c>
      <c r="AB1025" s="3">
        <v>50000</v>
      </c>
    </row>
    <row r="1026" spans="3:28" x14ac:dyDescent="0.25">
      <c r="C1026" s="2">
        <v>10000001</v>
      </c>
      <c r="D1026" s="2" t="s">
        <v>1521</v>
      </c>
      <c r="F1026" s="2">
        <v>12009457</v>
      </c>
      <c r="H1026" s="2" t="s">
        <v>1521</v>
      </c>
      <c r="I1026" s="2" t="str">
        <f t="shared" si="15"/>
        <v>11</v>
      </c>
      <c r="J1026" s="2">
        <v>50</v>
      </c>
      <c r="K1026" s="3">
        <v>-50000</v>
      </c>
      <c r="L1026" s="2" t="s">
        <v>26</v>
      </c>
      <c r="M1026" s="3">
        <v>-50000</v>
      </c>
      <c r="N1026" s="2" t="s">
        <v>26</v>
      </c>
      <c r="R1026" s="2" t="s">
        <v>27</v>
      </c>
      <c r="S1026" s="2" t="s">
        <v>1524</v>
      </c>
      <c r="T1026" s="2" t="s">
        <v>334</v>
      </c>
      <c r="U1026" s="2" t="s">
        <v>1528</v>
      </c>
      <c r="V1026" s="4">
        <f>+VLOOKUP(U1026,'FBCJ Jul-Des 2025'!$G$10:$P$1302,8,0)</f>
        <v>70001110</v>
      </c>
      <c r="W1026" s="4" t="str">
        <f>+VLOOKUP(V1026,Sheet1!$A$2:$B$27,2,0)</f>
        <v>Biaya Ekspor lainnya</v>
      </c>
      <c r="X1026" s="4" t="str">
        <f>+VLOOKUP(U1026,'FBCJ Jul-Des 2025'!$G$10:$P$1302,9,0)</f>
        <v>P206D1SLSS</v>
      </c>
      <c r="Y1026" s="2" t="s">
        <v>43</v>
      </c>
      <c r="Z1026" s="2">
        <v>1793264</v>
      </c>
      <c r="AA1026" s="2">
        <v>20251121</v>
      </c>
      <c r="AB1026" s="3">
        <v>50000</v>
      </c>
    </row>
    <row r="1027" spans="3:28" x14ac:dyDescent="0.25">
      <c r="C1027" s="2">
        <v>10000001</v>
      </c>
      <c r="D1027" s="2" t="s">
        <v>1521</v>
      </c>
      <c r="F1027" s="2">
        <v>12009458</v>
      </c>
      <c r="H1027" s="2" t="s">
        <v>1521</v>
      </c>
      <c r="I1027" s="2" t="str">
        <f t="shared" si="15"/>
        <v>11</v>
      </c>
      <c r="J1027" s="2">
        <v>50</v>
      </c>
      <c r="K1027" s="3">
        <v>-50000</v>
      </c>
      <c r="L1027" s="2" t="s">
        <v>26</v>
      </c>
      <c r="M1027" s="3">
        <v>-50000</v>
      </c>
      <c r="N1027" s="2" t="s">
        <v>26</v>
      </c>
      <c r="R1027" s="2" t="s">
        <v>27</v>
      </c>
      <c r="S1027" s="2" t="s">
        <v>1524</v>
      </c>
      <c r="T1027" s="2" t="s">
        <v>334</v>
      </c>
      <c r="U1027" s="2" t="s">
        <v>1529</v>
      </c>
      <c r="V1027" s="4">
        <f>+VLOOKUP(U1027,'FBCJ Jul-Des 2025'!$G$10:$P$1302,8,0)</f>
        <v>70001110</v>
      </c>
      <c r="W1027" s="4" t="str">
        <f>+VLOOKUP(V1027,Sheet1!$A$2:$B$27,2,0)</f>
        <v>Biaya Ekspor lainnya</v>
      </c>
      <c r="X1027" s="4" t="str">
        <f>+VLOOKUP(U1027,'FBCJ Jul-Des 2025'!$G$10:$P$1302,9,0)</f>
        <v>P206D1SLSS</v>
      </c>
      <c r="Y1027" s="2" t="s">
        <v>43</v>
      </c>
      <c r="Z1027" s="2">
        <v>1793264</v>
      </c>
      <c r="AA1027" s="2">
        <v>20251121</v>
      </c>
      <c r="AB1027" s="3">
        <v>50000</v>
      </c>
    </row>
    <row r="1028" spans="3:28" x14ac:dyDescent="0.25">
      <c r="C1028" s="2">
        <v>10000001</v>
      </c>
      <c r="D1028" s="2" t="s">
        <v>1521</v>
      </c>
      <c r="F1028" s="2">
        <v>12009459</v>
      </c>
      <c r="H1028" s="2" t="s">
        <v>1521</v>
      </c>
      <c r="I1028" s="2" t="str">
        <f t="shared" si="15"/>
        <v>11</v>
      </c>
      <c r="J1028" s="2">
        <v>50</v>
      </c>
      <c r="K1028" s="3">
        <v>-50000</v>
      </c>
      <c r="L1028" s="2" t="s">
        <v>26</v>
      </c>
      <c r="M1028" s="3">
        <v>-50000</v>
      </c>
      <c r="N1028" s="2" t="s">
        <v>26</v>
      </c>
      <c r="R1028" s="2" t="s">
        <v>27</v>
      </c>
      <c r="S1028" s="2" t="s">
        <v>1530</v>
      </c>
      <c r="T1028" s="2" t="s">
        <v>334</v>
      </c>
      <c r="U1028" s="2" t="s">
        <v>1531</v>
      </c>
      <c r="V1028" s="4">
        <f>+VLOOKUP(U1028,'FBCJ Jul-Des 2025'!$G$10:$P$1302,8,0)</f>
        <v>70001110</v>
      </c>
      <c r="W1028" s="4" t="str">
        <f>+VLOOKUP(V1028,Sheet1!$A$2:$B$27,2,0)</f>
        <v>Biaya Ekspor lainnya</v>
      </c>
      <c r="X1028" s="4" t="str">
        <f>+VLOOKUP(U1028,'FBCJ Jul-Des 2025'!$G$10:$P$1302,9,0)</f>
        <v>P206D1SLSS</v>
      </c>
      <c r="Y1028" s="2" t="s">
        <v>43</v>
      </c>
      <c r="Z1028" s="2">
        <v>1793264</v>
      </c>
      <c r="AA1028" s="2">
        <v>20251121</v>
      </c>
      <c r="AB1028" s="3">
        <v>50000</v>
      </c>
    </row>
    <row r="1029" spans="3:28" x14ac:dyDescent="0.25">
      <c r="C1029" s="2">
        <v>10000001</v>
      </c>
      <c r="D1029" s="2" t="s">
        <v>1521</v>
      </c>
      <c r="F1029" s="2">
        <v>12009460</v>
      </c>
      <c r="H1029" s="2" t="s">
        <v>1521</v>
      </c>
      <c r="I1029" s="2" t="str">
        <f t="shared" si="15"/>
        <v>11</v>
      </c>
      <c r="J1029" s="2">
        <v>50</v>
      </c>
      <c r="K1029" s="3">
        <v>-50000</v>
      </c>
      <c r="L1029" s="2" t="s">
        <v>26</v>
      </c>
      <c r="M1029" s="3">
        <v>-50000</v>
      </c>
      <c r="N1029" s="2" t="s">
        <v>26</v>
      </c>
      <c r="R1029" s="2" t="s">
        <v>27</v>
      </c>
      <c r="S1029" s="2" t="s">
        <v>1530</v>
      </c>
      <c r="T1029" s="2" t="s">
        <v>334</v>
      </c>
      <c r="U1029" s="2" t="s">
        <v>1532</v>
      </c>
      <c r="V1029" s="4">
        <f>+VLOOKUP(U1029,'FBCJ Jul-Des 2025'!$G$10:$P$1302,8,0)</f>
        <v>70001110</v>
      </c>
      <c r="W1029" s="4" t="str">
        <f>+VLOOKUP(V1029,Sheet1!$A$2:$B$27,2,0)</f>
        <v>Biaya Ekspor lainnya</v>
      </c>
      <c r="X1029" s="4" t="str">
        <f>+VLOOKUP(U1029,'FBCJ Jul-Des 2025'!$G$10:$P$1302,9,0)</f>
        <v>P206D1SLSS</v>
      </c>
      <c r="Y1029" s="2" t="s">
        <v>43</v>
      </c>
      <c r="Z1029" s="2">
        <v>1793264</v>
      </c>
      <c r="AA1029" s="2">
        <v>20251121</v>
      </c>
      <c r="AB1029" s="3">
        <v>50000</v>
      </c>
    </row>
    <row r="1030" spans="3:28" x14ac:dyDescent="0.25">
      <c r="C1030" s="2">
        <v>10000001</v>
      </c>
      <c r="D1030" s="2" t="s">
        <v>1521</v>
      </c>
      <c r="F1030" s="2">
        <v>12009461</v>
      </c>
      <c r="H1030" s="2" t="s">
        <v>1521</v>
      </c>
      <c r="I1030" s="2" t="str">
        <f t="shared" si="15"/>
        <v>11</v>
      </c>
      <c r="J1030" s="2">
        <v>50</v>
      </c>
      <c r="K1030" s="3">
        <v>-50000</v>
      </c>
      <c r="L1030" s="2" t="s">
        <v>26</v>
      </c>
      <c r="M1030" s="3">
        <v>-50000</v>
      </c>
      <c r="N1030" s="2" t="s">
        <v>26</v>
      </c>
      <c r="R1030" s="2" t="s">
        <v>27</v>
      </c>
      <c r="S1030" s="2" t="s">
        <v>1530</v>
      </c>
      <c r="T1030" s="2" t="s">
        <v>334</v>
      </c>
      <c r="U1030" s="2" t="s">
        <v>1533</v>
      </c>
      <c r="V1030" s="4">
        <f>+VLOOKUP(U1030,'FBCJ Jul-Des 2025'!$G$10:$P$1302,8,0)</f>
        <v>70001110</v>
      </c>
      <c r="W1030" s="4" t="str">
        <f>+VLOOKUP(V1030,Sheet1!$A$2:$B$27,2,0)</f>
        <v>Biaya Ekspor lainnya</v>
      </c>
      <c r="X1030" s="4" t="str">
        <f>+VLOOKUP(U1030,'FBCJ Jul-Des 2025'!$G$10:$P$1302,9,0)</f>
        <v>P206D1SLSS</v>
      </c>
      <c r="Y1030" s="2" t="s">
        <v>43</v>
      </c>
      <c r="Z1030" s="2">
        <v>1793264</v>
      </c>
      <c r="AA1030" s="2">
        <v>20251121</v>
      </c>
      <c r="AB1030" s="3">
        <v>50000</v>
      </c>
    </row>
    <row r="1031" spans="3:28" x14ac:dyDescent="0.25">
      <c r="C1031" s="2">
        <v>10000001</v>
      </c>
      <c r="D1031" s="2" t="s">
        <v>1521</v>
      </c>
      <c r="F1031" s="2">
        <v>12009462</v>
      </c>
      <c r="H1031" s="2" t="s">
        <v>1521</v>
      </c>
      <c r="I1031" s="2" t="str">
        <f t="shared" si="15"/>
        <v>11</v>
      </c>
      <c r="J1031" s="2">
        <v>50</v>
      </c>
      <c r="K1031" s="3">
        <v>-50000</v>
      </c>
      <c r="L1031" s="2" t="s">
        <v>26</v>
      </c>
      <c r="M1031" s="3">
        <v>-50000</v>
      </c>
      <c r="N1031" s="2" t="s">
        <v>26</v>
      </c>
      <c r="R1031" s="2" t="s">
        <v>27</v>
      </c>
      <c r="S1031" s="2" t="s">
        <v>1530</v>
      </c>
      <c r="T1031" s="2" t="s">
        <v>334</v>
      </c>
      <c r="U1031" s="2" t="s">
        <v>1534</v>
      </c>
      <c r="V1031" s="4">
        <f>+VLOOKUP(U1031,'FBCJ Jul-Des 2025'!$G$10:$P$1302,8,0)</f>
        <v>70001110</v>
      </c>
      <c r="W1031" s="4" t="str">
        <f>+VLOOKUP(V1031,Sheet1!$A$2:$B$27,2,0)</f>
        <v>Biaya Ekspor lainnya</v>
      </c>
      <c r="X1031" s="4" t="str">
        <f>+VLOOKUP(U1031,'FBCJ Jul-Des 2025'!$G$10:$P$1302,9,0)</f>
        <v>P206D1SLSC</v>
      </c>
      <c r="Y1031" s="2" t="s">
        <v>43</v>
      </c>
      <c r="Z1031" s="2">
        <v>1793264</v>
      </c>
      <c r="AA1031" s="2">
        <v>20251121</v>
      </c>
      <c r="AB1031" s="3">
        <v>50000</v>
      </c>
    </row>
    <row r="1032" spans="3:28" x14ac:dyDescent="0.25">
      <c r="C1032" s="2">
        <v>10000001</v>
      </c>
      <c r="D1032" s="2" t="s">
        <v>1521</v>
      </c>
      <c r="F1032" s="2">
        <v>12009463</v>
      </c>
      <c r="H1032" s="2" t="s">
        <v>1521</v>
      </c>
      <c r="I1032" s="2" t="str">
        <f t="shared" ref="I1032:I1095" si="16">+MID(H1032,4,2)</f>
        <v>11</v>
      </c>
      <c r="J1032" s="2">
        <v>50</v>
      </c>
      <c r="K1032" s="3">
        <v>-50000</v>
      </c>
      <c r="L1032" s="2" t="s">
        <v>26</v>
      </c>
      <c r="M1032" s="3">
        <v>-50000</v>
      </c>
      <c r="N1032" s="2" t="s">
        <v>26</v>
      </c>
      <c r="R1032" s="2" t="s">
        <v>27</v>
      </c>
      <c r="S1032" s="2" t="s">
        <v>1530</v>
      </c>
      <c r="T1032" s="2" t="s">
        <v>334</v>
      </c>
      <c r="U1032" s="2" t="s">
        <v>1535</v>
      </c>
      <c r="V1032" s="4">
        <f>+VLOOKUP(U1032,'FBCJ Jul-Des 2025'!$G$10:$P$1302,8,0)</f>
        <v>70001110</v>
      </c>
      <c r="W1032" s="4" t="str">
        <f>+VLOOKUP(V1032,Sheet1!$A$2:$B$27,2,0)</f>
        <v>Biaya Ekspor lainnya</v>
      </c>
      <c r="X1032" s="4" t="str">
        <f>+VLOOKUP(U1032,'FBCJ Jul-Des 2025'!$G$10:$P$1302,9,0)</f>
        <v>P206D1SLSS</v>
      </c>
      <c r="Y1032" s="2" t="s">
        <v>43</v>
      </c>
      <c r="Z1032" s="2">
        <v>1793264</v>
      </c>
      <c r="AA1032" s="2">
        <v>20251121</v>
      </c>
      <c r="AB1032" s="3">
        <v>50000</v>
      </c>
    </row>
    <row r="1033" spans="3:28" x14ac:dyDescent="0.25">
      <c r="C1033" s="2">
        <v>10000001</v>
      </c>
      <c r="D1033" s="2" t="s">
        <v>1521</v>
      </c>
      <c r="F1033" s="2">
        <v>12009464</v>
      </c>
      <c r="H1033" s="2" t="s">
        <v>1521</v>
      </c>
      <c r="I1033" s="2" t="str">
        <f t="shared" si="16"/>
        <v>11</v>
      </c>
      <c r="J1033" s="2">
        <v>50</v>
      </c>
      <c r="K1033" s="3">
        <v>-50000</v>
      </c>
      <c r="L1033" s="2" t="s">
        <v>26</v>
      </c>
      <c r="M1033" s="3">
        <v>-50000</v>
      </c>
      <c r="N1033" s="2" t="s">
        <v>26</v>
      </c>
      <c r="R1033" s="2" t="s">
        <v>27</v>
      </c>
      <c r="S1033" s="2" t="s">
        <v>1530</v>
      </c>
      <c r="T1033" s="2" t="s">
        <v>334</v>
      </c>
      <c r="U1033" s="2" t="s">
        <v>1536</v>
      </c>
      <c r="V1033" s="4">
        <f>+VLOOKUP(U1033,'FBCJ Jul-Des 2025'!$G$10:$P$1302,8,0)</f>
        <v>70001110</v>
      </c>
      <c r="W1033" s="4" t="str">
        <f>+VLOOKUP(V1033,Sheet1!$A$2:$B$27,2,0)</f>
        <v>Biaya Ekspor lainnya</v>
      </c>
      <c r="X1033" s="4" t="str">
        <f>+VLOOKUP(U1033,'FBCJ Jul-Des 2025'!$G$10:$P$1302,9,0)</f>
        <v>P206D1SLSS</v>
      </c>
      <c r="Y1033" s="2" t="s">
        <v>43</v>
      </c>
      <c r="Z1033" s="2">
        <v>1793264</v>
      </c>
      <c r="AA1033" s="2">
        <v>20251121</v>
      </c>
      <c r="AB1033" s="3">
        <v>50000</v>
      </c>
    </row>
    <row r="1034" spans="3:28" x14ac:dyDescent="0.25">
      <c r="C1034" s="2">
        <v>10000001</v>
      </c>
      <c r="D1034" s="2" t="s">
        <v>1521</v>
      </c>
      <c r="F1034" s="2">
        <v>12009465</v>
      </c>
      <c r="H1034" s="2" t="s">
        <v>1521</v>
      </c>
      <c r="I1034" s="2" t="str">
        <f t="shared" si="16"/>
        <v>11</v>
      </c>
      <c r="J1034" s="2">
        <v>50</v>
      </c>
      <c r="K1034" s="3">
        <v>-50000</v>
      </c>
      <c r="L1034" s="2" t="s">
        <v>26</v>
      </c>
      <c r="M1034" s="3">
        <v>-50000</v>
      </c>
      <c r="N1034" s="2" t="s">
        <v>26</v>
      </c>
      <c r="R1034" s="2" t="s">
        <v>27</v>
      </c>
      <c r="S1034" s="2" t="s">
        <v>1530</v>
      </c>
      <c r="T1034" s="2" t="s">
        <v>334</v>
      </c>
      <c r="U1034" s="2" t="s">
        <v>1535</v>
      </c>
      <c r="V1034" s="4">
        <f>+VLOOKUP(U1034,'FBCJ Jul-Des 2025'!$G$10:$P$1302,8,0)</f>
        <v>70001110</v>
      </c>
      <c r="W1034" s="4" t="str">
        <f>+VLOOKUP(V1034,Sheet1!$A$2:$B$27,2,0)</f>
        <v>Biaya Ekspor lainnya</v>
      </c>
      <c r="X1034" s="4" t="str">
        <f>+VLOOKUP(U1034,'FBCJ Jul-Des 2025'!$G$10:$P$1302,9,0)</f>
        <v>P206D1SLSS</v>
      </c>
      <c r="Y1034" s="2" t="s">
        <v>43</v>
      </c>
      <c r="Z1034" s="2">
        <v>1793264</v>
      </c>
      <c r="AA1034" s="2">
        <v>20251121</v>
      </c>
      <c r="AB1034" s="3">
        <v>50000</v>
      </c>
    </row>
    <row r="1035" spans="3:28" x14ac:dyDescent="0.25">
      <c r="C1035" s="2">
        <v>10000001</v>
      </c>
      <c r="D1035" s="2" t="s">
        <v>1537</v>
      </c>
      <c r="F1035" s="2">
        <v>12009466</v>
      </c>
      <c r="H1035" s="2" t="s">
        <v>1537</v>
      </c>
      <c r="I1035" s="2" t="str">
        <f t="shared" si="16"/>
        <v>11</v>
      </c>
      <c r="J1035" s="2">
        <v>50</v>
      </c>
      <c r="K1035" s="3">
        <v>-50000</v>
      </c>
      <c r="L1035" s="2" t="s">
        <v>26</v>
      </c>
      <c r="M1035" s="3">
        <v>-50000</v>
      </c>
      <c r="N1035" s="2" t="s">
        <v>26</v>
      </c>
      <c r="R1035" s="2" t="s">
        <v>27</v>
      </c>
      <c r="S1035" s="2" t="s">
        <v>1538</v>
      </c>
      <c r="T1035" s="2" t="s">
        <v>334</v>
      </c>
      <c r="U1035" s="2" t="s">
        <v>1539</v>
      </c>
      <c r="V1035" s="4">
        <f>+VLOOKUP(U1035,'FBCJ Jul-Des 2025'!$G$10:$P$1302,8,0)</f>
        <v>70001110</v>
      </c>
      <c r="W1035" s="4" t="str">
        <f>+VLOOKUP(V1035,Sheet1!$A$2:$B$27,2,0)</f>
        <v>Biaya Ekspor lainnya</v>
      </c>
      <c r="X1035" s="4" t="str">
        <f>+VLOOKUP(U1035,'FBCJ Jul-Des 2025'!$G$10:$P$1302,9,0)</f>
        <v>P206D1SLSS</v>
      </c>
      <c r="Y1035" s="2" t="s">
        <v>43</v>
      </c>
      <c r="Z1035" s="2">
        <v>1793264</v>
      </c>
      <c r="AA1035" s="2">
        <v>20251124</v>
      </c>
      <c r="AB1035" s="3">
        <v>50000</v>
      </c>
    </row>
    <row r="1036" spans="3:28" x14ac:dyDescent="0.25">
      <c r="C1036" s="2">
        <v>10000001</v>
      </c>
      <c r="D1036" s="2" t="s">
        <v>1537</v>
      </c>
      <c r="F1036" s="2">
        <v>12009467</v>
      </c>
      <c r="H1036" s="2" t="s">
        <v>1537</v>
      </c>
      <c r="I1036" s="2" t="str">
        <f t="shared" si="16"/>
        <v>11</v>
      </c>
      <c r="J1036" s="2">
        <v>50</v>
      </c>
      <c r="K1036" s="3">
        <v>-50000</v>
      </c>
      <c r="L1036" s="2" t="s">
        <v>26</v>
      </c>
      <c r="M1036" s="3">
        <v>-50000</v>
      </c>
      <c r="N1036" s="2" t="s">
        <v>26</v>
      </c>
      <c r="R1036" s="2" t="s">
        <v>27</v>
      </c>
      <c r="S1036" s="2" t="s">
        <v>1538</v>
      </c>
      <c r="T1036" s="2" t="s">
        <v>334</v>
      </c>
      <c r="U1036" s="2" t="s">
        <v>1540</v>
      </c>
      <c r="V1036" s="4">
        <f>+VLOOKUP(U1036,'FBCJ Jul-Des 2025'!$G$10:$P$1302,8,0)</f>
        <v>70001110</v>
      </c>
      <c r="W1036" s="4" t="str">
        <f>+VLOOKUP(V1036,Sheet1!$A$2:$B$27,2,0)</f>
        <v>Biaya Ekspor lainnya</v>
      </c>
      <c r="X1036" s="4" t="str">
        <f>+VLOOKUP(U1036,'FBCJ Jul-Des 2025'!$G$10:$P$1302,9,0)</f>
        <v>P206D1SLSC</v>
      </c>
      <c r="Y1036" s="2" t="s">
        <v>43</v>
      </c>
      <c r="Z1036" s="2">
        <v>1793264</v>
      </c>
      <c r="AA1036" s="2">
        <v>20251124</v>
      </c>
      <c r="AB1036" s="3">
        <v>50000</v>
      </c>
    </row>
    <row r="1037" spans="3:28" x14ac:dyDescent="0.25">
      <c r="C1037" s="2">
        <v>10000001</v>
      </c>
      <c r="D1037" s="2" t="s">
        <v>1537</v>
      </c>
      <c r="F1037" s="2">
        <v>12009468</v>
      </c>
      <c r="H1037" s="2" t="s">
        <v>1537</v>
      </c>
      <c r="I1037" s="2" t="str">
        <f t="shared" si="16"/>
        <v>11</v>
      </c>
      <c r="J1037" s="2">
        <v>50</v>
      </c>
      <c r="K1037" s="3">
        <v>-50000</v>
      </c>
      <c r="L1037" s="2" t="s">
        <v>26</v>
      </c>
      <c r="M1037" s="3">
        <v>-50000</v>
      </c>
      <c r="N1037" s="2" t="s">
        <v>26</v>
      </c>
      <c r="R1037" s="2" t="s">
        <v>27</v>
      </c>
      <c r="S1037" s="2" t="s">
        <v>1538</v>
      </c>
      <c r="T1037" s="2" t="s">
        <v>334</v>
      </c>
      <c r="U1037" s="2" t="s">
        <v>1541</v>
      </c>
      <c r="V1037" s="4">
        <f>+VLOOKUP(U1037,'FBCJ Jul-Des 2025'!$G$10:$P$1302,8,0)</f>
        <v>70001110</v>
      </c>
      <c r="W1037" s="4" t="str">
        <f>+VLOOKUP(V1037,Sheet1!$A$2:$B$27,2,0)</f>
        <v>Biaya Ekspor lainnya</v>
      </c>
      <c r="X1037" s="4" t="str">
        <f>+VLOOKUP(U1037,'FBCJ Jul-Des 2025'!$G$10:$P$1302,9,0)</f>
        <v>P206D1SLSS</v>
      </c>
      <c r="Y1037" s="2" t="s">
        <v>43</v>
      </c>
      <c r="Z1037" s="2">
        <v>1793264</v>
      </c>
      <c r="AA1037" s="2">
        <v>20251124</v>
      </c>
      <c r="AB1037" s="3">
        <v>50000</v>
      </c>
    </row>
    <row r="1038" spans="3:28" x14ac:dyDescent="0.25">
      <c r="C1038" s="2">
        <v>10000001</v>
      </c>
      <c r="D1038" s="2" t="s">
        <v>1537</v>
      </c>
      <c r="F1038" s="2">
        <v>12009469</v>
      </c>
      <c r="H1038" s="2" t="s">
        <v>1537</v>
      </c>
      <c r="I1038" s="2" t="str">
        <f t="shared" si="16"/>
        <v>11</v>
      </c>
      <c r="J1038" s="2">
        <v>50</v>
      </c>
      <c r="K1038" s="3">
        <v>-50000</v>
      </c>
      <c r="L1038" s="2" t="s">
        <v>26</v>
      </c>
      <c r="M1038" s="3">
        <v>-50000</v>
      </c>
      <c r="N1038" s="2" t="s">
        <v>26</v>
      </c>
      <c r="R1038" s="2" t="s">
        <v>27</v>
      </c>
      <c r="S1038" s="2" t="s">
        <v>1538</v>
      </c>
      <c r="T1038" s="2" t="s">
        <v>334</v>
      </c>
      <c r="U1038" s="2" t="s">
        <v>1542</v>
      </c>
      <c r="V1038" s="4">
        <f>+VLOOKUP(U1038,'FBCJ Jul-Des 2025'!$G$10:$P$1302,8,0)</f>
        <v>70001110</v>
      </c>
      <c r="W1038" s="4" t="str">
        <f>+VLOOKUP(V1038,Sheet1!$A$2:$B$27,2,0)</f>
        <v>Biaya Ekspor lainnya</v>
      </c>
      <c r="X1038" s="4" t="str">
        <f>+VLOOKUP(U1038,'FBCJ Jul-Des 2025'!$G$10:$P$1302,9,0)</f>
        <v>P206D1SLSS</v>
      </c>
      <c r="Y1038" s="2" t="s">
        <v>43</v>
      </c>
      <c r="Z1038" s="2">
        <v>1793264</v>
      </c>
      <c r="AA1038" s="2">
        <v>20251124</v>
      </c>
      <c r="AB1038" s="3">
        <v>50000</v>
      </c>
    </row>
    <row r="1039" spans="3:28" x14ac:dyDescent="0.25">
      <c r="C1039" s="2">
        <v>10000001</v>
      </c>
      <c r="D1039" s="2" t="s">
        <v>1537</v>
      </c>
      <c r="F1039" s="2">
        <v>12009470</v>
      </c>
      <c r="H1039" s="2" t="s">
        <v>1537</v>
      </c>
      <c r="I1039" s="2" t="str">
        <f t="shared" si="16"/>
        <v>11</v>
      </c>
      <c r="J1039" s="2">
        <v>50</v>
      </c>
      <c r="K1039" s="3">
        <v>-50000</v>
      </c>
      <c r="L1039" s="2" t="s">
        <v>26</v>
      </c>
      <c r="M1039" s="3">
        <v>-50000</v>
      </c>
      <c r="N1039" s="2" t="s">
        <v>26</v>
      </c>
      <c r="R1039" s="2" t="s">
        <v>27</v>
      </c>
      <c r="S1039" s="2" t="s">
        <v>1538</v>
      </c>
      <c r="T1039" s="2" t="s">
        <v>334</v>
      </c>
      <c r="U1039" s="2" t="s">
        <v>1543</v>
      </c>
      <c r="V1039" s="4">
        <f>+VLOOKUP(U1039,'FBCJ Jul-Des 2025'!$G$10:$P$1302,8,0)</f>
        <v>70001110</v>
      </c>
      <c r="W1039" s="4" t="str">
        <f>+VLOOKUP(V1039,Sheet1!$A$2:$B$27,2,0)</f>
        <v>Biaya Ekspor lainnya</v>
      </c>
      <c r="X1039" s="4" t="str">
        <f>+VLOOKUP(U1039,'FBCJ Jul-Des 2025'!$G$10:$P$1302,9,0)</f>
        <v>P206D1SLSS</v>
      </c>
      <c r="Y1039" s="2" t="s">
        <v>43</v>
      </c>
      <c r="Z1039" s="2">
        <v>1793264</v>
      </c>
      <c r="AA1039" s="2">
        <v>20251124</v>
      </c>
      <c r="AB1039" s="3">
        <v>50000</v>
      </c>
    </row>
    <row r="1040" spans="3:28" x14ac:dyDescent="0.25">
      <c r="C1040" s="2">
        <v>10000001</v>
      </c>
      <c r="D1040" s="2" t="s">
        <v>1537</v>
      </c>
      <c r="F1040" s="2">
        <v>12009471</v>
      </c>
      <c r="H1040" s="2" t="s">
        <v>1537</v>
      </c>
      <c r="I1040" s="2" t="str">
        <f t="shared" si="16"/>
        <v>11</v>
      </c>
      <c r="J1040" s="2">
        <v>50</v>
      </c>
      <c r="K1040" s="3">
        <v>-50000</v>
      </c>
      <c r="L1040" s="2" t="s">
        <v>26</v>
      </c>
      <c r="M1040" s="3">
        <v>-50000</v>
      </c>
      <c r="N1040" s="2" t="s">
        <v>26</v>
      </c>
      <c r="R1040" s="2" t="s">
        <v>27</v>
      </c>
      <c r="S1040" s="2" t="s">
        <v>1538</v>
      </c>
      <c r="T1040" s="2" t="s">
        <v>334</v>
      </c>
      <c r="U1040" s="2" t="s">
        <v>1544</v>
      </c>
      <c r="V1040" s="4">
        <f>+VLOOKUP(U1040,'FBCJ Jul-Des 2025'!$G$10:$P$1302,8,0)</f>
        <v>70001110</v>
      </c>
      <c r="W1040" s="4" t="str">
        <f>+VLOOKUP(V1040,Sheet1!$A$2:$B$27,2,0)</f>
        <v>Biaya Ekspor lainnya</v>
      </c>
      <c r="X1040" s="4" t="str">
        <f>+VLOOKUP(U1040,'FBCJ Jul-Des 2025'!$G$10:$P$1302,9,0)</f>
        <v>C206D1SLSS</v>
      </c>
      <c r="Y1040" s="2" t="s">
        <v>43</v>
      </c>
      <c r="Z1040" s="2">
        <v>1793264</v>
      </c>
      <c r="AA1040" s="2">
        <v>20251124</v>
      </c>
      <c r="AB1040" s="3">
        <v>50000</v>
      </c>
    </row>
    <row r="1041" spans="3:28" x14ac:dyDescent="0.25">
      <c r="C1041" s="2">
        <v>10000001</v>
      </c>
      <c r="D1041" s="2" t="s">
        <v>1537</v>
      </c>
      <c r="F1041" s="2">
        <v>12009472</v>
      </c>
      <c r="H1041" s="2" t="s">
        <v>1537</v>
      </c>
      <c r="I1041" s="2" t="str">
        <f t="shared" si="16"/>
        <v>11</v>
      </c>
      <c r="J1041" s="2">
        <v>50</v>
      </c>
      <c r="K1041" s="3">
        <v>-591120</v>
      </c>
      <c r="L1041" s="2" t="s">
        <v>26</v>
      </c>
      <c r="M1041" s="3">
        <v>-591120</v>
      </c>
      <c r="N1041" s="2" t="s">
        <v>26</v>
      </c>
      <c r="R1041" s="2" t="s">
        <v>27</v>
      </c>
      <c r="S1041" s="2" t="s">
        <v>1545</v>
      </c>
      <c r="T1041" s="2" t="s">
        <v>57</v>
      </c>
      <c r="U1041" s="2" t="s">
        <v>1546</v>
      </c>
      <c r="V1041" s="4">
        <f>+VLOOKUP(U1041,'FBCJ Jul-Des 2025'!$G$10:$P$1302,8,0)</f>
        <v>70101202</v>
      </c>
      <c r="W1041" s="4" t="str">
        <f>+VLOOKUP(V1041,Sheet1!$A$2:$B$27,2,0)</f>
        <v>By Pemeliharaan Kend,ABerat,Mesin-Material Pihak3</v>
      </c>
      <c r="X1041" s="4" t="str">
        <f>+VLOOKUP(U1041,'FBCJ Jul-Des 2025'!$G$10:$P$1302,9,0)</f>
        <v>R124MMP</v>
      </c>
      <c r="Y1041" s="2" t="s">
        <v>43</v>
      </c>
      <c r="Z1041" s="2">
        <v>1793264</v>
      </c>
      <c r="AA1041" s="2">
        <v>20251124</v>
      </c>
      <c r="AB1041" s="3">
        <v>591120</v>
      </c>
    </row>
    <row r="1042" spans="3:28" x14ac:dyDescent="0.25">
      <c r="C1042" s="2">
        <v>10000001</v>
      </c>
      <c r="D1042" s="2" t="s">
        <v>1537</v>
      </c>
      <c r="F1042" s="2">
        <v>12009473</v>
      </c>
      <c r="H1042" s="2" t="s">
        <v>1537</v>
      </c>
      <c r="I1042" s="2" t="str">
        <f t="shared" si="16"/>
        <v>11</v>
      </c>
      <c r="J1042" s="2">
        <v>50</v>
      </c>
      <c r="K1042" s="3">
        <v>-162060</v>
      </c>
      <c r="L1042" s="2" t="s">
        <v>26</v>
      </c>
      <c r="M1042" s="3">
        <v>-162060</v>
      </c>
      <c r="N1042" s="2" t="s">
        <v>26</v>
      </c>
      <c r="R1042" s="2" t="s">
        <v>27</v>
      </c>
      <c r="S1042" s="2" t="s">
        <v>1545</v>
      </c>
      <c r="T1042" s="2" t="s">
        <v>375</v>
      </c>
      <c r="U1042" s="2" t="s">
        <v>1547</v>
      </c>
      <c r="V1042" s="4">
        <v>15000900</v>
      </c>
      <c r="W1042" s="4" t="str">
        <f>+VLOOKUP(V1042,Sheet1!$A$2:$B$27,2,0)</f>
        <v>Biaya Lainnya Yang Dibayar Di Muka</v>
      </c>
      <c r="X1042" s="4" t="s">
        <v>1913</v>
      </c>
      <c r="Y1042" s="2" t="s">
        <v>43</v>
      </c>
      <c r="Z1042" s="2">
        <v>1793264</v>
      </c>
      <c r="AA1042" s="2">
        <v>20251124</v>
      </c>
      <c r="AB1042" s="3">
        <v>162060</v>
      </c>
    </row>
    <row r="1043" spans="3:28" x14ac:dyDescent="0.25">
      <c r="C1043" s="2">
        <v>10000001</v>
      </c>
      <c r="D1043" s="2" t="s">
        <v>1537</v>
      </c>
      <c r="F1043" s="2">
        <v>12009474</v>
      </c>
      <c r="H1043" s="2" t="s">
        <v>1537</v>
      </c>
      <c r="I1043" s="2" t="str">
        <f t="shared" si="16"/>
        <v>11</v>
      </c>
      <c r="J1043" s="2">
        <v>50</v>
      </c>
      <c r="K1043" s="3">
        <v>-530000</v>
      </c>
      <c r="L1043" s="2" t="s">
        <v>26</v>
      </c>
      <c r="M1043" s="3">
        <v>-530000</v>
      </c>
      <c r="N1043" s="2" t="s">
        <v>26</v>
      </c>
      <c r="R1043" s="2" t="s">
        <v>27</v>
      </c>
      <c r="S1043" s="2" t="s">
        <v>1548</v>
      </c>
      <c r="T1043" s="2" t="s">
        <v>57</v>
      </c>
      <c r="U1043" s="2" t="s">
        <v>1549</v>
      </c>
      <c r="V1043" s="4">
        <v>70101202</v>
      </c>
      <c r="W1043" s="4" t="str">
        <f>+VLOOKUP(V1043,Sheet1!$A$2:$B$27,2,0)</f>
        <v>By Pemeliharaan Kend,ABerat,Mesin-Material Pihak3</v>
      </c>
      <c r="X1043" s="4" t="str">
        <f>+VLOOKUP(U1043,'FBCJ Jul-Des 2025'!$G$10:$P$1302,9,0)</f>
        <v>R124REF3</v>
      </c>
      <c r="Y1043" s="2" t="s">
        <v>43</v>
      </c>
      <c r="Z1043" s="2">
        <v>1793264</v>
      </c>
      <c r="AA1043" s="2">
        <v>20251124</v>
      </c>
      <c r="AB1043" s="3">
        <v>530000</v>
      </c>
    </row>
    <row r="1044" spans="3:28" x14ac:dyDescent="0.25">
      <c r="C1044" s="2">
        <v>10000001</v>
      </c>
      <c r="D1044" s="2" t="s">
        <v>1537</v>
      </c>
      <c r="F1044" s="2">
        <v>12009475</v>
      </c>
      <c r="H1044" s="2" t="s">
        <v>1537</v>
      </c>
      <c r="I1044" s="2" t="str">
        <f t="shared" si="16"/>
        <v>11</v>
      </c>
      <c r="J1044" s="2">
        <v>50</v>
      </c>
      <c r="K1044" s="3">
        <v>-466200</v>
      </c>
      <c r="L1044" s="2" t="s">
        <v>26</v>
      </c>
      <c r="M1044" s="3">
        <v>-466200</v>
      </c>
      <c r="N1044" s="2" t="s">
        <v>26</v>
      </c>
      <c r="R1044" s="2" t="s">
        <v>27</v>
      </c>
      <c r="S1044" s="2" t="s">
        <v>1548</v>
      </c>
      <c r="T1044" s="2" t="s">
        <v>375</v>
      </c>
      <c r="U1044" s="2" t="s">
        <v>1550</v>
      </c>
      <c r="V1044" s="4">
        <v>15000900</v>
      </c>
      <c r="W1044" s="4" t="str">
        <f>+VLOOKUP(V1044,Sheet1!$A$2:$B$27,2,0)</f>
        <v>Biaya Lainnya Yang Dibayar Di Muka</v>
      </c>
      <c r="X1044" s="4" t="s">
        <v>1913</v>
      </c>
      <c r="Y1044" s="2" t="s">
        <v>43</v>
      </c>
      <c r="Z1044" s="2">
        <v>1793264</v>
      </c>
      <c r="AA1044" s="2">
        <v>20251124</v>
      </c>
      <c r="AB1044" s="3">
        <v>466200</v>
      </c>
    </row>
    <row r="1045" spans="3:28" x14ac:dyDescent="0.25">
      <c r="C1045" s="2">
        <v>10000001</v>
      </c>
      <c r="D1045" s="2" t="s">
        <v>1537</v>
      </c>
      <c r="F1045" s="2">
        <v>12009476</v>
      </c>
      <c r="H1045" s="2" t="s">
        <v>1537</v>
      </c>
      <c r="I1045" s="2" t="str">
        <f t="shared" si="16"/>
        <v>11</v>
      </c>
      <c r="J1045" s="2">
        <v>50</v>
      </c>
      <c r="K1045" s="3">
        <v>-263450</v>
      </c>
      <c r="L1045" s="2" t="s">
        <v>26</v>
      </c>
      <c r="M1045" s="3">
        <v>-263450</v>
      </c>
      <c r="N1045" s="2" t="s">
        <v>26</v>
      </c>
      <c r="R1045" s="2" t="s">
        <v>27</v>
      </c>
      <c r="S1045" s="2" t="s">
        <v>1551</v>
      </c>
      <c r="T1045" s="2" t="s">
        <v>126</v>
      </c>
      <c r="U1045" s="2" t="s">
        <v>1552</v>
      </c>
      <c r="V1045" s="4">
        <v>70107600</v>
      </c>
      <c r="W1045" s="4" t="str">
        <f>+VLOOKUP(V1045,Sheet1!$A$2:$B$27,2,0)</f>
        <v>Biaya Konsumsi Kantor</v>
      </c>
      <c r="X1045" s="4" t="str">
        <f>+VLOOKUP(U1045,'FBCJ Jul-Des 2025'!$G$10:$P$1302,9,0)</f>
        <v>R124FRA3</v>
      </c>
      <c r="Y1045" s="2" t="s">
        <v>43</v>
      </c>
      <c r="Z1045" s="2">
        <v>1793264</v>
      </c>
      <c r="AA1045" s="2">
        <v>20251124</v>
      </c>
      <c r="AB1045" s="3">
        <v>263450</v>
      </c>
    </row>
    <row r="1046" spans="3:28" x14ac:dyDescent="0.25">
      <c r="C1046" s="2">
        <v>10000001</v>
      </c>
      <c r="D1046" s="2" t="s">
        <v>1537</v>
      </c>
      <c r="F1046" s="2">
        <v>12009477</v>
      </c>
      <c r="H1046" s="2" t="s">
        <v>1537</v>
      </c>
      <c r="I1046" s="2" t="str">
        <f t="shared" si="16"/>
        <v>11</v>
      </c>
      <c r="J1046" s="2">
        <v>50</v>
      </c>
      <c r="K1046" s="3">
        <v>-666000</v>
      </c>
      <c r="L1046" s="2" t="s">
        <v>26</v>
      </c>
      <c r="M1046" s="3">
        <v>-666000</v>
      </c>
      <c r="N1046" s="2" t="s">
        <v>26</v>
      </c>
      <c r="R1046" s="2" t="s">
        <v>27</v>
      </c>
      <c r="S1046" s="2" t="s">
        <v>1551</v>
      </c>
      <c r="T1046" s="2" t="s">
        <v>375</v>
      </c>
      <c r="U1046" s="2" t="s">
        <v>1553</v>
      </c>
      <c r="V1046" s="4">
        <v>15000900</v>
      </c>
      <c r="W1046" s="4" t="str">
        <f>+VLOOKUP(V1046,Sheet1!$A$2:$B$27,2,0)</f>
        <v>Biaya Lainnya Yang Dibayar Di Muka</v>
      </c>
      <c r="X1046" s="4" t="s">
        <v>1913</v>
      </c>
      <c r="Y1046" s="2" t="s">
        <v>43</v>
      </c>
      <c r="Z1046" s="2">
        <v>1793264</v>
      </c>
      <c r="AA1046" s="2">
        <v>20251124</v>
      </c>
      <c r="AB1046" s="3">
        <v>666000</v>
      </c>
    </row>
    <row r="1047" spans="3:28" x14ac:dyDescent="0.25">
      <c r="C1047" s="2">
        <v>10000001</v>
      </c>
      <c r="D1047" s="2" t="s">
        <v>1537</v>
      </c>
      <c r="F1047" s="2">
        <v>12009478</v>
      </c>
      <c r="H1047" s="2" t="s">
        <v>1537</v>
      </c>
      <c r="I1047" s="2" t="str">
        <f t="shared" si="16"/>
        <v>11</v>
      </c>
      <c r="J1047" s="2">
        <v>50</v>
      </c>
      <c r="K1047" s="3">
        <v>-417360</v>
      </c>
      <c r="L1047" s="2" t="s">
        <v>26</v>
      </c>
      <c r="M1047" s="3">
        <v>-417360</v>
      </c>
      <c r="N1047" s="2" t="s">
        <v>26</v>
      </c>
      <c r="R1047" s="2" t="s">
        <v>27</v>
      </c>
      <c r="S1047" s="2" t="s">
        <v>1554</v>
      </c>
      <c r="T1047" s="2" t="s">
        <v>375</v>
      </c>
      <c r="U1047" s="2" t="s">
        <v>1555</v>
      </c>
      <c r="V1047" s="4">
        <v>15000900</v>
      </c>
      <c r="W1047" s="4" t="str">
        <f>+VLOOKUP(V1047,Sheet1!$A$2:$B$27,2,0)</f>
        <v>Biaya Lainnya Yang Dibayar Di Muka</v>
      </c>
      <c r="X1047" s="4" t="s">
        <v>1913</v>
      </c>
      <c r="Y1047" s="2" t="s">
        <v>43</v>
      </c>
      <c r="Z1047" s="2">
        <v>1793264</v>
      </c>
      <c r="AA1047" s="2">
        <v>20251124</v>
      </c>
      <c r="AB1047" s="3">
        <v>417360</v>
      </c>
    </row>
    <row r="1048" spans="3:28" x14ac:dyDescent="0.25">
      <c r="C1048" s="2">
        <v>10000001</v>
      </c>
      <c r="D1048" s="2" t="s">
        <v>1537</v>
      </c>
      <c r="F1048" s="2">
        <v>12009479</v>
      </c>
      <c r="H1048" s="2" t="s">
        <v>1537</v>
      </c>
      <c r="I1048" s="2" t="str">
        <f t="shared" si="16"/>
        <v>11</v>
      </c>
      <c r="J1048" s="2">
        <v>50</v>
      </c>
      <c r="K1048" s="3">
        <v>-344907</v>
      </c>
      <c r="L1048" s="2" t="s">
        <v>26</v>
      </c>
      <c r="M1048" s="3">
        <v>-344907</v>
      </c>
      <c r="N1048" s="2" t="s">
        <v>26</v>
      </c>
      <c r="R1048" s="2" t="s">
        <v>27</v>
      </c>
      <c r="S1048" s="2" t="s">
        <v>1556</v>
      </c>
      <c r="T1048" s="2" t="s">
        <v>375</v>
      </c>
      <c r="U1048" s="2" t="s">
        <v>1557</v>
      </c>
      <c r="V1048" s="4">
        <v>15000900</v>
      </c>
      <c r="W1048" s="4" t="str">
        <f>+VLOOKUP(V1048,Sheet1!$A$2:$B$27,2,0)</f>
        <v>Biaya Lainnya Yang Dibayar Di Muka</v>
      </c>
      <c r="X1048" s="4" t="s">
        <v>1913</v>
      </c>
      <c r="Y1048" s="2" t="s">
        <v>43</v>
      </c>
      <c r="Z1048" s="2">
        <v>1793264</v>
      </c>
      <c r="AA1048" s="2">
        <v>20251124</v>
      </c>
      <c r="AB1048" s="3">
        <v>344907</v>
      </c>
    </row>
    <row r="1049" spans="3:28" x14ac:dyDescent="0.25">
      <c r="C1049" s="2">
        <v>10000001</v>
      </c>
      <c r="D1049" s="2" t="s">
        <v>1537</v>
      </c>
      <c r="F1049" s="2">
        <v>12009480</v>
      </c>
      <c r="H1049" s="2" t="s">
        <v>1537</v>
      </c>
      <c r="I1049" s="2" t="str">
        <f t="shared" si="16"/>
        <v>11</v>
      </c>
      <c r="J1049" s="2">
        <v>50</v>
      </c>
      <c r="K1049" s="3">
        <v>-220500</v>
      </c>
      <c r="L1049" s="2" t="s">
        <v>26</v>
      </c>
      <c r="M1049" s="3">
        <v>-220500</v>
      </c>
      <c r="N1049" s="2" t="s">
        <v>26</v>
      </c>
      <c r="R1049" s="2" t="s">
        <v>27</v>
      </c>
      <c r="S1049" s="2" t="s">
        <v>1558</v>
      </c>
      <c r="T1049" s="2" t="s">
        <v>375</v>
      </c>
      <c r="U1049" s="2" t="s">
        <v>1559</v>
      </c>
      <c r="V1049" s="4">
        <v>15000900</v>
      </c>
      <c r="W1049" s="4" t="str">
        <f>+VLOOKUP(V1049,Sheet1!$A$2:$B$27,2,0)</f>
        <v>Biaya Lainnya Yang Dibayar Di Muka</v>
      </c>
      <c r="X1049" s="4" t="s">
        <v>1913</v>
      </c>
      <c r="Y1049" s="2" t="s">
        <v>43</v>
      </c>
      <c r="Z1049" s="2">
        <v>1793264</v>
      </c>
      <c r="AA1049" s="2">
        <v>20251124</v>
      </c>
      <c r="AB1049" s="3">
        <v>220500</v>
      </c>
    </row>
    <row r="1050" spans="3:28" x14ac:dyDescent="0.25">
      <c r="C1050" s="2">
        <v>10000001</v>
      </c>
      <c r="D1050" s="2" t="s">
        <v>1537</v>
      </c>
      <c r="F1050" s="2">
        <v>12009481</v>
      </c>
      <c r="H1050" s="2" t="s">
        <v>1537</v>
      </c>
      <c r="I1050" s="2" t="str">
        <f t="shared" si="16"/>
        <v>11</v>
      </c>
      <c r="J1050" s="2">
        <v>40</v>
      </c>
      <c r="K1050" s="3">
        <v>31093973</v>
      </c>
      <c r="L1050" s="2" t="s">
        <v>26</v>
      </c>
      <c r="M1050" s="3">
        <v>31093973</v>
      </c>
      <c r="N1050" s="2" t="s">
        <v>26</v>
      </c>
      <c r="R1050" s="2" t="s">
        <v>27</v>
      </c>
      <c r="T1050" s="2" t="s">
        <v>249</v>
      </c>
      <c r="U1050" s="2" t="s">
        <v>1560</v>
      </c>
      <c r="Y1050" s="2" t="s">
        <v>43</v>
      </c>
      <c r="Z1050" s="2">
        <v>1793264</v>
      </c>
      <c r="AA1050" s="2">
        <v>20251124</v>
      </c>
      <c r="AB1050" s="3">
        <v>31093973</v>
      </c>
    </row>
    <row r="1051" spans="3:28" x14ac:dyDescent="0.25">
      <c r="C1051" s="2">
        <v>10000001</v>
      </c>
      <c r="D1051" s="2" t="s">
        <v>1566</v>
      </c>
      <c r="F1051" s="2">
        <v>12010040</v>
      </c>
      <c r="H1051" s="2" t="s">
        <v>1566</v>
      </c>
      <c r="I1051" s="2" t="str">
        <f t="shared" si="16"/>
        <v>12</v>
      </c>
      <c r="J1051" s="2">
        <v>50</v>
      </c>
      <c r="K1051" s="3">
        <v>-1000000</v>
      </c>
      <c r="L1051" s="2" t="s">
        <v>26</v>
      </c>
      <c r="M1051" s="3">
        <v>-1000000</v>
      </c>
      <c r="N1051" s="2" t="s">
        <v>26</v>
      </c>
      <c r="R1051" s="2" t="s">
        <v>27</v>
      </c>
      <c r="S1051" s="2" t="s">
        <v>1567</v>
      </c>
      <c r="T1051" s="2" t="s">
        <v>57</v>
      </c>
      <c r="U1051" s="2" t="s">
        <v>1568</v>
      </c>
      <c r="V1051" s="4">
        <f>+VLOOKUP(U1051,'FBCJ Jul-Des 2025'!$G$10:$P$1302,8,0)</f>
        <v>70101202</v>
      </c>
      <c r="W1051" s="4" t="str">
        <f>+VLOOKUP(V1051,Sheet1!$A$2:$B$27,2,0)</f>
        <v>By Pemeliharaan Kend,ABerat,Mesin-Material Pihak3</v>
      </c>
      <c r="X1051" s="4" t="str">
        <f>+VLOOKUP(U1051,'FBCJ Jul-Des 2025'!$G$10:$P$1302,9,0)</f>
        <v>R124REF3</v>
      </c>
      <c r="Y1051" s="2" t="s">
        <v>43</v>
      </c>
      <c r="Z1051" s="2">
        <v>1880288</v>
      </c>
      <c r="AA1051" s="2">
        <v>20251202</v>
      </c>
      <c r="AB1051" s="3">
        <v>1000000</v>
      </c>
    </row>
    <row r="1052" spans="3:28" x14ac:dyDescent="0.25">
      <c r="C1052" s="2">
        <v>10000001</v>
      </c>
      <c r="D1052" s="2" t="s">
        <v>1566</v>
      </c>
      <c r="F1052" s="2">
        <v>12010041</v>
      </c>
      <c r="H1052" s="2" t="s">
        <v>1566</v>
      </c>
      <c r="I1052" s="2" t="str">
        <f t="shared" si="16"/>
        <v>12</v>
      </c>
      <c r="J1052" s="2">
        <v>50</v>
      </c>
      <c r="K1052" s="3">
        <v>-800000</v>
      </c>
      <c r="L1052" s="2" t="s">
        <v>26</v>
      </c>
      <c r="M1052" s="3">
        <v>-800000</v>
      </c>
      <c r="N1052" s="2" t="s">
        <v>26</v>
      </c>
      <c r="R1052" s="2" t="s">
        <v>27</v>
      </c>
      <c r="S1052" s="2" t="s">
        <v>1569</v>
      </c>
      <c r="T1052" s="2" t="s">
        <v>57</v>
      </c>
      <c r="U1052" s="2" t="s">
        <v>1570</v>
      </c>
      <c r="V1052" s="4">
        <f>+VLOOKUP(U1052,'FBCJ Jul-Des 2025'!$G$10:$P$1302,8,0)</f>
        <v>70101202</v>
      </c>
      <c r="W1052" s="4" t="str">
        <f>+VLOOKUP(V1052,Sheet1!$A$2:$B$27,2,0)</f>
        <v>By Pemeliharaan Kend,ABerat,Mesin-Material Pihak3</v>
      </c>
      <c r="X1052" s="4" t="str">
        <f>+VLOOKUP(U1052,'FBCJ Jul-Des 2025'!$G$10:$P$1302,9,0)</f>
        <v>R124FRA3</v>
      </c>
      <c r="Y1052" s="2" t="s">
        <v>43</v>
      </c>
      <c r="Z1052" s="2">
        <v>1880288</v>
      </c>
      <c r="AA1052" s="2">
        <v>20251202</v>
      </c>
      <c r="AB1052" s="3">
        <v>800000</v>
      </c>
    </row>
    <row r="1053" spans="3:28" x14ac:dyDescent="0.25">
      <c r="C1053" s="2">
        <v>10000001</v>
      </c>
      <c r="D1053" s="2" t="s">
        <v>1566</v>
      </c>
      <c r="F1053" s="2">
        <v>12010042</v>
      </c>
      <c r="H1053" s="2" t="s">
        <v>1566</v>
      </c>
      <c r="I1053" s="2" t="str">
        <f t="shared" si="16"/>
        <v>12</v>
      </c>
      <c r="J1053" s="2">
        <v>50</v>
      </c>
      <c r="K1053" s="3">
        <v>-670000</v>
      </c>
      <c r="L1053" s="2" t="s">
        <v>26</v>
      </c>
      <c r="M1053" s="3">
        <v>-670000</v>
      </c>
      <c r="N1053" s="2" t="s">
        <v>26</v>
      </c>
      <c r="R1053" s="2" t="s">
        <v>27</v>
      </c>
      <c r="S1053" s="2" t="s">
        <v>1571</v>
      </c>
      <c r="T1053" s="2" t="s">
        <v>1187</v>
      </c>
      <c r="U1053" s="2" t="s">
        <v>1572</v>
      </c>
      <c r="V1053" s="4">
        <f>+VLOOKUP(U1053,'FBCJ Jul-Des 2025'!$G$10:$P$1302,8,0)</f>
        <v>70110210</v>
      </c>
      <c r="W1053" s="4">
        <f>+VLOOKUP(V1053,Sheet1!$A$2:$B$27,2,0)</f>
        <v>0</v>
      </c>
      <c r="X1053" s="4" t="str">
        <f>+VLOOKUP(U1053,'FBCJ Jul-Des 2025'!$G$10:$P$1302,9,0)</f>
        <v>H200D1MMDP</v>
      </c>
      <c r="Y1053" s="2" t="s">
        <v>43</v>
      </c>
      <c r="Z1053" s="2">
        <v>1880288</v>
      </c>
      <c r="AA1053" s="2">
        <v>20251202</v>
      </c>
      <c r="AB1053" s="3">
        <v>670000</v>
      </c>
    </row>
    <row r="1054" spans="3:28" x14ac:dyDescent="0.25">
      <c r="C1054" s="2">
        <v>10000001</v>
      </c>
      <c r="D1054" s="2" t="s">
        <v>1565</v>
      </c>
      <c r="F1054" s="2">
        <v>12010043</v>
      </c>
      <c r="H1054" s="2" t="s">
        <v>1565</v>
      </c>
      <c r="I1054" s="2" t="str">
        <f t="shared" si="16"/>
        <v>12</v>
      </c>
      <c r="J1054" s="2">
        <v>50</v>
      </c>
      <c r="K1054" s="3">
        <v>-340500</v>
      </c>
      <c r="L1054" s="2" t="s">
        <v>26</v>
      </c>
      <c r="M1054" s="3">
        <v>-340500</v>
      </c>
      <c r="N1054" s="2" t="s">
        <v>26</v>
      </c>
      <c r="R1054" s="2" t="s">
        <v>27</v>
      </c>
      <c r="S1054" s="2" t="s">
        <v>1573</v>
      </c>
      <c r="T1054" s="2" t="s">
        <v>126</v>
      </c>
      <c r="U1054" s="2" t="s">
        <v>1574</v>
      </c>
      <c r="V1054" s="4">
        <f>+VLOOKUP(U1054,'FBCJ Jul-Des 2025'!$G$10:$P$1302,8,0)</f>
        <v>70107600</v>
      </c>
      <c r="W1054" s="4" t="str">
        <f>+VLOOKUP(V1054,Sheet1!$A$2:$B$27,2,0)</f>
        <v>Biaya Konsumsi Kantor</v>
      </c>
      <c r="X1054" s="4" t="str">
        <f>+VLOOKUP(U1054,'FBCJ Jul-Des 2025'!$G$10:$P$1302,9,0)</f>
        <v>R124D1HRDV</v>
      </c>
      <c r="Y1054" s="2" t="s">
        <v>43</v>
      </c>
      <c r="Z1054" s="2">
        <v>1880288</v>
      </c>
      <c r="AA1054" s="2">
        <v>20251203</v>
      </c>
      <c r="AB1054" s="3">
        <v>340500</v>
      </c>
    </row>
    <row r="1055" spans="3:28" x14ac:dyDescent="0.25">
      <c r="C1055" s="2">
        <v>10000001</v>
      </c>
      <c r="D1055" s="2" t="s">
        <v>1565</v>
      </c>
      <c r="F1055" s="2">
        <v>12010044</v>
      </c>
      <c r="H1055" s="2" t="s">
        <v>1565</v>
      </c>
      <c r="I1055" s="2" t="str">
        <f t="shared" si="16"/>
        <v>12</v>
      </c>
      <c r="J1055" s="2">
        <v>50</v>
      </c>
      <c r="K1055" s="3">
        <v>-277000</v>
      </c>
      <c r="L1055" s="2" t="s">
        <v>26</v>
      </c>
      <c r="M1055" s="3">
        <v>-277000</v>
      </c>
      <c r="N1055" s="2" t="s">
        <v>26</v>
      </c>
      <c r="R1055" s="2" t="s">
        <v>27</v>
      </c>
      <c r="S1055" s="2" t="s">
        <v>1575</v>
      </c>
      <c r="T1055" s="2" t="s">
        <v>126</v>
      </c>
      <c r="U1055" s="2" t="s">
        <v>1576</v>
      </c>
      <c r="V1055" s="4">
        <f>+VLOOKUP(U1055,'FBCJ Jul-Des 2025'!$G$10:$P$1302,8,0)</f>
        <v>70107600</v>
      </c>
      <c r="W1055" s="4" t="str">
        <f>+VLOOKUP(V1055,Sheet1!$A$2:$B$27,2,0)</f>
        <v>Biaya Konsumsi Kantor</v>
      </c>
      <c r="X1055" s="4" t="str">
        <f>+VLOOKUP(U1055,'FBCJ Jul-Des 2025'!$G$10:$P$1302,9,0)</f>
        <v>R124REF</v>
      </c>
      <c r="Y1055" s="2" t="s">
        <v>43</v>
      </c>
      <c r="Z1055" s="2">
        <v>1880288</v>
      </c>
      <c r="AA1055" s="2">
        <v>20251203</v>
      </c>
      <c r="AB1055" s="3">
        <v>277000</v>
      </c>
    </row>
    <row r="1056" spans="3:28" x14ac:dyDescent="0.25">
      <c r="C1056" s="2">
        <v>10000001</v>
      </c>
      <c r="D1056" s="2" t="s">
        <v>1565</v>
      </c>
      <c r="F1056" s="2">
        <v>12010045</v>
      </c>
      <c r="H1056" s="2" t="s">
        <v>1565</v>
      </c>
      <c r="I1056" s="2" t="str">
        <f t="shared" si="16"/>
        <v>12</v>
      </c>
      <c r="J1056" s="2">
        <v>50</v>
      </c>
      <c r="K1056" s="3">
        <v>-21000</v>
      </c>
      <c r="L1056" s="2" t="s">
        <v>26</v>
      </c>
      <c r="M1056" s="3">
        <v>-21000</v>
      </c>
      <c r="N1056" s="2" t="s">
        <v>26</v>
      </c>
      <c r="R1056" s="2" t="s">
        <v>27</v>
      </c>
      <c r="S1056" s="2" t="s">
        <v>1575</v>
      </c>
      <c r="T1056" s="2" t="s">
        <v>274</v>
      </c>
      <c r="U1056" s="2" t="s">
        <v>1577</v>
      </c>
      <c r="V1056" s="4">
        <f>+VLOOKUP(U1056,'FBCJ Jul-Des 2025'!$G$10:$P$1302,8,0)</f>
        <v>70108100</v>
      </c>
      <c r="W1056" s="4" t="str">
        <f>+VLOOKUP(V1056,Sheet1!$A$2:$B$27,2,0)</f>
        <v>Biaya Peralatan Dan Perabot Kantor</v>
      </c>
      <c r="X1056" s="4" t="str">
        <f>+VLOOKUP(U1056,'FBCJ Jul-Des 2025'!$G$10:$P$1302,9,0)</f>
        <v>R124REF</v>
      </c>
      <c r="Y1056" s="2" t="s">
        <v>43</v>
      </c>
      <c r="Z1056" s="2">
        <v>1880288</v>
      </c>
      <c r="AA1056" s="2">
        <v>20251203</v>
      </c>
      <c r="AB1056" s="3">
        <v>21000</v>
      </c>
    </row>
    <row r="1057" spans="3:28" x14ac:dyDescent="0.25">
      <c r="C1057" s="2">
        <v>10000001</v>
      </c>
      <c r="D1057" s="2" t="s">
        <v>1565</v>
      </c>
      <c r="F1057" s="2">
        <v>12010046</v>
      </c>
      <c r="H1057" s="2" t="s">
        <v>1565</v>
      </c>
      <c r="I1057" s="2" t="str">
        <f t="shared" si="16"/>
        <v>12</v>
      </c>
      <c r="J1057" s="2">
        <v>50</v>
      </c>
      <c r="K1057" s="3">
        <v>-400000</v>
      </c>
      <c r="L1057" s="2" t="s">
        <v>26</v>
      </c>
      <c r="M1057" s="3">
        <v>-400000</v>
      </c>
      <c r="N1057" s="2" t="s">
        <v>26</v>
      </c>
      <c r="R1057" s="2" t="s">
        <v>27</v>
      </c>
      <c r="S1057" s="2" t="s">
        <v>1578</v>
      </c>
      <c r="T1057" s="2" t="s">
        <v>41</v>
      </c>
      <c r="U1057" s="2" t="s">
        <v>1579</v>
      </c>
      <c r="V1057" s="4">
        <f>+VLOOKUP(U1057,'FBCJ Jul-Des 2025'!$G$10:$P$1302,8,0)</f>
        <v>70107300</v>
      </c>
      <c r="W1057" s="4" t="str">
        <f>+VLOOKUP(V1057,Sheet1!$A$2:$B$27,2,0)</f>
        <v>Biaya Olahraga Dan Permainan</v>
      </c>
      <c r="X1057" s="4" t="str">
        <f>+VLOOKUP(U1057,'FBCJ Jul-Des 2025'!$G$10:$P$1302,9,0)</f>
        <v>R124D1HRDV</v>
      </c>
      <c r="Y1057" s="2" t="s">
        <v>43</v>
      </c>
      <c r="Z1057" s="2">
        <v>1880288</v>
      </c>
      <c r="AA1057" s="2">
        <v>20251203</v>
      </c>
      <c r="AB1057" s="3">
        <v>400000</v>
      </c>
    </row>
    <row r="1058" spans="3:28" x14ac:dyDescent="0.25">
      <c r="C1058" s="2">
        <v>10000001</v>
      </c>
      <c r="D1058" s="2" t="s">
        <v>1565</v>
      </c>
      <c r="F1058" s="2">
        <v>12010047</v>
      </c>
      <c r="H1058" s="2" t="s">
        <v>1565</v>
      </c>
      <c r="I1058" s="2" t="str">
        <f t="shared" si="16"/>
        <v>12</v>
      </c>
      <c r="J1058" s="2">
        <v>50</v>
      </c>
      <c r="K1058" s="3">
        <v>-850000</v>
      </c>
      <c r="L1058" s="2" t="s">
        <v>26</v>
      </c>
      <c r="M1058" s="3">
        <v>-850000</v>
      </c>
      <c r="N1058" s="2" t="s">
        <v>26</v>
      </c>
      <c r="R1058" s="2" t="s">
        <v>27</v>
      </c>
      <c r="S1058" s="2" t="s">
        <v>1580</v>
      </c>
      <c r="T1058" s="2" t="s">
        <v>57</v>
      </c>
      <c r="U1058" s="2" t="s">
        <v>1581</v>
      </c>
      <c r="V1058" s="4">
        <f>+VLOOKUP(U1058,'FBCJ Jul-Des 2025'!$G$10:$P$1302,8,0)</f>
        <v>70101202</v>
      </c>
      <c r="W1058" s="4" t="str">
        <f>+VLOOKUP(V1058,Sheet1!$A$2:$B$27,2,0)</f>
        <v>By Pemeliharaan Kend,ABerat,Mesin-Material Pihak3</v>
      </c>
      <c r="X1058" s="4" t="str">
        <f>+VLOOKUP(U1058,'FBCJ Jul-Des 2025'!$G$10:$P$1302,9,0)</f>
        <v>R124REF</v>
      </c>
      <c r="Y1058" s="2" t="s">
        <v>43</v>
      </c>
      <c r="Z1058" s="2">
        <v>1880288</v>
      </c>
      <c r="AA1058" s="2">
        <v>20251203</v>
      </c>
      <c r="AB1058" s="3">
        <v>850000</v>
      </c>
    </row>
    <row r="1059" spans="3:28" x14ac:dyDescent="0.25">
      <c r="C1059" s="2">
        <v>10000001</v>
      </c>
      <c r="D1059" s="2" t="s">
        <v>1565</v>
      </c>
      <c r="F1059" s="2">
        <v>12010048</v>
      </c>
      <c r="H1059" s="2" t="s">
        <v>1565</v>
      </c>
      <c r="I1059" s="2" t="str">
        <f t="shared" si="16"/>
        <v>12</v>
      </c>
      <c r="J1059" s="2">
        <v>50</v>
      </c>
      <c r="K1059" s="3">
        <v>-98016</v>
      </c>
      <c r="L1059" s="2" t="s">
        <v>26</v>
      </c>
      <c r="M1059" s="3">
        <v>-98016</v>
      </c>
      <c r="N1059" s="2" t="s">
        <v>26</v>
      </c>
      <c r="R1059" s="2" t="s">
        <v>27</v>
      </c>
      <c r="S1059" s="2" t="s">
        <v>1582</v>
      </c>
      <c r="T1059" s="2" t="s">
        <v>274</v>
      </c>
      <c r="U1059" s="2" t="s">
        <v>1583</v>
      </c>
      <c r="V1059" s="4">
        <f>+VLOOKUP(U1059,'FBCJ Jul-Des 2025'!$G$10:$P$1302,8,0)</f>
        <v>70108100</v>
      </c>
      <c r="W1059" s="4" t="str">
        <f>+VLOOKUP(V1059,Sheet1!$A$2:$B$27,2,0)</f>
        <v>Biaya Peralatan Dan Perabot Kantor</v>
      </c>
      <c r="X1059" s="4" t="str">
        <f>+VLOOKUP(U1059,'FBCJ Jul-Des 2025'!$G$10:$P$1302,9,0)</f>
        <v>R124QCA</v>
      </c>
      <c r="Y1059" s="2" t="s">
        <v>43</v>
      </c>
      <c r="Z1059" s="2">
        <v>1880288</v>
      </c>
      <c r="AA1059" s="2">
        <v>20251203</v>
      </c>
      <c r="AB1059" s="3">
        <v>98016</v>
      </c>
    </row>
    <row r="1060" spans="3:28" x14ac:dyDescent="0.25">
      <c r="C1060" s="2">
        <v>10000001</v>
      </c>
      <c r="D1060" s="2" t="s">
        <v>1565</v>
      </c>
      <c r="F1060" s="2">
        <v>12010049</v>
      </c>
      <c r="H1060" s="2" t="s">
        <v>1565</v>
      </c>
      <c r="I1060" s="2" t="str">
        <f t="shared" si="16"/>
        <v>12</v>
      </c>
      <c r="J1060" s="2">
        <v>50</v>
      </c>
      <c r="K1060" s="3">
        <v>-669765</v>
      </c>
      <c r="L1060" s="2" t="s">
        <v>26</v>
      </c>
      <c r="M1060" s="3">
        <v>-669765</v>
      </c>
      <c r="N1060" s="2" t="s">
        <v>26</v>
      </c>
      <c r="R1060" s="2" t="s">
        <v>27</v>
      </c>
      <c r="S1060" s="2" t="s">
        <v>1582</v>
      </c>
      <c r="T1060" s="2" t="s">
        <v>146</v>
      </c>
      <c r="U1060" s="2" t="s">
        <v>1584</v>
      </c>
      <c r="V1060" s="4">
        <f>+VLOOKUP(U1060,'FBCJ Jul-Des 2025'!$G$10:$P$1302,8,0)</f>
        <v>70115100</v>
      </c>
      <c r="W1060" s="4" t="str">
        <f>+VLOOKUP(V1060,Sheet1!$A$2:$B$27,2,0)</f>
        <v>Biaya Riset, Pengembangan, dan Laboratorium</v>
      </c>
      <c r="X1060" s="4" t="str">
        <f>+VLOOKUP(U1060,'FBCJ Jul-Des 2025'!$G$10:$P$1302,9,0)</f>
        <v>R124QCA</v>
      </c>
      <c r="Y1060" s="2" t="s">
        <v>43</v>
      </c>
      <c r="Z1060" s="2">
        <v>1880288</v>
      </c>
      <c r="AA1060" s="2">
        <v>20251203</v>
      </c>
      <c r="AB1060" s="3">
        <v>669765</v>
      </c>
    </row>
    <row r="1061" spans="3:28" x14ac:dyDescent="0.25">
      <c r="C1061" s="2">
        <v>10000001</v>
      </c>
      <c r="D1061" s="2" t="s">
        <v>1565</v>
      </c>
      <c r="F1061" s="2">
        <v>12010050</v>
      </c>
      <c r="H1061" s="2" t="s">
        <v>1565</v>
      </c>
      <c r="I1061" s="2" t="str">
        <f t="shared" si="16"/>
        <v>12</v>
      </c>
      <c r="J1061" s="2">
        <v>50</v>
      </c>
      <c r="K1061" s="3">
        <v>-183500</v>
      </c>
      <c r="L1061" s="2" t="s">
        <v>26</v>
      </c>
      <c r="M1061" s="3">
        <v>-183500</v>
      </c>
      <c r="N1061" s="2" t="s">
        <v>26</v>
      </c>
      <c r="R1061" s="2" t="s">
        <v>27</v>
      </c>
      <c r="S1061" s="2" t="s">
        <v>1582</v>
      </c>
      <c r="T1061" s="2" t="s">
        <v>146</v>
      </c>
      <c r="U1061" s="2" t="s">
        <v>1585</v>
      </c>
      <c r="V1061" s="4">
        <f>+VLOOKUP(U1061,'FBCJ Jul-Des 2025'!$G$10:$P$1302,8,0)</f>
        <v>70115100</v>
      </c>
      <c r="W1061" s="4" t="str">
        <f>+VLOOKUP(V1061,Sheet1!$A$2:$B$27,2,0)</f>
        <v>Biaya Riset, Pengembangan, dan Laboratorium</v>
      </c>
      <c r="X1061" s="4" t="str">
        <f>+VLOOKUP(U1061,'FBCJ Jul-Des 2025'!$G$10:$P$1302,9,0)</f>
        <v>R124QCA</v>
      </c>
      <c r="Y1061" s="2" t="s">
        <v>43</v>
      </c>
      <c r="Z1061" s="2">
        <v>1880288</v>
      </c>
      <c r="AA1061" s="2">
        <v>20251203</v>
      </c>
      <c r="AB1061" s="3">
        <v>183500</v>
      </c>
    </row>
    <row r="1062" spans="3:28" x14ac:dyDescent="0.25">
      <c r="C1062" s="2">
        <v>10000001</v>
      </c>
      <c r="D1062" s="2" t="s">
        <v>1565</v>
      </c>
      <c r="F1062" s="2">
        <v>12010051</v>
      </c>
      <c r="H1062" s="2" t="s">
        <v>1565</v>
      </c>
      <c r="I1062" s="2" t="str">
        <f t="shared" si="16"/>
        <v>12</v>
      </c>
      <c r="J1062" s="2">
        <v>50</v>
      </c>
      <c r="K1062" s="3">
        <v>-190000</v>
      </c>
      <c r="L1062" s="2" t="s">
        <v>26</v>
      </c>
      <c r="M1062" s="3">
        <v>-190000</v>
      </c>
      <c r="N1062" s="2" t="s">
        <v>26</v>
      </c>
      <c r="R1062" s="2" t="s">
        <v>27</v>
      </c>
      <c r="S1062" s="2" t="s">
        <v>1586</v>
      </c>
      <c r="T1062" s="2" t="s">
        <v>59</v>
      </c>
      <c r="U1062" s="2" t="s">
        <v>1587</v>
      </c>
      <c r="V1062" s="4">
        <f>+VLOOKUP(U1062,'FBCJ Jul-Des 2025'!$G$10:$P$1302,8,0)</f>
        <v>70101114</v>
      </c>
      <c r="W1062" s="4" t="str">
        <f>+VLOOKUP(V1062,Sheet1!$A$2:$B$27,2,0)</f>
        <v>By Perbaikan &amp; Perawatan Perabot Material Pihak3</v>
      </c>
      <c r="X1062" s="4" t="str">
        <f>+VLOOKUP(U1062,'FBCJ Jul-Des 2025'!$G$10:$P$1302,9,0)</f>
        <v>R124QCA</v>
      </c>
      <c r="Y1062" s="2" t="s">
        <v>43</v>
      </c>
      <c r="Z1062" s="2">
        <v>1880288</v>
      </c>
      <c r="AA1062" s="2">
        <v>20251203</v>
      </c>
      <c r="AB1062" s="3">
        <v>190000</v>
      </c>
    </row>
    <row r="1063" spans="3:28" x14ac:dyDescent="0.25">
      <c r="C1063" s="2">
        <v>10000001</v>
      </c>
      <c r="D1063" s="2" t="s">
        <v>1565</v>
      </c>
      <c r="F1063" s="2">
        <v>12010052</v>
      </c>
      <c r="H1063" s="2" t="s">
        <v>1565</v>
      </c>
      <c r="I1063" s="2" t="str">
        <f t="shared" si="16"/>
        <v>12</v>
      </c>
      <c r="J1063" s="2">
        <v>50</v>
      </c>
      <c r="K1063" s="3">
        <v>-235000</v>
      </c>
      <c r="L1063" s="2" t="s">
        <v>26</v>
      </c>
      <c r="M1063" s="3">
        <v>-235000</v>
      </c>
      <c r="N1063" s="2" t="s">
        <v>26</v>
      </c>
      <c r="R1063" s="2" t="s">
        <v>27</v>
      </c>
      <c r="S1063" s="2" t="s">
        <v>1586</v>
      </c>
      <c r="T1063" s="2" t="s">
        <v>274</v>
      </c>
      <c r="U1063" s="2" t="s">
        <v>1588</v>
      </c>
      <c r="V1063" s="4">
        <f>+VLOOKUP(U1063,'FBCJ Jul-Des 2025'!$G$10:$P$1302,8,0)</f>
        <v>70108100</v>
      </c>
      <c r="W1063" s="4" t="str">
        <f>+VLOOKUP(V1063,Sheet1!$A$2:$B$27,2,0)</f>
        <v>Biaya Peralatan Dan Perabot Kantor</v>
      </c>
      <c r="X1063" s="4" t="str">
        <f>+VLOOKUP(U1063,'FBCJ Jul-Des 2025'!$G$10:$P$1302,9,0)</f>
        <v>R124QCA</v>
      </c>
      <c r="Y1063" s="2" t="s">
        <v>43</v>
      </c>
      <c r="Z1063" s="2">
        <v>1880288</v>
      </c>
      <c r="AA1063" s="2">
        <v>20251203</v>
      </c>
      <c r="AB1063" s="3">
        <v>235000</v>
      </c>
    </row>
    <row r="1064" spans="3:28" x14ac:dyDescent="0.25">
      <c r="C1064" s="2">
        <v>10000001</v>
      </c>
      <c r="D1064" s="2" t="s">
        <v>1565</v>
      </c>
      <c r="F1064" s="2">
        <v>12010053</v>
      </c>
      <c r="H1064" s="2" t="s">
        <v>1565</v>
      </c>
      <c r="I1064" s="2" t="str">
        <f t="shared" si="16"/>
        <v>12</v>
      </c>
      <c r="J1064" s="2">
        <v>50</v>
      </c>
      <c r="K1064" s="3">
        <v>-61000</v>
      </c>
      <c r="L1064" s="2" t="s">
        <v>26</v>
      </c>
      <c r="M1064" s="3">
        <v>-61000</v>
      </c>
      <c r="N1064" s="2" t="s">
        <v>26</v>
      </c>
      <c r="R1064" s="2" t="s">
        <v>27</v>
      </c>
      <c r="S1064" s="2" t="s">
        <v>1586</v>
      </c>
      <c r="T1064" s="2" t="s">
        <v>518</v>
      </c>
      <c r="U1064" s="2" t="s">
        <v>1589</v>
      </c>
      <c r="V1064" s="4">
        <f>+VLOOKUP(U1064,'FBCJ Jul-Des 2025'!$G$10:$P$1302,8,0)</f>
        <v>70119300</v>
      </c>
      <c r="W1064" s="4" t="str">
        <f>+VLOOKUP(V1064,Sheet1!$A$2:$B$27,2,0)</f>
        <v>Biaya Umum dan Administrasi</v>
      </c>
      <c r="X1064" s="4" t="str">
        <f>+VLOOKUP(U1064,'FBCJ Jul-Des 2025'!$G$10:$P$1302,9,0)</f>
        <v>R124QCA</v>
      </c>
      <c r="Y1064" s="2" t="s">
        <v>43</v>
      </c>
      <c r="Z1064" s="2">
        <v>1880288</v>
      </c>
      <c r="AA1064" s="2">
        <v>20251203</v>
      </c>
      <c r="AB1064" s="3">
        <v>61000</v>
      </c>
    </row>
    <row r="1065" spans="3:28" x14ac:dyDescent="0.25">
      <c r="C1065" s="2">
        <v>10000001</v>
      </c>
      <c r="D1065" s="2" t="s">
        <v>1565</v>
      </c>
      <c r="F1065" s="2">
        <v>12010054</v>
      </c>
      <c r="H1065" s="2" t="s">
        <v>1565</v>
      </c>
      <c r="I1065" s="2" t="str">
        <f t="shared" si="16"/>
        <v>12</v>
      </c>
      <c r="J1065" s="2">
        <v>50</v>
      </c>
      <c r="K1065" s="3">
        <v>-471630</v>
      </c>
      <c r="L1065" s="2" t="s">
        <v>26</v>
      </c>
      <c r="M1065" s="3">
        <v>-471630</v>
      </c>
      <c r="N1065" s="2" t="s">
        <v>26</v>
      </c>
      <c r="R1065" s="2" t="s">
        <v>27</v>
      </c>
      <c r="S1065" s="2" t="s">
        <v>1586</v>
      </c>
      <c r="T1065" s="2" t="s">
        <v>146</v>
      </c>
      <c r="U1065" s="2" t="s">
        <v>1590</v>
      </c>
      <c r="V1065" s="4">
        <f>+VLOOKUP(U1065,'FBCJ Jul-Des 2025'!$G$10:$P$1302,8,0)</f>
        <v>70115100</v>
      </c>
      <c r="W1065" s="4" t="str">
        <f>+VLOOKUP(V1065,Sheet1!$A$2:$B$27,2,0)</f>
        <v>Biaya Riset, Pengembangan, dan Laboratorium</v>
      </c>
      <c r="X1065" s="4" t="str">
        <f>+VLOOKUP(U1065,'FBCJ Jul-Des 2025'!$G$10:$P$1302,9,0)</f>
        <v>R124QCA</v>
      </c>
      <c r="Y1065" s="2" t="s">
        <v>43</v>
      </c>
      <c r="Z1065" s="2">
        <v>1880288</v>
      </c>
      <c r="AA1065" s="2">
        <v>20251203</v>
      </c>
      <c r="AB1065" s="3">
        <v>471630</v>
      </c>
    </row>
    <row r="1066" spans="3:28" x14ac:dyDescent="0.25">
      <c r="C1066" s="2">
        <v>10000001</v>
      </c>
      <c r="D1066" s="2" t="s">
        <v>1565</v>
      </c>
      <c r="F1066" s="2">
        <v>12010055</v>
      </c>
      <c r="H1066" s="2" t="s">
        <v>1565</v>
      </c>
      <c r="I1066" s="2" t="str">
        <f t="shared" si="16"/>
        <v>12</v>
      </c>
      <c r="J1066" s="2">
        <v>50</v>
      </c>
      <c r="K1066" s="3">
        <v>-851670</v>
      </c>
      <c r="L1066" s="2" t="s">
        <v>26</v>
      </c>
      <c r="M1066" s="3">
        <v>-851670</v>
      </c>
      <c r="N1066" s="2" t="s">
        <v>26</v>
      </c>
      <c r="R1066" s="2" t="s">
        <v>27</v>
      </c>
      <c r="S1066" s="2" t="s">
        <v>1591</v>
      </c>
      <c r="T1066" s="2" t="s">
        <v>59</v>
      </c>
      <c r="U1066" s="2" t="s">
        <v>1592</v>
      </c>
      <c r="V1066" s="4">
        <f>+VLOOKUP(U1066,'FBCJ Jul-Des 2025'!$G$10:$P$1302,8,0)</f>
        <v>70101114</v>
      </c>
      <c r="W1066" s="4" t="str">
        <f>+VLOOKUP(V1066,Sheet1!$A$2:$B$27,2,0)</f>
        <v>By Perbaikan &amp; Perawatan Perabot Material Pihak3</v>
      </c>
      <c r="X1066" s="4" t="str">
        <f>+VLOOKUP(U1066,'FBCJ Jul-Des 2025'!$G$10:$P$1302,9,0)</f>
        <v>R124QCA</v>
      </c>
      <c r="Y1066" s="2" t="s">
        <v>43</v>
      </c>
      <c r="Z1066" s="2">
        <v>1880288</v>
      </c>
      <c r="AA1066" s="2">
        <v>20251203</v>
      </c>
      <c r="AB1066" s="3">
        <v>851670</v>
      </c>
    </row>
    <row r="1067" spans="3:28" x14ac:dyDescent="0.25">
      <c r="C1067" s="2">
        <v>10000001</v>
      </c>
      <c r="D1067" s="2" t="s">
        <v>1565</v>
      </c>
      <c r="F1067" s="2">
        <v>12010056</v>
      </c>
      <c r="H1067" s="2" t="s">
        <v>1565</v>
      </c>
      <c r="I1067" s="2" t="str">
        <f t="shared" si="16"/>
        <v>12</v>
      </c>
      <c r="J1067" s="2">
        <v>50</v>
      </c>
      <c r="K1067" s="3">
        <v>-900000</v>
      </c>
      <c r="L1067" s="2" t="s">
        <v>26</v>
      </c>
      <c r="M1067" s="3">
        <v>-900000</v>
      </c>
      <c r="N1067" s="2" t="s">
        <v>26</v>
      </c>
      <c r="R1067" s="2" t="s">
        <v>27</v>
      </c>
      <c r="S1067" s="2" t="s">
        <v>1593</v>
      </c>
      <c r="T1067" s="2" t="s">
        <v>96</v>
      </c>
      <c r="U1067" s="2" t="s">
        <v>1594</v>
      </c>
      <c r="V1067" s="4">
        <f>+VLOOKUP(U1067,'FBCJ Jul-Des 2025'!$G$10:$P$1302,8,0)</f>
        <v>70106400</v>
      </c>
      <c r="W1067" s="4" t="str">
        <f>+VLOOKUP(V1067,Sheet1!$A$2:$B$27,2,0)</f>
        <v>Biaya Bahan Bakar</v>
      </c>
      <c r="X1067" s="4" t="str">
        <f>+VLOOKUP(U1067,'FBCJ Jul-Des 2025'!$G$10:$P$1302,9,0)</f>
        <v>R124D1HRGA</v>
      </c>
      <c r="Y1067" s="2" t="s">
        <v>43</v>
      </c>
      <c r="Z1067" s="2">
        <v>1880288</v>
      </c>
      <c r="AA1067" s="2">
        <v>20251203</v>
      </c>
      <c r="AB1067" s="3">
        <v>900000</v>
      </c>
    </row>
    <row r="1068" spans="3:28" x14ac:dyDescent="0.25">
      <c r="C1068" s="2">
        <v>10000001</v>
      </c>
      <c r="D1068" s="2" t="s">
        <v>1565</v>
      </c>
      <c r="F1068" s="2">
        <v>12010057</v>
      </c>
      <c r="H1068" s="2" t="s">
        <v>1565</v>
      </c>
      <c r="I1068" s="2" t="str">
        <f t="shared" si="16"/>
        <v>12</v>
      </c>
      <c r="J1068" s="2">
        <v>50</v>
      </c>
      <c r="K1068" s="3">
        <v>-100000</v>
      </c>
      <c r="L1068" s="2" t="s">
        <v>26</v>
      </c>
      <c r="M1068" s="3">
        <v>-100000</v>
      </c>
      <c r="N1068" s="2" t="s">
        <v>26</v>
      </c>
      <c r="R1068" s="2" t="s">
        <v>27</v>
      </c>
      <c r="S1068" s="2" t="s">
        <v>1593</v>
      </c>
      <c r="T1068" s="2" t="s">
        <v>67</v>
      </c>
      <c r="U1068" s="2" t="s">
        <v>98</v>
      </c>
      <c r="V1068" s="4">
        <f>+VLOOKUP(U1068,'FBCJ Jul-Des 2025'!$G$10:$P$1302,8,0)</f>
        <v>70106100</v>
      </c>
      <c r="W1068" s="4" t="str">
        <f>+VLOOKUP(V1068,Sheet1!$A$2:$B$27,2,0)</f>
        <v>Biaya Transportasi Lokal</v>
      </c>
      <c r="X1068" s="4" t="str">
        <f>+VLOOKUP(U1068,'FBCJ Jul-Des 2025'!$G$10:$P$1302,9,0)</f>
        <v>R124D1HRGA</v>
      </c>
      <c r="Y1068" s="2" t="s">
        <v>43</v>
      </c>
      <c r="Z1068" s="2">
        <v>1880288</v>
      </c>
      <c r="AA1068" s="2">
        <v>20251203</v>
      </c>
      <c r="AB1068" s="3">
        <v>100000</v>
      </c>
    </row>
    <row r="1069" spans="3:28" x14ac:dyDescent="0.25">
      <c r="C1069" s="2">
        <v>10000001</v>
      </c>
      <c r="D1069" s="2" t="s">
        <v>1565</v>
      </c>
      <c r="F1069" s="2">
        <v>12010058</v>
      </c>
      <c r="H1069" s="2" t="s">
        <v>1565</v>
      </c>
      <c r="I1069" s="2" t="str">
        <f t="shared" si="16"/>
        <v>12</v>
      </c>
      <c r="J1069" s="2">
        <v>50</v>
      </c>
      <c r="K1069" s="3">
        <v>-900000</v>
      </c>
      <c r="L1069" s="2" t="s">
        <v>26</v>
      </c>
      <c r="M1069" s="3">
        <v>-900000</v>
      </c>
      <c r="N1069" s="2" t="s">
        <v>26</v>
      </c>
      <c r="R1069" s="2" t="s">
        <v>27</v>
      </c>
      <c r="S1069" s="2" t="s">
        <v>1595</v>
      </c>
      <c r="T1069" s="2" t="s">
        <v>96</v>
      </c>
      <c r="U1069" s="2" t="s">
        <v>1596</v>
      </c>
      <c r="V1069" s="4">
        <f>+VLOOKUP(U1069,'FBCJ Jul-Des 2025'!$G$10:$P$1302,8,0)</f>
        <v>70106400</v>
      </c>
      <c r="W1069" s="4" t="str">
        <f>+VLOOKUP(V1069,Sheet1!$A$2:$B$27,2,0)</f>
        <v>Biaya Bahan Bakar</v>
      </c>
      <c r="X1069" s="4" t="str">
        <f>+VLOOKUP(U1069,'FBCJ Jul-Des 2025'!$G$10:$P$1302,9,0)</f>
        <v>R124D1HRGA</v>
      </c>
      <c r="Y1069" s="2" t="s">
        <v>43</v>
      </c>
      <c r="Z1069" s="2">
        <v>1880288</v>
      </c>
      <c r="AA1069" s="2">
        <v>20251203</v>
      </c>
      <c r="AB1069" s="3">
        <v>900000</v>
      </c>
    </row>
    <row r="1070" spans="3:28" x14ac:dyDescent="0.25">
      <c r="C1070" s="2">
        <v>10000001</v>
      </c>
      <c r="D1070" s="2" t="s">
        <v>1565</v>
      </c>
      <c r="F1070" s="2">
        <v>12010059</v>
      </c>
      <c r="H1070" s="2" t="s">
        <v>1565</v>
      </c>
      <c r="I1070" s="2" t="str">
        <f t="shared" si="16"/>
        <v>12</v>
      </c>
      <c r="J1070" s="2">
        <v>50</v>
      </c>
      <c r="K1070" s="3">
        <v>-100000</v>
      </c>
      <c r="L1070" s="2" t="s">
        <v>26</v>
      </c>
      <c r="M1070" s="3">
        <v>-100000</v>
      </c>
      <c r="N1070" s="2" t="s">
        <v>26</v>
      </c>
      <c r="R1070" s="2" t="s">
        <v>27</v>
      </c>
      <c r="S1070" s="2" t="s">
        <v>1595</v>
      </c>
      <c r="T1070" s="2" t="s">
        <v>67</v>
      </c>
      <c r="U1070" s="2" t="s">
        <v>98</v>
      </c>
      <c r="V1070" s="4">
        <f>+VLOOKUP(U1070,'FBCJ Jul-Des 2025'!$G$10:$P$1302,8,0)</f>
        <v>70106100</v>
      </c>
      <c r="W1070" s="4" t="str">
        <f>+VLOOKUP(V1070,Sheet1!$A$2:$B$27,2,0)</f>
        <v>Biaya Transportasi Lokal</v>
      </c>
      <c r="X1070" s="4" t="str">
        <f>+VLOOKUP(U1070,'FBCJ Jul-Des 2025'!$G$10:$P$1302,9,0)</f>
        <v>R124D1HRGA</v>
      </c>
      <c r="Y1070" s="2" t="s">
        <v>43</v>
      </c>
      <c r="Z1070" s="2">
        <v>1880288</v>
      </c>
      <c r="AA1070" s="2">
        <v>20251203</v>
      </c>
      <c r="AB1070" s="3">
        <v>100000</v>
      </c>
    </row>
    <row r="1071" spans="3:28" x14ac:dyDescent="0.25">
      <c r="C1071" s="2">
        <v>10000001</v>
      </c>
      <c r="D1071" s="2" t="s">
        <v>1565</v>
      </c>
      <c r="F1071" s="2">
        <v>12010060</v>
      </c>
      <c r="H1071" s="2" t="s">
        <v>1565</v>
      </c>
      <c r="I1071" s="2" t="str">
        <f t="shared" si="16"/>
        <v>12</v>
      </c>
      <c r="J1071" s="2">
        <v>50</v>
      </c>
      <c r="K1071" s="3">
        <v>-50000</v>
      </c>
      <c r="L1071" s="2" t="s">
        <v>26</v>
      </c>
      <c r="M1071" s="3">
        <v>-50000</v>
      </c>
      <c r="N1071" s="2" t="s">
        <v>26</v>
      </c>
      <c r="R1071" s="2" t="s">
        <v>27</v>
      </c>
      <c r="S1071" s="2" t="s">
        <v>1597</v>
      </c>
      <c r="T1071" s="2" t="s">
        <v>126</v>
      </c>
      <c r="U1071" s="2" t="s">
        <v>1598</v>
      </c>
      <c r="V1071" s="4">
        <f>+VLOOKUP(U1071,'FBCJ Jul-Des 2025'!$G$10:$P$1302,8,0)</f>
        <v>70107600</v>
      </c>
      <c r="W1071" s="4" t="str">
        <f>+VLOOKUP(V1071,Sheet1!$A$2:$B$27,2,0)</f>
        <v>Biaya Konsumsi Kantor</v>
      </c>
      <c r="X1071" s="4" t="str">
        <f>+VLOOKUP(U1071,'FBCJ Jul-Des 2025'!$G$10:$P$1302,9,0)</f>
        <v>R124MNT</v>
      </c>
      <c r="Y1071" s="2" t="s">
        <v>43</v>
      </c>
      <c r="Z1071" s="2">
        <v>1880288</v>
      </c>
      <c r="AA1071" s="2">
        <v>20251203</v>
      </c>
      <c r="AB1071" s="3">
        <v>50000</v>
      </c>
    </row>
    <row r="1072" spans="3:28" x14ac:dyDescent="0.25">
      <c r="C1072" s="2">
        <v>10000001</v>
      </c>
      <c r="D1072" s="2" t="s">
        <v>1565</v>
      </c>
      <c r="F1072" s="2">
        <v>12010061</v>
      </c>
      <c r="H1072" s="2" t="s">
        <v>1565</v>
      </c>
      <c r="I1072" s="2" t="str">
        <f t="shared" si="16"/>
        <v>12</v>
      </c>
      <c r="J1072" s="2">
        <v>50</v>
      </c>
      <c r="K1072" s="3">
        <v>-650000</v>
      </c>
      <c r="L1072" s="2" t="s">
        <v>26</v>
      </c>
      <c r="M1072" s="3">
        <v>-650000</v>
      </c>
      <c r="N1072" s="2" t="s">
        <v>26</v>
      </c>
      <c r="R1072" s="2" t="s">
        <v>27</v>
      </c>
      <c r="S1072" s="2" t="s">
        <v>1599</v>
      </c>
      <c r="T1072" s="2" t="s">
        <v>57</v>
      </c>
      <c r="U1072" s="2" t="s">
        <v>1581</v>
      </c>
      <c r="V1072" s="4">
        <f>+VLOOKUP(U1072,'FBCJ Jul-Des 2025'!$G$10:$P$1302,8,0)</f>
        <v>70101202</v>
      </c>
      <c r="W1072" s="4" t="str">
        <f>+VLOOKUP(V1072,Sheet1!$A$2:$B$27,2,0)</f>
        <v>By Pemeliharaan Kend,ABerat,Mesin-Material Pihak3</v>
      </c>
      <c r="X1072" s="4" t="str">
        <f>+VLOOKUP(U1072,'FBCJ Jul-Des 2025'!$G$10:$P$1302,9,0)</f>
        <v>R124REF</v>
      </c>
      <c r="Y1072" s="2" t="s">
        <v>43</v>
      </c>
      <c r="Z1072" s="2">
        <v>1880288</v>
      </c>
      <c r="AA1072" s="2">
        <v>20251203</v>
      </c>
      <c r="AB1072" s="3">
        <v>650000</v>
      </c>
    </row>
    <row r="1073" spans="3:28" x14ac:dyDescent="0.25">
      <c r="C1073" s="2">
        <v>10000001</v>
      </c>
      <c r="D1073" s="2" t="s">
        <v>1600</v>
      </c>
      <c r="F1073" s="2">
        <v>12010062</v>
      </c>
      <c r="H1073" s="2" t="s">
        <v>1600</v>
      </c>
      <c r="I1073" s="2" t="str">
        <f t="shared" si="16"/>
        <v>12</v>
      </c>
      <c r="J1073" s="2">
        <v>50</v>
      </c>
      <c r="K1073" s="3">
        <v>-50000</v>
      </c>
      <c r="L1073" s="2" t="s">
        <v>26</v>
      </c>
      <c r="M1073" s="3">
        <v>-50000</v>
      </c>
      <c r="N1073" s="2" t="s">
        <v>26</v>
      </c>
      <c r="R1073" s="2" t="s">
        <v>27</v>
      </c>
      <c r="S1073" s="2" t="s">
        <v>1601</v>
      </c>
      <c r="T1073" s="2" t="s">
        <v>334</v>
      </c>
      <c r="U1073" s="2" t="s">
        <v>1602</v>
      </c>
      <c r="V1073" s="4">
        <f>+VLOOKUP(U1073,'FBCJ Jul-Des 2025'!$G$10:$P$1302,8,0)</f>
        <v>70001110</v>
      </c>
      <c r="W1073" s="4" t="str">
        <f>+VLOOKUP(V1073,Sheet1!$A$2:$B$27,2,0)</f>
        <v>Biaya Ekspor lainnya</v>
      </c>
      <c r="X1073" s="4" t="str">
        <f>+VLOOKUP(U1073,'FBCJ Jul-Des 2025'!$G$10:$P$1302,9,0)</f>
        <v>P206D1SLSS</v>
      </c>
      <c r="Y1073" s="2" t="s">
        <v>43</v>
      </c>
      <c r="Z1073" s="2">
        <v>1880288</v>
      </c>
      <c r="AA1073" s="2">
        <v>20251205</v>
      </c>
      <c r="AB1073" s="3">
        <v>50000</v>
      </c>
    </row>
    <row r="1074" spans="3:28" x14ac:dyDescent="0.25">
      <c r="C1074" s="2">
        <v>10000001</v>
      </c>
      <c r="D1074" s="2" t="s">
        <v>1600</v>
      </c>
      <c r="F1074" s="2">
        <v>12010063</v>
      </c>
      <c r="H1074" s="2" t="s">
        <v>1600</v>
      </c>
      <c r="I1074" s="2" t="str">
        <f t="shared" si="16"/>
        <v>12</v>
      </c>
      <c r="J1074" s="2">
        <v>50</v>
      </c>
      <c r="K1074" s="3">
        <v>-50000</v>
      </c>
      <c r="L1074" s="2" t="s">
        <v>26</v>
      </c>
      <c r="M1074" s="3">
        <v>-50000</v>
      </c>
      <c r="N1074" s="2" t="s">
        <v>26</v>
      </c>
      <c r="R1074" s="2" t="s">
        <v>27</v>
      </c>
      <c r="S1074" s="2" t="s">
        <v>1601</v>
      </c>
      <c r="T1074" s="2" t="s">
        <v>334</v>
      </c>
      <c r="U1074" s="2" t="s">
        <v>1603</v>
      </c>
      <c r="V1074" s="4">
        <f>+VLOOKUP(U1074,'FBCJ Jul-Des 2025'!$G$10:$P$1302,8,0)</f>
        <v>70001110</v>
      </c>
      <c r="W1074" s="4" t="str">
        <f>+VLOOKUP(V1074,Sheet1!$A$2:$B$27,2,0)</f>
        <v>Biaya Ekspor lainnya</v>
      </c>
      <c r="X1074" s="4" t="str">
        <f>+VLOOKUP(U1074,'FBCJ Jul-Des 2025'!$G$10:$P$1302,9,0)</f>
        <v>P206D1SLSS</v>
      </c>
      <c r="Y1074" s="2" t="s">
        <v>43</v>
      </c>
      <c r="Z1074" s="2">
        <v>1880288</v>
      </c>
      <c r="AA1074" s="2">
        <v>20251205</v>
      </c>
      <c r="AB1074" s="3">
        <v>50000</v>
      </c>
    </row>
    <row r="1075" spans="3:28" x14ac:dyDescent="0.25">
      <c r="C1075" s="2">
        <v>10000001</v>
      </c>
      <c r="D1075" s="2" t="s">
        <v>1600</v>
      </c>
      <c r="F1075" s="2">
        <v>12010064</v>
      </c>
      <c r="H1075" s="2" t="s">
        <v>1600</v>
      </c>
      <c r="I1075" s="2" t="str">
        <f t="shared" si="16"/>
        <v>12</v>
      </c>
      <c r="J1075" s="2">
        <v>50</v>
      </c>
      <c r="K1075" s="3">
        <v>-580000</v>
      </c>
      <c r="L1075" s="2" t="s">
        <v>26</v>
      </c>
      <c r="M1075" s="3">
        <v>-580000</v>
      </c>
      <c r="N1075" s="2" t="s">
        <v>26</v>
      </c>
      <c r="R1075" s="2" t="s">
        <v>27</v>
      </c>
      <c r="S1075" s="2" t="s">
        <v>1604</v>
      </c>
      <c r="T1075" s="2" t="s">
        <v>96</v>
      </c>
      <c r="U1075" s="2" t="s">
        <v>1605</v>
      </c>
      <c r="V1075" s="4">
        <f>+VLOOKUP(U1075,'FBCJ Jul-Des 2025'!$G$10:$P$1302,8,0)</f>
        <v>70106400</v>
      </c>
      <c r="W1075" s="4" t="str">
        <f>+VLOOKUP(V1075,Sheet1!$A$2:$B$27,2,0)</f>
        <v>Biaya Bahan Bakar</v>
      </c>
      <c r="X1075" s="4" t="str">
        <f>+VLOOKUP(U1075,'FBCJ Jul-Des 2025'!$G$10:$P$1302,9,0)</f>
        <v>R124D1HRGA</v>
      </c>
      <c r="Y1075" s="2" t="s">
        <v>43</v>
      </c>
      <c r="Z1075" s="2">
        <v>1880288</v>
      </c>
      <c r="AA1075" s="2">
        <v>20251205</v>
      </c>
      <c r="AB1075" s="3">
        <v>580000</v>
      </c>
    </row>
    <row r="1076" spans="3:28" x14ac:dyDescent="0.25">
      <c r="C1076" s="2">
        <v>10000001</v>
      </c>
      <c r="D1076" s="2" t="s">
        <v>1600</v>
      </c>
      <c r="F1076" s="2">
        <v>12010065</v>
      </c>
      <c r="H1076" s="2" t="s">
        <v>1600</v>
      </c>
      <c r="I1076" s="2" t="str">
        <f t="shared" si="16"/>
        <v>12</v>
      </c>
      <c r="J1076" s="2">
        <v>50</v>
      </c>
      <c r="K1076" s="3">
        <v>-420000</v>
      </c>
      <c r="L1076" s="2" t="s">
        <v>26</v>
      </c>
      <c r="M1076" s="3">
        <v>-420000</v>
      </c>
      <c r="N1076" s="2" t="s">
        <v>26</v>
      </c>
      <c r="R1076" s="2" t="s">
        <v>27</v>
      </c>
      <c r="S1076" s="2" t="s">
        <v>1604</v>
      </c>
      <c r="T1076" s="2" t="s">
        <v>67</v>
      </c>
      <c r="U1076" s="2" t="s">
        <v>98</v>
      </c>
      <c r="V1076" s="4">
        <f>+VLOOKUP(U1076,'FBCJ Jul-Des 2025'!$G$10:$P$1302,8,0)</f>
        <v>70106100</v>
      </c>
      <c r="W1076" s="4" t="str">
        <f>+VLOOKUP(V1076,Sheet1!$A$2:$B$27,2,0)</f>
        <v>Biaya Transportasi Lokal</v>
      </c>
      <c r="X1076" s="4" t="str">
        <f>+VLOOKUP(U1076,'FBCJ Jul-Des 2025'!$G$10:$P$1302,9,0)</f>
        <v>R124D1HRGA</v>
      </c>
      <c r="Y1076" s="2" t="s">
        <v>43</v>
      </c>
      <c r="Z1076" s="2">
        <v>1880288</v>
      </c>
      <c r="AA1076" s="2">
        <v>20251205</v>
      </c>
      <c r="AB1076" s="3">
        <v>420000</v>
      </c>
    </row>
    <row r="1077" spans="3:28" x14ac:dyDescent="0.25">
      <c r="C1077" s="2">
        <v>10000001</v>
      </c>
      <c r="D1077" s="2" t="s">
        <v>1600</v>
      </c>
      <c r="F1077" s="2">
        <v>12010066</v>
      </c>
      <c r="H1077" s="2" t="s">
        <v>1600</v>
      </c>
      <c r="I1077" s="2" t="str">
        <f t="shared" si="16"/>
        <v>12</v>
      </c>
      <c r="J1077" s="2">
        <v>50</v>
      </c>
      <c r="K1077" s="3">
        <v>-175000</v>
      </c>
      <c r="L1077" s="2" t="s">
        <v>26</v>
      </c>
      <c r="M1077" s="3">
        <v>-175000</v>
      </c>
      <c r="N1077" s="2" t="s">
        <v>26</v>
      </c>
      <c r="R1077" s="2" t="s">
        <v>27</v>
      </c>
      <c r="S1077" s="2" t="s">
        <v>1606</v>
      </c>
      <c r="T1077" s="2" t="s">
        <v>126</v>
      </c>
      <c r="U1077" s="2" t="s">
        <v>1607</v>
      </c>
      <c r="V1077" s="4">
        <f>+VLOOKUP(U1077,'FBCJ Jul-Des 2025'!$G$10:$P$1302,8,0)</f>
        <v>70107600</v>
      </c>
      <c r="W1077" s="4" t="str">
        <f>+VLOOKUP(V1077,Sheet1!$A$2:$B$27,2,0)</f>
        <v>Biaya Konsumsi Kantor</v>
      </c>
      <c r="X1077" s="4" t="str">
        <f>+VLOOKUP(U1077,'FBCJ Jul-Des 2025'!$G$10:$P$1302,9,0)</f>
        <v>R124WHFSB</v>
      </c>
      <c r="Y1077" s="2" t="s">
        <v>43</v>
      </c>
      <c r="Z1077" s="2">
        <v>1880288</v>
      </c>
      <c r="AA1077" s="2">
        <v>20251205</v>
      </c>
      <c r="AB1077" s="3">
        <v>175000</v>
      </c>
    </row>
    <row r="1078" spans="3:28" x14ac:dyDescent="0.25">
      <c r="C1078" s="2">
        <v>10000001</v>
      </c>
      <c r="D1078" s="2" t="s">
        <v>1600</v>
      </c>
      <c r="F1078" s="2">
        <v>12010067</v>
      </c>
      <c r="H1078" s="2" t="s">
        <v>1600</v>
      </c>
      <c r="I1078" s="2" t="str">
        <f t="shared" si="16"/>
        <v>12</v>
      </c>
      <c r="J1078" s="2">
        <v>50</v>
      </c>
      <c r="K1078" s="3">
        <v>-201100</v>
      </c>
      <c r="L1078" s="2" t="s">
        <v>26</v>
      </c>
      <c r="M1078" s="3">
        <v>-201100</v>
      </c>
      <c r="N1078" s="2" t="s">
        <v>26</v>
      </c>
      <c r="R1078" s="2" t="s">
        <v>27</v>
      </c>
      <c r="S1078" s="2" t="s">
        <v>1608</v>
      </c>
      <c r="T1078" s="2" t="s">
        <v>59</v>
      </c>
      <c r="U1078" s="2" t="s">
        <v>1609</v>
      </c>
      <c r="V1078" s="4">
        <f>+VLOOKUP(U1078,'FBCJ Jul-Des 2025'!$G$10:$P$1302,8,0)</f>
        <v>70101114</v>
      </c>
      <c r="W1078" s="4" t="str">
        <f>+VLOOKUP(V1078,Sheet1!$A$2:$B$27,2,0)</f>
        <v>By Perbaikan &amp; Perawatan Perabot Material Pihak3</v>
      </c>
      <c r="X1078" s="4" t="str">
        <f>+VLOOKUP(U1078,'FBCJ Jul-Des 2025'!$G$10:$P$1302,9,0)</f>
        <v>R124FPO</v>
      </c>
      <c r="Y1078" s="2" t="s">
        <v>43</v>
      </c>
      <c r="Z1078" s="2">
        <v>1880288</v>
      </c>
      <c r="AA1078" s="2">
        <v>20251205</v>
      </c>
      <c r="AB1078" s="3">
        <v>201100</v>
      </c>
    </row>
    <row r="1079" spans="3:28" x14ac:dyDescent="0.25">
      <c r="C1079" s="2">
        <v>10000001</v>
      </c>
      <c r="D1079" s="2" t="s">
        <v>1600</v>
      </c>
      <c r="F1079" s="2">
        <v>12010068</v>
      </c>
      <c r="H1079" s="2" t="s">
        <v>1600</v>
      </c>
      <c r="I1079" s="2" t="str">
        <f t="shared" si="16"/>
        <v>12</v>
      </c>
      <c r="J1079" s="2">
        <v>50</v>
      </c>
      <c r="K1079" s="3">
        <v>-215000</v>
      </c>
      <c r="L1079" s="2" t="s">
        <v>26</v>
      </c>
      <c r="M1079" s="3">
        <v>-215000</v>
      </c>
      <c r="N1079" s="2" t="s">
        <v>26</v>
      </c>
      <c r="R1079" s="2" t="s">
        <v>27</v>
      </c>
      <c r="S1079" s="2" t="s">
        <v>1608</v>
      </c>
      <c r="T1079" s="2" t="s">
        <v>57</v>
      </c>
      <c r="U1079" s="2" t="s">
        <v>1610</v>
      </c>
      <c r="V1079" s="4">
        <f>+VLOOKUP(U1079,'FBCJ Jul-Des 2025'!$G$10:$P$1302,8,0)</f>
        <v>70101202</v>
      </c>
      <c r="W1079" s="4" t="str">
        <f>+VLOOKUP(V1079,Sheet1!$A$2:$B$27,2,0)</f>
        <v>By Pemeliharaan Kend,ABerat,Mesin-Material Pihak3</v>
      </c>
      <c r="X1079" s="4" t="str">
        <f>+VLOOKUP(U1079,'FBCJ Jul-Des 2025'!$G$10:$P$1302,9,0)</f>
        <v>R124FPO</v>
      </c>
      <c r="Y1079" s="2" t="s">
        <v>43</v>
      </c>
      <c r="Z1079" s="2">
        <v>1880288</v>
      </c>
      <c r="AA1079" s="2">
        <v>20251205</v>
      </c>
      <c r="AB1079" s="3">
        <v>215000</v>
      </c>
    </row>
    <row r="1080" spans="3:28" x14ac:dyDescent="0.25">
      <c r="C1080" s="2">
        <v>10000001</v>
      </c>
      <c r="D1080" s="2" t="s">
        <v>1600</v>
      </c>
      <c r="F1080" s="2">
        <v>12010069</v>
      </c>
      <c r="H1080" s="2" t="s">
        <v>1600</v>
      </c>
      <c r="I1080" s="2" t="str">
        <f t="shared" si="16"/>
        <v>12</v>
      </c>
      <c r="J1080" s="2">
        <v>50</v>
      </c>
      <c r="K1080" s="3">
        <v>-239480</v>
      </c>
      <c r="L1080" s="2" t="s">
        <v>26</v>
      </c>
      <c r="M1080" s="3">
        <v>-239480</v>
      </c>
      <c r="N1080" s="2" t="s">
        <v>26</v>
      </c>
      <c r="R1080" s="2" t="s">
        <v>27</v>
      </c>
      <c r="S1080" s="2" t="s">
        <v>1611</v>
      </c>
      <c r="T1080" s="2" t="s">
        <v>41</v>
      </c>
      <c r="U1080" s="2" t="s">
        <v>1612</v>
      </c>
      <c r="V1080" s="4">
        <f>+VLOOKUP(U1080,'FBCJ Jul-Des 2025'!$G$10:$P$1302,8,0)</f>
        <v>70107300</v>
      </c>
      <c r="W1080" s="4" t="str">
        <f>+VLOOKUP(V1080,Sheet1!$A$2:$B$27,2,0)</f>
        <v>Biaya Olahraga Dan Permainan</v>
      </c>
      <c r="X1080" s="4" t="str">
        <f>+VLOOKUP(U1080,'FBCJ Jul-Des 2025'!$G$10:$P$1302,9,0)</f>
        <v>R124D1HRDV</v>
      </c>
      <c r="Y1080" s="2" t="s">
        <v>43</v>
      </c>
      <c r="Z1080" s="2">
        <v>1880288</v>
      </c>
      <c r="AA1080" s="2">
        <v>20251205</v>
      </c>
      <c r="AB1080" s="3">
        <v>239480</v>
      </c>
    </row>
    <row r="1081" spans="3:28" x14ac:dyDescent="0.25">
      <c r="C1081" s="2">
        <v>10000001</v>
      </c>
      <c r="D1081" s="2" t="s">
        <v>1600</v>
      </c>
      <c r="F1081" s="2">
        <v>12010070</v>
      </c>
      <c r="H1081" s="2" t="s">
        <v>1600</v>
      </c>
      <c r="I1081" s="2" t="str">
        <f t="shared" si="16"/>
        <v>12</v>
      </c>
      <c r="J1081" s="2">
        <v>50</v>
      </c>
      <c r="K1081" s="3">
        <v>-700000</v>
      </c>
      <c r="L1081" s="2" t="s">
        <v>26</v>
      </c>
      <c r="M1081" s="3">
        <v>-700000</v>
      </c>
      <c r="N1081" s="2" t="s">
        <v>26</v>
      </c>
      <c r="R1081" s="2" t="s">
        <v>27</v>
      </c>
      <c r="S1081" s="2" t="s">
        <v>1613</v>
      </c>
      <c r="T1081" s="2" t="s">
        <v>96</v>
      </c>
      <c r="U1081" s="2" t="s">
        <v>1614</v>
      </c>
      <c r="V1081" s="4">
        <f>+VLOOKUP(U1081,'FBCJ Jul-Des 2025'!$G$10:$P$1302,8,0)</f>
        <v>70106400</v>
      </c>
      <c r="W1081" s="4" t="str">
        <f>+VLOOKUP(V1081,Sheet1!$A$2:$B$27,2,0)</f>
        <v>Biaya Bahan Bakar</v>
      </c>
      <c r="X1081" s="4" t="str">
        <f>+VLOOKUP(U1081,'FBCJ Jul-Des 2025'!$G$10:$P$1302,9,0)</f>
        <v>R124D1HRGA</v>
      </c>
      <c r="Y1081" s="2" t="s">
        <v>43</v>
      </c>
      <c r="Z1081" s="2">
        <v>1880288</v>
      </c>
      <c r="AA1081" s="2">
        <v>20251205</v>
      </c>
      <c r="AB1081" s="3">
        <v>700000</v>
      </c>
    </row>
    <row r="1082" spans="3:28" x14ac:dyDescent="0.25">
      <c r="C1082" s="2">
        <v>10000001</v>
      </c>
      <c r="D1082" s="2" t="s">
        <v>1600</v>
      </c>
      <c r="F1082" s="2">
        <v>12010071</v>
      </c>
      <c r="H1082" s="2" t="s">
        <v>1600</v>
      </c>
      <c r="I1082" s="2" t="str">
        <f t="shared" si="16"/>
        <v>12</v>
      </c>
      <c r="J1082" s="2">
        <v>50</v>
      </c>
      <c r="K1082" s="3">
        <v>-300000</v>
      </c>
      <c r="L1082" s="2" t="s">
        <v>26</v>
      </c>
      <c r="M1082" s="3">
        <v>-300000</v>
      </c>
      <c r="N1082" s="2" t="s">
        <v>26</v>
      </c>
      <c r="R1082" s="2" t="s">
        <v>27</v>
      </c>
      <c r="S1082" s="2" t="s">
        <v>1613</v>
      </c>
      <c r="T1082" s="2" t="s">
        <v>67</v>
      </c>
      <c r="U1082" s="2" t="s">
        <v>98</v>
      </c>
      <c r="V1082" s="4">
        <f>+VLOOKUP(U1082,'FBCJ Jul-Des 2025'!$G$10:$P$1302,8,0)</f>
        <v>70106100</v>
      </c>
      <c r="W1082" s="4" t="str">
        <f>+VLOOKUP(V1082,Sheet1!$A$2:$B$27,2,0)</f>
        <v>Biaya Transportasi Lokal</v>
      </c>
      <c r="X1082" s="4" t="str">
        <f>+VLOOKUP(U1082,'FBCJ Jul-Des 2025'!$G$10:$P$1302,9,0)</f>
        <v>R124D1HRGA</v>
      </c>
      <c r="Y1082" s="2" t="s">
        <v>43</v>
      </c>
      <c r="Z1082" s="2">
        <v>1880288</v>
      </c>
      <c r="AA1082" s="2">
        <v>20251205</v>
      </c>
      <c r="AB1082" s="3">
        <v>300000</v>
      </c>
    </row>
    <row r="1083" spans="3:28" x14ac:dyDescent="0.25">
      <c r="C1083" s="2">
        <v>10000001</v>
      </c>
      <c r="D1083" s="2" t="s">
        <v>1600</v>
      </c>
      <c r="F1083" s="2">
        <v>12010072</v>
      </c>
      <c r="H1083" s="2" t="s">
        <v>1600</v>
      </c>
      <c r="I1083" s="2" t="str">
        <f t="shared" si="16"/>
        <v>12</v>
      </c>
      <c r="J1083" s="2">
        <v>50</v>
      </c>
      <c r="K1083" s="3">
        <v>-150000</v>
      </c>
      <c r="L1083" s="2" t="s">
        <v>26</v>
      </c>
      <c r="M1083" s="3">
        <v>-150000</v>
      </c>
      <c r="N1083" s="2" t="s">
        <v>26</v>
      </c>
      <c r="R1083" s="2" t="s">
        <v>27</v>
      </c>
      <c r="S1083" s="2" t="s">
        <v>1615</v>
      </c>
      <c r="T1083" s="2" t="s">
        <v>96</v>
      </c>
      <c r="U1083" s="2" t="s">
        <v>1616</v>
      </c>
      <c r="V1083" s="4">
        <f>+VLOOKUP(U1083,'FBCJ Jul-Des 2025'!$G$10:$P$1302,8,0)</f>
        <v>70106400</v>
      </c>
      <c r="W1083" s="4" t="str">
        <f>+VLOOKUP(V1083,Sheet1!$A$2:$B$27,2,0)</f>
        <v>Biaya Bahan Bakar</v>
      </c>
      <c r="X1083" s="4" t="str">
        <f>+VLOOKUP(U1083,'FBCJ Jul-Des 2025'!$G$10:$P$1302,9,0)</f>
        <v>R124D1HRGA</v>
      </c>
      <c r="Y1083" s="2" t="s">
        <v>43</v>
      </c>
      <c r="Z1083" s="2">
        <v>1880288</v>
      </c>
      <c r="AA1083" s="2">
        <v>20251205</v>
      </c>
      <c r="AB1083" s="3">
        <v>150000</v>
      </c>
    </row>
    <row r="1084" spans="3:28" x14ac:dyDescent="0.25">
      <c r="C1084" s="2">
        <v>10000001</v>
      </c>
      <c r="D1084" s="2" t="s">
        <v>1600</v>
      </c>
      <c r="F1084" s="2">
        <v>12010073</v>
      </c>
      <c r="H1084" s="2" t="s">
        <v>1600</v>
      </c>
      <c r="I1084" s="2" t="str">
        <f t="shared" si="16"/>
        <v>12</v>
      </c>
      <c r="J1084" s="2">
        <v>50</v>
      </c>
      <c r="K1084" s="3">
        <v>-850000</v>
      </c>
      <c r="L1084" s="2" t="s">
        <v>26</v>
      </c>
      <c r="M1084" s="3">
        <v>-850000</v>
      </c>
      <c r="N1084" s="2" t="s">
        <v>26</v>
      </c>
      <c r="R1084" s="2" t="s">
        <v>27</v>
      </c>
      <c r="S1084" s="2" t="s">
        <v>1615</v>
      </c>
      <c r="T1084" s="2" t="s">
        <v>67</v>
      </c>
      <c r="U1084" s="2" t="s">
        <v>98</v>
      </c>
      <c r="V1084" s="4">
        <f>+VLOOKUP(U1084,'FBCJ Jul-Des 2025'!$G$10:$P$1302,8,0)</f>
        <v>70106100</v>
      </c>
      <c r="W1084" s="4" t="str">
        <f>+VLOOKUP(V1084,Sheet1!$A$2:$B$27,2,0)</f>
        <v>Biaya Transportasi Lokal</v>
      </c>
      <c r="X1084" s="4" t="str">
        <f>+VLOOKUP(U1084,'FBCJ Jul-Des 2025'!$G$10:$P$1302,9,0)</f>
        <v>R124D1HRGA</v>
      </c>
      <c r="Y1084" s="2" t="s">
        <v>43</v>
      </c>
      <c r="Z1084" s="2">
        <v>1880288</v>
      </c>
      <c r="AA1084" s="2">
        <v>20251205</v>
      </c>
      <c r="AB1084" s="3">
        <v>850000</v>
      </c>
    </row>
    <row r="1085" spans="3:28" x14ac:dyDescent="0.25">
      <c r="C1085" s="2">
        <v>10000001</v>
      </c>
      <c r="D1085" s="2" t="s">
        <v>1600</v>
      </c>
      <c r="F1085" s="2">
        <v>12010074</v>
      </c>
      <c r="H1085" s="2" t="s">
        <v>1600</v>
      </c>
      <c r="I1085" s="2" t="str">
        <f t="shared" si="16"/>
        <v>12</v>
      </c>
      <c r="J1085" s="2">
        <v>50</v>
      </c>
      <c r="K1085" s="3">
        <v>-775080</v>
      </c>
      <c r="L1085" s="2" t="s">
        <v>26</v>
      </c>
      <c r="M1085" s="3">
        <v>-775080</v>
      </c>
      <c r="N1085" s="2" t="s">
        <v>26</v>
      </c>
      <c r="R1085" s="2" t="s">
        <v>27</v>
      </c>
      <c r="S1085" s="2" t="s">
        <v>1617</v>
      </c>
      <c r="T1085" s="2" t="s">
        <v>59</v>
      </c>
      <c r="U1085" s="2" t="s">
        <v>1618</v>
      </c>
      <c r="V1085" s="4">
        <f>+VLOOKUP(U1085,'FBCJ Jul-Des 2025'!$G$10:$P$1302,8,0)</f>
        <v>70101114</v>
      </c>
      <c r="W1085" s="4" t="str">
        <f>+VLOOKUP(V1085,Sheet1!$A$2:$B$27,2,0)</f>
        <v>By Perbaikan &amp; Perawatan Perabot Material Pihak3</v>
      </c>
      <c r="X1085" s="4" t="str">
        <f>+VLOOKUP(U1085,'FBCJ Jul-Des 2025'!$G$10:$P$1302,9,0)</f>
        <v>R124STTRK</v>
      </c>
      <c r="Y1085" s="2" t="s">
        <v>43</v>
      </c>
      <c r="Z1085" s="2">
        <v>1880288</v>
      </c>
      <c r="AA1085" s="2">
        <v>20251205</v>
      </c>
      <c r="AB1085" s="3">
        <v>775080</v>
      </c>
    </row>
    <row r="1086" spans="3:28" x14ac:dyDescent="0.25">
      <c r="C1086" s="2">
        <v>10000001</v>
      </c>
      <c r="D1086" s="2" t="s">
        <v>1600</v>
      </c>
      <c r="F1086" s="2">
        <v>12010075</v>
      </c>
      <c r="H1086" s="2" t="s">
        <v>1600</v>
      </c>
      <c r="I1086" s="2" t="str">
        <f t="shared" si="16"/>
        <v>12</v>
      </c>
      <c r="J1086" s="2">
        <v>50</v>
      </c>
      <c r="K1086" s="3">
        <v>-809460</v>
      </c>
      <c r="L1086" s="2" t="s">
        <v>26</v>
      </c>
      <c r="M1086" s="3">
        <v>-809460</v>
      </c>
      <c r="N1086" s="2" t="s">
        <v>26</v>
      </c>
      <c r="R1086" s="2" t="s">
        <v>27</v>
      </c>
      <c r="S1086" s="2" t="s">
        <v>1619</v>
      </c>
      <c r="T1086" s="2" t="s">
        <v>59</v>
      </c>
      <c r="U1086" s="2" t="s">
        <v>1620</v>
      </c>
      <c r="V1086" s="4">
        <f>+VLOOKUP(U1086,'FBCJ Jul-Des 2025'!$G$10:$P$1302,8,0)</f>
        <v>70101114</v>
      </c>
      <c r="W1086" s="4" t="str">
        <f>+VLOOKUP(V1086,Sheet1!$A$2:$B$27,2,0)</f>
        <v>By Perbaikan &amp; Perawatan Perabot Material Pihak3</v>
      </c>
      <c r="X1086" s="4" t="str">
        <f>+VLOOKUP(U1086,'FBCJ Jul-Des 2025'!$G$10:$P$1302,9,0)</f>
        <v>R124TCP</v>
      </c>
      <c r="Y1086" s="2" t="s">
        <v>43</v>
      </c>
      <c r="Z1086" s="2">
        <v>1880288</v>
      </c>
      <c r="AA1086" s="2">
        <v>20251205</v>
      </c>
      <c r="AB1086" s="3">
        <v>809460</v>
      </c>
    </row>
    <row r="1087" spans="3:28" x14ac:dyDescent="0.25">
      <c r="C1087" s="2">
        <v>10000001</v>
      </c>
      <c r="D1087" s="2" t="s">
        <v>1600</v>
      </c>
      <c r="F1087" s="2">
        <v>12010076</v>
      </c>
      <c r="H1087" s="2" t="s">
        <v>1600</v>
      </c>
      <c r="I1087" s="2" t="str">
        <f t="shared" si="16"/>
        <v>12</v>
      </c>
      <c r="J1087" s="2">
        <v>50</v>
      </c>
      <c r="K1087" s="3">
        <v>-50000</v>
      </c>
      <c r="L1087" s="2" t="s">
        <v>26</v>
      </c>
      <c r="M1087" s="3">
        <v>-50000</v>
      </c>
      <c r="N1087" s="2" t="s">
        <v>26</v>
      </c>
      <c r="R1087" s="2" t="s">
        <v>27</v>
      </c>
      <c r="S1087" s="2" t="s">
        <v>1621</v>
      </c>
      <c r="T1087" s="2" t="s">
        <v>334</v>
      </c>
      <c r="U1087" s="2" t="s">
        <v>1622</v>
      </c>
      <c r="V1087" s="4">
        <f>+VLOOKUP(U1087,'FBCJ Jul-Des 2025'!$G$10:$P$1302,8,0)</f>
        <v>70001110</v>
      </c>
      <c r="W1087" s="4" t="str">
        <f>+VLOOKUP(V1087,Sheet1!$A$2:$B$27,2,0)</f>
        <v>Biaya Ekspor lainnya</v>
      </c>
      <c r="X1087" s="4" t="str">
        <f>+VLOOKUP(U1087,'FBCJ Jul-Des 2025'!$G$10:$P$1302,9,0)</f>
        <v>P206D1SLSC</v>
      </c>
      <c r="Y1087" s="2" t="s">
        <v>43</v>
      </c>
      <c r="Z1087" s="2">
        <v>1880288</v>
      </c>
      <c r="AA1087" s="2">
        <v>20251205</v>
      </c>
      <c r="AB1087" s="3">
        <v>50000</v>
      </c>
    </row>
    <row r="1088" spans="3:28" x14ac:dyDescent="0.25">
      <c r="C1088" s="2">
        <v>10000001</v>
      </c>
      <c r="D1088" s="2" t="s">
        <v>1600</v>
      </c>
      <c r="F1088" s="2">
        <v>12010077</v>
      </c>
      <c r="H1088" s="2" t="s">
        <v>1600</v>
      </c>
      <c r="I1088" s="2" t="str">
        <f t="shared" si="16"/>
        <v>12</v>
      </c>
      <c r="J1088" s="2">
        <v>50</v>
      </c>
      <c r="K1088" s="3">
        <v>-50000</v>
      </c>
      <c r="L1088" s="2" t="s">
        <v>26</v>
      </c>
      <c r="M1088" s="3">
        <v>-50000</v>
      </c>
      <c r="N1088" s="2" t="s">
        <v>26</v>
      </c>
      <c r="R1088" s="2" t="s">
        <v>27</v>
      </c>
      <c r="S1088" s="2" t="s">
        <v>1621</v>
      </c>
      <c r="T1088" s="2" t="s">
        <v>334</v>
      </c>
      <c r="U1088" s="2" t="s">
        <v>1623</v>
      </c>
      <c r="V1088" s="4">
        <f>+VLOOKUP(U1088,'FBCJ Jul-Des 2025'!$G$10:$P$1302,8,0)</f>
        <v>70001110</v>
      </c>
      <c r="W1088" s="4" t="str">
        <f>+VLOOKUP(V1088,Sheet1!$A$2:$B$27,2,0)</f>
        <v>Biaya Ekspor lainnya</v>
      </c>
      <c r="X1088" s="4" t="str">
        <f>+VLOOKUP(U1088,'FBCJ Jul-Des 2025'!$G$10:$P$1302,9,0)</f>
        <v>C206D1SLSS</v>
      </c>
      <c r="Y1088" s="2" t="s">
        <v>43</v>
      </c>
      <c r="Z1088" s="2">
        <v>1880288</v>
      </c>
      <c r="AA1088" s="2">
        <v>20251205</v>
      </c>
      <c r="AB1088" s="3">
        <v>50000</v>
      </c>
    </row>
    <row r="1089" spans="3:28" x14ac:dyDescent="0.25">
      <c r="C1089" s="2">
        <v>10000001</v>
      </c>
      <c r="D1089" s="2" t="s">
        <v>1600</v>
      </c>
      <c r="F1089" s="2">
        <v>12010078</v>
      </c>
      <c r="H1089" s="2" t="s">
        <v>1600</v>
      </c>
      <c r="I1089" s="2" t="str">
        <f t="shared" si="16"/>
        <v>12</v>
      </c>
      <c r="J1089" s="2">
        <v>50</v>
      </c>
      <c r="K1089" s="3">
        <v>-50000</v>
      </c>
      <c r="L1089" s="2" t="s">
        <v>26</v>
      </c>
      <c r="M1089" s="3">
        <v>-50000</v>
      </c>
      <c r="N1089" s="2" t="s">
        <v>26</v>
      </c>
      <c r="R1089" s="2" t="s">
        <v>27</v>
      </c>
      <c r="S1089" s="2" t="s">
        <v>1621</v>
      </c>
      <c r="T1089" s="2" t="s">
        <v>334</v>
      </c>
      <c r="U1089" s="2" t="s">
        <v>1624</v>
      </c>
      <c r="V1089" s="4">
        <f>+VLOOKUP(U1089,'FBCJ Jul-Des 2025'!$G$10:$P$1302,8,0)</f>
        <v>70001110</v>
      </c>
      <c r="W1089" s="4" t="str">
        <f>+VLOOKUP(V1089,Sheet1!$A$2:$B$27,2,0)</f>
        <v>Biaya Ekspor lainnya</v>
      </c>
      <c r="X1089" s="4" t="str">
        <f>+VLOOKUP(U1089,'FBCJ Jul-Des 2025'!$G$10:$P$1302,9,0)</f>
        <v>C206D1SLSS</v>
      </c>
      <c r="Y1089" s="2" t="s">
        <v>43</v>
      </c>
      <c r="Z1089" s="2">
        <v>1880288</v>
      </c>
      <c r="AA1089" s="2">
        <v>20251205</v>
      </c>
      <c r="AB1089" s="3">
        <v>50000</v>
      </c>
    </row>
    <row r="1090" spans="3:28" x14ac:dyDescent="0.25">
      <c r="C1090" s="2">
        <v>10000001</v>
      </c>
      <c r="D1090" s="2" t="s">
        <v>1600</v>
      </c>
      <c r="F1090" s="2">
        <v>12010079</v>
      </c>
      <c r="H1090" s="2" t="s">
        <v>1600</v>
      </c>
      <c r="I1090" s="2" t="str">
        <f t="shared" si="16"/>
        <v>12</v>
      </c>
      <c r="J1090" s="2">
        <v>50</v>
      </c>
      <c r="K1090" s="3">
        <v>-50000</v>
      </c>
      <c r="L1090" s="2" t="s">
        <v>26</v>
      </c>
      <c r="M1090" s="3">
        <v>-50000</v>
      </c>
      <c r="N1090" s="2" t="s">
        <v>26</v>
      </c>
      <c r="R1090" s="2" t="s">
        <v>27</v>
      </c>
      <c r="S1090" s="2" t="s">
        <v>1621</v>
      </c>
      <c r="T1090" s="2" t="s">
        <v>334</v>
      </c>
      <c r="U1090" s="2" t="s">
        <v>1625</v>
      </c>
      <c r="V1090" s="4">
        <f>+VLOOKUP(U1090,'FBCJ Jul-Des 2025'!$G$10:$P$1302,8,0)</f>
        <v>70001110</v>
      </c>
      <c r="W1090" s="4" t="str">
        <f>+VLOOKUP(V1090,Sheet1!$A$2:$B$27,2,0)</f>
        <v>Biaya Ekspor lainnya</v>
      </c>
      <c r="X1090" s="4" t="str">
        <f>+VLOOKUP(U1090,'FBCJ Jul-Des 2025'!$G$10:$P$1302,9,0)</f>
        <v>P206D1SLSC</v>
      </c>
      <c r="Y1090" s="2" t="s">
        <v>43</v>
      </c>
      <c r="Z1090" s="2">
        <v>1880288</v>
      </c>
      <c r="AA1090" s="2">
        <v>20251205</v>
      </c>
      <c r="AB1090" s="3">
        <v>50000</v>
      </c>
    </row>
    <row r="1091" spans="3:28" x14ac:dyDescent="0.25">
      <c r="C1091" s="2">
        <v>10000001</v>
      </c>
      <c r="D1091" s="2" t="s">
        <v>1600</v>
      </c>
      <c r="F1091" s="2">
        <v>12010080</v>
      </c>
      <c r="H1091" s="2" t="s">
        <v>1600</v>
      </c>
      <c r="I1091" s="2" t="str">
        <f t="shared" si="16"/>
        <v>12</v>
      </c>
      <c r="J1091" s="2">
        <v>50</v>
      </c>
      <c r="K1091" s="3">
        <v>-50000</v>
      </c>
      <c r="L1091" s="2" t="s">
        <v>26</v>
      </c>
      <c r="M1091" s="3">
        <v>-50000</v>
      </c>
      <c r="N1091" s="2" t="s">
        <v>26</v>
      </c>
      <c r="R1091" s="2" t="s">
        <v>27</v>
      </c>
      <c r="S1091" s="2" t="s">
        <v>1621</v>
      </c>
      <c r="T1091" s="2" t="s">
        <v>334</v>
      </c>
      <c r="U1091" s="2" t="s">
        <v>1626</v>
      </c>
      <c r="V1091" s="4">
        <f>+VLOOKUP(U1091,'FBCJ Jul-Des 2025'!$G$10:$P$1302,8,0)</f>
        <v>70001110</v>
      </c>
      <c r="W1091" s="4" t="str">
        <f>+VLOOKUP(V1091,Sheet1!$A$2:$B$27,2,0)</f>
        <v>Biaya Ekspor lainnya</v>
      </c>
      <c r="X1091" s="4" t="str">
        <f>+VLOOKUP(U1091,'FBCJ Jul-Des 2025'!$G$10:$P$1302,9,0)</f>
        <v>M204D1COMM</v>
      </c>
      <c r="Y1091" s="2" t="s">
        <v>43</v>
      </c>
      <c r="Z1091" s="2">
        <v>1880288</v>
      </c>
      <c r="AA1091" s="2">
        <v>20251205</v>
      </c>
      <c r="AB1091" s="3">
        <v>50000</v>
      </c>
    </row>
    <row r="1092" spans="3:28" x14ac:dyDescent="0.25">
      <c r="C1092" s="2">
        <v>10000001</v>
      </c>
      <c r="D1092" s="2" t="s">
        <v>1600</v>
      </c>
      <c r="F1092" s="2">
        <v>12010081</v>
      </c>
      <c r="H1092" s="2" t="s">
        <v>1600</v>
      </c>
      <c r="I1092" s="2" t="str">
        <f t="shared" si="16"/>
        <v>12</v>
      </c>
      <c r="J1092" s="2">
        <v>50</v>
      </c>
      <c r="K1092" s="3">
        <v>-50000</v>
      </c>
      <c r="L1092" s="2" t="s">
        <v>26</v>
      </c>
      <c r="M1092" s="3">
        <v>-50000</v>
      </c>
      <c r="N1092" s="2" t="s">
        <v>26</v>
      </c>
      <c r="R1092" s="2" t="s">
        <v>27</v>
      </c>
      <c r="S1092" s="2" t="s">
        <v>1621</v>
      </c>
      <c r="T1092" s="2" t="s">
        <v>334</v>
      </c>
      <c r="U1092" s="2" t="s">
        <v>1627</v>
      </c>
      <c r="V1092" s="4">
        <f>+VLOOKUP(U1092,'FBCJ Jul-Des 2025'!$G$10:$P$1302,8,0)</f>
        <v>70001110</v>
      </c>
      <c r="W1092" s="4" t="str">
        <f>+VLOOKUP(V1092,Sheet1!$A$2:$B$27,2,0)</f>
        <v>Biaya Ekspor lainnya</v>
      </c>
      <c r="X1092" s="4" t="str">
        <f>+VLOOKUP(U1092,'FBCJ Jul-Des 2025'!$G$10:$P$1302,9,0)</f>
        <v>M204D1COMM</v>
      </c>
      <c r="Y1092" s="2" t="s">
        <v>43</v>
      </c>
      <c r="Z1092" s="2">
        <v>1880288</v>
      </c>
      <c r="AA1092" s="2">
        <v>20251205</v>
      </c>
      <c r="AB1092" s="3">
        <v>50000</v>
      </c>
    </row>
    <row r="1093" spans="3:28" x14ac:dyDescent="0.25">
      <c r="C1093" s="2">
        <v>10000001</v>
      </c>
      <c r="D1093" s="2" t="s">
        <v>1600</v>
      </c>
      <c r="F1093" s="2">
        <v>12010082</v>
      </c>
      <c r="H1093" s="2" t="s">
        <v>1600</v>
      </c>
      <c r="I1093" s="2" t="str">
        <f t="shared" si="16"/>
        <v>12</v>
      </c>
      <c r="J1093" s="2">
        <v>50</v>
      </c>
      <c r="K1093" s="3">
        <v>-100000</v>
      </c>
      <c r="L1093" s="2" t="s">
        <v>26</v>
      </c>
      <c r="M1093" s="3">
        <v>-100000</v>
      </c>
      <c r="N1093" s="2" t="s">
        <v>26</v>
      </c>
      <c r="R1093" s="2" t="s">
        <v>27</v>
      </c>
      <c r="S1093" s="2" t="s">
        <v>1621</v>
      </c>
      <c r="T1093" s="2" t="s">
        <v>334</v>
      </c>
      <c r="U1093" s="2" t="s">
        <v>1628</v>
      </c>
      <c r="V1093" s="4">
        <f>+VLOOKUP(U1093,'FBCJ Jul-Des 2025'!$G$10:$P$1302,8,0)</f>
        <v>70001110</v>
      </c>
      <c r="W1093" s="4" t="str">
        <f>+VLOOKUP(V1093,Sheet1!$A$2:$B$27,2,0)</f>
        <v>Biaya Ekspor lainnya</v>
      </c>
      <c r="X1093" s="4" t="str">
        <f>+VLOOKUP(U1093,'FBCJ Jul-Des 2025'!$G$10:$P$1302,9,0)</f>
        <v>M204D1COMM</v>
      </c>
      <c r="Y1093" s="2" t="s">
        <v>43</v>
      </c>
      <c r="Z1093" s="2">
        <v>1880288</v>
      </c>
      <c r="AA1093" s="2">
        <v>20251205</v>
      </c>
      <c r="AB1093" s="3">
        <v>100000</v>
      </c>
    </row>
    <row r="1094" spans="3:28" x14ac:dyDescent="0.25">
      <c r="C1094" s="2">
        <v>10000001</v>
      </c>
      <c r="D1094" s="2" t="s">
        <v>1600</v>
      </c>
      <c r="F1094" s="2">
        <v>12010083</v>
      </c>
      <c r="H1094" s="2" t="s">
        <v>1600</v>
      </c>
      <c r="I1094" s="2" t="str">
        <f t="shared" si="16"/>
        <v>12</v>
      </c>
      <c r="J1094" s="2">
        <v>50</v>
      </c>
      <c r="K1094" s="3">
        <v>-100000</v>
      </c>
      <c r="L1094" s="2" t="s">
        <v>26</v>
      </c>
      <c r="M1094" s="3">
        <v>-100000</v>
      </c>
      <c r="N1094" s="2" t="s">
        <v>26</v>
      </c>
      <c r="R1094" s="2" t="s">
        <v>27</v>
      </c>
      <c r="S1094" s="2" t="s">
        <v>1621</v>
      </c>
      <c r="T1094" s="2" t="s">
        <v>334</v>
      </c>
      <c r="U1094" s="2" t="s">
        <v>1629</v>
      </c>
      <c r="V1094" s="4">
        <f>+VLOOKUP(U1094,'FBCJ Jul-Des 2025'!$G$10:$P$1302,8,0)</f>
        <v>70001110</v>
      </c>
      <c r="W1094" s="4" t="str">
        <f>+VLOOKUP(V1094,Sheet1!$A$2:$B$27,2,0)</f>
        <v>Biaya Ekspor lainnya</v>
      </c>
      <c r="X1094" s="4" t="str">
        <f>+VLOOKUP(U1094,'FBCJ Jul-Des 2025'!$G$10:$P$1302,9,0)</f>
        <v>M204D1COMM</v>
      </c>
      <c r="Y1094" s="2" t="s">
        <v>43</v>
      </c>
      <c r="Z1094" s="2">
        <v>1880288</v>
      </c>
      <c r="AA1094" s="2">
        <v>20251205</v>
      </c>
      <c r="AB1094" s="3">
        <v>100000</v>
      </c>
    </row>
    <row r="1095" spans="3:28" x14ac:dyDescent="0.25">
      <c r="C1095" s="2">
        <v>10000001</v>
      </c>
      <c r="D1095" s="2" t="s">
        <v>1600</v>
      </c>
      <c r="F1095" s="2">
        <v>12010084</v>
      </c>
      <c r="H1095" s="2" t="s">
        <v>1600</v>
      </c>
      <c r="I1095" s="2" t="str">
        <f t="shared" si="16"/>
        <v>12</v>
      </c>
      <c r="J1095" s="2">
        <v>50</v>
      </c>
      <c r="K1095" s="3">
        <v>-961250</v>
      </c>
      <c r="L1095" s="2" t="s">
        <v>26</v>
      </c>
      <c r="M1095" s="3">
        <v>-961250</v>
      </c>
      <c r="N1095" s="2" t="s">
        <v>26</v>
      </c>
      <c r="R1095" s="2" t="s">
        <v>27</v>
      </c>
      <c r="S1095" s="2" t="s">
        <v>1630</v>
      </c>
      <c r="T1095" s="2" t="s">
        <v>129</v>
      </c>
      <c r="U1095" s="2" t="s">
        <v>1631</v>
      </c>
      <c r="V1095" s="4">
        <f>+VLOOKUP(U1095,'FBCJ Jul-Des 2025'!$G$10:$P$1302,8,0)</f>
        <v>70101102</v>
      </c>
      <c r="W1095" s="4" t="str">
        <f>+VLOOKUP(V1095,Sheet1!$A$2:$B$27,2,0)</f>
        <v>By Pemeliharaan BgnanPrasarana Material Pihak3</v>
      </c>
      <c r="X1095" s="4" t="str">
        <f>+VLOOKUP(U1095,'FBCJ Jul-Des 2025'!$G$10:$P$1302,9,0)</f>
        <v>R124D1HRGA</v>
      </c>
      <c r="Y1095" s="2" t="s">
        <v>43</v>
      </c>
      <c r="Z1095" s="2">
        <v>1880288</v>
      </c>
      <c r="AA1095" s="2">
        <v>20251205</v>
      </c>
      <c r="AB1095" s="3">
        <v>961250</v>
      </c>
    </row>
    <row r="1096" spans="3:28" x14ac:dyDescent="0.25">
      <c r="C1096" s="2">
        <v>10000001</v>
      </c>
      <c r="D1096" s="2" t="s">
        <v>1600</v>
      </c>
      <c r="F1096" s="2">
        <v>12010085</v>
      </c>
      <c r="H1096" s="2" t="s">
        <v>1600</v>
      </c>
      <c r="I1096" s="2" t="str">
        <f t="shared" ref="I1096:I1159" si="17">+MID(H1096,4,2)</f>
        <v>12</v>
      </c>
      <c r="J1096" s="2">
        <v>50</v>
      </c>
      <c r="K1096" s="3">
        <v>-154000</v>
      </c>
      <c r="L1096" s="2" t="s">
        <v>26</v>
      </c>
      <c r="M1096" s="3">
        <v>-154000</v>
      </c>
      <c r="N1096" s="2" t="s">
        <v>26</v>
      </c>
      <c r="R1096" s="2" t="s">
        <v>27</v>
      </c>
      <c r="S1096" s="2" t="s">
        <v>1632</v>
      </c>
      <c r="T1096" s="2" t="s">
        <v>67</v>
      </c>
      <c r="U1096" s="2" t="s">
        <v>1633</v>
      </c>
      <c r="V1096" s="4">
        <f>+VLOOKUP(U1096,'FBCJ Jul-Des 2025'!$G$10:$P$1302,8,0)</f>
        <v>70106100</v>
      </c>
      <c r="W1096" s="4" t="str">
        <f>+VLOOKUP(V1096,Sheet1!$A$2:$B$27,2,0)</f>
        <v>Biaya Transportasi Lokal</v>
      </c>
      <c r="X1096" s="4" t="str">
        <f>+VLOOKUP(U1096,'FBCJ Jul-Des 2025'!$G$10:$P$1302,9,0)</f>
        <v>P206D1SLSS</v>
      </c>
      <c r="Y1096" s="2" t="s">
        <v>43</v>
      </c>
      <c r="Z1096" s="2">
        <v>1880288</v>
      </c>
      <c r="AA1096" s="2">
        <v>20251205</v>
      </c>
      <c r="AB1096" s="3">
        <v>154000</v>
      </c>
    </row>
    <row r="1097" spans="3:28" x14ac:dyDescent="0.25">
      <c r="C1097" s="2">
        <v>10000001</v>
      </c>
      <c r="D1097" s="2" t="s">
        <v>1600</v>
      </c>
      <c r="F1097" s="2">
        <v>12010086</v>
      </c>
      <c r="H1097" s="2" t="s">
        <v>1600</v>
      </c>
      <c r="I1097" s="2" t="str">
        <f t="shared" si="17"/>
        <v>12</v>
      </c>
      <c r="J1097" s="2">
        <v>50</v>
      </c>
      <c r="K1097" s="3">
        <v>-50000</v>
      </c>
      <c r="L1097" s="2" t="s">
        <v>26</v>
      </c>
      <c r="M1097" s="3">
        <v>-50000</v>
      </c>
      <c r="N1097" s="2" t="s">
        <v>26</v>
      </c>
      <c r="R1097" s="2" t="s">
        <v>27</v>
      </c>
      <c r="S1097" s="2" t="s">
        <v>1634</v>
      </c>
      <c r="T1097" s="2" t="s">
        <v>334</v>
      </c>
      <c r="U1097" s="2" t="s">
        <v>1635</v>
      </c>
      <c r="V1097" s="4">
        <f>+VLOOKUP(U1097,'FBCJ Jul-Des 2025'!$G$10:$P$1302,8,0)</f>
        <v>70001110</v>
      </c>
      <c r="W1097" s="4" t="str">
        <f>+VLOOKUP(V1097,Sheet1!$A$2:$B$27,2,0)</f>
        <v>Biaya Ekspor lainnya</v>
      </c>
      <c r="X1097" s="4" t="str">
        <f>+VLOOKUP(U1097,'FBCJ Jul-Des 2025'!$G$10:$P$1302,9,0)</f>
        <v>P206D1SLSS</v>
      </c>
      <c r="Y1097" s="2" t="s">
        <v>43</v>
      </c>
      <c r="Z1097" s="2">
        <v>1880288</v>
      </c>
      <c r="AA1097" s="2">
        <v>20251205</v>
      </c>
      <c r="AB1097" s="3">
        <v>50000</v>
      </c>
    </row>
    <row r="1098" spans="3:28" x14ac:dyDescent="0.25">
      <c r="C1098" s="2">
        <v>10000001</v>
      </c>
      <c r="D1098" s="2" t="s">
        <v>1600</v>
      </c>
      <c r="F1098" s="2">
        <v>12010087</v>
      </c>
      <c r="H1098" s="2" t="s">
        <v>1600</v>
      </c>
      <c r="I1098" s="2" t="str">
        <f t="shared" si="17"/>
        <v>12</v>
      </c>
      <c r="J1098" s="2">
        <v>50</v>
      </c>
      <c r="K1098" s="3">
        <v>-50000</v>
      </c>
      <c r="L1098" s="2" t="s">
        <v>26</v>
      </c>
      <c r="M1098" s="3">
        <v>-50000</v>
      </c>
      <c r="N1098" s="2" t="s">
        <v>26</v>
      </c>
      <c r="R1098" s="2" t="s">
        <v>27</v>
      </c>
      <c r="S1098" s="2" t="s">
        <v>1636</v>
      </c>
      <c r="T1098" s="2" t="s">
        <v>334</v>
      </c>
      <c r="U1098" s="2" t="s">
        <v>1637</v>
      </c>
      <c r="V1098" s="4">
        <f>+VLOOKUP(U1098,'FBCJ Jul-Des 2025'!$G$10:$P$1302,8,0)</f>
        <v>70001110</v>
      </c>
      <c r="W1098" s="4" t="str">
        <f>+VLOOKUP(V1098,Sheet1!$A$2:$B$27,2,0)</f>
        <v>Biaya Ekspor lainnya</v>
      </c>
      <c r="X1098" s="4" t="str">
        <f>+VLOOKUP(U1098,'FBCJ Jul-Des 2025'!$G$10:$P$1302,9,0)</f>
        <v>P206D1SLSS</v>
      </c>
      <c r="Y1098" s="2" t="s">
        <v>43</v>
      </c>
      <c r="Z1098" s="2">
        <v>1880288</v>
      </c>
      <c r="AA1098" s="2">
        <v>20251205</v>
      </c>
      <c r="AB1098" s="3">
        <v>50000</v>
      </c>
    </row>
    <row r="1099" spans="3:28" x14ac:dyDescent="0.25">
      <c r="C1099" s="2">
        <v>10000001</v>
      </c>
      <c r="D1099" s="2" t="s">
        <v>1600</v>
      </c>
      <c r="F1099" s="2">
        <v>12010088</v>
      </c>
      <c r="H1099" s="2" t="s">
        <v>1600</v>
      </c>
      <c r="I1099" s="2" t="str">
        <f t="shared" si="17"/>
        <v>12</v>
      </c>
      <c r="J1099" s="2">
        <v>50</v>
      </c>
      <c r="K1099" s="3">
        <v>-50000</v>
      </c>
      <c r="L1099" s="2" t="s">
        <v>26</v>
      </c>
      <c r="M1099" s="3">
        <v>-50000</v>
      </c>
      <c r="N1099" s="2" t="s">
        <v>26</v>
      </c>
      <c r="R1099" s="2" t="s">
        <v>27</v>
      </c>
      <c r="S1099" s="2" t="s">
        <v>1636</v>
      </c>
      <c r="T1099" s="2" t="s">
        <v>334</v>
      </c>
      <c r="U1099" s="2" t="s">
        <v>1638</v>
      </c>
      <c r="V1099" s="4">
        <f>+VLOOKUP(U1099,'FBCJ Jul-Des 2025'!$G$10:$P$1302,8,0)</f>
        <v>70001110</v>
      </c>
      <c r="W1099" s="4" t="str">
        <f>+VLOOKUP(V1099,Sheet1!$A$2:$B$27,2,0)</f>
        <v>Biaya Ekspor lainnya</v>
      </c>
      <c r="X1099" s="4" t="str">
        <f>+VLOOKUP(U1099,'FBCJ Jul-Des 2025'!$G$10:$P$1302,9,0)</f>
        <v>M204D1COMM</v>
      </c>
      <c r="Y1099" s="2" t="s">
        <v>43</v>
      </c>
      <c r="Z1099" s="2">
        <v>1880288</v>
      </c>
      <c r="AA1099" s="2">
        <v>20251205</v>
      </c>
      <c r="AB1099" s="3">
        <v>50000</v>
      </c>
    </row>
    <row r="1100" spans="3:28" x14ac:dyDescent="0.25">
      <c r="C1100" s="2">
        <v>10000001</v>
      </c>
      <c r="D1100" s="2" t="s">
        <v>1600</v>
      </c>
      <c r="F1100" s="2">
        <v>12010089</v>
      </c>
      <c r="H1100" s="2" t="s">
        <v>1600</v>
      </c>
      <c r="I1100" s="2" t="str">
        <f t="shared" si="17"/>
        <v>12</v>
      </c>
      <c r="J1100" s="2">
        <v>50</v>
      </c>
      <c r="K1100" s="3">
        <v>-50000</v>
      </c>
      <c r="L1100" s="2" t="s">
        <v>26</v>
      </c>
      <c r="M1100" s="3">
        <v>-50000</v>
      </c>
      <c r="N1100" s="2" t="s">
        <v>26</v>
      </c>
      <c r="R1100" s="2" t="s">
        <v>27</v>
      </c>
      <c r="S1100" s="2" t="s">
        <v>1636</v>
      </c>
      <c r="T1100" s="2" t="s">
        <v>334</v>
      </c>
      <c r="U1100" s="2" t="s">
        <v>1639</v>
      </c>
      <c r="V1100" s="4">
        <f>+VLOOKUP(U1100,'FBCJ Jul-Des 2025'!$G$10:$P$1302,8,0)</f>
        <v>70001110</v>
      </c>
      <c r="W1100" s="4" t="str">
        <f>+VLOOKUP(V1100,Sheet1!$A$2:$B$27,2,0)</f>
        <v>Biaya Ekspor lainnya</v>
      </c>
      <c r="X1100" s="4" t="str">
        <f>+VLOOKUP(U1100,'FBCJ Jul-Des 2025'!$G$10:$P$1302,9,0)</f>
        <v>M204D1COMM</v>
      </c>
      <c r="Y1100" s="2" t="s">
        <v>43</v>
      </c>
      <c r="Z1100" s="2">
        <v>1880288</v>
      </c>
      <c r="AA1100" s="2">
        <v>20251205</v>
      </c>
      <c r="AB1100" s="3">
        <v>50000</v>
      </c>
    </row>
    <row r="1101" spans="3:28" x14ac:dyDescent="0.25">
      <c r="C1101" s="2">
        <v>10000001</v>
      </c>
      <c r="D1101" s="2" t="s">
        <v>1600</v>
      </c>
      <c r="F1101" s="2">
        <v>12010090</v>
      </c>
      <c r="H1101" s="2" t="s">
        <v>1600</v>
      </c>
      <c r="I1101" s="2" t="str">
        <f t="shared" si="17"/>
        <v>12</v>
      </c>
      <c r="J1101" s="2">
        <v>50</v>
      </c>
      <c r="K1101" s="3">
        <v>-50000</v>
      </c>
      <c r="L1101" s="2" t="s">
        <v>26</v>
      </c>
      <c r="M1101" s="3">
        <v>-50000</v>
      </c>
      <c r="N1101" s="2" t="s">
        <v>26</v>
      </c>
      <c r="R1101" s="2" t="s">
        <v>27</v>
      </c>
      <c r="S1101" s="2" t="s">
        <v>1636</v>
      </c>
      <c r="T1101" s="2" t="s">
        <v>334</v>
      </c>
      <c r="U1101" s="2" t="s">
        <v>1640</v>
      </c>
      <c r="V1101" s="4">
        <f>+VLOOKUP(U1101,'FBCJ Jul-Des 2025'!$G$10:$P$1302,8,0)</f>
        <v>70001110</v>
      </c>
      <c r="W1101" s="4" t="str">
        <f>+VLOOKUP(V1101,Sheet1!$A$2:$B$27,2,0)</f>
        <v>Biaya Ekspor lainnya</v>
      </c>
      <c r="X1101" s="4" t="str">
        <f>+VLOOKUP(U1101,'FBCJ Jul-Des 2025'!$G$10:$P$1302,9,0)</f>
        <v>M204D1COMM</v>
      </c>
      <c r="Y1101" s="2" t="s">
        <v>43</v>
      </c>
      <c r="Z1101" s="2">
        <v>1880288</v>
      </c>
      <c r="AA1101" s="2">
        <v>20251205</v>
      </c>
      <c r="AB1101" s="3">
        <v>50000</v>
      </c>
    </row>
    <row r="1102" spans="3:28" x14ac:dyDescent="0.25">
      <c r="C1102" s="2">
        <v>10000001</v>
      </c>
      <c r="D1102" s="2" t="s">
        <v>1600</v>
      </c>
      <c r="F1102" s="2">
        <v>12010091</v>
      </c>
      <c r="H1102" s="2" t="s">
        <v>1600</v>
      </c>
      <c r="I1102" s="2" t="str">
        <f t="shared" si="17"/>
        <v>12</v>
      </c>
      <c r="J1102" s="2">
        <v>50</v>
      </c>
      <c r="K1102" s="3">
        <v>-50000</v>
      </c>
      <c r="L1102" s="2" t="s">
        <v>26</v>
      </c>
      <c r="M1102" s="3">
        <v>-50000</v>
      </c>
      <c r="N1102" s="2" t="s">
        <v>26</v>
      </c>
      <c r="R1102" s="2" t="s">
        <v>27</v>
      </c>
      <c r="S1102" s="2" t="s">
        <v>1636</v>
      </c>
      <c r="T1102" s="2" t="s">
        <v>334</v>
      </c>
      <c r="U1102" s="2" t="s">
        <v>1641</v>
      </c>
      <c r="V1102" s="4">
        <f>+VLOOKUP(U1102,'FBCJ Jul-Des 2025'!$G$10:$P$1302,8,0)</f>
        <v>70001110</v>
      </c>
      <c r="W1102" s="4" t="str">
        <f>+VLOOKUP(V1102,Sheet1!$A$2:$B$27,2,0)</f>
        <v>Biaya Ekspor lainnya</v>
      </c>
      <c r="X1102" s="4" t="str">
        <f>+VLOOKUP(U1102,'FBCJ Jul-Des 2025'!$G$10:$P$1302,9,0)</f>
        <v>M204D1COMM</v>
      </c>
      <c r="Y1102" s="2" t="s">
        <v>43</v>
      </c>
      <c r="Z1102" s="2">
        <v>1880288</v>
      </c>
      <c r="AA1102" s="2">
        <v>20251205</v>
      </c>
      <c r="AB1102" s="3">
        <v>50000</v>
      </c>
    </row>
    <row r="1103" spans="3:28" x14ac:dyDescent="0.25">
      <c r="C1103" s="2">
        <v>10000001</v>
      </c>
      <c r="D1103" s="2" t="s">
        <v>1600</v>
      </c>
      <c r="F1103" s="2">
        <v>12010092</v>
      </c>
      <c r="H1103" s="2" t="s">
        <v>1600</v>
      </c>
      <c r="I1103" s="2" t="str">
        <f t="shared" si="17"/>
        <v>12</v>
      </c>
      <c r="J1103" s="2">
        <v>50</v>
      </c>
      <c r="K1103" s="3">
        <v>-50000</v>
      </c>
      <c r="L1103" s="2" t="s">
        <v>26</v>
      </c>
      <c r="M1103" s="3">
        <v>-50000</v>
      </c>
      <c r="N1103" s="2" t="s">
        <v>26</v>
      </c>
      <c r="R1103" s="2" t="s">
        <v>27</v>
      </c>
      <c r="S1103" s="2" t="s">
        <v>1636</v>
      </c>
      <c r="T1103" s="2" t="s">
        <v>334</v>
      </c>
      <c r="U1103" s="2" t="s">
        <v>1642</v>
      </c>
      <c r="V1103" s="4">
        <f>+VLOOKUP(U1103,'FBCJ Jul-Des 2025'!$G$10:$P$1302,8,0)</f>
        <v>70001110</v>
      </c>
      <c r="W1103" s="4" t="str">
        <f>+VLOOKUP(V1103,Sheet1!$A$2:$B$27,2,0)</f>
        <v>Biaya Ekspor lainnya</v>
      </c>
      <c r="X1103" s="4" t="str">
        <f>+VLOOKUP(U1103,'FBCJ Jul-Des 2025'!$G$10:$P$1302,9,0)</f>
        <v>M204D1COMM</v>
      </c>
      <c r="Y1103" s="2" t="s">
        <v>43</v>
      </c>
      <c r="Z1103" s="2">
        <v>1880288</v>
      </c>
      <c r="AA1103" s="2">
        <v>20251205</v>
      </c>
      <c r="AB1103" s="3">
        <v>50000</v>
      </c>
    </row>
    <row r="1104" spans="3:28" x14ac:dyDescent="0.25">
      <c r="C1104" s="2">
        <v>10000001</v>
      </c>
      <c r="D1104" s="2" t="s">
        <v>1600</v>
      </c>
      <c r="F1104" s="2">
        <v>12010093</v>
      </c>
      <c r="H1104" s="2" t="s">
        <v>1600</v>
      </c>
      <c r="I1104" s="2" t="str">
        <f t="shared" si="17"/>
        <v>12</v>
      </c>
      <c r="J1104" s="2">
        <v>50</v>
      </c>
      <c r="K1104" s="3">
        <v>-50000</v>
      </c>
      <c r="L1104" s="2" t="s">
        <v>26</v>
      </c>
      <c r="M1104" s="3">
        <v>-50000</v>
      </c>
      <c r="N1104" s="2" t="s">
        <v>26</v>
      </c>
      <c r="R1104" s="2" t="s">
        <v>27</v>
      </c>
      <c r="S1104" s="2" t="s">
        <v>1636</v>
      </c>
      <c r="T1104" s="2" t="s">
        <v>334</v>
      </c>
      <c r="U1104" s="2" t="s">
        <v>1643</v>
      </c>
      <c r="V1104" s="4">
        <f>+VLOOKUP(U1104,'FBCJ Jul-Des 2025'!$G$10:$P$1302,8,0)</f>
        <v>70001110</v>
      </c>
      <c r="W1104" s="4" t="str">
        <f>+VLOOKUP(V1104,Sheet1!$A$2:$B$27,2,0)</f>
        <v>Biaya Ekspor lainnya</v>
      </c>
      <c r="X1104" s="4" t="str">
        <f>+VLOOKUP(U1104,'FBCJ Jul-Des 2025'!$G$10:$P$1302,9,0)</f>
        <v>M204D1COMM</v>
      </c>
      <c r="Y1104" s="2" t="s">
        <v>43</v>
      </c>
      <c r="Z1104" s="2">
        <v>1880288</v>
      </c>
      <c r="AA1104" s="2">
        <v>20251205</v>
      </c>
      <c r="AB1104" s="3">
        <v>50000</v>
      </c>
    </row>
    <row r="1105" spans="3:28" x14ac:dyDescent="0.25">
      <c r="C1105" s="2">
        <v>10000001</v>
      </c>
      <c r="D1105" s="2" t="s">
        <v>1600</v>
      </c>
      <c r="F1105" s="2">
        <v>12010094</v>
      </c>
      <c r="H1105" s="2" t="s">
        <v>1600</v>
      </c>
      <c r="I1105" s="2" t="str">
        <f t="shared" si="17"/>
        <v>12</v>
      </c>
      <c r="J1105" s="2">
        <v>50</v>
      </c>
      <c r="K1105" s="3">
        <v>-50000</v>
      </c>
      <c r="L1105" s="2" t="s">
        <v>26</v>
      </c>
      <c r="M1105" s="3">
        <v>-50000</v>
      </c>
      <c r="N1105" s="2" t="s">
        <v>26</v>
      </c>
      <c r="R1105" s="2" t="s">
        <v>27</v>
      </c>
      <c r="S1105" s="2" t="s">
        <v>1636</v>
      </c>
      <c r="T1105" s="2" t="s">
        <v>334</v>
      </c>
      <c r="U1105" s="2" t="s">
        <v>1644</v>
      </c>
      <c r="V1105" s="4">
        <f>+VLOOKUP(U1105,'FBCJ Jul-Des 2025'!$G$10:$P$1302,8,0)</f>
        <v>70001110</v>
      </c>
      <c r="W1105" s="4" t="str">
        <f>+VLOOKUP(V1105,Sheet1!$A$2:$B$27,2,0)</f>
        <v>Biaya Ekspor lainnya</v>
      </c>
      <c r="X1105" s="4" t="str">
        <f>+VLOOKUP(U1105,'FBCJ Jul-Des 2025'!$G$10:$P$1302,9,0)</f>
        <v>C206D1SLSS</v>
      </c>
      <c r="Y1105" s="2" t="s">
        <v>43</v>
      </c>
      <c r="Z1105" s="2">
        <v>1880288</v>
      </c>
      <c r="AA1105" s="2">
        <v>20251205</v>
      </c>
      <c r="AB1105" s="3">
        <v>50000</v>
      </c>
    </row>
    <row r="1106" spans="3:28" x14ac:dyDescent="0.25">
      <c r="C1106" s="2">
        <v>10000001</v>
      </c>
      <c r="D1106" s="2" t="s">
        <v>1600</v>
      </c>
      <c r="F1106" s="2">
        <v>12010095</v>
      </c>
      <c r="H1106" s="2" t="s">
        <v>1600</v>
      </c>
      <c r="I1106" s="2" t="str">
        <f t="shared" si="17"/>
        <v>12</v>
      </c>
      <c r="J1106" s="2">
        <v>50</v>
      </c>
      <c r="K1106" s="3">
        <v>-50000</v>
      </c>
      <c r="L1106" s="2" t="s">
        <v>26</v>
      </c>
      <c r="M1106" s="3">
        <v>-50000</v>
      </c>
      <c r="N1106" s="2" t="s">
        <v>26</v>
      </c>
      <c r="R1106" s="2" t="s">
        <v>27</v>
      </c>
      <c r="S1106" s="2" t="s">
        <v>1636</v>
      </c>
      <c r="T1106" s="2" t="s">
        <v>334</v>
      </c>
      <c r="U1106" s="2" t="s">
        <v>1645</v>
      </c>
      <c r="V1106" s="4">
        <f>+VLOOKUP(U1106,'FBCJ Jul-Des 2025'!$G$10:$P$1302,8,0)</f>
        <v>70001110</v>
      </c>
      <c r="W1106" s="4" t="str">
        <f>+VLOOKUP(V1106,Sheet1!$A$2:$B$27,2,0)</f>
        <v>Biaya Ekspor lainnya</v>
      </c>
      <c r="X1106" s="4" t="str">
        <f>+VLOOKUP(U1106,'FBCJ Jul-Des 2025'!$G$10:$P$1302,9,0)</f>
        <v>C206D1SLSS</v>
      </c>
      <c r="Y1106" s="2" t="s">
        <v>43</v>
      </c>
      <c r="Z1106" s="2">
        <v>1880288</v>
      </c>
      <c r="AA1106" s="2">
        <v>20251205</v>
      </c>
      <c r="AB1106" s="3">
        <v>50000</v>
      </c>
    </row>
    <row r="1107" spans="3:28" x14ac:dyDescent="0.25">
      <c r="C1107" s="2">
        <v>10000001</v>
      </c>
      <c r="D1107" s="2" t="s">
        <v>1600</v>
      </c>
      <c r="F1107" s="2">
        <v>12010096</v>
      </c>
      <c r="H1107" s="2" t="s">
        <v>1600</v>
      </c>
      <c r="I1107" s="2" t="str">
        <f t="shared" si="17"/>
        <v>12</v>
      </c>
      <c r="J1107" s="2">
        <v>50</v>
      </c>
      <c r="K1107" s="3">
        <v>-50000</v>
      </c>
      <c r="L1107" s="2" t="s">
        <v>26</v>
      </c>
      <c r="M1107" s="3">
        <v>-50000</v>
      </c>
      <c r="N1107" s="2" t="s">
        <v>26</v>
      </c>
      <c r="R1107" s="2" t="s">
        <v>27</v>
      </c>
      <c r="S1107" s="2" t="s">
        <v>1636</v>
      </c>
      <c r="T1107" s="2" t="s">
        <v>334</v>
      </c>
      <c r="U1107" s="2" t="s">
        <v>1646</v>
      </c>
      <c r="V1107" s="4">
        <f>+VLOOKUP(U1107,'FBCJ Jul-Des 2025'!$G$10:$P$1302,8,0)</f>
        <v>70001110</v>
      </c>
      <c r="W1107" s="4" t="str">
        <f>+VLOOKUP(V1107,Sheet1!$A$2:$B$27,2,0)</f>
        <v>Biaya Ekspor lainnya</v>
      </c>
      <c r="X1107" s="4" t="str">
        <f>+VLOOKUP(U1107,'FBCJ Jul-Des 2025'!$G$10:$P$1302,9,0)</f>
        <v>C206D1SLSS</v>
      </c>
      <c r="Y1107" s="2" t="s">
        <v>43</v>
      </c>
      <c r="Z1107" s="2">
        <v>1880288</v>
      </c>
      <c r="AA1107" s="2">
        <v>20251205</v>
      </c>
      <c r="AB1107" s="3">
        <v>50000</v>
      </c>
    </row>
    <row r="1108" spans="3:28" x14ac:dyDescent="0.25">
      <c r="C1108" s="2">
        <v>10000001</v>
      </c>
      <c r="D1108" s="2" t="s">
        <v>1600</v>
      </c>
      <c r="F1108" s="2">
        <v>12010097</v>
      </c>
      <c r="H1108" s="2" t="s">
        <v>1600</v>
      </c>
      <c r="I1108" s="2" t="str">
        <f t="shared" si="17"/>
        <v>12</v>
      </c>
      <c r="J1108" s="2">
        <v>50</v>
      </c>
      <c r="K1108" s="3">
        <v>-18000</v>
      </c>
      <c r="L1108" s="2" t="s">
        <v>26</v>
      </c>
      <c r="M1108" s="3">
        <v>-18000</v>
      </c>
      <c r="N1108" s="2" t="s">
        <v>26</v>
      </c>
      <c r="R1108" s="2" t="s">
        <v>27</v>
      </c>
      <c r="S1108" s="2" t="s">
        <v>1636</v>
      </c>
      <c r="T1108" s="2" t="s">
        <v>334</v>
      </c>
      <c r="U1108" s="2" t="s">
        <v>1647</v>
      </c>
      <c r="V1108" s="4">
        <f>+VLOOKUP(U1108,'FBCJ Jul-Des 2025'!$G$10:$P$1302,8,0)</f>
        <v>70001110</v>
      </c>
      <c r="W1108" s="4" t="str">
        <f>+VLOOKUP(V1108,Sheet1!$A$2:$B$27,2,0)</f>
        <v>Biaya Ekspor lainnya</v>
      </c>
      <c r="X1108" s="4" t="str">
        <f>+VLOOKUP(U1108,'FBCJ Jul-Des 2025'!$G$10:$P$1302,9,0)</f>
        <v>M204D1COMM</v>
      </c>
      <c r="Y1108" s="2" t="s">
        <v>43</v>
      </c>
      <c r="Z1108" s="2">
        <v>1880288</v>
      </c>
      <c r="AA1108" s="2">
        <v>20251205</v>
      </c>
      <c r="AB1108" s="3">
        <v>18000</v>
      </c>
    </row>
    <row r="1109" spans="3:28" x14ac:dyDescent="0.25">
      <c r="C1109" s="2">
        <v>10000001</v>
      </c>
      <c r="D1109" s="2" t="s">
        <v>1600</v>
      </c>
      <c r="F1109" s="2">
        <v>12010098</v>
      </c>
      <c r="H1109" s="2" t="s">
        <v>1600</v>
      </c>
      <c r="I1109" s="2" t="str">
        <f t="shared" si="17"/>
        <v>12</v>
      </c>
      <c r="J1109" s="2">
        <v>50</v>
      </c>
      <c r="K1109" s="3">
        <v>-50000</v>
      </c>
      <c r="L1109" s="2" t="s">
        <v>26</v>
      </c>
      <c r="M1109" s="3">
        <v>-50000</v>
      </c>
      <c r="N1109" s="2" t="s">
        <v>26</v>
      </c>
      <c r="R1109" s="2" t="s">
        <v>27</v>
      </c>
      <c r="S1109" s="2" t="s">
        <v>1648</v>
      </c>
      <c r="T1109" s="2" t="s">
        <v>334</v>
      </c>
      <c r="U1109" s="2" t="s">
        <v>1649</v>
      </c>
      <c r="V1109" s="4">
        <f>+VLOOKUP(U1109,'FBCJ Jul-Des 2025'!$G$10:$P$1302,8,0)</f>
        <v>70001110</v>
      </c>
      <c r="W1109" s="4" t="str">
        <f>+VLOOKUP(V1109,Sheet1!$A$2:$B$27,2,0)</f>
        <v>Biaya Ekspor lainnya</v>
      </c>
      <c r="X1109" s="4" t="str">
        <f>+VLOOKUP(U1109,'FBCJ Jul-Des 2025'!$G$10:$P$1302,9,0)</f>
        <v>P206D1SLSS</v>
      </c>
      <c r="Y1109" s="2" t="s">
        <v>43</v>
      </c>
      <c r="Z1109" s="2">
        <v>1880288</v>
      </c>
      <c r="AA1109" s="2">
        <v>20251205</v>
      </c>
      <c r="AB1109" s="3">
        <v>50000</v>
      </c>
    </row>
    <row r="1110" spans="3:28" x14ac:dyDescent="0.25">
      <c r="C1110" s="2">
        <v>10000001</v>
      </c>
      <c r="D1110" s="2" t="s">
        <v>1600</v>
      </c>
      <c r="F1110" s="2">
        <v>12010099</v>
      </c>
      <c r="H1110" s="2" t="s">
        <v>1600</v>
      </c>
      <c r="I1110" s="2" t="str">
        <f t="shared" si="17"/>
        <v>12</v>
      </c>
      <c r="J1110" s="2">
        <v>50</v>
      </c>
      <c r="K1110" s="3">
        <v>-50000</v>
      </c>
      <c r="L1110" s="2" t="s">
        <v>26</v>
      </c>
      <c r="M1110" s="3">
        <v>-50000</v>
      </c>
      <c r="N1110" s="2" t="s">
        <v>26</v>
      </c>
      <c r="R1110" s="2" t="s">
        <v>27</v>
      </c>
      <c r="S1110" s="2" t="s">
        <v>1648</v>
      </c>
      <c r="T1110" s="2" t="s">
        <v>334</v>
      </c>
      <c r="U1110" s="2" t="s">
        <v>1650</v>
      </c>
      <c r="V1110" s="4">
        <f>+VLOOKUP(U1110,'FBCJ Jul-Des 2025'!$G$10:$P$1302,8,0)</f>
        <v>70001110</v>
      </c>
      <c r="W1110" s="4" t="str">
        <f>+VLOOKUP(V1110,Sheet1!$A$2:$B$27,2,0)</f>
        <v>Biaya Ekspor lainnya</v>
      </c>
      <c r="X1110" s="4" t="str">
        <f>+VLOOKUP(U1110,'FBCJ Jul-Des 2025'!$G$10:$P$1302,9,0)</f>
        <v>P206D1SLSS</v>
      </c>
      <c r="Y1110" s="2" t="s">
        <v>43</v>
      </c>
      <c r="Z1110" s="2">
        <v>1880288</v>
      </c>
      <c r="AA1110" s="2">
        <v>20251205</v>
      </c>
      <c r="AB1110" s="3">
        <v>50000</v>
      </c>
    </row>
    <row r="1111" spans="3:28" x14ac:dyDescent="0.25">
      <c r="C1111" s="2">
        <v>10000001</v>
      </c>
      <c r="D1111" s="2" t="s">
        <v>1600</v>
      </c>
      <c r="F1111" s="2">
        <v>12010100</v>
      </c>
      <c r="H1111" s="2" t="s">
        <v>1600</v>
      </c>
      <c r="I1111" s="2" t="str">
        <f t="shared" si="17"/>
        <v>12</v>
      </c>
      <c r="J1111" s="2">
        <v>50</v>
      </c>
      <c r="K1111" s="3">
        <v>-50000</v>
      </c>
      <c r="L1111" s="2" t="s">
        <v>26</v>
      </c>
      <c r="M1111" s="3">
        <v>-50000</v>
      </c>
      <c r="N1111" s="2" t="s">
        <v>26</v>
      </c>
      <c r="R1111" s="2" t="s">
        <v>27</v>
      </c>
      <c r="S1111" s="2" t="s">
        <v>1648</v>
      </c>
      <c r="T1111" s="2" t="s">
        <v>334</v>
      </c>
      <c r="U1111" s="2" t="s">
        <v>1651</v>
      </c>
      <c r="V1111" s="4">
        <f>+VLOOKUP(U1111,'FBCJ Jul-Des 2025'!$G$10:$P$1302,8,0)</f>
        <v>70001110</v>
      </c>
      <c r="W1111" s="4" t="str">
        <f>+VLOOKUP(V1111,Sheet1!$A$2:$B$27,2,0)</f>
        <v>Biaya Ekspor lainnya</v>
      </c>
      <c r="X1111" s="4" t="str">
        <f>+VLOOKUP(U1111,'FBCJ Jul-Des 2025'!$G$10:$P$1302,9,0)</f>
        <v>P206D1SLSS</v>
      </c>
      <c r="Y1111" s="2" t="s">
        <v>43</v>
      </c>
      <c r="Z1111" s="2">
        <v>1880288</v>
      </c>
      <c r="AA1111" s="2">
        <v>20251205</v>
      </c>
      <c r="AB1111" s="3">
        <v>50000</v>
      </c>
    </row>
    <row r="1112" spans="3:28" x14ac:dyDescent="0.25">
      <c r="C1112" s="2">
        <v>10000001</v>
      </c>
      <c r="D1112" s="2" t="s">
        <v>1600</v>
      </c>
      <c r="F1112" s="2">
        <v>12010101</v>
      </c>
      <c r="H1112" s="2" t="s">
        <v>1600</v>
      </c>
      <c r="I1112" s="2" t="str">
        <f t="shared" si="17"/>
        <v>12</v>
      </c>
      <c r="J1112" s="2">
        <v>50</v>
      </c>
      <c r="K1112" s="3">
        <v>-50000</v>
      </c>
      <c r="L1112" s="2" t="s">
        <v>26</v>
      </c>
      <c r="M1112" s="3">
        <v>-50000</v>
      </c>
      <c r="N1112" s="2" t="s">
        <v>26</v>
      </c>
      <c r="R1112" s="2" t="s">
        <v>27</v>
      </c>
      <c r="S1112" s="2" t="s">
        <v>1648</v>
      </c>
      <c r="T1112" s="2" t="s">
        <v>334</v>
      </c>
      <c r="U1112" s="2" t="s">
        <v>1652</v>
      </c>
      <c r="V1112" s="4">
        <f>+VLOOKUP(U1112,'FBCJ Jul-Des 2025'!$G$10:$P$1302,8,0)</f>
        <v>70001110</v>
      </c>
      <c r="W1112" s="4" t="str">
        <f>+VLOOKUP(V1112,Sheet1!$A$2:$B$27,2,0)</f>
        <v>Biaya Ekspor lainnya</v>
      </c>
      <c r="X1112" s="4" t="str">
        <f>+VLOOKUP(U1112,'FBCJ Jul-Des 2025'!$G$10:$P$1302,9,0)</f>
        <v>P206D1SLSS</v>
      </c>
      <c r="Y1112" s="2" t="s">
        <v>43</v>
      </c>
      <c r="Z1112" s="2">
        <v>1880288</v>
      </c>
      <c r="AA1112" s="2">
        <v>20251205</v>
      </c>
      <c r="AB1112" s="3">
        <v>50000</v>
      </c>
    </row>
    <row r="1113" spans="3:28" x14ac:dyDescent="0.25">
      <c r="C1113" s="2">
        <v>10000001</v>
      </c>
      <c r="D1113" s="2" t="s">
        <v>1600</v>
      </c>
      <c r="F1113" s="2">
        <v>12010102</v>
      </c>
      <c r="H1113" s="2" t="s">
        <v>1600</v>
      </c>
      <c r="I1113" s="2" t="str">
        <f t="shared" si="17"/>
        <v>12</v>
      </c>
      <c r="J1113" s="2">
        <v>50</v>
      </c>
      <c r="K1113" s="3">
        <v>-50000</v>
      </c>
      <c r="L1113" s="2" t="s">
        <v>26</v>
      </c>
      <c r="M1113" s="3">
        <v>-50000</v>
      </c>
      <c r="N1113" s="2" t="s">
        <v>26</v>
      </c>
      <c r="R1113" s="2" t="s">
        <v>27</v>
      </c>
      <c r="S1113" s="2" t="s">
        <v>1648</v>
      </c>
      <c r="T1113" s="2" t="s">
        <v>334</v>
      </c>
      <c r="U1113" s="2" t="s">
        <v>1653</v>
      </c>
      <c r="V1113" s="4">
        <f>+VLOOKUP(U1113,'FBCJ Jul-Des 2025'!$G$10:$P$1302,8,0)</f>
        <v>70001110</v>
      </c>
      <c r="W1113" s="4" t="str">
        <f>+VLOOKUP(V1113,Sheet1!$A$2:$B$27,2,0)</f>
        <v>Biaya Ekspor lainnya</v>
      </c>
      <c r="X1113" s="4" t="str">
        <f>+VLOOKUP(U1113,'FBCJ Jul-Des 2025'!$G$10:$P$1302,9,0)</f>
        <v>P206D1SLSS</v>
      </c>
      <c r="Y1113" s="2" t="s">
        <v>43</v>
      </c>
      <c r="Z1113" s="2">
        <v>1880288</v>
      </c>
      <c r="AA1113" s="2">
        <v>20251205</v>
      </c>
      <c r="AB1113" s="3">
        <v>50000</v>
      </c>
    </row>
    <row r="1114" spans="3:28" x14ac:dyDescent="0.25">
      <c r="C1114" s="2">
        <v>10000001</v>
      </c>
      <c r="D1114" s="2" t="s">
        <v>1600</v>
      </c>
      <c r="F1114" s="2">
        <v>12010103</v>
      </c>
      <c r="H1114" s="2" t="s">
        <v>1600</v>
      </c>
      <c r="I1114" s="2" t="str">
        <f t="shared" si="17"/>
        <v>12</v>
      </c>
      <c r="J1114" s="2">
        <v>50</v>
      </c>
      <c r="K1114" s="3">
        <v>-50000</v>
      </c>
      <c r="L1114" s="2" t="s">
        <v>26</v>
      </c>
      <c r="M1114" s="3">
        <v>-50000</v>
      </c>
      <c r="N1114" s="2" t="s">
        <v>26</v>
      </c>
      <c r="R1114" s="2" t="s">
        <v>27</v>
      </c>
      <c r="S1114" s="2" t="s">
        <v>1648</v>
      </c>
      <c r="T1114" s="2" t="s">
        <v>334</v>
      </c>
      <c r="U1114" s="2" t="s">
        <v>1654</v>
      </c>
      <c r="V1114" s="4">
        <f>+VLOOKUP(U1114,'FBCJ Jul-Des 2025'!$G$10:$P$1302,8,0)</f>
        <v>70001110</v>
      </c>
      <c r="W1114" s="4" t="str">
        <f>+VLOOKUP(V1114,Sheet1!$A$2:$B$27,2,0)</f>
        <v>Biaya Ekspor lainnya</v>
      </c>
      <c r="X1114" s="4" t="str">
        <f>+VLOOKUP(U1114,'FBCJ Jul-Des 2025'!$G$10:$P$1302,9,0)</f>
        <v>P206D1SLSS</v>
      </c>
      <c r="Y1114" s="2" t="s">
        <v>43</v>
      </c>
      <c r="Z1114" s="2">
        <v>1880288</v>
      </c>
      <c r="AA1114" s="2">
        <v>20251205</v>
      </c>
      <c r="AB1114" s="3">
        <v>50000</v>
      </c>
    </row>
    <row r="1115" spans="3:28" x14ac:dyDescent="0.25">
      <c r="C1115" s="2">
        <v>10000001</v>
      </c>
      <c r="D1115" s="2" t="s">
        <v>1600</v>
      </c>
      <c r="F1115" s="2">
        <v>12010104</v>
      </c>
      <c r="H1115" s="2" t="s">
        <v>1600</v>
      </c>
      <c r="I1115" s="2" t="str">
        <f t="shared" si="17"/>
        <v>12</v>
      </c>
      <c r="J1115" s="2">
        <v>50</v>
      </c>
      <c r="K1115" s="3">
        <v>-50000</v>
      </c>
      <c r="L1115" s="2" t="s">
        <v>26</v>
      </c>
      <c r="M1115" s="3">
        <v>-50000</v>
      </c>
      <c r="N1115" s="2" t="s">
        <v>26</v>
      </c>
      <c r="R1115" s="2" t="s">
        <v>27</v>
      </c>
      <c r="S1115" s="2" t="s">
        <v>1648</v>
      </c>
      <c r="T1115" s="2" t="s">
        <v>334</v>
      </c>
      <c r="U1115" s="2" t="s">
        <v>1655</v>
      </c>
      <c r="V1115" s="4">
        <f>+VLOOKUP(U1115,'FBCJ Jul-Des 2025'!$G$10:$P$1302,8,0)</f>
        <v>70001110</v>
      </c>
      <c r="W1115" s="4" t="str">
        <f>+VLOOKUP(V1115,Sheet1!$A$2:$B$27,2,0)</f>
        <v>Biaya Ekspor lainnya</v>
      </c>
      <c r="X1115" s="4" t="str">
        <f>+VLOOKUP(U1115,'FBCJ Jul-Des 2025'!$G$10:$P$1302,9,0)</f>
        <v>P206D1SLSS</v>
      </c>
      <c r="Y1115" s="2" t="s">
        <v>43</v>
      </c>
      <c r="Z1115" s="2">
        <v>1880288</v>
      </c>
      <c r="AA1115" s="2">
        <v>20251205</v>
      </c>
      <c r="AB1115" s="3">
        <v>50000</v>
      </c>
    </row>
    <row r="1116" spans="3:28" x14ac:dyDescent="0.25">
      <c r="C1116" s="2">
        <v>10000001</v>
      </c>
      <c r="D1116" s="2" t="s">
        <v>1600</v>
      </c>
      <c r="F1116" s="2">
        <v>12010105</v>
      </c>
      <c r="H1116" s="2" t="s">
        <v>1600</v>
      </c>
      <c r="I1116" s="2" t="str">
        <f t="shared" si="17"/>
        <v>12</v>
      </c>
      <c r="J1116" s="2">
        <v>50</v>
      </c>
      <c r="K1116" s="3">
        <v>-50000</v>
      </c>
      <c r="L1116" s="2" t="s">
        <v>26</v>
      </c>
      <c r="M1116" s="3">
        <v>-50000</v>
      </c>
      <c r="N1116" s="2" t="s">
        <v>26</v>
      </c>
      <c r="R1116" s="2" t="s">
        <v>27</v>
      </c>
      <c r="S1116" s="2" t="s">
        <v>1648</v>
      </c>
      <c r="T1116" s="2" t="s">
        <v>334</v>
      </c>
      <c r="U1116" s="2" t="s">
        <v>1656</v>
      </c>
      <c r="V1116" s="4">
        <f>+VLOOKUP(U1116,'FBCJ Jul-Des 2025'!$G$10:$P$1302,8,0)</f>
        <v>70001110</v>
      </c>
      <c r="W1116" s="4" t="str">
        <f>+VLOOKUP(V1116,Sheet1!$A$2:$B$27,2,0)</f>
        <v>Biaya Ekspor lainnya</v>
      </c>
      <c r="X1116" s="4" t="str">
        <f>+VLOOKUP(U1116,'FBCJ Jul-Des 2025'!$G$10:$P$1302,9,0)</f>
        <v>P206D1SLSS</v>
      </c>
      <c r="Y1116" s="2" t="s">
        <v>43</v>
      </c>
      <c r="Z1116" s="2">
        <v>1880288</v>
      </c>
      <c r="AA1116" s="2">
        <v>20251205</v>
      </c>
      <c r="AB1116" s="3">
        <v>50000</v>
      </c>
    </row>
    <row r="1117" spans="3:28" x14ac:dyDescent="0.25">
      <c r="C1117" s="2">
        <v>10000001</v>
      </c>
      <c r="D1117" s="2" t="s">
        <v>1600</v>
      </c>
      <c r="F1117" s="2">
        <v>12010106</v>
      </c>
      <c r="H1117" s="2" t="s">
        <v>1600</v>
      </c>
      <c r="I1117" s="2" t="str">
        <f t="shared" si="17"/>
        <v>12</v>
      </c>
      <c r="J1117" s="2">
        <v>50</v>
      </c>
      <c r="K1117" s="3">
        <v>-50000</v>
      </c>
      <c r="L1117" s="2" t="s">
        <v>26</v>
      </c>
      <c r="M1117" s="3">
        <v>-50000</v>
      </c>
      <c r="N1117" s="2" t="s">
        <v>26</v>
      </c>
      <c r="R1117" s="2" t="s">
        <v>27</v>
      </c>
      <c r="S1117" s="2" t="s">
        <v>1648</v>
      </c>
      <c r="T1117" s="2" t="s">
        <v>334</v>
      </c>
      <c r="U1117" s="2" t="s">
        <v>1657</v>
      </c>
      <c r="V1117" s="4">
        <f>+VLOOKUP(U1117,'FBCJ Jul-Des 2025'!$G$10:$P$1302,8,0)</f>
        <v>70001110</v>
      </c>
      <c r="W1117" s="4" t="str">
        <f>+VLOOKUP(V1117,Sheet1!$A$2:$B$27,2,0)</f>
        <v>Biaya Ekspor lainnya</v>
      </c>
      <c r="X1117" s="4" t="str">
        <f>+VLOOKUP(U1117,'FBCJ Jul-Des 2025'!$G$10:$P$1302,9,0)</f>
        <v>P206D1SLSS</v>
      </c>
      <c r="Y1117" s="2" t="s">
        <v>43</v>
      </c>
      <c r="Z1117" s="2">
        <v>1880288</v>
      </c>
      <c r="AA1117" s="2">
        <v>20251205</v>
      </c>
      <c r="AB1117" s="3">
        <v>50000</v>
      </c>
    </row>
    <row r="1118" spans="3:28" x14ac:dyDescent="0.25">
      <c r="C1118" s="2">
        <v>10000001</v>
      </c>
      <c r="D1118" s="2" t="s">
        <v>1600</v>
      </c>
      <c r="F1118" s="2">
        <v>12010107</v>
      </c>
      <c r="H1118" s="2" t="s">
        <v>1600</v>
      </c>
      <c r="I1118" s="2" t="str">
        <f t="shared" si="17"/>
        <v>12</v>
      </c>
      <c r="J1118" s="2">
        <v>50</v>
      </c>
      <c r="K1118" s="3">
        <v>-50000</v>
      </c>
      <c r="L1118" s="2" t="s">
        <v>26</v>
      </c>
      <c r="M1118" s="3">
        <v>-50000</v>
      </c>
      <c r="N1118" s="2" t="s">
        <v>26</v>
      </c>
      <c r="R1118" s="2" t="s">
        <v>27</v>
      </c>
      <c r="S1118" s="2" t="s">
        <v>1648</v>
      </c>
      <c r="T1118" s="2" t="s">
        <v>334</v>
      </c>
      <c r="U1118" s="2" t="s">
        <v>1658</v>
      </c>
      <c r="V1118" s="4">
        <f>+VLOOKUP(U1118,'FBCJ Jul-Des 2025'!$G$10:$P$1302,8,0)</f>
        <v>70001110</v>
      </c>
      <c r="W1118" s="4" t="str">
        <f>+VLOOKUP(V1118,Sheet1!$A$2:$B$27,2,0)</f>
        <v>Biaya Ekspor lainnya</v>
      </c>
      <c r="X1118" s="4" t="str">
        <f>+VLOOKUP(U1118,'FBCJ Jul-Des 2025'!$G$10:$P$1302,9,0)</f>
        <v>P206D1SLSS</v>
      </c>
      <c r="Y1118" s="2" t="s">
        <v>43</v>
      </c>
      <c r="Z1118" s="2">
        <v>1880288</v>
      </c>
      <c r="AA1118" s="2">
        <v>20251205</v>
      </c>
      <c r="AB1118" s="3">
        <v>50000</v>
      </c>
    </row>
    <row r="1119" spans="3:28" x14ac:dyDescent="0.25">
      <c r="C1119" s="2">
        <v>10000001</v>
      </c>
      <c r="D1119" s="2" t="s">
        <v>1600</v>
      </c>
      <c r="F1119" s="2">
        <v>12010108</v>
      </c>
      <c r="H1119" s="2" t="s">
        <v>1600</v>
      </c>
      <c r="I1119" s="2" t="str">
        <f t="shared" si="17"/>
        <v>12</v>
      </c>
      <c r="J1119" s="2">
        <v>50</v>
      </c>
      <c r="K1119" s="3">
        <v>-50000</v>
      </c>
      <c r="L1119" s="2" t="s">
        <v>26</v>
      </c>
      <c r="M1119" s="3">
        <v>-50000</v>
      </c>
      <c r="N1119" s="2" t="s">
        <v>26</v>
      </c>
      <c r="R1119" s="2" t="s">
        <v>27</v>
      </c>
      <c r="S1119" s="2" t="s">
        <v>1648</v>
      </c>
      <c r="T1119" s="2" t="s">
        <v>334</v>
      </c>
      <c r="U1119" s="2" t="s">
        <v>1659</v>
      </c>
      <c r="V1119" s="4">
        <f>+VLOOKUP(U1119,'FBCJ Jul-Des 2025'!$G$10:$P$1302,8,0)</f>
        <v>70001110</v>
      </c>
      <c r="W1119" s="4" t="str">
        <f>+VLOOKUP(V1119,Sheet1!$A$2:$B$27,2,0)</f>
        <v>Biaya Ekspor lainnya</v>
      </c>
      <c r="X1119" s="4" t="str">
        <f>+VLOOKUP(U1119,'FBCJ Jul-Des 2025'!$G$10:$P$1302,9,0)</f>
        <v>P206D1SLSS</v>
      </c>
      <c r="Y1119" s="2" t="s">
        <v>43</v>
      </c>
      <c r="Z1119" s="2">
        <v>1880288</v>
      </c>
      <c r="AA1119" s="2">
        <v>20251205</v>
      </c>
      <c r="AB1119" s="3">
        <v>50000</v>
      </c>
    </row>
    <row r="1120" spans="3:28" x14ac:dyDescent="0.25">
      <c r="C1120" s="2">
        <v>10000001</v>
      </c>
      <c r="D1120" s="2" t="s">
        <v>1600</v>
      </c>
      <c r="F1120" s="2">
        <v>12010109</v>
      </c>
      <c r="H1120" s="2" t="s">
        <v>1600</v>
      </c>
      <c r="I1120" s="2" t="str">
        <f t="shared" si="17"/>
        <v>12</v>
      </c>
      <c r="J1120" s="2">
        <v>50</v>
      </c>
      <c r="K1120" s="3">
        <v>-50000</v>
      </c>
      <c r="L1120" s="2" t="s">
        <v>26</v>
      </c>
      <c r="M1120" s="3">
        <v>-50000</v>
      </c>
      <c r="N1120" s="2" t="s">
        <v>26</v>
      </c>
      <c r="R1120" s="2" t="s">
        <v>27</v>
      </c>
      <c r="S1120" s="2" t="s">
        <v>1648</v>
      </c>
      <c r="T1120" s="2" t="s">
        <v>334</v>
      </c>
      <c r="U1120" s="2" t="s">
        <v>1660</v>
      </c>
      <c r="V1120" s="4">
        <f>+VLOOKUP(U1120,'FBCJ Jul-Des 2025'!$G$10:$P$1302,8,0)</f>
        <v>70001110</v>
      </c>
      <c r="W1120" s="4" t="str">
        <f>+VLOOKUP(V1120,Sheet1!$A$2:$B$27,2,0)</f>
        <v>Biaya Ekspor lainnya</v>
      </c>
      <c r="X1120" s="4" t="str">
        <f>+VLOOKUP(U1120,'FBCJ Jul-Des 2025'!$G$10:$P$1302,9,0)</f>
        <v>P206D1SLSS</v>
      </c>
      <c r="Y1120" s="2" t="s">
        <v>43</v>
      </c>
      <c r="Z1120" s="2">
        <v>1880288</v>
      </c>
      <c r="AA1120" s="2">
        <v>20251205</v>
      </c>
      <c r="AB1120" s="3">
        <v>50000</v>
      </c>
    </row>
    <row r="1121" spans="3:28" x14ac:dyDescent="0.25">
      <c r="C1121" s="2">
        <v>10000001</v>
      </c>
      <c r="D1121" s="2" t="s">
        <v>1600</v>
      </c>
      <c r="F1121" s="2">
        <v>12010110</v>
      </c>
      <c r="H1121" s="2" t="s">
        <v>1600</v>
      </c>
      <c r="I1121" s="2" t="str">
        <f t="shared" si="17"/>
        <v>12</v>
      </c>
      <c r="J1121" s="2">
        <v>50</v>
      </c>
      <c r="K1121" s="3">
        <v>-1000000</v>
      </c>
      <c r="L1121" s="2" t="s">
        <v>26</v>
      </c>
      <c r="M1121" s="3">
        <v>-1000000</v>
      </c>
      <c r="N1121" s="2" t="s">
        <v>26</v>
      </c>
      <c r="R1121" s="2" t="s">
        <v>27</v>
      </c>
      <c r="S1121" s="2" t="s">
        <v>1661</v>
      </c>
      <c r="T1121" s="2" t="s">
        <v>259</v>
      </c>
      <c r="U1121" s="2" t="s">
        <v>1662</v>
      </c>
      <c r="V1121" s="4">
        <f>+VLOOKUP(U1121,'FBCJ Jul-Des 2025'!$G$10:$P$1302,8,0)</f>
        <v>70119300</v>
      </c>
      <c r="W1121" s="4" t="str">
        <f>+VLOOKUP(V1121,Sheet1!$A$2:$B$27,2,0)</f>
        <v>Biaya Umum dan Administrasi</v>
      </c>
      <c r="X1121" s="4" t="str">
        <f>+VLOOKUP(U1121,'FBCJ Jul-Des 2025'!$G$10:$P$1302,9,0)</f>
        <v>R124D1PRCN</v>
      </c>
      <c r="Y1121" s="2" t="s">
        <v>43</v>
      </c>
      <c r="Z1121" s="2">
        <v>1880288</v>
      </c>
      <c r="AA1121" s="2">
        <v>20251205</v>
      </c>
      <c r="AB1121" s="3">
        <v>1000000</v>
      </c>
    </row>
    <row r="1122" spans="3:28" x14ac:dyDescent="0.25">
      <c r="C1122" s="2">
        <v>10000001</v>
      </c>
      <c r="D1122" s="2" t="s">
        <v>1600</v>
      </c>
      <c r="F1122" s="2">
        <v>12010111</v>
      </c>
      <c r="H1122" s="2" t="s">
        <v>1600</v>
      </c>
      <c r="I1122" s="2" t="str">
        <f t="shared" si="17"/>
        <v>12</v>
      </c>
      <c r="J1122" s="2">
        <v>50</v>
      </c>
      <c r="K1122" s="3">
        <v>-949248</v>
      </c>
      <c r="L1122" s="2" t="s">
        <v>26</v>
      </c>
      <c r="M1122" s="3">
        <v>-949248</v>
      </c>
      <c r="N1122" s="2" t="s">
        <v>26</v>
      </c>
      <c r="R1122" s="2" t="s">
        <v>27</v>
      </c>
      <c r="S1122" s="2" t="s">
        <v>1663</v>
      </c>
      <c r="T1122" s="2" t="s">
        <v>59</v>
      </c>
      <c r="U1122" s="2" t="s">
        <v>1664</v>
      </c>
      <c r="V1122" s="4">
        <f>+VLOOKUP(U1122,'FBCJ Jul-Des 2025'!$G$10:$P$1302,8,0)</f>
        <v>70101114</v>
      </c>
      <c r="W1122" s="4" t="str">
        <f>+VLOOKUP(V1122,Sheet1!$A$2:$B$27,2,0)</f>
        <v>By Perbaikan &amp; Perawatan Perabot Material Pihak3</v>
      </c>
      <c r="X1122" s="4" t="str">
        <f>+VLOOKUP(U1122,'FBCJ Jul-Des 2025'!$G$10:$P$1302,9,0)</f>
        <v>R124QCA</v>
      </c>
      <c r="Y1122" s="2" t="s">
        <v>43</v>
      </c>
      <c r="Z1122" s="2">
        <v>1880288</v>
      </c>
      <c r="AA1122" s="2">
        <v>20251205</v>
      </c>
      <c r="AB1122" s="3">
        <v>949248</v>
      </c>
    </row>
    <row r="1123" spans="3:28" x14ac:dyDescent="0.25">
      <c r="C1123" s="2">
        <v>10000001</v>
      </c>
      <c r="D1123" s="2" t="s">
        <v>1600</v>
      </c>
      <c r="F1123" s="2">
        <v>12010112</v>
      </c>
      <c r="H1123" s="2" t="s">
        <v>1600</v>
      </c>
      <c r="I1123" s="2" t="str">
        <f t="shared" si="17"/>
        <v>12</v>
      </c>
      <c r="J1123" s="2">
        <v>50</v>
      </c>
      <c r="K1123" s="3">
        <v>-682500</v>
      </c>
      <c r="L1123" s="2" t="s">
        <v>26</v>
      </c>
      <c r="M1123" s="3">
        <v>-682500</v>
      </c>
      <c r="N1123" s="2" t="s">
        <v>26</v>
      </c>
      <c r="R1123" s="2" t="s">
        <v>27</v>
      </c>
      <c r="S1123" s="2" t="s">
        <v>1665</v>
      </c>
      <c r="T1123" s="2" t="s">
        <v>126</v>
      </c>
      <c r="U1123" s="2" t="s">
        <v>1666</v>
      </c>
      <c r="V1123" s="4">
        <f>+VLOOKUP(U1123,'FBCJ Jul-Des 2025'!$G$10:$P$1302,8,0)</f>
        <v>70107600</v>
      </c>
      <c r="W1123" s="4" t="str">
        <f>+VLOOKUP(V1123,Sheet1!$A$2:$B$27,2,0)</f>
        <v>Biaya Konsumsi Kantor</v>
      </c>
      <c r="X1123" s="4" t="str">
        <f>+VLOOKUP(U1123,'FBCJ Jul-Des 2025'!$G$10:$P$1302,9,0)</f>
        <v>R124D1HRDV</v>
      </c>
      <c r="Y1123" s="2" t="s">
        <v>43</v>
      </c>
      <c r="Z1123" s="2">
        <v>1880288</v>
      </c>
      <c r="AA1123" s="2">
        <v>20251205</v>
      </c>
      <c r="AB1123" s="3">
        <v>682500</v>
      </c>
    </row>
    <row r="1124" spans="3:28" x14ac:dyDescent="0.25">
      <c r="C1124" s="2">
        <v>10000001</v>
      </c>
      <c r="D1124" s="2" t="s">
        <v>1600</v>
      </c>
      <c r="F1124" s="2">
        <v>12010113</v>
      </c>
      <c r="H1124" s="2" t="s">
        <v>1600</v>
      </c>
      <c r="I1124" s="2" t="str">
        <f t="shared" si="17"/>
        <v>12</v>
      </c>
      <c r="J1124" s="2">
        <v>50</v>
      </c>
      <c r="K1124" s="3">
        <v>-647500</v>
      </c>
      <c r="L1124" s="2" t="s">
        <v>26</v>
      </c>
      <c r="M1124" s="3">
        <v>-647500</v>
      </c>
      <c r="N1124" s="2" t="s">
        <v>26</v>
      </c>
      <c r="R1124" s="2" t="s">
        <v>27</v>
      </c>
      <c r="S1124" s="2" t="s">
        <v>1667</v>
      </c>
      <c r="T1124" s="2" t="s">
        <v>126</v>
      </c>
      <c r="U1124" s="2" t="s">
        <v>1668</v>
      </c>
      <c r="V1124" s="4">
        <f>+VLOOKUP(U1124,'FBCJ Jul-Des 2025'!$G$10:$P$1302,8,0)</f>
        <v>70107600</v>
      </c>
      <c r="W1124" s="4" t="str">
        <f>+VLOOKUP(V1124,Sheet1!$A$2:$B$27,2,0)</f>
        <v>Biaya Konsumsi Kantor</v>
      </c>
      <c r="X1124" s="4" t="str">
        <f>+VLOOKUP(U1124,'FBCJ Jul-Des 2025'!$G$10:$P$1302,9,0)</f>
        <v>R124D1HRDV</v>
      </c>
      <c r="Y1124" s="2" t="s">
        <v>43</v>
      </c>
      <c r="Z1124" s="2">
        <v>1880288</v>
      </c>
      <c r="AA1124" s="2">
        <v>20251205</v>
      </c>
      <c r="AB1124" s="3">
        <v>647500</v>
      </c>
    </row>
    <row r="1125" spans="3:28" x14ac:dyDescent="0.25">
      <c r="C1125" s="2">
        <v>10000001</v>
      </c>
      <c r="D1125" s="2" t="s">
        <v>1600</v>
      </c>
      <c r="F1125" s="2">
        <v>12010114</v>
      </c>
      <c r="H1125" s="2" t="s">
        <v>1600</v>
      </c>
      <c r="I1125" s="2" t="str">
        <f t="shared" si="17"/>
        <v>12</v>
      </c>
      <c r="J1125" s="2">
        <v>50</v>
      </c>
      <c r="K1125" s="3">
        <v>-612500</v>
      </c>
      <c r="L1125" s="2" t="s">
        <v>26</v>
      </c>
      <c r="M1125" s="3">
        <v>-612500</v>
      </c>
      <c r="N1125" s="2" t="s">
        <v>26</v>
      </c>
      <c r="R1125" s="2" t="s">
        <v>27</v>
      </c>
      <c r="S1125" s="2" t="s">
        <v>1669</v>
      </c>
      <c r="T1125" s="2" t="s">
        <v>126</v>
      </c>
      <c r="U1125" s="2" t="s">
        <v>1670</v>
      </c>
      <c r="V1125" s="4">
        <f>+VLOOKUP(U1125,'FBCJ Jul-Des 2025'!$G$10:$P$1302,8,0)</f>
        <v>70107600</v>
      </c>
      <c r="W1125" s="4" t="str">
        <f>+VLOOKUP(V1125,Sheet1!$A$2:$B$27,2,0)</f>
        <v>Biaya Konsumsi Kantor</v>
      </c>
      <c r="X1125" s="4" t="str">
        <f>+VLOOKUP(U1125,'FBCJ Jul-Des 2025'!$G$10:$P$1302,9,0)</f>
        <v>R124D1HRDV</v>
      </c>
      <c r="Y1125" s="2" t="s">
        <v>43</v>
      </c>
      <c r="Z1125" s="2">
        <v>1880288</v>
      </c>
      <c r="AA1125" s="2">
        <v>20251205</v>
      </c>
      <c r="AB1125" s="3">
        <v>612500</v>
      </c>
    </row>
    <row r="1126" spans="3:28" x14ac:dyDescent="0.25">
      <c r="C1126" s="2">
        <v>10000001</v>
      </c>
      <c r="D1126" s="2" t="s">
        <v>1600</v>
      </c>
      <c r="F1126" s="2">
        <v>12010115</v>
      </c>
      <c r="H1126" s="2" t="s">
        <v>1600</v>
      </c>
      <c r="I1126" s="2" t="str">
        <f t="shared" si="17"/>
        <v>12</v>
      </c>
      <c r="J1126" s="2">
        <v>50</v>
      </c>
      <c r="K1126" s="3">
        <v>-760000</v>
      </c>
      <c r="L1126" s="2" t="s">
        <v>26</v>
      </c>
      <c r="M1126" s="3">
        <v>-760000</v>
      </c>
      <c r="N1126" s="2" t="s">
        <v>26</v>
      </c>
      <c r="R1126" s="2" t="s">
        <v>27</v>
      </c>
      <c r="S1126" s="2" t="s">
        <v>1671</v>
      </c>
      <c r="T1126" s="2" t="s">
        <v>96</v>
      </c>
      <c r="U1126" s="2" t="s">
        <v>1672</v>
      </c>
      <c r="V1126" s="4">
        <f>+VLOOKUP(U1126,'FBCJ Jul-Des 2025'!$G$10:$P$1302,8,0)</f>
        <v>70106400</v>
      </c>
      <c r="W1126" s="4" t="str">
        <f>+VLOOKUP(V1126,Sheet1!$A$2:$B$27,2,0)</f>
        <v>Biaya Bahan Bakar</v>
      </c>
      <c r="X1126" s="4" t="str">
        <f>+VLOOKUP(U1126,'FBCJ Jul-Des 2025'!$G$10:$P$1302,9,0)</f>
        <v>R124D1HRGA</v>
      </c>
      <c r="Y1126" s="2" t="s">
        <v>43</v>
      </c>
      <c r="Z1126" s="2">
        <v>1880288</v>
      </c>
      <c r="AA1126" s="2">
        <v>20251205</v>
      </c>
      <c r="AB1126" s="3">
        <v>760000</v>
      </c>
    </row>
    <row r="1127" spans="3:28" x14ac:dyDescent="0.25">
      <c r="C1127" s="2">
        <v>10000001</v>
      </c>
      <c r="D1127" s="2" t="s">
        <v>1600</v>
      </c>
      <c r="F1127" s="2">
        <v>12010116</v>
      </c>
      <c r="H1127" s="2" t="s">
        <v>1600</v>
      </c>
      <c r="I1127" s="2" t="str">
        <f t="shared" si="17"/>
        <v>12</v>
      </c>
      <c r="J1127" s="2">
        <v>50</v>
      </c>
      <c r="K1127" s="3">
        <v>-240000</v>
      </c>
      <c r="L1127" s="2" t="s">
        <v>26</v>
      </c>
      <c r="M1127" s="3">
        <v>-240000</v>
      </c>
      <c r="N1127" s="2" t="s">
        <v>26</v>
      </c>
      <c r="R1127" s="2" t="s">
        <v>27</v>
      </c>
      <c r="S1127" s="2" t="s">
        <v>1671</v>
      </c>
      <c r="T1127" s="2" t="s">
        <v>67</v>
      </c>
      <c r="U1127" s="2" t="s">
        <v>98</v>
      </c>
      <c r="V1127" s="4">
        <f>+VLOOKUP(U1127,'FBCJ Jul-Des 2025'!$G$10:$P$1302,8,0)</f>
        <v>70106100</v>
      </c>
      <c r="W1127" s="4" t="str">
        <f>+VLOOKUP(V1127,Sheet1!$A$2:$B$27,2,0)</f>
        <v>Biaya Transportasi Lokal</v>
      </c>
      <c r="X1127" s="4" t="str">
        <f>+VLOOKUP(U1127,'FBCJ Jul-Des 2025'!$G$10:$P$1302,9,0)</f>
        <v>R124D1HRGA</v>
      </c>
      <c r="Y1127" s="2" t="s">
        <v>43</v>
      </c>
      <c r="Z1127" s="2">
        <v>1880288</v>
      </c>
      <c r="AA1127" s="2">
        <v>20251205</v>
      </c>
      <c r="AB1127" s="3">
        <v>240000</v>
      </c>
    </row>
    <row r="1128" spans="3:28" x14ac:dyDescent="0.25">
      <c r="C1128" s="2">
        <v>10000001</v>
      </c>
      <c r="D1128" s="2" t="s">
        <v>1600</v>
      </c>
      <c r="F1128" s="2">
        <v>12010117</v>
      </c>
      <c r="H1128" s="2" t="s">
        <v>1600</v>
      </c>
      <c r="I1128" s="2" t="str">
        <f t="shared" si="17"/>
        <v>12</v>
      </c>
      <c r="J1128" s="2">
        <v>50</v>
      </c>
      <c r="K1128" s="3">
        <v>-961950</v>
      </c>
      <c r="L1128" s="2" t="s">
        <v>26</v>
      </c>
      <c r="M1128" s="3">
        <v>-961950</v>
      </c>
      <c r="N1128" s="2" t="s">
        <v>26</v>
      </c>
      <c r="R1128" s="2" t="s">
        <v>27</v>
      </c>
      <c r="S1128" s="2" t="s">
        <v>1673</v>
      </c>
      <c r="T1128" s="2" t="s">
        <v>126</v>
      </c>
      <c r="U1128" s="2" t="s">
        <v>1674</v>
      </c>
      <c r="V1128" s="4">
        <f>+VLOOKUP(U1128,'FBCJ Jul-Des 2025'!$G$10:$P$1302,8,0)</f>
        <v>70107600</v>
      </c>
      <c r="W1128" s="4" t="str">
        <f>+VLOOKUP(V1128,Sheet1!$A$2:$B$27,2,0)</f>
        <v>Biaya Konsumsi Kantor</v>
      </c>
      <c r="X1128" s="4" t="str">
        <f>+VLOOKUP(U1128,'FBCJ Jul-Des 2025'!$G$10:$P$1302,9,0)</f>
        <v>R124D1HRDV</v>
      </c>
      <c r="Y1128" s="2" t="s">
        <v>43</v>
      </c>
      <c r="Z1128" s="2">
        <v>1880288</v>
      </c>
      <c r="AA1128" s="2">
        <v>20251205</v>
      </c>
      <c r="AB1128" s="3">
        <v>961950</v>
      </c>
    </row>
    <row r="1129" spans="3:28" x14ac:dyDescent="0.25">
      <c r="C1129" s="2">
        <v>10000001</v>
      </c>
      <c r="D1129" s="2" t="s">
        <v>1600</v>
      </c>
      <c r="F1129" s="2">
        <v>12010118</v>
      </c>
      <c r="H1129" s="2" t="s">
        <v>1600</v>
      </c>
      <c r="I1129" s="2" t="str">
        <f t="shared" si="17"/>
        <v>12</v>
      </c>
      <c r="J1129" s="2">
        <v>50</v>
      </c>
      <c r="K1129" s="3">
        <v>-50000</v>
      </c>
      <c r="L1129" s="2" t="s">
        <v>26</v>
      </c>
      <c r="M1129" s="3">
        <v>-50000</v>
      </c>
      <c r="N1129" s="2" t="s">
        <v>26</v>
      </c>
      <c r="R1129" s="2" t="s">
        <v>27</v>
      </c>
      <c r="S1129" s="2" t="s">
        <v>1675</v>
      </c>
      <c r="T1129" s="2" t="s">
        <v>334</v>
      </c>
      <c r="U1129" s="2" t="s">
        <v>1676</v>
      </c>
      <c r="V1129" s="4">
        <f>+VLOOKUP(U1129,'FBCJ Jul-Des 2025'!$G$10:$P$1302,8,0)</f>
        <v>70001110</v>
      </c>
      <c r="W1129" s="4" t="str">
        <f>+VLOOKUP(V1129,Sheet1!$A$2:$B$27,2,0)</f>
        <v>Biaya Ekspor lainnya</v>
      </c>
      <c r="X1129" s="4" t="str">
        <f>+VLOOKUP(U1129,'FBCJ Jul-Des 2025'!$G$10:$P$1302,9,0)</f>
        <v>P206D1SLSS</v>
      </c>
      <c r="Y1129" s="2" t="s">
        <v>43</v>
      </c>
      <c r="Z1129" s="2">
        <v>1880288</v>
      </c>
      <c r="AA1129" s="2">
        <v>20251205</v>
      </c>
      <c r="AB1129" s="3">
        <v>50000</v>
      </c>
    </row>
    <row r="1130" spans="3:28" x14ac:dyDescent="0.25">
      <c r="C1130" s="2">
        <v>10000001</v>
      </c>
      <c r="D1130" s="2" t="s">
        <v>1600</v>
      </c>
      <c r="F1130" s="2">
        <v>12010119</v>
      </c>
      <c r="H1130" s="2" t="s">
        <v>1600</v>
      </c>
      <c r="I1130" s="2" t="str">
        <f t="shared" si="17"/>
        <v>12</v>
      </c>
      <c r="J1130" s="2">
        <v>50</v>
      </c>
      <c r="K1130" s="3">
        <v>-50000</v>
      </c>
      <c r="L1130" s="2" t="s">
        <v>26</v>
      </c>
      <c r="M1130" s="3">
        <v>-50000</v>
      </c>
      <c r="N1130" s="2" t="s">
        <v>26</v>
      </c>
      <c r="R1130" s="2" t="s">
        <v>27</v>
      </c>
      <c r="S1130" s="2" t="s">
        <v>1675</v>
      </c>
      <c r="T1130" s="2" t="s">
        <v>334</v>
      </c>
      <c r="U1130" s="2" t="s">
        <v>1677</v>
      </c>
      <c r="V1130" s="4">
        <f>+VLOOKUP(U1130,'FBCJ Jul-Des 2025'!$G$10:$P$1302,8,0)</f>
        <v>70001110</v>
      </c>
      <c r="W1130" s="4" t="str">
        <f>+VLOOKUP(V1130,Sheet1!$A$2:$B$27,2,0)</f>
        <v>Biaya Ekspor lainnya</v>
      </c>
      <c r="X1130" s="4" t="str">
        <f>+VLOOKUP(U1130,'FBCJ Jul-Des 2025'!$G$10:$P$1302,9,0)</f>
        <v>C206D1SLSS</v>
      </c>
      <c r="Y1130" s="2" t="s">
        <v>43</v>
      </c>
      <c r="Z1130" s="2">
        <v>1880288</v>
      </c>
      <c r="AA1130" s="2">
        <v>20251205</v>
      </c>
      <c r="AB1130" s="3">
        <v>50000</v>
      </c>
    </row>
    <row r="1131" spans="3:28" x14ac:dyDescent="0.25">
      <c r="C1131" s="2">
        <v>10000001</v>
      </c>
      <c r="D1131" s="2" t="s">
        <v>1600</v>
      </c>
      <c r="F1131" s="2">
        <v>12010120</v>
      </c>
      <c r="H1131" s="2" t="s">
        <v>1600</v>
      </c>
      <c r="I1131" s="2" t="str">
        <f t="shared" si="17"/>
        <v>12</v>
      </c>
      <c r="J1131" s="2">
        <v>50</v>
      </c>
      <c r="K1131" s="3">
        <v>-50000</v>
      </c>
      <c r="L1131" s="2" t="s">
        <v>26</v>
      </c>
      <c r="M1131" s="3">
        <v>-50000</v>
      </c>
      <c r="N1131" s="2" t="s">
        <v>26</v>
      </c>
      <c r="R1131" s="2" t="s">
        <v>27</v>
      </c>
      <c r="S1131" s="2" t="s">
        <v>1675</v>
      </c>
      <c r="T1131" s="2" t="s">
        <v>334</v>
      </c>
      <c r="U1131" s="2" t="s">
        <v>1678</v>
      </c>
      <c r="V1131" s="4">
        <f>+VLOOKUP(U1131,'FBCJ Jul-Des 2025'!$G$10:$P$1302,8,0)</f>
        <v>70001110</v>
      </c>
      <c r="W1131" s="4" t="str">
        <f>+VLOOKUP(V1131,Sheet1!$A$2:$B$27,2,0)</f>
        <v>Biaya Ekspor lainnya</v>
      </c>
      <c r="X1131" s="4" t="str">
        <f>+VLOOKUP(U1131,'FBCJ Jul-Des 2025'!$G$10:$P$1302,9,0)</f>
        <v>C206D1SLSS</v>
      </c>
      <c r="Y1131" s="2" t="s">
        <v>43</v>
      </c>
      <c r="Z1131" s="2">
        <v>1880288</v>
      </c>
      <c r="AA1131" s="2">
        <v>20251205</v>
      </c>
      <c r="AB1131" s="3">
        <v>50000</v>
      </c>
    </row>
    <row r="1132" spans="3:28" x14ac:dyDescent="0.25">
      <c r="C1132" s="2">
        <v>10000001</v>
      </c>
      <c r="D1132" s="2" t="s">
        <v>1600</v>
      </c>
      <c r="F1132" s="2">
        <v>12010121</v>
      </c>
      <c r="H1132" s="2" t="s">
        <v>1600</v>
      </c>
      <c r="I1132" s="2" t="str">
        <f t="shared" si="17"/>
        <v>12</v>
      </c>
      <c r="J1132" s="2">
        <v>50</v>
      </c>
      <c r="K1132" s="3">
        <v>-50000</v>
      </c>
      <c r="L1132" s="2" t="s">
        <v>26</v>
      </c>
      <c r="M1132" s="3">
        <v>-50000</v>
      </c>
      <c r="N1132" s="2" t="s">
        <v>26</v>
      </c>
      <c r="R1132" s="2" t="s">
        <v>27</v>
      </c>
      <c r="S1132" s="2" t="s">
        <v>1675</v>
      </c>
      <c r="T1132" s="2" t="s">
        <v>334</v>
      </c>
      <c r="U1132" s="2" t="s">
        <v>1679</v>
      </c>
      <c r="V1132" s="4">
        <f>+VLOOKUP(U1132,'FBCJ Jul-Des 2025'!$G$10:$P$1302,8,0)</f>
        <v>70001110</v>
      </c>
      <c r="W1132" s="4" t="str">
        <f>+VLOOKUP(V1132,Sheet1!$A$2:$B$27,2,0)</f>
        <v>Biaya Ekspor lainnya</v>
      </c>
      <c r="X1132" s="4" t="str">
        <f>+VLOOKUP(U1132,'FBCJ Jul-Des 2025'!$G$10:$P$1302,9,0)</f>
        <v>C206D1SLSS</v>
      </c>
      <c r="Y1132" s="2" t="s">
        <v>43</v>
      </c>
      <c r="Z1132" s="2">
        <v>1880288</v>
      </c>
      <c r="AA1132" s="2">
        <v>20251205</v>
      </c>
      <c r="AB1132" s="3">
        <v>50000</v>
      </c>
    </row>
    <row r="1133" spans="3:28" x14ac:dyDescent="0.25">
      <c r="C1133" s="2">
        <v>10000001</v>
      </c>
      <c r="D1133" s="2" t="s">
        <v>1600</v>
      </c>
      <c r="F1133" s="2">
        <v>12010122</v>
      </c>
      <c r="H1133" s="2" t="s">
        <v>1600</v>
      </c>
      <c r="I1133" s="2" t="str">
        <f t="shared" si="17"/>
        <v>12</v>
      </c>
      <c r="J1133" s="2">
        <v>50</v>
      </c>
      <c r="K1133" s="3">
        <v>-50000</v>
      </c>
      <c r="L1133" s="2" t="s">
        <v>26</v>
      </c>
      <c r="M1133" s="3">
        <v>-50000</v>
      </c>
      <c r="N1133" s="2" t="s">
        <v>26</v>
      </c>
      <c r="R1133" s="2" t="s">
        <v>27</v>
      </c>
      <c r="S1133" s="2" t="s">
        <v>1675</v>
      </c>
      <c r="T1133" s="2" t="s">
        <v>334</v>
      </c>
      <c r="U1133" s="2" t="s">
        <v>1680</v>
      </c>
      <c r="V1133" s="4">
        <f>+VLOOKUP(U1133,'FBCJ Jul-Des 2025'!$G$10:$P$1302,8,0)</f>
        <v>70001110</v>
      </c>
      <c r="W1133" s="4" t="str">
        <f>+VLOOKUP(V1133,Sheet1!$A$2:$B$27,2,0)</f>
        <v>Biaya Ekspor lainnya</v>
      </c>
      <c r="X1133" s="4" t="str">
        <f>+VLOOKUP(U1133,'FBCJ Jul-Des 2025'!$G$10:$P$1302,9,0)</f>
        <v>P206D1SLSS</v>
      </c>
      <c r="Y1133" s="2" t="s">
        <v>43</v>
      </c>
      <c r="Z1133" s="2">
        <v>1880288</v>
      </c>
      <c r="AA1133" s="2">
        <v>20251205</v>
      </c>
      <c r="AB1133" s="3">
        <v>50000</v>
      </c>
    </row>
    <row r="1134" spans="3:28" x14ac:dyDescent="0.25">
      <c r="C1134" s="2">
        <v>10000001</v>
      </c>
      <c r="D1134" s="2" t="s">
        <v>1600</v>
      </c>
      <c r="F1134" s="2">
        <v>12010123</v>
      </c>
      <c r="H1134" s="2" t="s">
        <v>1600</v>
      </c>
      <c r="I1134" s="2" t="str">
        <f t="shared" si="17"/>
        <v>12</v>
      </c>
      <c r="J1134" s="2">
        <v>50</v>
      </c>
      <c r="K1134" s="3">
        <v>-50000</v>
      </c>
      <c r="L1134" s="2" t="s">
        <v>26</v>
      </c>
      <c r="M1134" s="3">
        <v>-50000</v>
      </c>
      <c r="N1134" s="2" t="s">
        <v>26</v>
      </c>
      <c r="R1134" s="2" t="s">
        <v>27</v>
      </c>
      <c r="S1134" s="2" t="s">
        <v>1675</v>
      </c>
      <c r="T1134" s="2" t="s">
        <v>334</v>
      </c>
      <c r="U1134" s="2" t="s">
        <v>1681</v>
      </c>
      <c r="V1134" s="4">
        <f>+VLOOKUP(U1134,'FBCJ Jul-Des 2025'!$G$10:$P$1302,8,0)</f>
        <v>70001110</v>
      </c>
      <c r="W1134" s="4" t="str">
        <f>+VLOOKUP(V1134,Sheet1!$A$2:$B$27,2,0)</f>
        <v>Biaya Ekspor lainnya</v>
      </c>
      <c r="X1134" s="4" t="str">
        <f>+VLOOKUP(U1134,'FBCJ Jul-Des 2025'!$G$10:$P$1302,9,0)</f>
        <v>P206D1SLSS</v>
      </c>
      <c r="Y1134" s="2" t="s">
        <v>43</v>
      </c>
      <c r="Z1134" s="2">
        <v>1880288</v>
      </c>
      <c r="AA1134" s="2">
        <v>20251205</v>
      </c>
      <c r="AB1134" s="3">
        <v>50000</v>
      </c>
    </row>
    <row r="1135" spans="3:28" x14ac:dyDescent="0.25">
      <c r="C1135" s="2">
        <v>10000001</v>
      </c>
      <c r="D1135" s="2" t="s">
        <v>1600</v>
      </c>
      <c r="F1135" s="2">
        <v>12010124</v>
      </c>
      <c r="H1135" s="2" t="s">
        <v>1600</v>
      </c>
      <c r="I1135" s="2" t="str">
        <f t="shared" si="17"/>
        <v>12</v>
      </c>
      <c r="J1135" s="2">
        <v>50</v>
      </c>
      <c r="K1135" s="3">
        <v>-50000</v>
      </c>
      <c r="L1135" s="2" t="s">
        <v>26</v>
      </c>
      <c r="M1135" s="3">
        <v>-50000</v>
      </c>
      <c r="N1135" s="2" t="s">
        <v>26</v>
      </c>
      <c r="R1135" s="2" t="s">
        <v>27</v>
      </c>
      <c r="S1135" s="2" t="s">
        <v>1675</v>
      </c>
      <c r="T1135" s="2" t="s">
        <v>334</v>
      </c>
      <c r="U1135" s="2" t="s">
        <v>1682</v>
      </c>
      <c r="V1135" s="4">
        <f>+VLOOKUP(U1135,'FBCJ Jul-Des 2025'!$G$10:$P$1302,8,0)</f>
        <v>70001110</v>
      </c>
      <c r="W1135" s="4" t="str">
        <f>+VLOOKUP(V1135,Sheet1!$A$2:$B$27,2,0)</f>
        <v>Biaya Ekspor lainnya</v>
      </c>
      <c r="X1135" s="4" t="str">
        <f>+VLOOKUP(U1135,'FBCJ Jul-Des 2025'!$G$10:$P$1302,9,0)</f>
        <v>P206D1SLSS</v>
      </c>
      <c r="Y1135" s="2" t="s">
        <v>43</v>
      </c>
      <c r="Z1135" s="2">
        <v>1880288</v>
      </c>
      <c r="AA1135" s="2">
        <v>20251205</v>
      </c>
      <c r="AB1135" s="3">
        <v>50000</v>
      </c>
    </row>
    <row r="1136" spans="3:28" x14ac:dyDescent="0.25">
      <c r="C1136" s="2">
        <v>10000001</v>
      </c>
      <c r="D1136" s="2" t="s">
        <v>1600</v>
      </c>
      <c r="F1136" s="2">
        <v>12010125</v>
      </c>
      <c r="H1136" s="2" t="s">
        <v>1600</v>
      </c>
      <c r="I1136" s="2" t="str">
        <f t="shared" si="17"/>
        <v>12</v>
      </c>
      <c r="J1136" s="2">
        <v>50</v>
      </c>
      <c r="K1136" s="3">
        <v>-50000</v>
      </c>
      <c r="L1136" s="2" t="s">
        <v>26</v>
      </c>
      <c r="M1136" s="3">
        <v>-50000</v>
      </c>
      <c r="N1136" s="2" t="s">
        <v>26</v>
      </c>
      <c r="R1136" s="2" t="s">
        <v>27</v>
      </c>
      <c r="S1136" s="2" t="s">
        <v>1675</v>
      </c>
      <c r="T1136" s="2" t="s">
        <v>334</v>
      </c>
      <c r="U1136" s="2" t="s">
        <v>1683</v>
      </c>
      <c r="V1136" s="4">
        <f>+VLOOKUP(U1136,'FBCJ Jul-Des 2025'!$G$10:$P$1302,8,0)</f>
        <v>70001110</v>
      </c>
      <c r="W1136" s="4" t="str">
        <f>+VLOOKUP(V1136,Sheet1!$A$2:$B$27,2,0)</f>
        <v>Biaya Ekspor lainnya</v>
      </c>
      <c r="X1136" s="4" t="str">
        <f>+VLOOKUP(U1136,'FBCJ Jul-Des 2025'!$G$10:$P$1302,9,0)</f>
        <v>M204D1COMM</v>
      </c>
      <c r="Y1136" s="2" t="s">
        <v>43</v>
      </c>
      <c r="Z1136" s="2">
        <v>1880288</v>
      </c>
      <c r="AA1136" s="2">
        <v>20251205</v>
      </c>
      <c r="AB1136" s="3">
        <v>50000</v>
      </c>
    </row>
    <row r="1137" spans="3:28" x14ac:dyDescent="0.25">
      <c r="C1137" s="2">
        <v>10000001</v>
      </c>
      <c r="D1137" s="2" t="s">
        <v>1600</v>
      </c>
      <c r="F1137" s="2">
        <v>12010126</v>
      </c>
      <c r="H1137" s="2" t="s">
        <v>1600</v>
      </c>
      <c r="I1137" s="2" t="str">
        <f t="shared" si="17"/>
        <v>12</v>
      </c>
      <c r="J1137" s="2">
        <v>50</v>
      </c>
      <c r="K1137" s="3">
        <v>-50000</v>
      </c>
      <c r="L1137" s="2" t="s">
        <v>26</v>
      </c>
      <c r="M1137" s="3">
        <v>-50000</v>
      </c>
      <c r="N1137" s="2" t="s">
        <v>26</v>
      </c>
      <c r="R1137" s="2" t="s">
        <v>27</v>
      </c>
      <c r="S1137" s="2" t="s">
        <v>1675</v>
      </c>
      <c r="T1137" s="2" t="s">
        <v>334</v>
      </c>
      <c r="U1137" s="2" t="s">
        <v>1684</v>
      </c>
      <c r="V1137" s="4">
        <f>+VLOOKUP(U1137,'FBCJ Jul-Des 2025'!$G$10:$P$1302,8,0)</f>
        <v>70001110</v>
      </c>
      <c r="W1137" s="4" t="str">
        <f>+VLOOKUP(V1137,Sheet1!$A$2:$B$27,2,0)</f>
        <v>Biaya Ekspor lainnya</v>
      </c>
      <c r="X1137" s="4" t="str">
        <f>+VLOOKUP(U1137,'FBCJ Jul-Des 2025'!$G$10:$P$1302,9,0)</f>
        <v>P206D1SLSS</v>
      </c>
      <c r="Y1137" s="2" t="s">
        <v>43</v>
      </c>
      <c r="Z1137" s="2">
        <v>1880288</v>
      </c>
      <c r="AA1137" s="2">
        <v>20251205</v>
      </c>
      <c r="AB1137" s="3">
        <v>50000</v>
      </c>
    </row>
    <row r="1138" spans="3:28" x14ac:dyDescent="0.25">
      <c r="C1138" s="2">
        <v>10000001</v>
      </c>
      <c r="D1138" s="2" t="s">
        <v>1600</v>
      </c>
      <c r="F1138" s="2">
        <v>12010127</v>
      </c>
      <c r="H1138" s="2" t="s">
        <v>1600</v>
      </c>
      <c r="I1138" s="2" t="str">
        <f t="shared" si="17"/>
        <v>12</v>
      </c>
      <c r="J1138" s="2">
        <v>50</v>
      </c>
      <c r="K1138" s="3">
        <v>-50000</v>
      </c>
      <c r="L1138" s="2" t="s">
        <v>26</v>
      </c>
      <c r="M1138" s="3">
        <v>-50000</v>
      </c>
      <c r="N1138" s="2" t="s">
        <v>26</v>
      </c>
      <c r="R1138" s="2" t="s">
        <v>27</v>
      </c>
      <c r="S1138" s="2" t="s">
        <v>1675</v>
      </c>
      <c r="T1138" s="2" t="s">
        <v>334</v>
      </c>
      <c r="U1138" s="2" t="s">
        <v>1685</v>
      </c>
      <c r="V1138" s="4">
        <f>+VLOOKUP(U1138,'FBCJ Jul-Des 2025'!$G$10:$P$1302,8,0)</f>
        <v>70001110</v>
      </c>
      <c r="W1138" s="4" t="str">
        <f>+VLOOKUP(V1138,Sheet1!$A$2:$B$27,2,0)</f>
        <v>Biaya Ekspor lainnya</v>
      </c>
      <c r="X1138" s="4" t="str">
        <f>+VLOOKUP(U1138,'FBCJ Jul-Des 2025'!$G$10:$P$1302,9,0)</f>
        <v>P206D1SLSS</v>
      </c>
      <c r="Y1138" s="2" t="s">
        <v>43</v>
      </c>
      <c r="Z1138" s="2">
        <v>1880288</v>
      </c>
      <c r="AA1138" s="2">
        <v>20251205</v>
      </c>
      <c r="AB1138" s="3">
        <v>50000</v>
      </c>
    </row>
    <row r="1139" spans="3:28" x14ac:dyDescent="0.25">
      <c r="C1139" s="2">
        <v>10000001</v>
      </c>
      <c r="D1139" s="2" t="s">
        <v>1600</v>
      </c>
      <c r="F1139" s="2">
        <v>12010128</v>
      </c>
      <c r="H1139" s="2" t="s">
        <v>1600</v>
      </c>
      <c r="I1139" s="2" t="str">
        <f t="shared" si="17"/>
        <v>12</v>
      </c>
      <c r="J1139" s="2">
        <v>50</v>
      </c>
      <c r="K1139" s="3">
        <v>-50000</v>
      </c>
      <c r="L1139" s="2" t="s">
        <v>26</v>
      </c>
      <c r="M1139" s="3">
        <v>-50000</v>
      </c>
      <c r="N1139" s="2" t="s">
        <v>26</v>
      </c>
      <c r="R1139" s="2" t="s">
        <v>27</v>
      </c>
      <c r="S1139" s="2" t="s">
        <v>1675</v>
      </c>
      <c r="T1139" s="2" t="s">
        <v>334</v>
      </c>
      <c r="U1139" s="2" t="s">
        <v>1686</v>
      </c>
      <c r="V1139" s="4">
        <f>+VLOOKUP(U1139,'FBCJ Jul-Des 2025'!$G$10:$P$1302,8,0)</f>
        <v>70001110</v>
      </c>
      <c r="W1139" s="4" t="str">
        <f>+VLOOKUP(V1139,Sheet1!$A$2:$B$27,2,0)</f>
        <v>Biaya Ekspor lainnya</v>
      </c>
      <c r="X1139" s="4" t="str">
        <f>+VLOOKUP(U1139,'FBCJ Jul-Des 2025'!$G$10:$P$1302,9,0)</f>
        <v>P206D1SLSS</v>
      </c>
      <c r="Y1139" s="2" t="s">
        <v>43</v>
      </c>
      <c r="Z1139" s="2">
        <v>1880288</v>
      </c>
      <c r="AA1139" s="2">
        <v>20251205</v>
      </c>
      <c r="AB1139" s="3">
        <v>50000</v>
      </c>
    </row>
    <row r="1140" spans="3:28" x14ac:dyDescent="0.25">
      <c r="C1140" s="2">
        <v>10000001</v>
      </c>
      <c r="D1140" s="2" t="s">
        <v>1600</v>
      </c>
      <c r="F1140" s="2">
        <v>12010129</v>
      </c>
      <c r="H1140" s="2" t="s">
        <v>1600</v>
      </c>
      <c r="I1140" s="2" t="str">
        <f t="shared" si="17"/>
        <v>12</v>
      </c>
      <c r="J1140" s="2">
        <v>50</v>
      </c>
      <c r="K1140" s="3">
        <v>-50000</v>
      </c>
      <c r="L1140" s="2" t="s">
        <v>26</v>
      </c>
      <c r="M1140" s="3">
        <v>-50000</v>
      </c>
      <c r="N1140" s="2" t="s">
        <v>26</v>
      </c>
      <c r="R1140" s="2" t="s">
        <v>27</v>
      </c>
      <c r="S1140" s="2" t="s">
        <v>1675</v>
      </c>
      <c r="T1140" s="2" t="s">
        <v>334</v>
      </c>
      <c r="U1140" s="2" t="s">
        <v>1687</v>
      </c>
      <c r="V1140" s="4">
        <f>+VLOOKUP(U1140,'FBCJ Jul-Des 2025'!$G$10:$P$1302,8,0)</f>
        <v>70001110</v>
      </c>
      <c r="W1140" s="4" t="str">
        <f>+VLOOKUP(V1140,Sheet1!$A$2:$B$27,2,0)</f>
        <v>Biaya Ekspor lainnya</v>
      </c>
      <c r="X1140" s="4" t="str">
        <f>+VLOOKUP(U1140,'FBCJ Jul-Des 2025'!$G$10:$P$1302,9,0)</f>
        <v>P206D1SLSS</v>
      </c>
      <c r="Y1140" s="2" t="s">
        <v>43</v>
      </c>
      <c r="Z1140" s="2">
        <v>1880288</v>
      </c>
      <c r="AA1140" s="2">
        <v>20251205</v>
      </c>
      <c r="AB1140" s="3">
        <v>50000</v>
      </c>
    </row>
    <row r="1141" spans="3:28" x14ac:dyDescent="0.25">
      <c r="C1141" s="2">
        <v>10000001</v>
      </c>
      <c r="D1141" s="2" t="s">
        <v>1600</v>
      </c>
      <c r="F1141" s="2">
        <v>12010130</v>
      </c>
      <c r="H1141" s="2" t="s">
        <v>1600</v>
      </c>
      <c r="I1141" s="2" t="str">
        <f t="shared" si="17"/>
        <v>12</v>
      </c>
      <c r="J1141" s="2">
        <v>50</v>
      </c>
      <c r="K1141" s="3">
        <v>-50000</v>
      </c>
      <c r="L1141" s="2" t="s">
        <v>26</v>
      </c>
      <c r="M1141" s="3">
        <v>-50000</v>
      </c>
      <c r="N1141" s="2" t="s">
        <v>26</v>
      </c>
      <c r="R1141" s="2" t="s">
        <v>27</v>
      </c>
      <c r="S1141" s="2" t="s">
        <v>1675</v>
      </c>
      <c r="T1141" s="2" t="s">
        <v>334</v>
      </c>
      <c r="U1141" s="2" t="s">
        <v>1688</v>
      </c>
      <c r="V1141" s="4">
        <f>+VLOOKUP(U1141,'FBCJ Jul-Des 2025'!$G$10:$P$1302,8,0)</f>
        <v>70001110</v>
      </c>
      <c r="W1141" s="4" t="str">
        <f>+VLOOKUP(V1141,Sheet1!$A$2:$B$27,2,0)</f>
        <v>Biaya Ekspor lainnya</v>
      </c>
      <c r="X1141" s="4" t="str">
        <f>+VLOOKUP(U1141,'FBCJ Jul-Des 2025'!$G$10:$P$1302,9,0)</f>
        <v>P206D1SLSS</v>
      </c>
      <c r="Y1141" s="2" t="s">
        <v>43</v>
      </c>
      <c r="Z1141" s="2">
        <v>1880288</v>
      </c>
      <c r="AA1141" s="2">
        <v>20251205</v>
      </c>
      <c r="AB1141" s="3">
        <v>50000</v>
      </c>
    </row>
    <row r="1142" spans="3:28" x14ac:dyDescent="0.25">
      <c r="C1142" s="2">
        <v>10000001</v>
      </c>
      <c r="D1142" s="2" t="s">
        <v>1600</v>
      </c>
      <c r="F1142" s="2">
        <v>12010131</v>
      </c>
      <c r="H1142" s="2" t="s">
        <v>1600</v>
      </c>
      <c r="I1142" s="2" t="str">
        <f t="shared" si="17"/>
        <v>12</v>
      </c>
      <c r="J1142" s="2">
        <v>50</v>
      </c>
      <c r="K1142" s="3">
        <v>-50000</v>
      </c>
      <c r="L1142" s="2" t="s">
        <v>26</v>
      </c>
      <c r="M1142" s="3">
        <v>-50000</v>
      </c>
      <c r="N1142" s="2" t="s">
        <v>26</v>
      </c>
      <c r="R1142" s="2" t="s">
        <v>27</v>
      </c>
      <c r="S1142" s="2" t="s">
        <v>1675</v>
      </c>
      <c r="T1142" s="2" t="s">
        <v>334</v>
      </c>
      <c r="U1142" s="2" t="s">
        <v>1689</v>
      </c>
      <c r="V1142" s="4">
        <f>+VLOOKUP(U1142,'FBCJ Jul-Des 2025'!$G$10:$P$1302,8,0)</f>
        <v>70001110</v>
      </c>
      <c r="W1142" s="4" t="str">
        <f>+VLOOKUP(V1142,Sheet1!$A$2:$B$27,2,0)</f>
        <v>Biaya Ekspor lainnya</v>
      </c>
      <c r="X1142" s="4" t="str">
        <f>+VLOOKUP(U1142,'FBCJ Jul-Des 2025'!$G$10:$P$1302,9,0)</f>
        <v>P206D1SLSS</v>
      </c>
      <c r="Y1142" s="2" t="s">
        <v>43</v>
      </c>
      <c r="Z1142" s="2">
        <v>1880288</v>
      </c>
      <c r="AA1142" s="2">
        <v>20251205</v>
      </c>
      <c r="AB1142" s="3">
        <v>50000</v>
      </c>
    </row>
    <row r="1143" spans="3:28" x14ac:dyDescent="0.25">
      <c r="C1143" s="2">
        <v>10000001</v>
      </c>
      <c r="D1143" s="2" t="s">
        <v>1600</v>
      </c>
      <c r="F1143" s="2">
        <v>12010132</v>
      </c>
      <c r="H1143" s="2" t="s">
        <v>1600</v>
      </c>
      <c r="I1143" s="2" t="str">
        <f t="shared" si="17"/>
        <v>12</v>
      </c>
      <c r="J1143" s="2">
        <v>50</v>
      </c>
      <c r="K1143" s="3">
        <v>-50000</v>
      </c>
      <c r="L1143" s="2" t="s">
        <v>26</v>
      </c>
      <c r="M1143" s="3">
        <v>-50000</v>
      </c>
      <c r="N1143" s="2" t="s">
        <v>26</v>
      </c>
      <c r="R1143" s="2" t="s">
        <v>27</v>
      </c>
      <c r="S1143" s="2" t="s">
        <v>1675</v>
      </c>
      <c r="T1143" s="2" t="s">
        <v>334</v>
      </c>
      <c r="U1143" s="2" t="s">
        <v>1690</v>
      </c>
      <c r="V1143" s="4">
        <f>+VLOOKUP(U1143,'FBCJ Jul-Des 2025'!$G$10:$P$1302,8,0)</f>
        <v>70001110</v>
      </c>
      <c r="W1143" s="4" t="str">
        <f>+VLOOKUP(V1143,Sheet1!$A$2:$B$27,2,0)</f>
        <v>Biaya Ekspor lainnya</v>
      </c>
      <c r="X1143" s="4" t="str">
        <f>+VLOOKUP(U1143,'FBCJ Jul-Des 2025'!$G$10:$P$1302,9,0)</f>
        <v>M204D1COMM</v>
      </c>
      <c r="Y1143" s="2" t="s">
        <v>43</v>
      </c>
      <c r="Z1143" s="2">
        <v>1880288</v>
      </c>
      <c r="AA1143" s="2">
        <v>20251205</v>
      </c>
      <c r="AB1143" s="3">
        <v>50000</v>
      </c>
    </row>
    <row r="1144" spans="3:28" x14ac:dyDescent="0.25">
      <c r="C1144" s="2">
        <v>10000001</v>
      </c>
      <c r="D1144" s="2" t="s">
        <v>1600</v>
      </c>
      <c r="F1144" s="2">
        <v>12010133</v>
      </c>
      <c r="H1144" s="2" t="s">
        <v>1600</v>
      </c>
      <c r="I1144" s="2" t="str">
        <f t="shared" si="17"/>
        <v>12</v>
      </c>
      <c r="J1144" s="2">
        <v>50</v>
      </c>
      <c r="K1144" s="3">
        <v>-50000</v>
      </c>
      <c r="L1144" s="2" t="s">
        <v>26</v>
      </c>
      <c r="M1144" s="3">
        <v>-50000</v>
      </c>
      <c r="N1144" s="2" t="s">
        <v>26</v>
      </c>
      <c r="R1144" s="2" t="s">
        <v>27</v>
      </c>
      <c r="S1144" s="2" t="s">
        <v>1675</v>
      </c>
      <c r="T1144" s="2" t="s">
        <v>334</v>
      </c>
      <c r="U1144" s="2" t="s">
        <v>1691</v>
      </c>
      <c r="V1144" s="4">
        <f>+VLOOKUP(U1144,'FBCJ Jul-Des 2025'!$G$10:$P$1302,8,0)</f>
        <v>70001110</v>
      </c>
      <c r="W1144" s="4" t="str">
        <f>+VLOOKUP(V1144,Sheet1!$A$2:$B$27,2,0)</f>
        <v>Biaya Ekspor lainnya</v>
      </c>
      <c r="X1144" s="4" t="str">
        <f>+VLOOKUP(U1144,'FBCJ Jul-Des 2025'!$G$10:$P$1302,9,0)</f>
        <v>P206D1SLSS</v>
      </c>
      <c r="Y1144" s="2" t="s">
        <v>43</v>
      </c>
      <c r="Z1144" s="2">
        <v>1880288</v>
      </c>
      <c r="AA1144" s="2">
        <v>20251205</v>
      </c>
      <c r="AB1144" s="3">
        <v>50000</v>
      </c>
    </row>
    <row r="1145" spans="3:28" x14ac:dyDescent="0.25">
      <c r="C1145" s="2">
        <v>10000001</v>
      </c>
      <c r="D1145" s="2" t="s">
        <v>1600</v>
      </c>
      <c r="F1145" s="2">
        <v>12010134</v>
      </c>
      <c r="H1145" s="2" t="s">
        <v>1600</v>
      </c>
      <c r="I1145" s="2" t="str">
        <f t="shared" si="17"/>
        <v>12</v>
      </c>
      <c r="J1145" s="2">
        <v>50</v>
      </c>
      <c r="K1145" s="3">
        <v>-50000</v>
      </c>
      <c r="L1145" s="2" t="s">
        <v>26</v>
      </c>
      <c r="M1145" s="3">
        <v>-50000</v>
      </c>
      <c r="N1145" s="2" t="s">
        <v>26</v>
      </c>
      <c r="R1145" s="2" t="s">
        <v>27</v>
      </c>
      <c r="S1145" s="2" t="s">
        <v>1675</v>
      </c>
      <c r="T1145" s="2" t="s">
        <v>334</v>
      </c>
      <c r="U1145" s="2" t="s">
        <v>1692</v>
      </c>
      <c r="V1145" s="4">
        <f>+VLOOKUP(U1145,'FBCJ Jul-Des 2025'!$G$10:$P$1302,8,0)</f>
        <v>70001110</v>
      </c>
      <c r="W1145" s="4" t="str">
        <f>+VLOOKUP(V1145,Sheet1!$A$2:$B$27,2,0)</f>
        <v>Biaya Ekspor lainnya</v>
      </c>
      <c r="X1145" s="4" t="str">
        <f>+VLOOKUP(U1145,'FBCJ Jul-Des 2025'!$G$10:$P$1302,9,0)</f>
        <v>M204D1COMM</v>
      </c>
      <c r="Y1145" s="2" t="s">
        <v>43</v>
      </c>
      <c r="Z1145" s="2">
        <v>1880288</v>
      </c>
      <c r="AA1145" s="2">
        <v>20251205</v>
      </c>
      <c r="AB1145" s="3">
        <v>50000</v>
      </c>
    </row>
    <row r="1146" spans="3:28" x14ac:dyDescent="0.25">
      <c r="C1146" s="2">
        <v>10000001</v>
      </c>
      <c r="D1146" s="2" t="s">
        <v>1600</v>
      </c>
      <c r="F1146" s="2">
        <v>12010135</v>
      </c>
      <c r="H1146" s="2" t="s">
        <v>1600</v>
      </c>
      <c r="I1146" s="2" t="str">
        <f t="shared" si="17"/>
        <v>12</v>
      </c>
      <c r="J1146" s="2">
        <v>50</v>
      </c>
      <c r="K1146" s="3">
        <v>-50000</v>
      </c>
      <c r="L1146" s="2" t="s">
        <v>26</v>
      </c>
      <c r="M1146" s="3">
        <v>-50000</v>
      </c>
      <c r="N1146" s="2" t="s">
        <v>26</v>
      </c>
      <c r="R1146" s="2" t="s">
        <v>27</v>
      </c>
      <c r="S1146" s="2" t="s">
        <v>1675</v>
      </c>
      <c r="T1146" s="2" t="s">
        <v>334</v>
      </c>
      <c r="U1146" s="2" t="s">
        <v>1693</v>
      </c>
      <c r="V1146" s="4">
        <f>+VLOOKUP(U1146,'FBCJ Jul-Des 2025'!$G$10:$P$1302,8,0)</f>
        <v>70001110</v>
      </c>
      <c r="W1146" s="4" t="str">
        <f>+VLOOKUP(V1146,Sheet1!$A$2:$B$27,2,0)</f>
        <v>Biaya Ekspor lainnya</v>
      </c>
      <c r="X1146" s="4" t="str">
        <f>+VLOOKUP(U1146,'FBCJ Jul-Des 2025'!$G$10:$P$1302,9,0)</f>
        <v>P206D1SLSS</v>
      </c>
      <c r="Y1146" s="2" t="s">
        <v>43</v>
      </c>
      <c r="Z1146" s="2">
        <v>1880288</v>
      </c>
      <c r="AA1146" s="2">
        <v>20251205</v>
      </c>
      <c r="AB1146" s="3">
        <v>50000</v>
      </c>
    </row>
    <row r="1147" spans="3:28" x14ac:dyDescent="0.25">
      <c r="C1147" s="2">
        <v>10000001</v>
      </c>
      <c r="D1147" s="2" t="s">
        <v>1600</v>
      </c>
      <c r="F1147" s="2">
        <v>12010136</v>
      </c>
      <c r="H1147" s="2" t="s">
        <v>1600</v>
      </c>
      <c r="I1147" s="2" t="str">
        <f t="shared" si="17"/>
        <v>12</v>
      </c>
      <c r="J1147" s="2">
        <v>50</v>
      </c>
      <c r="K1147" s="3">
        <v>-26000</v>
      </c>
      <c r="L1147" s="2" t="s">
        <v>26</v>
      </c>
      <c r="M1147" s="3">
        <v>-26000</v>
      </c>
      <c r="N1147" s="2" t="s">
        <v>26</v>
      </c>
      <c r="R1147" s="2" t="s">
        <v>27</v>
      </c>
      <c r="S1147" s="2" t="s">
        <v>1675</v>
      </c>
      <c r="T1147" s="2" t="s">
        <v>259</v>
      </c>
      <c r="U1147" s="2" t="s">
        <v>1694</v>
      </c>
      <c r="V1147" s="4">
        <f>+VLOOKUP(U1147,'FBCJ Jul-Des 2025'!$G$10:$P$1302,8,0)</f>
        <v>70119300</v>
      </c>
      <c r="W1147" s="4" t="str">
        <f>+VLOOKUP(V1147,Sheet1!$A$2:$B$27,2,0)</f>
        <v>Biaya Umum dan Administrasi</v>
      </c>
      <c r="X1147" s="4" t="str">
        <f>+VLOOKUP(U1147,'FBCJ Jul-Des 2025'!$G$10:$P$1302,9,0)</f>
        <v>P206D1SLSS</v>
      </c>
      <c r="Y1147" s="2" t="s">
        <v>43</v>
      </c>
      <c r="Z1147" s="2">
        <v>1880288</v>
      </c>
      <c r="AA1147" s="2">
        <v>20251205</v>
      </c>
      <c r="AB1147" s="3">
        <v>26000</v>
      </c>
    </row>
    <row r="1148" spans="3:28" x14ac:dyDescent="0.25">
      <c r="C1148" s="2">
        <v>10000001</v>
      </c>
      <c r="D1148" s="2" t="s">
        <v>1600</v>
      </c>
      <c r="F1148" s="2">
        <v>12010137</v>
      </c>
      <c r="H1148" s="2" t="s">
        <v>1600</v>
      </c>
      <c r="I1148" s="2" t="str">
        <f t="shared" si="17"/>
        <v>12</v>
      </c>
      <c r="J1148" s="2">
        <v>50</v>
      </c>
      <c r="K1148" s="3">
        <v>-620000</v>
      </c>
      <c r="L1148" s="2" t="s">
        <v>26</v>
      </c>
      <c r="M1148" s="3">
        <v>-620000</v>
      </c>
      <c r="N1148" s="2" t="s">
        <v>26</v>
      </c>
      <c r="R1148" s="2" t="s">
        <v>27</v>
      </c>
      <c r="S1148" s="2" t="s">
        <v>1695</v>
      </c>
      <c r="T1148" s="2" t="s">
        <v>96</v>
      </c>
      <c r="U1148" s="2" t="s">
        <v>1696</v>
      </c>
      <c r="V1148" s="4">
        <f>+VLOOKUP(U1148,'FBCJ Jul-Des 2025'!$G$10:$P$1302,8,0)</f>
        <v>70106400</v>
      </c>
      <c r="W1148" s="4" t="str">
        <f>+VLOOKUP(V1148,Sheet1!$A$2:$B$27,2,0)</f>
        <v>Biaya Bahan Bakar</v>
      </c>
      <c r="X1148" s="4" t="str">
        <f>+VLOOKUP(U1148,'FBCJ Jul-Des 2025'!$G$10:$P$1302,9,0)</f>
        <v>R124D1HRGA</v>
      </c>
      <c r="Y1148" s="2" t="s">
        <v>43</v>
      </c>
      <c r="Z1148" s="2">
        <v>1880288</v>
      </c>
      <c r="AA1148" s="2">
        <v>20251205</v>
      </c>
      <c r="AB1148" s="3">
        <v>620000</v>
      </c>
    </row>
    <row r="1149" spans="3:28" x14ac:dyDescent="0.25">
      <c r="C1149" s="2">
        <v>10000001</v>
      </c>
      <c r="D1149" s="2" t="s">
        <v>1600</v>
      </c>
      <c r="F1149" s="2">
        <v>12010138</v>
      </c>
      <c r="H1149" s="2" t="s">
        <v>1600</v>
      </c>
      <c r="I1149" s="2" t="str">
        <f t="shared" si="17"/>
        <v>12</v>
      </c>
      <c r="J1149" s="2">
        <v>50</v>
      </c>
      <c r="K1149" s="3">
        <v>-378000</v>
      </c>
      <c r="L1149" s="2" t="s">
        <v>26</v>
      </c>
      <c r="M1149" s="3">
        <v>-378000</v>
      </c>
      <c r="N1149" s="2" t="s">
        <v>26</v>
      </c>
      <c r="R1149" s="2" t="s">
        <v>27</v>
      </c>
      <c r="S1149" s="2" t="s">
        <v>1695</v>
      </c>
      <c r="T1149" s="2" t="s">
        <v>67</v>
      </c>
      <c r="U1149" s="2" t="s">
        <v>98</v>
      </c>
      <c r="V1149" s="4">
        <f>+VLOOKUP(U1149,'FBCJ Jul-Des 2025'!$G$10:$P$1302,8,0)</f>
        <v>70106100</v>
      </c>
      <c r="W1149" s="4" t="str">
        <f>+VLOOKUP(V1149,Sheet1!$A$2:$B$27,2,0)</f>
        <v>Biaya Transportasi Lokal</v>
      </c>
      <c r="X1149" s="4" t="str">
        <f>+VLOOKUP(U1149,'FBCJ Jul-Des 2025'!$G$10:$P$1302,9,0)</f>
        <v>R124D1HRGA</v>
      </c>
      <c r="Y1149" s="2" t="s">
        <v>43</v>
      </c>
      <c r="Z1149" s="2">
        <v>1880288</v>
      </c>
      <c r="AA1149" s="2">
        <v>20251205</v>
      </c>
      <c r="AB1149" s="3">
        <v>378000</v>
      </c>
    </row>
    <row r="1150" spans="3:28" x14ac:dyDescent="0.25">
      <c r="C1150" s="2">
        <v>10000001</v>
      </c>
      <c r="D1150" s="2" t="s">
        <v>1600</v>
      </c>
      <c r="F1150" s="2">
        <v>12010139</v>
      </c>
      <c r="H1150" s="2" t="s">
        <v>1600</v>
      </c>
      <c r="I1150" s="2" t="str">
        <f t="shared" si="17"/>
        <v>12</v>
      </c>
      <c r="J1150" s="2">
        <v>50</v>
      </c>
      <c r="K1150" s="3">
        <v>-310000</v>
      </c>
      <c r="L1150" s="2" t="s">
        <v>26</v>
      </c>
      <c r="M1150" s="3">
        <v>-310000</v>
      </c>
      <c r="N1150" s="2" t="s">
        <v>26</v>
      </c>
      <c r="R1150" s="2" t="s">
        <v>27</v>
      </c>
      <c r="S1150" s="2" t="s">
        <v>1697</v>
      </c>
      <c r="T1150" s="2" t="s">
        <v>57</v>
      </c>
      <c r="U1150" s="2" t="s">
        <v>181</v>
      </c>
      <c r="V1150" s="4">
        <f>+VLOOKUP(U1150,'FBCJ Jul-Des 2025'!$G$10:$P$1302,8,0)</f>
        <v>70101202</v>
      </c>
      <c r="W1150" s="4" t="str">
        <f>+VLOOKUP(V1150,Sheet1!$A$2:$B$27,2,0)</f>
        <v>By Pemeliharaan Kend,ABerat,Mesin-Material Pihak3</v>
      </c>
      <c r="X1150" s="4" t="str">
        <f>+VLOOKUP(U1150,'FBCJ Jul-Des 2025'!$G$10:$P$1302,9,0)</f>
        <v>P206D1SLSS</v>
      </c>
      <c r="Y1150" s="2" t="s">
        <v>43</v>
      </c>
      <c r="Z1150" s="2">
        <v>1880288</v>
      </c>
      <c r="AA1150" s="2">
        <v>20251205</v>
      </c>
      <c r="AB1150" s="3">
        <v>310000</v>
      </c>
    </row>
    <row r="1151" spans="3:28" x14ac:dyDescent="0.25">
      <c r="C1151" s="2">
        <v>10000001</v>
      </c>
      <c r="D1151" s="2" t="s">
        <v>1600</v>
      </c>
      <c r="F1151" s="2">
        <v>12010140</v>
      </c>
      <c r="H1151" s="2" t="s">
        <v>1600</v>
      </c>
      <c r="I1151" s="2" t="str">
        <f t="shared" si="17"/>
        <v>12</v>
      </c>
      <c r="J1151" s="2">
        <v>50</v>
      </c>
      <c r="K1151" s="3">
        <v>-330000</v>
      </c>
      <c r="L1151" s="2" t="s">
        <v>26</v>
      </c>
      <c r="M1151" s="3">
        <v>-330000</v>
      </c>
      <c r="N1151" s="2" t="s">
        <v>26</v>
      </c>
      <c r="R1151" s="2" t="s">
        <v>27</v>
      </c>
      <c r="S1151" s="2" t="s">
        <v>1698</v>
      </c>
      <c r="T1151" s="2" t="s">
        <v>57</v>
      </c>
      <c r="U1151" s="2" t="s">
        <v>179</v>
      </c>
      <c r="V1151" s="4">
        <f>+VLOOKUP(U1151,'FBCJ Jul-Des 2025'!$G$10:$P$1302,8,0)</f>
        <v>70101202</v>
      </c>
      <c r="W1151" s="4" t="str">
        <f>+VLOOKUP(V1151,Sheet1!$A$2:$B$27,2,0)</f>
        <v>By Pemeliharaan Kend,ABerat,Mesin-Material Pihak3</v>
      </c>
      <c r="X1151" s="4" t="str">
        <f>+VLOOKUP(U1151,'FBCJ Jul-Des 2025'!$G$10:$P$1302,9,0)</f>
        <v>C206D1SLSS</v>
      </c>
      <c r="Y1151" s="2" t="s">
        <v>43</v>
      </c>
      <c r="Z1151" s="2">
        <v>1880288</v>
      </c>
      <c r="AA1151" s="2">
        <v>20251205</v>
      </c>
      <c r="AB1151" s="3">
        <v>330000</v>
      </c>
    </row>
    <row r="1152" spans="3:28" x14ac:dyDescent="0.25">
      <c r="C1152" s="2">
        <v>10000001</v>
      </c>
      <c r="D1152" s="2" t="s">
        <v>1600</v>
      </c>
      <c r="F1152" s="2">
        <v>12010141</v>
      </c>
      <c r="H1152" s="2" t="s">
        <v>1600</v>
      </c>
      <c r="I1152" s="2" t="str">
        <f t="shared" si="17"/>
        <v>12</v>
      </c>
      <c r="J1152" s="2">
        <v>50</v>
      </c>
      <c r="K1152" s="3">
        <v>-50000</v>
      </c>
      <c r="L1152" s="2" t="s">
        <v>26</v>
      </c>
      <c r="M1152" s="3">
        <v>-50000</v>
      </c>
      <c r="N1152" s="2" t="s">
        <v>26</v>
      </c>
      <c r="R1152" s="2" t="s">
        <v>27</v>
      </c>
      <c r="S1152" s="2" t="s">
        <v>1699</v>
      </c>
      <c r="T1152" s="2" t="s">
        <v>334</v>
      </c>
      <c r="U1152" s="2" t="s">
        <v>1700</v>
      </c>
      <c r="V1152" s="4">
        <f>+VLOOKUP(U1152,'FBCJ Jul-Des 2025'!$G$10:$P$1302,8,0)</f>
        <v>70001110</v>
      </c>
      <c r="W1152" s="4" t="str">
        <f>+VLOOKUP(V1152,Sheet1!$A$2:$B$27,2,0)</f>
        <v>Biaya Ekspor lainnya</v>
      </c>
      <c r="X1152" s="4" t="str">
        <f>+VLOOKUP(U1152,'FBCJ Jul-Des 2025'!$G$10:$P$1302,9,0)</f>
        <v>M204D1COMM</v>
      </c>
      <c r="Y1152" s="2" t="s">
        <v>43</v>
      </c>
      <c r="Z1152" s="2">
        <v>1880288</v>
      </c>
      <c r="AA1152" s="2">
        <v>20251205</v>
      </c>
      <c r="AB1152" s="3">
        <v>50000</v>
      </c>
    </row>
    <row r="1153" spans="3:28" x14ac:dyDescent="0.25">
      <c r="C1153" s="2">
        <v>10000001</v>
      </c>
      <c r="D1153" s="2" t="s">
        <v>1600</v>
      </c>
      <c r="F1153" s="2">
        <v>12010142</v>
      </c>
      <c r="H1153" s="2" t="s">
        <v>1600</v>
      </c>
      <c r="I1153" s="2" t="str">
        <f t="shared" si="17"/>
        <v>12</v>
      </c>
      <c r="J1153" s="2">
        <v>50</v>
      </c>
      <c r="K1153" s="3">
        <v>-50000</v>
      </c>
      <c r="L1153" s="2" t="s">
        <v>26</v>
      </c>
      <c r="M1153" s="3">
        <v>-50000</v>
      </c>
      <c r="N1153" s="2" t="s">
        <v>26</v>
      </c>
      <c r="R1153" s="2" t="s">
        <v>27</v>
      </c>
      <c r="S1153" s="2" t="s">
        <v>1699</v>
      </c>
      <c r="T1153" s="2" t="s">
        <v>334</v>
      </c>
      <c r="U1153" s="2" t="s">
        <v>1701</v>
      </c>
      <c r="V1153" s="4">
        <f>+VLOOKUP(U1153,'FBCJ Jul-Des 2025'!$G$10:$P$1302,8,0)</f>
        <v>70001110</v>
      </c>
      <c r="W1153" s="4" t="str">
        <f>+VLOOKUP(V1153,Sheet1!$A$2:$B$27,2,0)</f>
        <v>Biaya Ekspor lainnya</v>
      </c>
      <c r="X1153" s="4" t="str">
        <f>+VLOOKUP(U1153,'FBCJ Jul-Des 2025'!$G$10:$P$1302,9,0)</f>
        <v>P206D1SLSC</v>
      </c>
      <c r="Y1153" s="2" t="s">
        <v>43</v>
      </c>
      <c r="Z1153" s="2">
        <v>1880288</v>
      </c>
      <c r="AA1153" s="2">
        <v>20251205</v>
      </c>
      <c r="AB1153" s="3">
        <v>50000</v>
      </c>
    </row>
    <row r="1154" spans="3:28" x14ac:dyDescent="0.25">
      <c r="C1154" s="2">
        <v>10000001</v>
      </c>
      <c r="D1154" s="2" t="s">
        <v>1600</v>
      </c>
      <c r="F1154" s="2">
        <v>12010143</v>
      </c>
      <c r="H1154" s="2" t="s">
        <v>1600</v>
      </c>
      <c r="I1154" s="2" t="str">
        <f t="shared" si="17"/>
        <v>12</v>
      </c>
      <c r="J1154" s="2">
        <v>50</v>
      </c>
      <c r="K1154" s="3">
        <v>-50000</v>
      </c>
      <c r="L1154" s="2" t="s">
        <v>26</v>
      </c>
      <c r="M1154" s="3">
        <v>-50000</v>
      </c>
      <c r="N1154" s="2" t="s">
        <v>26</v>
      </c>
      <c r="R1154" s="2" t="s">
        <v>27</v>
      </c>
      <c r="S1154" s="2" t="s">
        <v>1699</v>
      </c>
      <c r="T1154" s="2" t="s">
        <v>334</v>
      </c>
      <c r="U1154" s="2" t="s">
        <v>1702</v>
      </c>
      <c r="V1154" s="4">
        <f>+VLOOKUP(U1154,'FBCJ Jul-Des 2025'!$G$10:$P$1302,8,0)</f>
        <v>70001110</v>
      </c>
      <c r="W1154" s="4" t="str">
        <f>+VLOOKUP(V1154,Sheet1!$A$2:$B$27,2,0)</f>
        <v>Biaya Ekspor lainnya</v>
      </c>
      <c r="X1154" s="4" t="str">
        <f>+VLOOKUP(U1154,'FBCJ Jul-Des 2025'!$G$10:$P$1302,9,0)</f>
        <v>P206D1SLSS</v>
      </c>
      <c r="Y1154" s="2" t="s">
        <v>43</v>
      </c>
      <c r="Z1154" s="2">
        <v>1880288</v>
      </c>
      <c r="AA1154" s="2">
        <v>20251205</v>
      </c>
      <c r="AB1154" s="3">
        <v>50000</v>
      </c>
    </row>
    <row r="1155" spans="3:28" x14ac:dyDescent="0.25">
      <c r="C1155" s="2">
        <v>10000001</v>
      </c>
      <c r="D1155" s="2" t="s">
        <v>1600</v>
      </c>
      <c r="F1155" s="2">
        <v>12010144</v>
      </c>
      <c r="H1155" s="2" t="s">
        <v>1600</v>
      </c>
      <c r="I1155" s="2" t="str">
        <f t="shared" si="17"/>
        <v>12</v>
      </c>
      <c r="J1155" s="2">
        <v>50</v>
      </c>
      <c r="K1155" s="3">
        <v>-50000</v>
      </c>
      <c r="L1155" s="2" t="s">
        <v>26</v>
      </c>
      <c r="M1155" s="3">
        <v>-50000</v>
      </c>
      <c r="N1155" s="2" t="s">
        <v>26</v>
      </c>
      <c r="R1155" s="2" t="s">
        <v>27</v>
      </c>
      <c r="S1155" s="2" t="s">
        <v>1699</v>
      </c>
      <c r="T1155" s="2" t="s">
        <v>334</v>
      </c>
      <c r="U1155" s="2" t="s">
        <v>1703</v>
      </c>
      <c r="V1155" s="4">
        <f>+VLOOKUP(U1155,'FBCJ Jul-Des 2025'!$G$10:$P$1302,8,0)</f>
        <v>70001110</v>
      </c>
      <c r="W1155" s="4" t="str">
        <f>+VLOOKUP(V1155,Sheet1!$A$2:$B$27,2,0)</f>
        <v>Biaya Ekspor lainnya</v>
      </c>
      <c r="X1155" s="4" t="str">
        <f>+VLOOKUP(U1155,'FBCJ Jul-Des 2025'!$G$10:$P$1302,9,0)</f>
        <v>P206D1SLSS</v>
      </c>
      <c r="Y1155" s="2" t="s">
        <v>43</v>
      </c>
      <c r="Z1155" s="2">
        <v>1880288</v>
      </c>
      <c r="AA1155" s="2">
        <v>20251205</v>
      </c>
      <c r="AB1155" s="3">
        <v>50000</v>
      </c>
    </row>
    <row r="1156" spans="3:28" x14ac:dyDescent="0.25">
      <c r="C1156" s="2">
        <v>10000001</v>
      </c>
      <c r="D1156" s="2" t="s">
        <v>1600</v>
      </c>
      <c r="F1156" s="2">
        <v>12010145</v>
      </c>
      <c r="H1156" s="2" t="s">
        <v>1600</v>
      </c>
      <c r="I1156" s="2" t="str">
        <f t="shared" si="17"/>
        <v>12</v>
      </c>
      <c r="J1156" s="2">
        <v>50</v>
      </c>
      <c r="K1156" s="3">
        <v>-50000</v>
      </c>
      <c r="L1156" s="2" t="s">
        <v>26</v>
      </c>
      <c r="M1156" s="3">
        <v>-50000</v>
      </c>
      <c r="N1156" s="2" t="s">
        <v>26</v>
      </c>
      <c r="R1156" s="2" t="s">
        <v>27</v>
      </c>
      <c r="S1156" s="2" t="s">
        <v>1699</v>
      </c>
      <c r="T1156" s="2" t="s">
        <v>334</v>
      </c>
      <c r="U1156" s="2" t="s">
        <v>1704</v>
      </c>
      <c r="V1156" s="4">
        <f>+VLOOKUP(U1156,'FBCJ Jul-Des 2025'!$G$10:$P$1302,8,0)</f>
        <v>70001110</v>
      </c>
      <c r="W1156" s="4" t="str">
        <f>+VLOOKUP(V1156,Sheet1!$A$2:$B$27,2,0)</f>
        <v>Biaya Ekspor lainnya</v>
      </c>
      <c r="X1156" s="4" t="str">
        <f>+VLOOKUP(U1156,'FBCJ Jul-Des 2025'!$G$10:$P$1302,9,0)</f>
        <v>P206D1SLSS</v>
      </c>
      <c r="Y1156" s="2" t="s">
        <v>43</v>
      </c>
      <c r="Z1156" s="2">
        <v>1880288</v>
      </c>
      <c r="AA1156" s="2">
        <v>20251205</v>
      </c>
      <c r="AB1156" s="3">
        <v>50000</v>
      </c>
    </row>
    <row r="1157" spans="3:28" x14ac:dyDescent="0.25">
      <c r="C1157" s="2">
        <v>10000001</v>
      </c>
      <c r="D1157" s="2" t="s">
        <v>1600</v>
      </c>
      <c r="F1157" s="2">
        <v>12010146</v>
      </c>
      <c r="H1157" s="2" t="s">
        <v>1600</v>
      </c>
      <c r="I1157" s="2" t="str">
        <f t="shared" si="17"/>
        <v>12</v>
      </c>
      <c r="J1157" s="2">
        <v>50</v>
      </c>
      <c r="K1157" s="3">
        <v>-57800</v>
      </c>
      <c r="L1157" s="2" t="s">
        <v>26</v>
      </c>
      <c r="M1157" s="3">
        <v>-57800</v>
      </c>
      <c r="N1157" s="2" t="s">
        <v>26</v>
      </c>
      <c r="R1157" s="2" t="s">
        <v>27</v>
      </c>
      <c r="S1157" s="2" t="s">
        <v>1705</v>
      </c>
      <c r="T1157" s="2" t="s">
        <v>193</v>
      </c>
      <c r="U1157" s="2" t="s">
        <v>1706</v>
      </c>
      <c r="V1157" s="4">
        <f>+VLOOKUP(U1157,'FBCJ Jul-Des 2025'!$G$10:$P$1302,8,0)</f>
        <v>70105300</v>
      </c>
      <c r="W1157" s="4" t="str">
        <f>+VLOOKUP(V1157,Sheet1!$A$2:$B$27,2,0)</f>
        <v>Biaya Perizinan Pemerintah</v>
      </c>
      <c r="X1157" s="4" t="str">
        <f>+VLOOKUP(U1157,'FBCJ Jul-Des 2025'!$G$10:$P$1302,9,0)</f>
        <v>R124D1HRGA</v>
      </c>
      <c r="Y1157" s="2" t="s">
        <v>43</v>
      </c>
      <c r="Z1157" s="2">
        <v>1880288</v>
      </c>
      <c r="AA1157" s="2">
        <v>20251205</v>
      </c>
      <c r="AB1157" s="3">
        <v>57800</v>
      </c>
    </row>
    <row r="1158" spans="3:28" x14ac:dyDescent="0.25">
      <c r="C1158" s="2">
        <v>10000001</v>
      </c>
      <c r="D1158" s="2" t="s">
        <v>1600</v>
      </c>
      <c r="F1158" s="2">
        <v>12010147</v>
      </c>
      <c r="H1158" s="2" t="s">
        <v>1600</v>
      </c>
      <c r="I1158" s="2" t="str">
        <f t="shared" si="17"/>
        <v>12</v>
      </c>
      <c r="J1158" s="2">
        <v>50</v>
      </c>
      <c r="K1158" s="3">
        <v>-875000</v>
      </c>
      <c r="L1158" s="2" t="s">
        <v>26</v>
      </c>
      <c r="M1158" s="3">
        <v>-875000</v>
      </c>
      <c r="N1158" s="2" t="s">
        <v>26</v>
      </c>
      <c r="R1158" s="2" t="s">
        <v>27</v>
      </c>
      <c r="S1158" s="2" t="s">
        <v>1707</v>
      </c>
      <c r="T1158" s="2" t="s">
        <v>57</v>
      </c>
      <c r="U1158" s="2" t="s">
        <v>1708</v>
      </c>
      <c r="V1158" s="4">
        <f>+VLOOKUP(U1158,'FBCJ Jul-Des 2025'!$G$10:$P$1302,8,0)</f>
        <v>70101202</v>
      </c>
      <c r="W1158" s="4" t="str">
        <f>+VLOOKUP(V1158,Sheet1!$A$2:$B$27,2,0)</f>
        <v>By Pemeliharaan Kend,ABerat,Mesin-Material Pihak3</v>
      </c>
      <c r="X1158" s="4" t="str">
        <f>+VLOOKUP(U1158,'FBCJ Jul-Des 2025'!$G$10:$P$1302,9,0)</f>
        <v>R124M09</v>
      </c>
      <c r="Y1158" s="2" t="s">
        <v>43</v>
      </c>
      <c r="Z1158" s="2">
        <v>1880288</v>
      </c>
      <c r="AA1158" s="2">
        <v>20251205</v>
      </c>
      <c r="AB1158" s="3">
        <v>875000</v>
      </c>
    </row>
    <row r="1159" spans="3:28" x14ac:dyDescent="0.25">
      <c r="C1159" s="2">
        <v>10000001</v>
      </c>
      <c r="D1159" s="2" t="s">
        <v>1600</v>
      </c>
      <c r="F1159" s="2">
        <v>12010148</v>
      </c>
      <c r="H1159" s="2" t="s">
        <v>1600</v>
      </c>
      <c r="I1159" s="2" t="str">
        <f t="shared" si="17"/>
        <v>12</v>
      </c>
      <c r="J1159" s="2">
        <v>50</v>
      </c>
      <c r="K1159" s="3">
        <v>-200000</v>
      </c>
      <c r="L1159" s="2" t="s">
        <v>26</v>
      </c>
      <c r="M1159" s="3">
        <v>-200000</v>
      </c>
      <c r="N1159" s="2" t="s">
        <v>26</v>
      </c>
      <c r="R1159" s="2" t="s">
        <v>27</v>
      </c>
      <c r="S1159" s="2" t="s">
        <v>1709</v>
      </c>
      <c r="T1159" s="2" t="s">
        <v>334</v>
      </c>
      <c r="U1159" s="2" t="s">
        <v>1710</v>
      </c>
      <c r="V1159" s="4">
        <f>+VLOOKUP(U1159,'FBCJ Jul-Des 2025'!$G$10:$P$1302,8,0)</f>
        <v>70001110</v>
      </c>
      <c r="W1159" s="4" t="str">
        <f>+VLOOKUP(V1159,Sheet1!$A$2:$B$27,2,0)</f>
        <v>Biaya Ekspor lainnya</v>
      </c>
      <c r="X1159" s="4" t="str">
        <f>+VLOOKUP(U1159,'FBCJ Jul-Des 2025'!$G$10:$P$1302,9,0)</f>
        <v>C206D1SLSS</v>
      </c>
      <c r="Y1159" s="2" t="s">
        <v>43</v>
      </c>
      <c r="Z1159" s="2">
        <v>1880288</v>
      </c>
      <c r="AA1159" s="2">
        <v>20251205</v>
      </c>
      <c r="AB1159" s="3">
        <v>200000</v>
      </c>
    </row>
    <row r="1160" spans="3:28" x14ac:dyDescent="0.25">
      <c r="C1160" s="2">
        <v>10000001</v>
      </c>
      <c r="D1160" s="2" t="s">
        <v>1600</v>
      </c>
      <c r="F1160" s="2">
        <v>12010149</v>
      </c>
      <c r="H1160" s="2" t="s">
        <v>1600</v>
      </c>
      <c r="I1160" s="2" t="str">
        <f t="shared" ref="I1160:I1223" si="18">+MID(H1160,4,2)</f>
        <v>12</v>
      </c>
      <c r="J1160" s="2">
        <v>50</v>
      </c>
      <c r="K1160" s="3">
        <v>-150000</v>
      </c>
      <c r="L1160" s="2" t="s">
        <v>26</v>
      </c>
      <c r="M1160" s="3">
        <v>-150000</v>
      </c>
      <c r="N1160" s="2" t="s">
        <v>26</v>
      </c>
      <c r="R1160" s="2" t="s">
        <v>27</v>
      </c>
      <c r="S1160" s="2" t="s">
        <v>1709</v>
      </c>
      <c r="T1160" s="2" t="s">
        <v>334</v>
      </c>
      <c r="U1160" s="2" t="s">
        <v>1711</v>
      </c>
      <c r="V1160" s="4">
        <f>+VLOOKUP(U1160,'FBCJ Jul-Des 2025'!$G$10:$P$1302,8,0)</f>
        <v>70001110</v>
      </c>
      <c r="W1160" s="4" t="str">
        <f>+VLOOKUP(V1160,Sheet1!$A$2:$B$27,2,0)</f>
        <v>Biaya Ekspor lainnya</v>
      </c>
      <c r="X1160" s="4" t="str">
        <f>+VLOOKUP(U1160,'FBCJ Jul-Des 2025'!$G$10:$P$1302,9,0)</f>
        <v>P206D1SLSS</v>
      </c>
      <c r="Y1160" s="2" t="s">
        <v>43</v>
      </c>
      <c r="Z1160" s="2">
        <v>1880288</v>
      </c>
      <c r="AA1160" s="2">
        <v>20251205</v>
      </c>
      <c r="AB1160" s="3">
        <v>150000</v>
      </c>
    </row>
    <row r="1161" spans="3:28" x14ac:dyDescent="0.25">
      <c r="C1161" s="2">
        <v>10000001</v>
      </c>
      <c r="D1161" s="2" t="s">
        <v>1600</v>
      </c>
      <c r="F1161" s="2">
        <v>12010150</v>
      </c>
      <c r="H1161" s="2" t="s">
        <v>1600</v>
      </c>
      <c r="I1161" s="2" t="str">
        <f t="shared" si="18"/>
        <v>12</v>
      </c>
      <c r="J1161" s="2">
        <v>50</v>
      </c>
      <c r="K1161" s="3">
        <v>-150000</v>
      </c>
      <c r="L1161" s="2" t="s">
        <v>26</v>
      </c>
      <c r="M1161" s="3">
        <v>-150000</v>
      </c>
      <c r="N1161" s="2" t="s">
        <v>26</v>
      </c>
      <c r="R1161" s="2" t="s">
        <v>27</v>
      </c>
      <c r="S1161" s="2" t="s">
        <v>1709</v>
      </c>
      <c r="T1161" s="2" t="s">
        <v>334</v>
      </c>
      <c r="U1161" s="2" t="s">
        <v>1712</v>
      </c>
      <c r="V1161" s="4">
        <f>+VLOOKUP(U1161,'FBCJ Jul-Des 2025'!$G$10:$P$1302,8,0)</f>
        <v>70001110</v>
      </c>
      <c r="W1161" s="4" t="str">
        <f>+VLOOKUP(V1161,Sheet1!$A$2:$B$27,2,0)</f>
        <v>Biaya Ekspor lainnya</v>
      </c>
      <c r="X1161" s="4" t="str">
        <f>+VLOOKUP(U1161,'FBCJ Jul-Des 2025'!$G$10:$P$1302,9,0)</f>
        <v>P206D1SLSS</v>
      </c>
      <c r="Y1161" s="2" t="s">
        <v>43</v>
      </c>
      <c r="Z1161" s="2">
        <v>1880288</v>
      </c>
      <c r="AA1161" s="2">
        <v>20251205</v>
      </c>
      <c r="AB1161" s="3">
        <v>150000</v>
      </c>
    </row>
    <row r="1162" spans="3:28" x14ac:dyDescent="0.25">
      <c r="C1162" s="2">
        <v>10000001</v>
      </c>
      <c r="D1162" s="2" t="s">
        <v>1600</v>
      </c>
      <c r="F1162" s="2">
        <v>12010151</v>
      </c>
      <c r="H1162" s="2" t="s">
        <v>1600</v>
      </c>
      <c r="I1162" s="2" t="str">
        <f t="shared" si="18"/>
        <v>12</v>
      </c>
      <c r="J1162" s="2">
        <v>50</v>
      </c>
      <c r="K1162" s="3">
        <v>-283000</v>
      </c>
      <c r="L1162" s="2" t="s">
        <v>26</v>
      </c>
      <c r="M1162" s="3">
        <v>-283000</v>
      </c>
      <c r="N1162" s="2" t="s">
        <v>26</v>
      </c>
      <c r="R1162" s="2" t="s">
        <v>27</v>
      </c>
      <c r="S1162" s="2" t="s">
        <v>1713</v>
      </c>
      <c r="T1162" s="2" t="s">
        <v>67</v>
      </c>
      <c r="U1162" s="2" t="s">
        <v>1714</v>
      </c>
      <c r="V1162" s="4">
        <f>+VLOOKUP(U1162,'FBCJ Jul-Des 2025'!$G$10:$P$1302,8,0)</f>
        <v>70106100</v>
      </c>
      <c r="W1162" s="4" t="str">
        <f>+VLOOKUP(V1162,Sheet1!$A$2:$B$27,2,0)</f>
        <v>Biaya Transportasi Lokal</v>
      </c>
      <c r="X1162" s="4" t="str">
        <f>+VLOOKUP(U1162,'FBCJ Jul-Des 2025'!$G$10:$P$1302,9,0)</f>
        <v>P206D1SLSS</v>
      </c>
      <c r="Y1162" s="2" t="s">
        <v>43</v>
      </c>
      <c r="Z1162" s="2">
        <v>1880288</v>
      </c>
      <c r="AA1162" s="2">
        <v>20251205</v>
      </c>
      <c r="AB1162" s="3">
        <v>283000</v>
      </c>
    </row>
    <row r="1163" spans="3:28" x14ac:dyDescent="0.25">
      <c r="C1163" s="2">
        <v>10000001</v>
      </c>
      <c r="D1163" s="2" t="s">
        <v>1600</v>
      </c>
      <c r="F1163" s="2">
        <v>12010152</v>
      </c>
      <c r="H1163" s="2" t="s">
        <v>1600</v>
      </c>
      <c r="I1163" s="2" t="str">
        <f t="shared" si="18"/>
        <v>12</v>
      </c>
      <c r="J1163" s="2">
        <v>50</v>
      </c>
      <c r="K1163" s="3">
        <v>-28000</v>
      </c>
      <c r="L1163" s="2" t="s">
        <v>26</v>
      </c>
      <c r="M1163" s="3">
        <v>-28000</v>
      </c>
      <c r="N1163" s="2" t="s">
        <v>26</v>
      </c>
      <c r="R1163" s="2" t="s">
        <v>27</v>
      </c>
      <c r="S1163" s="2" t="s">
        <v>1713</v>
      </c>
      <c r="T1163" s="2" t="s">
        <v>64</v>
      </c>
      <c r="U1163" s="2" t="s">
        <v>1715</v>
      </c>
      <c r="V1163" s="4">
        <f>+VLOOKUP(U1163,'FBCJ Jul-Des 2025'!$G$10:$P$1302,8,0)</f>
        <v>70108110</v>
      </c>
      <c r="W1163" s="4" t="str">
        <f>+VLOOKUP(V1163,Sheet1!$A$2:$B$27,2,0)</f>
        <v>Biaya  Fotocopy</v>
      </c>
      <c r="X1163" s="4" t="str">
        <f>+VLOOKUP(U1163,'FBCJ Jul-Des 2025'!$G$10:$P$1302,9,0)</f>
        <v>P206D1SLSS</v>
      </c>
      <c r="Y1163" s="2" t="s">
        <v>43</v>
      </c>
      <c r="Z1163" s="2">
        <v>1880288</v>
      </c>
      <c r="AA1163" s="2">
        <v>20251205</v>
      </c>
      <c r="AB1163" s="3">
        <v>28000</v>
      </c>
    </row>
    <row r="1164" spans="3:28" x14ac:dyDescent="0.25">
      <c r="C1164" s="2">
        <v>10000001</v>
      </c>
      <c r="D1164" s="2" t="s">
        <v>1600</v>
      </c>
      <c r="F1164" s="2">
        <v>12010153</v>
      </c>
      <c r="H1164" s="2" t="s">
        <v>1600</v>
      </c>
      <c r="I1164" s="2" t="str">
        <f t="shared" si="18"/>
        <v>12</v>
      </c>
      <c r="J1164" s="2">
        <v>50</v>
      </c>
      <c r="K1164" s="3">
        <v>-50000</v>
      </c>
      <c r="L1164" s="2" t="s">
        <v>26</v>
      </c>
      <c r="M1164" s="3">
        <v>-50000</v>
      </c>
      <c r="N1164" s="2" t="s">
        <v>26</v>
      </c>
      <c r="R1164" s="2" t="s">
        <v>27</v>
      </c>
      <c r="S1164" s="2" t="s">
        <v>1716</v>
      </c>
      <c r="T1164" s="2" t="s">
        <v>334</v>
      </c>
      <c r="U1164" s="2" t="s">
        <v>1717</v>
      </c>
      <c r="V1164" s="4">
        <f>+VLOOKUP(U1164,'FBCJ Jul-Des 2025'!$G$10:$P$1302,8,0)</f>
        <v>70001110</v>
      </c>
      <c r="W1164" s="4" t="str">
        <f>+VLOOKUP(V1164,Sheet1!$A$2:$B$27,2,0)</f>
        <v>Biaya Ekspor lainnya</v>
      </c>
      <c r="X1164" s="4" t="str">
        <f>+VLOOKUP(U1164,'FBCJ Jul-Des 2025'!$G$10:$P$1302,9,0)</f>
        <v>P206D1SLSS</v>
      </c>
      <c r="Y1164" s="2" t="s">
        <v>43</v>
      </c>
      <c r="Z1164" s="2">
        <v>1880288</v>
      </c>
      <c r="AA1164" s="2">
        <v>20251205</v>
      </c>
      <c r="AB1164" s="3">
        <v>50000</v>
      </c>
    </row>
    <row r="1165" spans="3:28" x14ac:dyDescent="0.25">
      <c r="C1165" s="2">
        <v>10000001</v>
      </c>
      <c r="D1165" s="2" t="s">
        <v>1600</v>
      </c>
      <c r="F1165" s="2">
        <v>12010154</v>
      </c>
      <c r="H1165" s="2" t="s">
        <v>1600</v>
      </c>
      <c r="I1165" s="2" t="str">
        <f t="shared" si="18"/>
        <v>12</v>
      </c>
      <c r="J1165" s="2">
        <v>50</v>
      </c>
      <c r="K1165" s="3">
        <v>-50000</v>
      </c>
      <c r="L1165" s="2" t="s">
        <v>26</v>
      </c>
      <c r="M1165" s="3">
        <v>-50000</v>
      </c>
      <c r="N1165" s="2" t="s">
        <v>26</v>
      </c>
      <c r="R1165" s="2" t="s">
        <v>27</v>
      </c>
      <c r="S1165" s="2" t="s">
        <v>1716</v>
      </c>
      <c r="T1165" s="2" t="s">
        <v>334</v>
      </c>
      <c r="U1165" s="2" t="s">
        <v>1718</v>
      </c>
      <c r="V1165" s="4">
        <f>+VLOOKUP(U1165,'FBCJ Jul-Des 2025'!$G$10:$P$1302,8,0)</f>
        <v>70001110</v>
      </c>
      <c r="W1165" s="4" t="str">
        <f>+VLOOKUP(V1165,Sheet1!$A$2:$B$27,2,0)</f>
        <v>Biaya Ekspor lainnya</v>
      </c>
      <c r="X1165" s="4" t="str">
        <f>+VLOOKUP(U1165,'FBCJ Jul-Des 2025'!$G$10:$P$1302,9,0)</f>
        <v>P206D1SLSS</v>
      </c>
      <c r="Y1165" s="2" t="s">
        <v>43</v>
      </c>
      <c r="Z1165" s="2">
        <v>1880288</v>
      </c>
      <c r="AA1165" s="2">
        <v>20251205</v>
      </c>
      <c r="AB1165" s="3">
        <v>50000</v>
      </c>
    </row>
    <row r="1166" spans="3:28" x14ac:dyDescent="0.25">
      <c r="C1166" s="2">
        <v>10000001</v>
      </c>
      <c r="D1166" s="2" t="s">
        <v>1600</v>
      </c>
      <c r="F1166" s="2">
        <v>12010155</v>
      </c>
      <c r="H1166" s="2" t="s">
        <v>1600</v>
      </c>
      <c r="I1166" s="2" t="str">
        <f t="shared" si="18"/>
        <v>12</v>
      </c>
      <c r="J1166" s="2">
        <v>50</v>
      </c>
      <c r="K1166" s="3">
        <v>-50000</v>
      </c>
      <c r="L1166" s="2" t="s">
        <v>26</v>
      </c>
      <c r="M1166" s="3">
        <v>-50000</v>
      </c>
      <c r="N1166" s="2" t="s">
        <v>26</v>
      </c>
      <c r="R1166" s="2" t="s">
        <v>27</v>
      </c>
      <c r="S1166" s="2" t="s">
        <v>1716</v>
      </c>
      <c r="T1166" s="2" t="s">
        <v>334</v>
      </c>
      <c r="U1166" s="2" t="s">
        <v>1719</v>
      </c>
      <c r="V1166" s="4">
        <f>+VLOOKUP(U1166,'FBCJ Jul-Des 2025'!$G$10:$P$1302,8,0)</f>
        <v>70001110</v>
      </c>
      <c r="W1166" s="4" t="str">
        <f>+VLOOKUP(V1166,Sheet1!$A$2:$B$27,2,0)</f>
        <v>Biaya Ekspor lainnya</v>
      </c>
      <c r="X1166" s="4" t="str">
        <f>+VLOOKUP(U1166,'FBCJ Jul-Des 2025'!$G$10:$P$1302,9,0)</f>
        <v>P206D1SLSS</v>
      </c>
      <c r="Y1166" s="2" t="s">
        <v>43</v>
      </c>
      <c r="Z1166" s="2">
        <v>1880288</v>
      </c>
      <c r="AA1166" s="2">
        <v>20251205</v>
      </c>
      <c r="AB1166" s="3">
        <v>50000</v>
      </c>
    </row>
    <row r="1167" spans="3:28" x14ac:dyDescent="0.25">
      <c r="C1167" s="2">
        <v>10000001</v>
      </c>
      <c r="D1167" s="2" t="s">
        <v>1600</v>
      </c>
      <c r="F1167" s="2">
        <v>12010156</v>
      </c>
      <c r="H1167" s="2" t="s">
        <v>1600</v>
      </c>
      <c r="I1167" s="2" t="str">
        <f t="shared" si="18"/>
        <v>12</v>
      </c>
      <c r="J1167" s="2">
        <v>50</v>
      </c>
      <c r="K1167" s="3">
        <v>-50000</v>
      </c>
      <c r="L1167" s="2" t="s">
        <v>26</v>
      </c>
      <c r="M1167" s="3">
        <v>-50000</v>
      </c>
      <c r="N1167" s="2" t="s">
        <v>26</v>
      </c>
      <c r="R1167" s="2" t="s">
        <v>27</v>
      </c>
      <c r="S1167" s="2" t="s">
        <v>1720</v>
      </c>
      <c r="T1167" s="2" t="s">
        <v>334</v>
      </c>
      <c r="U1167" s="2" t="s">
        <v>1721</v>
      </c>
      <c r="V1167" s="4">
        <f>+VLOOKUP(U1167,'FBCJ Jul-Des 2025'!$G$10:$P$1302,8,0)</f>
        <v>70001110</v>
      </c>
      <c r="W1167" s="4" t="str">
        <f>+VLOOKUP(V1167,Sheet1!$A$2:$B$27,2,0)</f>
        <v>Biaya Ekspor lainnya</v>
      </c>
      <c r="X1167" s="4" t="str">
        <f>+VLOOKUP(U1167,'FBCJ Jul-Des 2025'!$G$10:$P$1302,9,0)</f>
        <v>P206D1SLSS</v>
      </c>
      <c r="Y1167" s="2" t="s">
        <v>43</v>
      </c>
      <c r="Z1167" s="2">
        <v>1880288</v>
      </c>
      <c r="AA1167" s="2">
        <v>20251205</v>
      </c>
      <c r="AB1167" s="3">
        <v>50000</v>
      </c>
    </row>
    <row r="1168" spans="3:28" x14ac:dyDescent="0.25">
      <c r="C1168" s="2">
        <v>10000001</v>
      </c>
      <c r="D1168" s="2" t="s">
        <v>1600</v>
      </c>
      <c r="F1168" s="2">
        <v>12010157</v>
      </c>
      <c r="H1168" s="2" t="s">
        <v>1600</v>
      </c>
      <c r="I1168" s="2" t="str">
        <f t="shared" si="18"/>
        <v>12</v>
      </c>
      <c r="J1168" s="2">
        <v>50</v>
      </c>
      <c r="K1168" s="3">
        <v>-50000</v>
      </c>
      <c r="L1168" s="2" t="s">
        <v>26</v>
      </c>
      <c r="M1168" s="3">
        <v>-50000</v>
      </c>
      <c r="N1168" s="2" t="s">
        <v>26</v>
      </c>
      <c r="R1168" s="2" t="s">
        <v>27</v>
      </c>
      <c r="S1168" s="2" t="s">
        <v>1720</v>
      </c>
      <c r="T1168" s="2" t="s">
        <v>334</v>
      </c>
      <c r="U1168" s="2" t="s">
        <v>1722</v>
      </c>
      <c r="V1168" s="4">
        <f>+VLOOKUP(U1168,'FBCJ Jul-Des 2025'!$G$10:$P$1302,8,0)</f>
        <v>70001110</v>
      </c>
      <c r="W1168" s="4" t="str">
        <f>+VLOOKUP(V1168,Sheet1!$A$2:$B$27,2,0)</f>
        <v>Biaya Ekspor lainnya</v>
      </c>
      <c r="X1168" s="4" t="str">
        <f>+VLOOKUP(U1168,'FBCJ Jul-Des 2025'!$G$10:$P$1302,9,0)</f>
        <v>P206D1SLSC</v>
      </c>
      <c r="Y1168" s="2" t="s">
        <v>43</v>
      </c>
      <c r="Z1168" s="2">
        <v>1880288</v>
      </c>
      <c r="AA1168" s="2">
        <v>20251205</v>
      </c>
      <c r="AB1168" s="3">
        <v>50000</v>
      </c>
    </row>
    <row r="1169" spans="3:28" x14ac:dyDescent="0.25">
      <c r="C1169" s="2">
        <v>10000001</v>
      </c>
      <c r="D1169" s="2" t="s">
        <v>1600</v>
      </c>
      <c r="F1169" s="2">
        <v>12010158</v>
      </c>
      <c r="H1169" s="2" t="s">
        <v>1600</v>
      </c>
      <c r="I1169" s="2" t="str">
        <f t="shared" si="18"/>
        <v>12</v>
      </c>
      <c r="J1169" s="2">
        <v>50</v>
      </c>
      <c r="K1169" s="3">
        <v>-50000</v>
      </c>
      <c r="L1169" s="2" t="s">
        <v>26</v>
      </c>
      <c r="M1169" s="3">
        <v>-50000</v>
      </c>
      <c r="N1169" s="2" t="s">
        <v>26</v>
      </c>
      <c r="R1169" s="2" t="s">
        <v>27</v>
      </c>
      <c r="S1169" s="2" t="s">
        <v>1720</v>
      </c>
      <c r="T1169" s="2" t="s">
        <v>334</v>
      </c>
      <c r="U1169" s="2" t="s">
        <v>1723</v>
      </c>
      <c r="V1169" s="4">
        <f>+VLOOKUP(U1169,'FBCJ Jul-Des 2025'!$G$10:$P$1302,8,0)</f>
        <v>70001110</v>
      </c>
      <c r="W1169" s="4" t="str">
        <f>+VLOOKUP(V1169,Sheet1!$A$2:$B$27,2,0)</f>
        <v>Biaya Ekspor lainnya</v>
      </c>
      <c r="X1169" s="4" t="str">
        <f>+VLOOKUP(U1169,'FBCJ Jul-Des 2025'!$G$10:$P$1302,9,0)</f>
        <v>P206D1SLSS</v>
      </c>
      <c r="Y1169" s="2" t="s">
        <v>43</v>
      </c>
      <c r="Z1169" s="2">
        <v>1880288</v>
      </c>
      <c r="AA1169" s="2">
        <v>20251205</v>
      </c>
      <c r="AB1169" s="3">
        <v>50000</v>
      </c>
    </row>
    <row r="1170" spans="3:28" x14ac:dyDescent="0.25">
      <c r="C1170" s="2">
        <v>10000001</v>
      </c>
      <c r="D1170" s="2" t="s">
        <v>1600</v>
      </c>
      <c r="F1170" s="2">
        <v>12010159</v>
      </c>
      <c r="H1170" s="2" t="s">
        <v>1600</v>
      </c>
      <c r="I1170" s="2" t="str">
        <f t="shared" si="18"/>
        <v>12</v>
      </c>
      <c r="J1170" s="2">
        <v>50</v>
      </c>
      <c r="K1170" s="3">
        <v>-50000</v>
      </c>
      <c r="L1170" s="2" t="s">
        <v>26</v>
      </c>
      <c r="M1170" s="3">
        <v>-50000</v>
      </c>
      <c r="N1170" s="2" t="s">
        <v>26</v>
      </c>
      <c r="R1170" s="2" t="s">
        <v>27</v>
      </c>
      <c r="S1170" s="2" t="s">
        <v>1724</v>
      </c>
      <c r="T1170" s="2" t="s">
        <v>334</v>
      </c>
      <c r="U1170" s="2" t="s">
        <v>1725</v>
      </c>
      <c r="V1170" s="4">
        <f>+VLOOKUP(U1170,'FBCJ Jul-Des 2025'!$G$10:$P$1302,8,0)</f>
        <v>70001110</v>
      </c>
      <c r="W1170" s="4" t="str">
        <f>+VLOOKUP(V1170,Sheet1!$A$2:$B$27,2,0)</f>
        <v>Biaya Ekspor lainnya</v>
      </c>
      <c r="X1170" s="4" t="str">
        <f>+VLOOKUP(U1170,'FBCJ Jul-Des 2025'!$G$10:$P$1302,9,0)</f>
        <v>P206D1SLSS</v>
      </c>
      <c r="Y1170" s="2" t="s">
        <v>43</v>
      </c>
      <c r="Z1170" s="2">
        <v>1880288</v>
      </c>
      <c r="AA1170" s="2">
        <v>20251205</v>
      </c>
      <c r="AB1170" s="3">
        <v>50000</v>
      </c>
    </row>
    <row r="1171" spans="3:28" x14ac:dyDescent="0.25">
      <c r="C1171" s="2">
        <v>10000001</v>
      </c>
      <c r="D1171" s="2" t="s">
        <v>1600</v>
      </c>
      <c r="F1171" s="2">
        <v>12010160</v>
      </c>
      <c r="H1171" s="2" t="s">
        <v>1600</v>
      </c>
      <c r="I1171" s="2" t="str">
        <f t="shared" si="18"/>
        <v>12</v>
      </c>
      <c r="J1171" s="2">
        <v>50</v>
      </c>
      <c r="K1171" s="3">
        <v>-50000</v>
      </c>
      <c r="L1171" s="2" t="s">
        <v>26</v>
      </c>
      <c r="M1171" s="3">
        <v>-50000</v>
      </c>
      <c r="N1171" s="2" t="s">
        <v>26</v>
      </c>
      <c r="R1171" s="2" t="s">
        <v>27</v>
      </c>
      <c r="S1171" s="2" t="s">
        <v>1675</v>
      </c>
      <c r="T1171" s="2" t="s">
        <v>334</v>
      </c>
      <c r="U1171" s="2" t="s">
        <v>1726</v>
      </c>
      <c r="V1171" s="4">
        <f>+VLOOKUP(U1171,'FBCJ Jul-Des 2025'!$G$10:$P$1302,8,0)</f>
        <v>70001110</v>
      </c>
      <c r="W1171" s="4" t="str">
        <f>+VLOOKUP(V1171,Sheet1!$A$2:$B$27,2,0)</f>
        <v>Biaya Ekspor lainnya</v>
      </c>
      <c r="X1171" s="4" t="str">
        <f>+VLOOKUP(U1171,'FBCJ Jul-Des 2025'!$G$10:$P$1302,9,0)</f>
        <v>C206D1SLSS</v>
      </c>
      <c r="Y1171" s="2" t="s">
        <v>43</v>
      </c>
      <c r="Z1171" s="2">
        <v>1880288</v>
      </c>
      <c r="AA1171" s="2">
        <v>20251205</v>
      </c>
      <c r="AB1171" s="3">
        <v>50000</v>
      </c>
    </row>
    <row r="1172" spans="3:28" x14ac:dyDescent="0.25">
      <c r="C1172" s="2">
        <v>10000001</v>
      </c>
      <c r="D1172" s="2" t="s">
        <v>1727</v>
      </c>
      <c r="F1172" s="2">
        <v>12010161</v>
      </c>
      <c r="H1172" s="2" t="s">
        <v>1727</v>
      </c>
      <c r="I1172" s="2" t="str">
        <f t="shared" si="18"/>
        <v>12</v>
      </c>
      <c r="J1172" s="2">
        <v>50</v>
      </c>
      <c r="K1172" s="3">
        <v>-50000</v>
      </c>
      <c r="L1172" s="2" t="s">
        <v>26</v>
      </c>
      <c r="M1172" s="3">
        <v>-50000</v>
      </c>
      <c r="N1172" s="2" t="s">
        <v>26</v>
      </c>
      <c r="R1172" s="2" t="s">
        <v>27</v>
      </c>
      <c r="S1172" s="2" t="s">
        <v>1728</v>
      </c>
      <c r="T1172" s="2" t="s">
        <v>334</v>
      </c>
      <c r="U1172" s="2" t="s">
        <v>1729</v>
      </c>
      <c r="V1172" s="4">
        <f>+VLOOKUP(U1172,'FBCJ Jul-Des 2025'!$G$10:$P$1302,8,0)</f>
        <v>70001110</v>
      </c>
      <c r="W1172" s="4" t="str">
        <f>+VLOOKUP(V1172,Sheet1!$A$2:$B$27,2,0)</f>
        <v>Biaya Ekspor lainnya</v>
      </c>
      <c r="X1172" s="4" t="str">
        <f>+VLOOKUP(U1172,'FBCJ Jul-Des 2025'!$G$10:$P$1302,9,0)</f>
        <v>C206D1SLSS</v>
      </c>
      <c r="Y1172" s="2" t="s">
        <v>43</v>
      </c>
      <c r="Z1172" s="2">
        <v>1880288</v>
      </c>
      <c r="AA1172" s="2">
        <v>20251208</v>
      </c>
      <c r="AB1172" s="3">
        <v>50000</v>
      </c>
    </row>
    <row r="1173" spans="3:28" x14ac:dyDescent="0.25">
      <c r="C1173" s="2">
        <v>10000001</v>
      </c>
      <c r="D1173" s="2" t="s">
        <v>1727</v>
      </c>
      <c r="F1173" s="2">
        <v>12010162</v>
      </c>
      <c r="H1173" s="2" t="s">
        <v>1727</v>
      </c>
      <c r="I1173" s="2" t="str">
        <f t="shared" si="18"/>
        <v>12</v>
      </c>
      <c r="J1173" s="2">
        <v>50</v>
      </c>
      <c r="K1173" s="3">
        <v>-50000</v>
      </c>
      <c r="L1173" s="2" t="s">
        <v>26</v>
      </c>
      <c r="M1173" s="3">
        <v>-50000</v>
      </c>
      <c r="N1173" s="2" t="s">
        <v>26</v>
      </c>
      <c r="R1173" s="2" t="s">
        <v>27</v>
      </c>
      <c r="S1173" s="2" t="s">
        <v>1728</v>
      </c>
      <c r="T1173" s="2" t="s">
        <v>334</v>
      </c>
      <c r="U1173" s="2" t="s">
        <v>1730</v>
      </c>
      <c r="V1173" s="4">
        <f>+VLOOKUP(U1173,'FBCJ Jul-Des 2025'!$G$10:$P$1302,8,0)</f>
        <v>70001110</v>
      </c>
      <c r="W1173" s="4" t="str">
        <f>+VLOOKUP(V1173,Sheet1!$A$2:$B$27,2,0)</f>
        <v>Biaya Ekspor lainnya</v>
      </c>
      <c r="X1173" s="4" t="str">
        <f>+VLOOKUP(U1173,'FBCJ Jul-Des 2025'!$G$10:$P$1302,9,0)</f>
        <v>C206D1SLSS</v>
      </c>
      <c r="Y1173" s="2" t="s">
        <v>43</v>
      </c>
      <c r="Z1173" s="2">
        <v>1880288</v>
      </c>
      <c r="AA1173" s="2">
        <v>20251208</v>
      </c>
      <c r="AB1173" s="3">
        <v>50000</v>
      </c>
    </row>
    <row r="1174" spans="3:28" x14ac:dyDescent="0.25">
      <c r="C1174" s="2">
        <v>10000001</v>
      </c>
      <c r="D1174" s="2" t="s">
        <v>1727</v>
      </c>
      <c r="F1174" s="2">
        <v>12010163</v>
      </c>
      <c r="H1174" s="2" t="s">
        <v>1727</v>
      </c>
      <c r="I1174" s="2" t="str">
        <f t="shared" si="18"/>
        <v>12</v>
      </c>
      <c r="J1174" s="2">
        <v>50</v>
      </c>
      <c r="K1174" s="3">
        <v>-50000</v>
      </c>
      <c r="L1174" s="2" t="s">
        <v>26</v>
      </c>
      <c r="M1174" s="3">
        <v>-50000</v>
      </c>
      <c r="N1174" s="2" t="s">
        <v>26</v>
      </c>
      <c r="R1174" s="2" t="s">
        <v>27</v>
      </c>
      <c r="S1174" s="2" t="s">
        <v>1728</v>
      </c>
      <c r="T1174" s="2" t="s">
        <v>334</v>
      </c>
      <c r="U1174" s="2" t="s">
        <v>1731</v>
      </c>
      <c r="V1174" s="4">
        <f>+VLOOKUP(U1174,'FBCJ Jul-Des 2025'!$G$10:$P$1302,8,0)</f>
        <v>70001110</v>
      </c>
      <c r="W1174" s="4" t="str">
        <f>+VLOOKUP(V1174,Sheet1!$A$2:$B$27,2,0)</f>
        <v>Biaya Ekspor lainnya</v>
      </c>
      <c r="X1174" s="4" t="str">
        <f>+VLOOKUP(U1174,'FBCJ Jul-Des 2025'!$G$10:$P$1302,9,0)</f>
        <v>C206D1SLSS</v>
      </c>
      <c r="Y1174" s="2" t="s">
        <v>43</v>
      </c>
      <c r="Z1174" s="2">
        <v>1880288</v>
      </c>
      <c r="AA1174" s="2">
        <v>20251208</v>
      </c>
      <c r="AB1174" s="3">
        <v>50000</v>
      </c>
    </row>
    <row r="1175" spans="3:28" x14ac:dyDescent="0.25">
      <c r="C1175" s="2">
        <v>10000001</v>
      </c>
      <c r="D1175" s="2" t="s">
        <v>1727</v>
      </c>
      <c r="F1175" s="2">
        <v>12010164</v>
      </c>
      <c r="H1175" s="2" t="s">
        <v>1727</v>
      </c>
      <c r="I1175" s="2" t="str">
        <f t="shared" si="18"/>
        <v>12</v>
      </c>
      <c r="J1175" s="2">
        <v>50</v>
      </c>
      <c r="K1175" s="3">
        <v>-50000</v>
      </c>
      <c r="L1175" s="2" t="s">
        <v>26</v>
      </c>
      <c r="M1175" s="3">
        <v>-50000</v>
      </c>
      <c r="N1175" s="2" t="s">
        <v>26</v>
      </c>
      <c r="R1175" s="2" t="s">
        <v>27</v>
      </c>
      <c r="S1175" s="2" t="s">
        <v>1728</v>
      </c>
      <c r="T1175" s="2" t="s">
        <v>334</v>
      </c>
      <c r="U1175" s="2" t="s">
        <v>1732</v>
      </c>
      <c r="V1175" s="4">
        <f>+VLOOKUP(U1175,'FBCJ Jul-Des 2025'!$G$10:$P$1302,8,0)</f>
        <v>70001110</v>
      </c>
      <c r="W1175" s="4" t="str">
        <f>+VLOOKUP(V1175,Sheet1!$A$2:$B$27,2,0)</f>
        <v>Biaya Ekspor lainnya</v>
      </c>
      <c r="X1175" s="4" t="str">
        <f>+VLOOKUP(U1175,'FBCJ Jul-Des 2025'!$G$10:$P$1302,9,0)</f>
        <v>C206D1SLSS</v>
      </c>
      <c r="Y1175" s="2" t="s">
        <v>43</v>
      </c>
      <c r="Z1175" s="2">
        <v>1880288</v>
      </c>
      <c r="AA1175" s="2">
        <v>20251208</v>
      </c>
      <c r="AB1175" s="3">
        <v>50000</v>
      </c>
    </row>
    <row r="1176" spans="3:28" x14ac:dyDescent="0.25">
      <c r="C1176" s="2">
        <v>10000001</v>
      </c>
      <c r="D1176" s="2" t="s">
        <v>1727</v>
      </c>
      <c r="F1176" s="2">
        <v>12010165</v>
      </c>
      <c r="H1176" s="2" t="s">
        <v>1727</v>
      </c>
      <c r="I1176" s="2" t="str">
        <f t="shared" si="18"/>
        <v>12</v>
      </c>
      <c r="J1176" s="2">
        <v>50</v>
      </c>
      <c r="K1176" s="3">
        <v>-50000</v>
      </c>
      <c r="L1176" s="2" t="s">
        <v>26</v>
      </c>
      <c r="M1176" s="3">
        <v>-50000</v>
      </c>
      <c r="N1176" s="2" t="s">
        <v>26</v>
      </c>
      <c r="R1176" s="2" t="s">
        <v>27</v>
      </c>
      <c r="S1176" s="2" t="s">
        <v>1728</v>
      </c>
      <c r="T1176" s="2" t="s">
        <v>334</v>
      </c>
      <c r="U1176" s="2" t="s">
        <v>1733</v>
      </c>
      <c r="V1176" s="4">
        <f>+VLOOKUP(U1176,'FBCJ Jul-Des 2025'!$G$10:$P$1302,8,0)</f>
        <v>70001110</v>
      </c>
      <c r="W1176" s="4" t="str">
        <f>+VLOOKUP(V1176,Sheet1!$A$2:$B$27,2,0)</f>
        <v>Biaya Ekspor lainnya</v>
      </c>
      <c r="X1176" s="4" t="str">
        <f>+VLOOKUP(U1176,'FBCJ Jul-Des 2025'!$G$10:$P$1302,9,0)</f>
        <v>C206D1SLSS</v>
      </c>
      <c r="Y1176" s="2" t="s">
        <v>43</v>
      </c>
      <c r="Z1176" s="2">
        <v>1880288</v>
      </c>
      <c r="AA1176" s="2">
        <v>20251208</v>
      </c>
      <c r="AB1176" s="3">
        <v>50000</v>
      </c>
    </row>
    <row r="1177" spans="3:28" x14ac:dyDescent="0.25">
      <c r="C1177" s="2">
        <v>10000001</v>
      </c>
      <c r="D1177" s="2" t="s">
        <v>1727</v>
      </c>
      <c r="F1177" s="2">
        <v>12010166</v>
      </c>
      <c r="H1177" s="2" t="s">
        <v>1727</v>
      </c>
      <c r="I1177" s="2" t="str">
        <f t="shared" si="18"/>
        <v>12</v>
      </c>
      <c r="J1177" s="2">
        <v>50</v>
      </c>
      <c r="K1177" s="3">
        <v>-50000</v>
      </c>
      <c r="L1177" s="2" t="s">
        <v>26</v>
      </c>
      <c r="M1177" s="3">
        <v>-50000</v>
      </c>
      <c r="N1177" s="2" t="s">
        <v>26</v>
      </c>
      <c r="R1177" s="2" t="s">
        <v>27</v>
      </c>
      <c r="S1177" s="2" t="s">
        <v>1728</v>
      </c>
      <c r="T1177" s="2" t="s">
        <v>334</v>
      </c>
      <c r="U1177" s="2" t="s">
        <v>1734</v>
      </c>
      <c r="V1177" s="4">
        <f>+VLOOKUP(U1177,'FBCJ Jul-Des 2025'!$G$10:$P$1302,8,0)</f>
        <v>70001110</v>
      </c>
      <c r="W1177" s="4" t="str">
        <f>+VLOOKUP(V1177,Sheet1!$A$2:$B$27,2,0)</f>
        <v>Biaya Ekspor lainnya</v>
      </c>
      <c r="X1177" s="4" t="str">
        <f>+VLOOKUP(U1177,'FBCJ Jul-Des 2025'!$G$10:$P$1302,9,0)</f>
        <v>P206D1SLSS</v>
      </c>
      <c r="Y1177" s="2" t="s">
        <v>43</v>
      </c>
      <c r="Z1177" s="2">
        <v>1880288</v>
      </c>
      <c r="AA1177" s="2">
        <v>20251208</v>
      </c>
      <c r="AB1177" s="3">
        <v>50000</v>
      </c>
    </row>
    <row r="1178" spans="3:28" x14ac:dyDescent="0.25">
      <c r="C1178" s="2">
        <v>10000001</v>
      </c>
      <c r="D1178" s="2" t="s">
        <v>1727</v>
      </c>
      <c r="F1178" s="2">
        <v>12010167</v>
      </c>
      <c r="H1178" s="2" t="s">
        <v>1727</v>
      </c>
      <c r="I1178" s="2" t="str">
        <f t="shared" si="18"/>
        <v>12</v>
      </c>
      <c r="J1178" s="2">
        <v>50</v>
      </c>
      <c r="K1178" s="3">
        <v>-50000</v>
      </c>
      <c r="L1178" s="2" t="s">
        <v>26</v>
      </c>
      <c r="M1178" s="3">
        <v>-50000</v>
      </c>
      <c r="N1178" s="2" t="s">
        <v>26</v>
      </c>
      <c r="R1178" s="2" t="s">
        <v>27</v>
      </c>
      <c r="S1178" s="2" t="s">
        <v>1728</v>
      </c>
      <c r="T1178" s="2" t="s">
        <v>334</v>
      </c>
      <c r="U1178" s="2" t="s">
        <v>1735</v>
      </c>
      <c r="V1178" s="4">
        <f>+VLOOKUP(U1178,'FBCJ Jul-Des 2025'!$G$10:$P$1302,8,0)</f>
        <v>70001110</v>
      </c>
      <c r="W1178" s="4" t="str">
        <f>+VLOOKUP(V1178,Sheet1!$A$2:$B$27,2,0)</f>
        <v>Biaya Ekspor lainnya</v>
      </c>
      <c r="X1178" s="4" t="str">
        <f>+VLOOKUP(U1178,'FBCJ Jul-Des 2025'!$G$10:$P$1302,9,0)</f>
        <v>C206D1SLSS</v>
      </c>
      <c r="Y1178" s="2" t="s">
        <v>43</v>
      </c>
      <c r="Z1178" s="2">
        <v>1880288</v>
      </c>
      <c r="AA1178" s="2">
        <v>20251208</v>
      </c>
      <c r="AB1178" s="3">
        <v>50000</v>
      </c>
    </row>
    <row r="1179" spans="3:28" x14ac:dyDescent="0.25">
      <c r="C1179" s="2">
        <v>10000001</v>
      </c>
      <c r="D1179" s="2" t="s">
        <v>1727</v>
      </c>
      <c r="F1179" s="2">
        <v>12010168</v>
      </c>
      <c r="H1179" s="2" t="s">
        <v>1727</v>
      </c>
      <c r="I1179" s="2" t="str">
        <f t="shared" si="18"/>
        <v>12</v>
      </c>
      <c r="J1179" s="2">
        <v>50</v>
      </c>
      <c r="K1179" s="3">
        <v>-50000</v>
      </c>
      <c r="L1179" s="2" t="s">
        <v>26</v>
      </c>
      <c r="M1179" s="3">
        <v>-50000</v>
      </c>
      <c r="N1179" s="2" t="s">
        <v>26</v>
      </c>
      <c r="R1179" s="2" t="s">
        <v>27</v>
      </c>
      <c r="S1179" s="2" t="s">
        <v>1728</v>
      </c>
      <c r="T1179" s="2" t="s">
        <v>334</v>
      </c>
      <c r="U1179" s="2" t="s">
        <v>1736</v>
      </c>
      <c r="V1179" s="4">
        <f>+VLOOKUP(U1179,'FBCJ Jul-Des 2025'!$G$10:$P$1302,8,0)</f>
        <v>70001110</v>
      </c>
      <c r="W1179" s="4" t="str">
        <f>+VLOOKUP(V1179,Sheet1!$A$2:$B$27,2,0)</f>
        <v>Biaya Ekspor lainnya</v>
      </c>
      <c r="X1179" s="4" t="str">
        <f>+VLOOKUP(U1179,'FBCJ Jul-Des 2025'!$G$10:$P$1302,9,0)</f>
        <v>C206D1SLSS</v>
      </c>
      <c r="Y1179" s="2" t="s">
        <v>43</v>
      </c>
      <c r="Z1179" s="2">
        <v>1880288</v>
      </c>
      <c r="AA1179" s="2">
        <v>20251208</v>
      </c>
      <c r="AB1179" s="3">
        <v>50000</v>
      </c>
    </row>
    <row r="1180" spans="3:28" x14ac:dyDescent="0.25">
      <c r="C1180" s="2">
        <v>10000001</v>
      </c>
      <c r="D1180" s="2" t="s">
        <v>1727</v>
      </c>
      <c r="F1180" s="2">
        <v>12010169</v>
      </c>
      <c r="H1180" s="2" t="s">
        <v>1727</v>
      </c>
      <c r="I1180" s="2" t="str">
        <f t="shared" si="18"/>
        <v>12</v>
      </c>
      <c r="J1180" s="2">
        <v>50</v>
      </c>
      <c r="K1180" s="3">
        <v>-50000</v>
      </c>
      <c r="L1180" s="2" t="s">
        <v>26</v>
      </c>
      <c r="M1180" s="3">
        <v>-50000</v>
      </c>
      <c r="N1180" s="2" t="s">
        <v>26</v>
      </c>
      <c r="R1180" s="2" t="s">
        <v>27</v>
      </c>
      <c r="S1180" s="2" t="s">
        <v>1728</v>
      </c>
      <c r="T1180" s="2" t="s">
        <v>334</v>
      </c>
      <c r="U1180" s="2" t="s">
        <v>1736</v>
      </c>
      <c r="V1180" s="4">
        <f>+VLOOKUP(U1180,'FBCJ Jul-Des 2025'!$G$10:$P$1302,8,0)</f>
        <v>70001110</v>
      </c>
      <c r="W1180" s="4" t="str">
        <f>+VLOOKUP(V1180,Sheet1!$A$2:$B$27,2,0)</f>
        <v>Biaya Ekspor lainnya</v>
      </c>
      <c r="X1180" s="4" t="str">
        <f>+VLOOKUP(U1180,'FBCJ Jul-Des 2025'!$G$10:$P$1302,9,0)</f>
        <v>C206D1SLSS</v>
      </c>
      <c r="Y1180" s="2" t="s">
        <v>43</v>
      </c>
      <c r="Z1180" s="2">
        <v>1880288</v>
      </c>
      <c r="AA1180" s="2">
        <v>20251208</v>
      </c>
      <c r="AB1180" s="3">
        <v>50000</v>
      </c>
    </row>
    <row r="1181" spans="3:28" x14ac:dyDescent="0.25">
      <c r="C1181" s="2">
        <v>10000001</v>
      </c>
      <c r="D1181" s="2" t="s">
        <v>1727</v>
      </c>
      <c r="F1181" s="2">
        <v>12010170</v>
      </c>
      <c r="H1181" s="2" t="s">
        <v>1727</v>
      </c>
      <c r="I1181" s="2" t="str">
        <f t="shared" si="18"/>
        <v>12</v>
      </c>
      <c r="J1181" s="2">
        <v>50</v>
      </c>
      <c r="K1181" s="3">
        <v>-50000</v>
      </c>
      <c r="L1181" s="2" t="s">
        <v>26</v>
      </c>
      <c r="M1181" s="3">
        <v>-50000</v>
      </c>
      <c r="N1181" s="2" t="s">
        <v>26</v>
      </c>
      <c r="R1181" s="2" t="s">
        <v>27</v>
      </c>
      <c r="S1181" s="2" t="s">
        <v>1728</v>
      </c>
      <c r="T1181" s="2" t="s">
        <v>334</v>
      </c>
      <c r="U1181" s="2" t="s">
        <v>1736</v>
      </c>
      <c r="V1181" s="4">
        <f>+VLOOKUP(U1181,'FBCJ Jul-Des 2025'!$G$10:$P$1302,8,0)</f>
        <v>70001110</v>
      </c>
      <c r="W1181" s="4" t="str">
        <f>+VLOOKUP(V1181,Sheet1!$A$2:$B$27,2,0)</f>
        <v>Biaya Ekspor lainnya</v>
      </c>
      <c r="X1181" s="4" t="str">
        <f>+VLOOKUP(U1181,'FBCJ Jul-Des 2025'!$G$10:$P$1302,9,0)</f>
        <v>C206D1SLSS</v>
      </c>
      <c r="Y1181" s="2" t="s">
        <v>43</v>
      </c>
      <c r="Z1181" s="2">
        <v>1880288</v>
      </c>
      <c r="AA1181" s="2">
        <v>20251208</v>
      </c>
      <c r="AB1181" s="3">
        <v>50000</v>
      </c>
    </row>
    <row r="1182" spans="3:28" x14ac:dyDescent="0.25">
      <c r="C1182" s="2">
        <v>10000001</v>
      </c>
      <c r="D1182" s="2" t="s">
        <v>1727</v>
      </c>
      <c r="F1182" s="2">
        <v>12010171</v>
      </c>
      <c r="H1182" s="2" t="s">
        <v>1727</v>
      </c>
      <c r="I1182" s="2" t="str">
        <f t="shared" si="18"/>
        <v>12</v>
      </c>
      <c r="J1182" s="2">
        <v>50</v>
      </c>
      <c r="K1182" s="3">
        <v>-50000</v>
      </c>
      <c r="L1182" s="2" t="s">
        <v>26</v>
      </c>
      <c r="M1182" s="3">
        <v>-50000</v>
      </c>
      <c r="N1182" s="2" t="s">
        <v>26</v>
      </c>
      <c r="R1182" s="2" t="s">
        <v>27</v>
      </c>
      <c r="S1182" s="2" t="s">
        <v>1728</v>
      </c>
      <c r="T1182" s="2" t="s">
        <v>334</v>
      </c>
      <c r="U1182" s="2" t="s">
        <v>1737</v>
      </c>
      <c r="V1182" s="4">
        <f>+VLOOKUP(U1182,'FBCJ Jul-Des 2025'!$G$10:$P$1302,8,0)</f>
        <v>70001110</v>
      </c>
      <c r="W1182" s="4" t="str">
        <f>+VLOOKUP(V1182,Sheet1!$A$2:$B$27,2,0)</f>
        <v>Biaya Ekspor lainnya</v>
      </c>
      <c r="X1182" s="4" t="str">
        <f>+VLOOKUP(U1182,'FBCJ Jul-Des 2025'!$G$10:$P$1302,9,0)</f>
        <v>C206D1SLSS</v>
      </c>
      <c r="Y1182" s="2" t="s">
        <v>43</v>
      </c>
      <c r="Z1182" s="2">
        <v>1880288</v>
      </c>
      <c r="AA1182" s="2">
        <v>20251208</v>
      </c>
      <c r="AB1182" s="3">
        <v>50000</v>
      </c>
    </row>
    <row r="1183" spans="3:28" x14ac:dyDescent="0.25">
      <c r="C1183" s="2">
        <v>10000001</v>
      </c>
      <c r="D1183" s="2" t="s">
        <v>1727</v>
      </c>
      <c r="F1183" s="2">
        <v>12010172</v>
      </c>
      <c r="H1183" s="2" t="s">
        <v>1727</v>
      </c>
      <c r="I1183" s="2" t="str">
        <f t="shared" si="18"/>
        <v>12</v>
      </c>
      <c r="J1183" s="2">
        <v>50</v>
      </c>
      <c r="K1183" s="3">
        <v>-50000</v>
      </c>
      <c r="L1183" s="2" t="s">
        <v>26</v>
      </c>
      <c r="M1183" s="3">
        <v>-50000</v>
      </c>
      <c r="N1183" s="2" t="s">
        <v>26</v>
      </c>
      <c r="R1183" s="2" t="s">
        <v>27</v>
      </c>
      <c r="S1183" s="2" t="s">
        <v>1728</v>
      </c>
      <c r="T1183" s="2" t="s">
        <v>334</v>
      </c>
      <c r="U1183" s="2" t="s">
        <v>1737</v>
      </c>
      <c r="V1183" s="4">
        <f>+VLOOKUP(U1183,'FBCJ Jul-Des 2025'!$G$10:$P$1302,8,0)</f>
        <v>70001110</v>
      </c>
      <c r="W1183" s="4" t="str">
        <f>+VLOOKUP(V1183,Sheet1!$A$2:$B$27,2,0)</f>
        <v>Biaya Ekspor lainnya</v>
      </c>
      <c r="X1183" s="4" t="str">
        <f>+VLOOKUP(U1183,'FBCJ Jul-Des 2025'!$G$10:$P$1302,9,0)</f>
        <v>C206D1SLSS</v>
      </c>
      <c r="Y1183" s="2" t="s">
        <v>43</v>
      </c>
      <c r="Z1183" s="2">
        <v>1880288</v>
      </c>
      <c r="AA1183" s="2">
        <v>20251208</v>
      </c>
      <c r="AB1183" s="3">
        <v>50000</v>
      </c>
    </row>
    <row r="1184" spans="3:28" x14ac:dyDescent="0.25">
      <c r="C1184" s="2">
        <v>10000001</v>
      </c>
      <c r="D1184" s="2" t="s">
        <v>1727</v>
      </c>
      <c r="F1184" s="2">
        <v>12010173</v>
      </c>
      <c r="H1184" s="2" t="s">
        <v>1727</v>
      </c>
      <c r="I1184" s="2" t="str">
        <f t="shared" si="18"/>
        <v>12</v>
      </c>
      <c r="J1184" s="2">
        <v>50</v>
      </c>
      <c r="K1184" s="3">
        <v>-637500</v>
      </c>
      <c r="L1184" s="2" t="s">
        <v>26</v>
      </c>
      <c r="M1184" s="3">
        <v>-637500</v>
      </c>
      <c r="N1184" s="2" t="s">
        <v>26</v>
      </c>
      <c r="R1184" s="2" t="s">
        <v>27</v>
      </c>
      <c r="S1184" s="2" t="s">
        <v>1738</v>
      </c>
      <c r="T1184" s="2" t="s">
        <v>57</v>
      </c>
      <c r="U1184" s="2" t="s">
        <v>1739</v>
      </c>
      <c r="V1184" s="4">
        <f>+VLOOKUP(U1184,'FBCJ Jul-Des 2025'!$G$10:$P$1302,8,0)</f>
        <v>70101202</v>
      </c>
      <c r="W1184" s="4" t="str">
        <f>+VLOOKUP(V1184,Sheet1!$A$2:$B$27,2,0)</f>
        <v>By Pemeliharaan Kend,ABerat,Mesin-Material Pihak3</v>
      </c>
      <c r="X1184" s="4" t="str">
        <f>+VLOOKUP(U1184,'FBCJ Jul-Des 2025'!$G$10:$P$1302,9,0)</f>
        <v>R124D1FRCO</v>
      </c>
      <c r="Y1184" s="2" t="s">
        <v>43</v>
      </c>
      <c r="Z1184" s="2">
        <v>1880288</v>
      </c>
      <c r="AA1184" s="2">
        <v>20251208</v>
      </c>
      <c r="AB1184" s="3">
        <v>637500</v>
      </c>
    </row>
    <row r="1185" spans="3:28" x14ac:dyDescent="0.25">
      <c r="C1185" s="2">
        <v>10000001</v>
      </c>
      <c r="D1185" s="2" t="s">
        <v>1727</v>
      </c>
      <c r="F1185" s="2">
        <v>12010174</v>
      </c>
      <c r="H1185" s="2" t="s">
        <v>1727</v>
      </c>
      <c r="I1185" s="2" t="str">
        <f t="shared" si="18"/>
        <v>12</v>
      </c>
      <c r="J1185" s="2">
        <v>50</v>
      </c>
      <c r="K1185" s="3">
        <v>-515500</v>
      </c>
      <c r="L1185" s="2" t="s">
        <v>26</v>
      </c>
      <c r="M1185" s="3">
        <v>-515500</v>
      </c>
      <c r="N1185" s="2" t="s">
        <v>26</v>
      </c>
      <c r="R1185" s="2" t="s">
        <v>27</v>
      </c>
      <c r="S1185" s="2" t="s">
        <v>1740</v>
      </c>
      <c r="T1185" s="2" t="s">
        <v>1474</v>
      </c>
      <c r="U1185" s="2" t="s">
        <v>1741</v>
      </c>
      <c r="V1185" s="4">
        <f>+VLOOKUP(U1185,'FBCJ Jul-Des 2025'!$G$10:$P$1302,8,0)</f>
        <v>70105210</v>
      </c>
      <c r="W1185" s="4" t="str">
        <f>+VLOOKUP(V1185,Sheet1!$A$2:$B$27,2,0)</f>
        <v>Biaya Pajak Kendaraan Bermotor &amp; Alat Berat</v>
      </c>
      <c r="X1185" s="4" t="str">
        <f>+VLOOKUP(U1185,'FBCJ Jul-Des 2025'!$G$10:$P$1302,9,0)</f>
        <v>R124D1HRGA</v>
      </c>
      <c r="Y1185" s="2" t="s">
        <v>43</v>
      </c>
      <c r="Z1185" s="2">
        <v>1880288</v>
      </c>
      <c r="AA1185" s="2">
        <v>20251208</v>
      </c>
      <c r="AB1185" s="3">
        <v>515500</v>
      </c>
    </row>
    <row r="1186" spans="3:28" x14ac:dyDescent="0.25">
      <c r="C1186" s="2">
        <v>10000001</v>
      </c>
      <c r="D1186" s="2" t="s">
        <v>1727</v>
      </c>
      <c r="F1186" s="2">
        <v>12010175</v>
      </c>
      <c r="H1186" s="2" t="s">
        <v>1727</v>
      </c>
      <c r="I1186" s="2" t="str">
        <f t="shared" si="18"/>
        <v>12</v>
      </c>
      <c r="J1186" s="2">
        <v>50</v>
      </c>
      <c r="K1186" s="3">
        <v>-323000</v>
      </c>
      <c r="L1186" s="2" t="s">
        <v>26</v>
      </c>
      <c r="M1186" s="3">
        <v>-323000</v>
      </c>
      <c r="N1186" s="2" t="s">
        <v>26</v>
      </c>
      <c r="R1186" s="2" t="s">
        <v>27</v>
      </c>
      <c r="S1186" s="2" t="s">
        <v>1742</v>
      </c>
      <c r="T1186" s="2" t="s">
        <v>57</v>
      </c>
      <c r="U1186" s="2" t="s">
        <v>1743</v>
      </c>
      <c r="V1186" s="4">
        <f>+VLOOKUP(U1186,'FBCJ Jul-Des 2025'!$G$10:$P$1302,8,0)</f>
        <v>70101202</v>
      </c>
      <c r="W1186" s="4" t="str">
        <f>+VLOOKUP(V1186,Sheet1!$A$2:$B$27,2,0)</f>
        <v>By Pemeliharaan Kend,ABerat,Mesin-Material Pihak3</v>
      </c>
      <c r="X1186" s="4" t="str">
        <f>+VLOOKUP(U1186,'FBCJ Jul-Des 2025'!$G$10:$P$1302,9,0)</f>
        <v>R124TCP</v>
      </c>
      <c r="Y1186" s="2" t="s">
        <v>43</v>
      </c>
      <c r="Z1186" s="2">
        <v>1880288</v>
      </c>
      <c r="AA1186" s="2">
        <v>20251208</v>
      </c>
      <c r="AB1186" s="3">
        <v>323000</v>
      </c>
    </row>
    <row r="1187" spans="3:28" x14ac:dyDescent="0.25">
      <c r="C1187" s="2">
        <v>10000001</v>
      </c>
      <c r="D1187" s="2" t="s">
        <v>1727</v>
      </c>
      <c r="F1187" s="2">
        <v>12010176</v>
      </c>
      <c r="H1187" s="2" t="s">
        <v>1727</v>
      </c>
      <c r="I1187" s="2" t="str">
        <f t="shared" si="18"/>
        <v>12</v>
      </c>
      <c r="J1187" s="2">
        <v>50</v>
      </c>
      <c r="K1187" s="3">
        <v>-619800</v>
      </c>
      <c r="L1187" s="2" t="s">
        <v>26</v>
      </c>
      <c r="M1187" s="3">
        <v>-619800</v>
      </c>
      <c r="N1187" s="2" t="s">
        <v>26</v>
      </c>
      <c r="R1187" s="2" t="s">
        <v>27</v>
      </c>
      <c r="S1187" s="2" t="s">
        <v>1742</v>
      </c>
      <c r="T1187" s="2" t="s">
        <v>375</v>
      </c>
      <c r="U1187" s="2" t="s">
        <v>1744</v>
      </c>
      <c r="V1187" s="4">
        <v>15000900</v>
      </c>
      <c r="W1187" s="4" t="str">
        <f>+VLOOKUP(V1187,Sheet1!$A$2:$B$27,2,0)</f>
        <v>Biaya Lainnya Yang Dibayar Di Muka</v>
      </c>
      <c r="X1187" s="4" t="s">
        <v>1913</v>
      </c>
      <c r="Y1187" s="2" t="s">
        <v>43</v>
      </c>
      <c r="Z1187" s="2">
        <v>1880288</v>
      </c>
      <c r="AA1187" s="2">
        <v>20251208</v>
      </c>
      <c r="AB1187" s="3">
        <v>619800</v>
      </c>
    </row>
    <row r="1188" spans="3:28" x14ac:dyDescent="0.25">
      <c r="C1188" s="2">
        <v>10000001</v>
      </c>
      <c r="D1188" s="2" t="s">
        <v>1727</v>
      </c>
      <c r="F1188" s="2">
        <v>12010177</v>
      </c>
      <c r="H1188" s="2" t="s">
        <v>1727</v>
      </c>
      <c r="I1188" s="2" t="str">
        <f t="shared" si="18"/>
        <v>12</v>
      </c>
      <c r="J1188" s="2">
        <v>50</v>
      </c>
      <c r="K1188" s="3">
        <v>-300544</v>
      </c>
      <c r="L1188" s="2" t="s">
        <v>26</v>
      </c>
      <c r="M1188" s="3">
        <v>-300544</v>
      </c>
      <c r="N1188" s="2" t="s">
        <v>26</v>
      </c>
      <c r="R1188" s="2" t="s">
        <v>27</v>
      </c>
      <c r="S1188" s="2" t="s">
        <v>1745</v>
      </c>
      <c r="T1188" s="2" t="s">
        <v>375</v>
      </c>
      <c r="U1188" s="2" t="s">
        <v>1746</v>
      </c>
      <c r="V1188" s="4">
        <v>15000900</v>
      </c>
      <c r="W1188" s="4" t="str">
        <f>+VLOOKUP(V1188,Sheet1!$A$2:$B$27,2,0)</f>
        <v>Biaya Lainnya Yang Dibayar Di Muka</v>
      </c>
      <c r="X1188" s="4" t="s">
        <v>1913</v>
      </c>
      <c r="Y1188" s="2" t="s">
        <v>43</v>
      </c>
      <c r="Z1188" s="2">
        <v>1880288</v>
      </c>
      <c r="AA1188" s="2">
        <v>20251208</v>
      </c>
      <c r="AB1188" s="3">
        <v>300544</v>
      </c>
    </row>
    <row r="1189" spans="3:28" x14ac:dyDescent="0.25">
      <c r="C1189" s="2">
        <v>10000001</v>
      </c>
      <c r="D1189" s="2" t="s">
        <v>1727</v>
      </c>
      <c r="F1189" s="2">
        <v>12010178</v>
      </c>
      <c r="H1189" s="2" t="s">
        <v>1727</v>
      </c>
      <c r="I1189" s="2" t="str">
        <f t="shared" si="18"/>
        <v>12</v>
      </c>
      <c r="J1189" s="2">
        <v>50</v>
      </c>
      <c r="K1189" s="3">
        <v>-600000</v>
      </c>
      <c r="L1189" s="2" t="s">
        <v>26</v>
      </c>
      <c r="M1189" s="3">
        <v>-600000</v>
      </c>
      <c r="N1189" s="2" t="s">
        <v>26</v>
      </c>
      <c r="R1189" s="2" t="s">
        <v>27</v>
      </c>
      <c r="S1189" s="2" t="s">
        <v>1747</v>
      </c>
      <c r="T1189" s="2" t="s">
        <v>57</v>
      </c>
      <c r="U1189" s="2" t="s">
        <v>1748</v>
      </c>
      <c r="V1189" s="4">
        <v>70101202</v>
      </c>
      <c r="W1189" s="4" t="str">
        <f>+VLOOKUP(V1189,Sheet1!$A$2:$B$27,2,0)</f>
        <v>By Pemeliharaan Kend,ABerat,Mesin-Material Pihak3</v>
      </c>
      <c r="X1189" s="4" t="str">
        <f>+VLOOKUP(U1189,'FBCJ Jul-Des 2025'!$G$10:$P$1302,9,0)</f>
        <v>R124REF4</v>
      </c>
      <c r="Y1189" s="2" t="s">
        <v>43</v>
      </c>
      <c r="Z1189" s="2">
        <v>1880288</v>
      </c>
      <c r="AA1189" s="2">
        <v>20251208</v>
      </c>
      <c r="AB1189" s="3">
        <v>600000</v>
      </c>
    </row>
    <row r="1190" spans="3:28" x14ac:dyDescent="0.25">
      <c r="C1190" s="2">
        <v>10000001</v>
      </c>
      <c r="D1190" s="2" t="s">
        <v>1727</v>
      </c>
      <c r="F1190" s="2">
        <v>12010179</v>
      </c>
      <c r="H1190" s="2" t="s">
        <v>1727</v>
      </c>
      <c r="I1190" s="2" t="str">
        <f t="shared" si="18"/>
        <v>12</v>
      </c>
      <c r="J1190" s="2">
        <v>50</v>
      </c>
      <c r="K1190" s="3">
        <v>-333000</v>
      </c>
      <c r="L1190" s="2" t="s">
        <v>26</v>
      </c>
      <c r="M1190" s="3">
        <v>-333000</v>
      </c>
      <c r="N1190" s="2" t="s">
        <v>26</v>
      </c>
      <c r="R1190" s="2" t="s">
        <v>27</v>
      </c>
      <c r="S1190" s="2" t="s">
        <v>1747</v>
      </c>
      <c r="T1190" s="2" t="s">
        <v>375</v>
      </c>
      <c r="U1190" s="2" t="s">
        <v>1749</v>
      </c>
      <c r="V1190" s="4">
        <v>15000900</v>
      </c>
      <c r="W1190" s="4" t="str">
        <f>+VLOOKUP(V1190,Sheet1!$A$2:$B$27,2,0)</f>
        <v>Biaya Lainnya Yang Dibayar Di Muka</v>
      </c>
      <c r="X1190" s="4" t="s">
        <v>1913</v>
      </c>
      <c r="Y1190" s="2" t="s">
        <v>43</v>
      </c>
      <c r="Z1190" s="2">
        <v>1880288</v>
      </c>
      <c r="AA1190" s="2">
        <v>20251208</v>
      </c>
      <c r="AB1190" s="3">
        <v>333000</v>
      </c>
    </row>
    <row r="1191" spans="3:28" x14ac:dyDescent="0.25">
      <c r="C1191" s="2">
        <v>10000001</v>
      </c>
      <c r="D1191" s="2" t="s">
        <v>1727</v>
      </c>
      <c r="F1191" s="2">
        <v>12010180</v>
      </c>
      <c r="H1191" s="2" t="s">
        <v>1727</v>
      </c>
      <c r="I1191" s="2" t="str">
        <f t="shared" si="18"/>
        <v>12</v>
      </c>
      <c r="J1191" s="2">
        <v>50</v>
      </c>
      <c r="K1191" s="3">
        <v>-654000</v>
      </c>
      <c r="L1191" s="2" t="s">
        <v>26</v>
      </c>
      <c r="M1191" s="3">
        <v>-654000</v>
      </c>
      <c r="N1191" s="2" t="s">
        <v>26</v>
      </c>
      <c r="R1191" s="2" t="s">
        <v>27</v>
      </c>
      <c r="S1191" s="2" t="s">
        <v>1750</v>
      </c>
      <c r="T1191" s="2" t="s">
        <v>375</v>
      </c>
      <c r="U1191" s="2" t="s">
        <v>1751</v>
      </c>
      <c r="V1191" s="4">
        <v>15000900</v>
      </c>
      <c r="W1191" s="4" t="str">
        <f>+VLOOKUP(V1191,Sheet1!$A$2:$B$27,2,0)</f>
        <v>Biaya Lainnya Yang Dibayar Di Muka</v>
      </c>
      <c r="X1191" s="4" t="s">
        <v>1913</v>
      </c>
      <c r="Y1191" s="2" t="s">
        <v>43</v>
      </c>
      <c r="Z1191" s="2">
        <v>1880288</v>
      </c>
      <c r="AA1191" s="2">
        <v>20251208</v>
      </c>
      <c r="AB1191" s="3">
        <v>654000</v>
      </c>
    </row>
    <row r="1192" spans="3:28" x14ac:dyDescent="0.25">
      <c r="C1192" s="2">
        <v>10000001</v>
      </c>
      <c r="D1192" s="2" t="s">
        <v>1727</v>
      </c>
      <c r="F1192" s="2">
        <v>12010181</v>
      </c>
      <c r="H1192" s="2" t="s">
        <v>1727</v>
      </c>
      <c r="I1192" s="2" t="str">
        <f t="shared" si="18"/>
        <v>12</v>
      </c>
      <c r="J1192" s="2">
        <v>40</v>
      </c>
      <c r="K1192" s="3">
        <v>33512293</v>
      </c>
      <c r="L1192" s="2" t="s">
        <v>26</v>
      </c>
      <c r="M1192" s="3">
        <v>33512293</v>
      </c>
      <c r="N1192" s="2" t="s">
        <v>26</v>
      </c>
      <c r="R1192" s="2" t="s">
        <v>27</v>
      </c>
      <c r="T1192" s="2" t="s">
        <v>249</v>
      </c>
      <c r="U1192" s="2" t="s">
        <v>1752</v>
      </c>
      <c r="Y1192" s="2" t="s">
        <v>43</v>
      </c>
      <c r="Z1192" s="2">
        <v>1880288</v>
      </c>
      <c r="AA1192" s="2">
        <v>20251208</v>
      </c>
      <c r="AB1192" s="3">
        <v>33512293</v>
      </c>
    </row>
    <row r="1193" spans="3:28" x14ac:dyDescent="0.25">
      <c r="C1193" s="2">
        <v>10000001</v>
      </c>
      <c r="D1193" s="2" t="s">
        <v>1753</v>
      </c>
      <c r="F1193" s="2">
        <v>12010373</v>
      </c>
      <c r="H1193" s="2" t="s">
        <v>1753</v>
      </c>
      <c r="I1193" s="2" t="str">
        <f t="shared" si="18"/>
        <v>12</v>
      </c>
      <c r="J1193" s="2">
        <v>50</v>
      </c>
      <c r="K1193" s="3">
        <v>-600000</v>
      </c>
      <c r="L1193" s="2" t="s">
        <v>26</v>
      </c>
      <c r="M1193" s="3">
        <v>-600000</v>
      </c>
      <c r="N1193" s="2" t="s">
        <v>26</v>
      </c>
      <c r="R1193" s="2" t="s">
        <v>27</v>
      </c>
      <c r="S1193" s="2" t="s">
        <v>1754</v>
      </c>
      <c r="T1193" s="2" t="s">
        <v>41</v>
      </c>
      <c r="U1193" s="2" t="s">
        <v>1755</v>
      </c>
      <c r="V1193" s="4">
        <f>+VLOOKUP(U1193,'FBCJ Jul-Des 2025'!$G$10:$P$1302,8,0)</f>
        <v>70107300</v>
      </c>
      <c r="W1193" s="4" t="str">
        <f>+VLOOKUP(V1193,Sheet1!$A$2:$B$27,2,0)</f>
        <v>Biaya Olahraga Dan Permainan</v>
      </c>
      <c r="X1193" s="4" t="str">
        <f>+VLOOKUP(U1193,'FBCJ Jul-Des 2025'!$G$10:$P$1302,9,0)</f>
        <v>R124D1HRDV</v>
      </c>
      <c r="Y1193" s="2" t="s">
        <v>43</v>
      </c>
      <c r="Z1193" s="2">
        <v>1880288</v>
      </c>
      <c r="AA1193" s="2">
        <v>20251216</v>
      </c>
      <c r="AB1193" s="3">
        <v>600000</v>
      </c>
    </row>
    <row r="1194" spans="3:28" x14ac:dyDescent="0.25">
      <c r="C1194" s="2">
        <v>10000001</v>
      </c>
      <c r="D1194" s="2" t="s">
        <v>1753</v>
      </c>
      <c r="F1194" s="2">
        <v>12010374</v>
      </c>
      <c r="H1194" s="2" t="s">
        <v>1753</v>
      </c>
      <c r="I1194" s="2" t="str">
        <f t="shared" si="18"/>
        <v>12</v>
      </c>
      <c r="J1194" s="2">
        <v>50</v>
      </c>
      <c r="K1194" s="3">
        <v>-162360</v>
      </c>
      <c r="L1194" s="2" t="s">
        <v>26</v>
      </c>
      <c r="M1194" s="3">
        <v>-162360</v>
      </c>
      <c r="N1194" s="2" t="s">
        <v>26</v>
      </c>
      <c r="R1194" s="2" t="s">
        <v>27</v>
      </c>
      <c r="S1194" s="2" t="s">
        <v>1756</v>
      </c>
      <c r="T1194" s="2" t="s">
        <v>59</v>
      </c>
      <c r="U1194" s="2" t="s">
        <v>1757</v>
      </c>
      <c r="V1194" s="4">
        <f>+VLOOKUP(U1194,'FBCJ Jul-Des 2025'!$G$10:$P$1302,8,0)</f>
        <v>70101114</v>
      </c>
      <c r="W1194" s="4" t="str">
        <f>+VLOOKUP(V1194,Sheet1!$A$2:$B$27,2,0)</f>
        <v>By Perbaikan &amp; Perawatan Perabot Material Pihak3</v>
      </c>
      <c r="X1194" s="4" t="str">
        <f>+VLOOKUP(U1194,'FBCJ Jul-Des 2025'!$G$10:$P$1302,9,0)</f>
        <v>R124D1HRGA</v>
      </c>
      <c r="Y1194" s="2" t="s">
        <v>43</v>
      </c>
      <c r="Z1194" s="2">
        <v>1880288</v>
      </c>
      <c r="AA1194" s="2">
        <v>20251216</v>
      </c>
      <c r="AB1194" s="3">
        <v>162360</v>
      </c>
    </row>
    <row r="1195" spans="3:28" x14ac:dyDescent="0.25">
      <c r="C1195" s="2">
        <v>10000001</v>
      </c>
      <c r="D1195" s="2" t="s">
        <v>1753</v>
      </c>
      <c r="F1195" s="2">
        <v>12010375</v>
      </c>
      <c r="H1195" s="2" t="s">
        <v>1753</v>
      </c>
      <c r="I1195" s="2" t="str">
        <f t="shared" si="18"/>
        <v>12</v>
      </c>
      <c r="J1195" s="2">
        <v>50</v>
      </c>
      <c r="K1195" s="3">
        <v>-200000</v>
      </c>
      <c r="L1195" s="2" t="s">
        <v>26</v>
      </c>
      <c r="M1195" s="3">
        <v>-200000</v>
      </c>
      <c r="N1195" s="2" t="s">
        <v>26</v>
      </c>
      <c r="R1195" s="2" t="s">
        <v>27</v>
      </c>
      <c r="S1195" s="2" t="s">
        <v>1758</v>
      </c>
      <c r="T1195" s="2" t="s">
        <v>96</v>
      </c>
      <c r="U1195" s="2" t="s">
        <v>1759</v>
      </c>
      <c r="V1195" s="4">
        <f>+VLOOKUP(U1195,'FBCJ Jul-Des 2025'!$G$10:$P$1302,8,0)</f>
        <v>70106400</v>
      </c>
      <c r="W1195" s="4" t="str">
        <f>+VLOOKUP(V1195,Sheet1!$A$2:$B$27,2,0)</f>
        <v>Biaya Bahan Bakar</v>
      </c>
      <c r="X1195" s="4" t="str">
        <f>+VLOOKUP(U1195,'FBCJ Jul-Des 2025'!$G$10:$P$1302,9,0)</f>
        <v>R124D1HRGA</v>
      </c>
      <c r="Y1195" s="2" t="s">
        <v>43</v>
      </c>
      <c r="Z1195" s="2">
        <v>1880288</v>
      </c>
      <c r="AA1195" s="2">
        <v>20251216</v>
      </c>
      <c r="AB1195" s="3">
        <v>200000</v>
      </c>
    </row>
    <row r="1196" spans="3:28" x14ac:dyDescent="0.25">
      <c r="C1196" s="2">
        <v>10000001</v>
      </c>
      <c r="D1196" s="2" t="s">
        <v>1753</v>
      </c>
      <c r="F1196" s="2">
        <v>12010376</v>
      </c>
      <c r="H1196" s="2" t="s">
        <v>1753</v>
      </c>
      <c r="I1196" s="2" t="str">
        <f t="shared" si="18"/>
        <v>12</v>
      </c>
      <c r="J1196" s="2">
        <v>50</v>
      </c>
      <c r="K1196" s="3">
        <v>-800000</v>
      </c>
      <c r="L1196" s="2" t="s">
        <v>26</v>
      </c>
      <c r="M1196" s="3">
        <v>-800000</v>
      </c>
      <c r="N1196" s="2" t="s">
        <v>26</v>
      </c>
      <c r="R1196" s="2" t="s">
        <v>27</v>
      </c>
      <c r="S1196" s="2" t="s">
        <v>1758</v>
      </c>
      <c r="T1196" s="2" t="s">
        <v>67</v>
      </c>
      <c r="U1196" s="2" t="s">
        <v>98</v>
      </c>
      <c r="V1196" s="4">
        <f>+VLOOKUP(U1196,'FBCJ Jul-Des 2025'!$G$10:$P$1302,8,0)</f>
        <v>70106100</v>
      </c>
      <c r="W1196" s="4" t="str">
        <f>+VLOOKUP(V1196,Sheet1!$A$2:$B$27,2,0)</f>
        <v>Biaya Transportasi Lokal</v>
      </c>
      <c r="X1196" s="4" t="str">
        <f>+VLOOKUP(U1196,'FBCJ Jul-Des 2025'!$G$10:$P$1302,9,0)</f>
        <v>R124D1HRGA</v>
      </c>
      <c r="Y1196" s="2" t="s">
        <v>43</v>
      </c>
      <c r="Z1196" s="2">
        <v>1880288</v>
      </c>
      <c r="AA1196" s="2">
        <v>20251216</v>
      </c>
      <c r="AB1196" s="3">
        <v>800000</v>
      </c>
    </row>
    <row r="1197" spans="3:28" x14ac:dyDescent="0.25">
      <c r="C1197" s="2">
        <v>10000001</v>
      </c>
      <c r="D1197" s="2" t="s">
        <v>1753</v>
      </c>
      <c r="F1197" s="2">
        <v>12010377</v>
      </c>
      <c r="H1197" s="2" t="s">
        <v>1753</v>
      </c>
      <c r="I1197" s="2" t="str">
        <f t="shared" si="18"/>
        <v>12</v>
      </c>
      <c r="J1197" s="2">
        <v>50</v>
      </c>
      <c r="K1197" s="3">
        <v>-840000</v>
      </c>
      <c r="L1197" s="2" t="s">
        <v>26</v>
      </c>
      <c r="M1197" s="3">
        <v>-840000</v>
      </c>
      <c r="N1197" s="2" t="s">
        <v>26</v>
      </c>
      <c r="R1197" s="2" t="s">
        <v>27</v>
      </c>
      <c r="S1197" s="2" t="s">
        <v>1760</v>
      </c>
      <c r="T1197" s="2" t="s">
        <v>96</v>
      </c>
      <c r="U1197" s="2" t="s">
        <v>1761</v>
      </c>
      <c r="V1197" s="4">
        <f>+VLOOKUP(U1197,'FBCJ Jul-Des 2025'!$G$10:$P$1302,8,0)</f>
        <v>70106400</v>
      </c>
      <c r="W1197" s="4" t="str">
        <f>+VLOOKUP(V1197,Sheet1!$A$2:$B$27,2,0)</f>
        <v>Biaya Bahan Bakar</v>
      </c>
      <c r="X1197" s="4" t="str">
        <f>+VLOOKUP(U1197,'FBCJ Jul-Des 2025'!$G$10:$P$1302,9,0)</f>
        <v>R124D1HRGA</v>
      </c>
      <c r="Y1197" s="2" t="s">
        <v>43</v>
      </c>
      <c r="Z1197" s="2">
        <v>1880288</v>
      </c>
      <c r="AA1197" s="2">
        <v>20251216</v>
      </c>
      <c r="AB1197" s="3">
        <v>840000</v>
      </c>
    </row>
    <row r="1198" spans="3:28" x14ac:dyDescent="0.25">
      <c r="C1198" s="2">
        <v>10000001</v>
      </c>
      <c r="D1198" s="2" t="s">
        <v>1753</v>
      </c>
      <c r="F1198" s="2">
        <v>12010378</v>
      </c>
      <c r="H1198" s="2" t="s">
        <v>1753</v>
      </c>
      <c r="I1198" s="2" t="str">
        <f t="shared" si="18"/>
        <v>12</v>
      </c>
      <c r="J1198" s="2">
        <v>50</v>
      </c>
      <c r="K1198" s="3">
        <v>-159500</v>
      </c>
      <c r="L1198" s="2" t="s">
        <v>26</v>
      </c>
      <c r="M1198" s="3">
        <v>-159500</v>
      </c>
      <c r="N1198" s="2" t="s">
        <v>26</v>
      </c>
      <c r="R1198" s="2" t="s">
        <v>27</v>
      </c>
      <c r="S1198" s="2" t="s">
        <v>1760</v>
      </c>
      <c r="T1198" s="2" t="s">
        <v>67</v>
      </c>
      <c r="U1198" s="2" t="s">
        <v>98</v>
      </c>
      <c r="V1198" s="4">
        <f>+VLOOKUP(U1198,'FBCJ Jul-Des 2025'!$G$10:$P$1302,8,0)</f>
        <v>70106100</v>
      </c>
      <c r="W1198" s="4" t="str">
        <f>+VLOOKUP(V1198,Sheet1!$A$2:$B$27,2,0)</f>
        <v>Biaya Transportasi Lokal</v>
      </c>
      <c r="X1198" s="4" t="str">
        <f>+VLOOKUP(U1198,'FBCJ Jul-Des 2025'!$G$10:$P$1302,9,0)</f>
        <v>R124D1HRGA</v>
      </c>
      <c r="Y1198" s="2" t="s">
        <v>43</v>
      </c>
      <c r="Z1198" s="2">
        <v>1880288</v>
      </c>
      <c r="AA1198" s="2">
        <v>20251216</v>
      </c>
      <c r="AB1198" s="3">
        <v>159500</v>
      </c>
    </row>
    <row r="1199" spans="3:28" x14ac:dyDescent="0.25">
      <c r="C1199" s="2">
        <v>10000001</v>
      </c>
      <c r="D1199" s="2" t="s">
        <v>1753</v>
      </c>
      <c r="F1199" s="2">
        <v>12010379</v>
      </c>
      <c r="H1199" s="2" t="s">
        <v>1753</v>
      </c>
      <c r="I1199" s="2" t="str">
        <f t="shared" si="18"/>
        <v>12</v>
      </c>
      <c r="J1199" s="2">
        <v>50</v>
      </c>
      <c r="K1199" s="3">
        <v>-76000</v>
      </c>
      <c r="L1199" s="2" t="s">
        <v>26</v>
      </c>
      <c r="M1199" s="3">
        <v>-76000</v>
      </c>
      <c r="N1199" s="2" t="s">
        <v>26</v>
      </c>
      <c r="R1199" s="2" t="s">
        <v>27</v>
      </c>
      <c r="S1199" s="2" t="s">
        <v>1762</v>
      </c>
      <c r="T1199" s="2" t="s">
        <v>126</v>
      </c>
      <c r="U1199" s="2" t="s">
        <v>1763</v>
      </c>
      <c r="V1199" s="4">
        <f>+VLOOKUP(U1199,'FBCJ Jul-Des 2025'!$G$10:$P$1302,8,0)</f>
        <v>70107600</v>
      </c>
      <c r="W1199" s="4" t="str">
        <f>+VLOOKUP(V1199,Sheet1!$A$2:$B$27,2,0)</f>
        <v>Biaya Konsumsi Kantor</v>
      </c>
      <c r="X1199" s="4" t="str">
        <f>+VLOOKUP(U1199,'FBCJ Jul-Des 2025'!$G$10:$P$1302,9,0)</f>
        <v>R124D1FRCO</v>
      </c>
      <c r="Y1199" s="2" t="s">
        <v>43</v>
      </c>
      <c r="Z1199" s="2">
        <v>1880288</v>
      </c>
      <c r="AA1199" s="2">
        <v>20251216</v>
      </c>
      <c r="AB1199" s="3">
        <v>76000</v>
      </c>
    </row>
    <row r="1200" spans="3:28" x14ac:dyDescent="0.25">
      <c r="C1200" s="2">
        <v>10000001</v>
      </c>
      <c r="D1200" s="2" t="s">
        <v>1753</v>
      </c>
      <c r="F1200" s="2">
        <v>12010380</v>
      </c>
      <c r="H1200" s="2" t="s">
        <v>1753</v>
      </c>
      <c r="I1200" s="2" t="str">
        <f t="shared" si="18"/>
        <v>12</v>
      </c>
      <c r="J1200" s="2">
        <v>50</v>
      </c>
      <c r="K1200" s="3">
        <v>-665000</v>
      </c>
      <c r="L1200" s="2" t="s">
        <v>26</v>
      </c>
      <c r="M1200" s="3">
        <v>-665000</v>
      </c>
      <c r="N1200" s="2" t="s">
        <v>26</v>
      </c>
      <c r="R1200" s="2" t="s">
        <v>27</v>
      </c>
      <c r="S1200" s="2" t="s">
        <v>1764</v>
      </c>
      <c r="T1200" s="2" t="s">
        <v>1187</v>
      </c>
      <c r="U1200" s="2" t="s">
        <v>1765</v>
      </c>
      <c r="V1200" s="4">
        <f>+VLOOKUP(U1200,'FBCJ Jul-Des 2025'!$G$10:$P$1302,8,0)</f>
        <v>70110210</v>
      </c>
      <c r="W1200" s="4">
        <f>+VLOOKUP(V1200,Sheet1!$A$2:$B$27,2,0)</f>
        <v>0</v>
      </c>
      <c r="X1200" s="4" t="str">
        <f>+VLOOKUP(U1200,'FBCJ Jul-Des 2025'!$G$10:$P$1302,9,0)</f>
        <v>H200D1MMDP</v>
      </c>
      <c r="Y1200" s="2" t="s">
        <v>43</v>
      </c>
      <c r="Z1200" s="2">
        <v>1880288</v>
      </c>
      <c r="AA1200" s="2">
        <v>20251216</v>
      </c>
      <c r="AB1200" s="3">
        <v>665000</v>
      </c>
    </row>
    <row r="1201" spans="3:28" x14ac:dyDescent="0.25">
      <c r="C1201" s="2">
        <v>10000001</v>
      </c>
      <c r="D1201" s="2" t="s">
        <v>1753</v>
      </c>
      <c r="F1201" s="2">
        <v>12010381</v>
      </c>
      <c r="H1201" s="2" t="s">
        <v>1753</v>
      </c>
      <c r="I1201" s="2" t="str">
        <f t="shared" si="18"/>
        <v>12</v>
      </c>
      <c r="J1201" s="2">
        <v>50</v>
      </c>
      <c r="K1201" s="3">
        <v>-50000</v>
      </c>
      <c r="L1201" s="2" t="s">
        <v>26</v>
      </c>
      <c r="M1201" s="3">
        <v>-50000</v>
      </c>
      <c r="N1201" s="2" t="s">
        <v>26</v>
      </c>
      <c r="R1201" s="2" t="s">
        <v>27</v>
      </c>
      <c r="S1201" s="2" t="s">
        <v>1766</v>
      </c>
      <c r="T1201" s="2" t="s">
        <v>334</v>
      </c>
      <c r="U1201" s="2" t="s">
        <v>1767</v>
      </c>
      <c r="V1201" s="4">
        <f>+VLOOKUP(U1201,'FBCJ Jul-Des 2025'!$G$10:$P$1302,8,0)</f>
        <v>70001110</v>
      </c>
      <c r="W1201" s="4" t="str">
        <f>+VLOOKUP(V1201,Sheet1!$A$2:$B$27,2,0)</f>
        <v>Biaya Ekspor lainnya</v>
      </c>
      <c r="X1201" s="4" t="str">
        <f>+VLOOKUP(U1201,'FBCJ Jul-Des 2025'!$G$10:$P$1302,9,0)</f>
        <v>P206D1SLSS</v>
      </c>
      <c r="Y1201" s="2" t="s">
        <v>43</v>
      </c>
      <c r="Z1201" s="2">
        <v>1880288</v>
      </c>
      <c r="AA1201" s="2">
        <v>20251216</v>
      </c>
      <c r="AB1201" s="3">
        <v>50000</v>
      </c>
    </row>
    <row r="1202" spans="3:28" x14ac:dyDescent="0.25">
      <c r="C1202" s="2">
        <v>10000001</v>
      </c>
      <c r="D1202" s="2" t="s">
        <v>1753</v>
      </c>
      <c r="F1202" s="2">
        <v>12010382</v>
      </c>
      <c r="H1202" s="2" t="s">
        <v>1753</v>
      </c>
      <c r="I1202" s="2" t="str">
        <f t="shared" si="18"/>
        <v>12</v>
      </c>
      <c r="J1202" s="2">
        <v>50</v>
      </c>
      <c r="K1202" s="3">
        <v>-50000</v>
      </c>
      <c r="L1202" s="2" t="s">
        <v>26</v>
      </c>
      <c r="M1202" s="3">
        <v>-50000</v>
      </c>
      <c r="N1202" s="2" t="s">
        <v>26</v>
      </c>
      <c r="R1202" s="2" t="s">
        <v>27</v>
      </c>
      <c r="S1202" s="2" t="s">
        <v>1766</v>
      </c>
      <c r="T1202" s="2" t="s">
        <v>334</v>
      </c>
      <c r="U1202" s="2" t="s">
        <v>1768</v>
      </c>
      <c r="V1202" s="4">
        <f>+VLOOKUP(U1202,'FBCJ Jul-Des 2025'!$G$10:$P$1302,8,0)</f>
        <v>70001110</v>
      </c>
      <c r="W1202" s="4" t="str">
        <f>+VLOOKUP(V1202,Sheet1!$A$2:$B$27,2,0)</f>
        <v>Biaya Ekspor lainnya</v>
      </c>
      <c r="X1202" s="4" t="str">
        <f>+VLOOKUP(U1202,'FBCJ Jul-Des 2025'!$G$10:$P$1302,9,0)</f>
        <v>P206D1SLSS</v>
      </c>
      <c r="Y1202" s="2" t="s">
        <v>43</v>
      </c>
      <c r="Z1202" s="2">
        <v>1880288</v>
      </c>
      <c r="AA1202" s="2">
        <v>20251216</v>
      </c>
      <c r="AB1202" s="3">
        <v>50000</v>
      </c>
    </row>
    <row r="1203" spans="3:28" x14ac:dyDescent="0.25">
      <c r="C1203" s="2">
        <v>10000001</v>
      </c>
      <c r="D1203" s="2" t="s">
        <v>1753</v>
      </c>
      <c r="F1203" s="2">
        <v>12010383</v>
      </c>
      <c r="H1203" s="2" t="s">
        <v>1753</v>
      </c>
      <c r="I1203" s="2" t="str">
        <f t="shared" si="18"/>
        <v>12</v>
      </c>
      <c r="J1203" s="2">
        <v>50</v>
      </c>
      <c r="K1203" s="3">
        <v>-50000</v>
      </c>
      <c r="L1203" s="2" t="s">
        <v>26</v>
      </c>
      <c r="M1203" s="3">
        <v>-50000</v>
      </c>
      <c r="N1203" s="2" t="s">
        <v>26</v>
      </c>
      <c r="R1203" s="2" t="s">
        <v>27</v>
      </c>
      <c r="S1203" s="2" t="s">
        <v>1766</v>
      </c>
      <c r="T1203" s="2" t="s">
        <v>334</v>
      </c>
      <c r="U1203" s="2" t="s">
        <v>1769</v>
      </c>
      <c r="V1203" s="4">
        <f>+VLOOKUP(U1203,'FBCJ Jul-Des 2025'!$G$10:$P$1302,8,0)</f>
        <v>70001110</v>
      </c>
      <c r="W1203" s="4" t="str">
        <f>+VLOOKUP(V1203,Sheet1!$A$2:$B$27,2,0)</f>
        <v>Biaya Ekspor lainnya</v>
      </c>
      <c r="X1203" s="4" t="str">
        <f>+VLOOKUP(U1203,'FBCJ Jul-Des 2025'!$G$10:$P$1302,9,0)</f>
        <v>P206D1SLSS</v>
      </c>
      <c r="Y1203" s="2" t="s">
        <v>43</v>
      </c>
      <c r="Z1203" s="2">
        <v>1880288</v>
      </c>
      <c r="AA1203" s="2">
        <v>20251216</v>
      </c>
      <c r="AB1203" s="3">
        <v>50000</v>
      </c>
    </row>
    <row r="1204" spans="3:28" x14ac:dyDescent="0.25">
      <c r="C1204" s="2">
        <v>10000001</v>
      </c>
      <c r="D1204" s="2" t="s">
        <v>1753</v>
      </c>
      <c r="F1204" s="2">
        <v>12010384</v>
      </c>
      <c r="H1204" s="2" t="s">
        <v>1753</v>
      </c>
      <c r="I1204" s="2" t="str">
        <f t="shared" si="18"/>
        <v>12</v>
      </c>
      <c r="J1204" s="2">
        <v>50</v>
      </c>
      <c r="K1204" s="3">
        <v>-200000</v>
      </c>
      <c r="L1204" s="2" t="s">
        <v>26</v>
      </c>
      <c r="M1204" s="3">
        <v>-200000</v>
      </c>
      <c r="N1204" s="2" t="s">
        <v>26</v>
      </c>
      <c r="R1204" s="2" t="s">
        <v>27</v>
      </c>
      <c r="S1204" s="2" t="s">
        <v>1766</v>
      </c>
      <c r="T1204" s="2" t="s">
        <v>334</v>
      </c>
      <c r="U1204" s="2" t="s">
        <v>1770</v>
      </c>
      <c r="V1204" s="4">
        <f>+VLOOKUP(U1204,'FBCJ Jul-Des 2025'!$G$10:$P$1302,8,0)</f>
        <v>70001110</v>
      </c>
      <c r="W1204" s="4" t="str">
        <f>+VLOOKUP(V1204,Sheet1!$A$2:$B$27,2,0)</f>
        <v>Biaya Ekspor lainnya</v>
      </c>
      <c r="X1204" s="4" t="str">
        <f>+VLOOKUP(U1204,'FBCJ Jul-Des 2025'!$G$10:$P$1302,9,0)</f>
        <v>P206D1SLSS</v>
      </c>
      <c r="Y1204" s="2" t="s">
        <v>43</v>
      </c>
      <c r="Z1204" s="2">
        <v>1880288</v>
      </c>
      <c r="AA1204" s="2">
        <v>20251216</v>
      </c>
      <c r="AB1204" s="3">
        <v>200000</v>
      </c>
    </row>
    <row r="1205" spans="3:28" x14ac:dyDescent="0.25">
      <c r="C1205" s="2">
        <v>10000001</v>
      </c>
      <c r="D1205" s="2" t="s">
        <v>1753</v>
      </c>
      <c r="F1205" s="2">
        <v>12010385</v>
      </c>
      <c r="H1205" s="2" t="s">
        <v>1753</v>
      </c>
      <c r="I1205" s="2" t="str">
        <f t="shared" si="18"/>
        <v>12</v>
      </c>
      <c r="J1205" s="2">
        <v>50</v>
      </c>
      <c r="K1205" s="3">
        <v>-1000000</v>
      </c>
      <c r="L1205" s="2" t="s">
        <v>26</v>
      </c>
      <c r="M1205" s="3">
        <v>-1000000</v>
      </c>
      <c r="N1205" s="2" t="s">
        <v>26</v>
      </c>
      <c r="R1205" s="2" t="s">
        <v>27</v>
      </c>
      <c r="S1205" s="2" t="s">
        <v>1771</v>
      </c>
      <c r="T1205" s="2" t="s">
        <v>259</v>
      </c>
      <c r="U1205" s="2" t="s">
        <v>1772</v>
      </c>
      <c r="V1205" s="4">
        <f>+VLOOKUP(U1205,'FBCJ Jul-Des 2025'!$G$10:$P$1302,8,0)</f>
        <v>70119300</v>
      </c>
      <c r="W1205" s="4" t="str">
        <f>+VLOOKUP(V1205,Sheet1!$A$2:$B$27,2,0)</f>
        <v>Biaya Umum dan Administrasi</v>
      </c>
      <c r="X1205" s="4" t="str">
        <f>+VLOOKUP(U1205,'FBCJ Jul-Des 2025'!$G$10:$P$1302,9,0)</f>
        <v>P206D1SLSS</v>
      </c>
      <c r="Y1205" s="2" t="s">
        <v>43</v>
      </c>
      <c r="Z1205" s="2">
        <v>1880288</v>
      </c>
      <c r="AA1205" s="2">
        <v>20251216</v>
      </c>
      <c r="AB1205" s="3">
        <v>1000000</v>
      </c>
    </row>
    <row r="1206" spans="3:28" x14ac:dyDescent="0.25">
      <c r="C1206" s="2">
        <v>10000001</v>
      </c>
      <c r="D1206" s="2" t="s">
        <v>1753</v>
      </c>
      <c r="F1206" s="2">
        <v>12010386</v>
      </c>
      <c r="H1206" s="2" t="s">
        <v>1753</v>
      </c>
      <c r="I1206" s="2" t="str">
        <f t="shared" si="18"/>
        <v>12</v>
      </c>
      <c r="J1206" s="2">
        <v>50</v>
      </c>
      <c r="K1206" s="3">
        <v>-951106</v>
      </c>
      <c r="L1206" s="2" t="s">
        <v>26</v>
      </c>
      <c r="M1206" s="3">
        <v>-951106</v>
      </c>
      <c r="N1206" s="2" t="s">
        <v>26</v>
      </c>
      <c r="R1206" s="2" t="s">
        <v>27</v>
      </c>
      <c r="S1206" s="2" t="s">
        <v>1773</v>
      </c>
      <c r="T1206" s="2" t="s">
        <v>59</v>
      </c>
      <c r="U1206" s="2" t="s">
        <v>1774</v>
      </c>
      <c r="V1206" s="4">
        <f>+VLOOKUP(U1206,'FBCJ Jul-Des 2025'!$G$10:$P$1302,8,0)</f>
        <v>70101114</v>
      </c>
      <c r="W1206" s="4" t="str">
        <f>+VLOOKUP(V1206,Sheet1!$A$2:$B$27,2,0)</f>
        <v>By Perbaikan &amp; Perawatan Perabot Material Pihak3</v>
      </c>
      <c r="X1206" s="4" t="str">
        <f>+VLOOKUP(U1206,'FBCJ Jul-Des 2025'!$G$10:$P$1302,9,0)</f>
        <v>R124D1HRGA</v>
      </c>
      <c r="Y1206" s="2" t="s">
        <v>43</v>
      </c>
      <c r="Z1206" s="2">
        <v>1880288</v>
      </c>
      <c r="AA1206" s="2">
        <v>20251216</v>
      </c>
      <c r="AB1206" s="3">
        <v>951106</v>
      </c>
    </row>
    <row r="1207" spans="3:28" x14ac:dyDescent="0.25">
      <c r="C1207" s="2">
        <v>10000001</v>
      </c>
      <c r="D1207" s="2" t="s">
        <v>1753</v>
      </c>
      <c r="F1207" s="2">
        <v>12010387</v>
      </c>
      <c r="H1207" s="2" t="s">
        <v>1753</v>
      </c>
      <c r="I1207" s="2" t="str">
        <f t="shared" si="18"/>
        <v>12</v>
      </c>
      <c r="J1207" s="2">
        <v>50</v>
      </c>
      <c r="K1207" s="3">
        <v>-560000</v>
      </c>
      <c r="L1207" s="2" t="s">
        <v>26</v>
      </c>
      <c r="M1207" s="3">
        <v>-560000</v>
      </c>
      <c r="N1207" s="2" t="s">
        <v>26</v>
      </c>
      <c r="R1207" s="2" t="s">
        <v>27</v>
      </c>
      <c r="S1207" s="2" t="s">
        <v>1775</v>
      </c>
      <c r="T1207" s="2" t="s">
        <v>96</v>
      </c>
      <c r="U1207" s="2" t="s">
        <v>1776</v>
      </c>
      <c r="V1207" s="4">
        <f>+VLOOKUP(U1207,'FBCJ Jul-Des 2025'!$G$10:$P$1302,8,0)</f>
        <v>70106400</v>
      </c>
      <c r="W1207" s="4" t="str">
        <f>+VLOOKUP(V1207,Sheet1!$A$2:$B$27,2,0)</f>
        <v>Biaya Bahan Bakar</v>
      </c>
      <c r="X1207" s="4" t="str">
        <f>+VLOOKUP(U1207,'FBCJ Jul-Des 2025'!$G$10:$P$1302,9,0)</f>
        <v>R124D1HRGA</v>
      </c>
      <c r="Y1207" s="2" t="s">
        <v>43</v>
      </c>
      <c r="Z1207" s="2">
        <v>1880288</v>
      </c>
      <c r="AA1207" s="2">
        <v>20251216</v>
      </c>
      <c r="AB1207" s="3">
        <v>560000</v>
      </c>
    </row>
    <row r="1208" spans="3:28" x14ac:dyDescent="0.25">
      <c r="C1208" s="2">
        <v>10000001</v>
      </c>
      <c r="D1208" s="2" t="s">
        <v>1753</v>
      </c>
      <c r="F1208" s="2">
        <v>12010388</v>
      </c>
      <c r="H1208" s="2" t="s">
        <v>1753</v>
      </c>
      <c r="I1208" s="2" t="str">
        <f t="shared" si="18"/>
        <v>12</v>
      </c>
      <c r="J1208" s="2">
        <v>50</v>
      </c>
      <c r="K1208" s="3">
        <v>-438000</v>
      </c>
      <c r="L1208" s="2" t="s">
        <v>26</v>
      </c>
      <c r="M1208" s="3">
        <v>-438000</v>
      </c>
      <c r="N1208" s="2" t="s">
        <v>26</v>
      </c>
      <c r="R1208" s="2" t="s">
        <v>27</v>
      </c>
      <c r="S1208" s="2" t="s">
        <v>1775</v>
      </c>
      <c r="T1208" s="2" t="s">
        <v>67</v>
      </c>
      <c r="U1208" s="2" t="s">
        <v>98</v>
      </c>
      <c r="V1208" s="4">
        <f>+VLOOKUP(U1208,'FBCJ Jul-Des 2025'!$G$10:$P$1302,8,0)</f>
        <v>70106100</v>
      </c>
      <c r="W1208" s="4" t="str">
        <f>+VLOOKUP(V1208,Sheet1!$A$2:$B$27,2,0)</f>
        <v>Biaya Transportasi Lokal</v>
      </c>
      <c r="X1208" s="4" t="str">
        <f>+VLOOKUP(U1208,'FBCJ Jul-Des 2025'!$G$10:$P$1302,9,0)</f>
        <v>R124D1HRGA</v>
      </c>
      <c r="Y1208" s="2" t="s">
        <v>43</v>
      </c>
      <c r="Z1208" s="2">
        <v>1880288</v>
      </c>
      <c r="AA1208" s="2">
        <v>20251216</v>
      </c>
      <c r="AB1208" s="3">
        <v>438000</v>
      </c>
    </row>
    <row r="1209" spans="3:28" x14ac:dyDescent="0.25">
      <c r="C1209" s="2">
        <v>10000001</v>
      </c>
      <c r="D1209" s="2" t="s">
        <v>1753</v>
      </c>
      <c r="F1209" s="2">
        <v>12010389</v>
      </c>
      <c r="H1209" s="2" t="s">
        <v>1753</v>
      </c>
      <c r="I1209" s="2" t="str">
        <f t="shared" si="18"/>
        <v>12</v>
      </c>
      <c r="J1209" s="2">
        <v>50</v>
      </c>
      <c r="K1209" s="3">
        <v>-507000</v>
      </c>
      <c r="L1209" s="2" t="s">
        <v>26</v>
      </c>
      <c r="M1209" s="3">
        <v>-507000</v>
      </c>
      <c r="N1209" s="2" t="s">
        <v>26</v>
      </c>
      <c r="R1209" s="2" t="s">
        <v>27</v>
      </c>
      <c r="S1209" s="2" t="s">
        <v>1777</v>
      </c>
      <c r="T1209" s="2" t="s">
        <v>59</v>
      </c>
      <c r="U1209" s="2" t="s">
        <v>1778</v>
      </c>
      <c r="V1209" s="4">
        <f>+VLOOKUP(U1209,'FBCJ Jul-Des 2025'!$G$10:$P$1302,8,0)</f>
        <v>70101114</v>
      </c>
      <c r="W1209" s="4" t="str">
        <f>+VLOOKUP(V1209,Sheet1!$A$2:$B$27,2,0)</f>
        <v>By Perbaikan &amp; Perawatan Perabot Material Pihak3</v>
      </c>
      <c r="X1209" s="4" t="str">
        <f>+VLOOKUP(U1209,'FBCJ Jul-Des 2025'!$G$10:$P$1302,9,0)</f>
        <v>R124QCA</v>
      </c>
      <c r="Y1209" s="2" t="s">
        <v>43</v>
      </c>
      <c r="Z1209" s="2">
        <v>1880288</v>
      </c>
      <c r="AA1209" s="2">
        <v>20251216</v>
      </c>
      <c r="AB1209" s="3">
        <v>507000</v>
      </c>
    </row>
    <row r="1210" spans="3:28" x14ac:dyDescent="0.25">
      <c r="C1210" s="2">
        <v>10000001</v>
      </c>
      <c r="D1210" s="2" t="s">
        <v>1753</v>
      </c>
      <c r="F1210" s="2">
        <v>12010390</v>
      </c>
      <c r="H1210" s="2" t="s">
        <v>1753</v>
      </c>
      <c r="I1210" s="2" t="str">
        <f t="shared" si="18"/>
        <v>12</v>
      </c>
      <c r="J1210" s="2">
        <v>50</v>
      </c>
      <c r="K1210" s="3">
        <v>-227500</v>
      </c>
      <c r="L1210" s="2" t="s">
        <v>26</v>
      </c>
      <c r="M1210" s="3">
        <v>-227500</v>
      </c>
      <c r="N1210" s="2" t="s">
        <v>26</v>
      </c>
      <c r="R1210" s="2" t="s">
        <v>27</v>
      </c>
      <c r="S1210" s="2" t="s">
        <v>1779</v>
      </c>
      <c r="T1210" s="2" t="s">
        <v>146</v>
      </c>
      <c r="U1210" s="2" t="s">
        <v>303</v>
      </c>
      <c r="V1210" s="4">
        <f>+VLOOKUP(U1210,'FBCJ Jul-Des 2025'!$G$10:$P$1302,8,0)</f>
        <v>70115100</v>
      </c>
      <c r="W1210" s="4" t="str">
        <f>+VLOOKUP(V1210,Sheet1!$A$2:$B$27,2,0)</f>
        <v>Biaya Riset, Pengembangan, dan Laboratorium</v>
      </c>
      <c r="X1210" s="4" t="str">
        <f>+VLOOKUP(U1210,'FBCJ Jul-Des 2025'!$G$10:$P$1302,9,0)</f>
        <v>R124QCA</v>
      </c>
      <c r="Y1210" s="2" t="s">
        <v>43</v>
      </c>
      <c r="Z1210" s="2">
        <v>1880288</v>
      </c>
      <c r="AA1210" s="2">
        <v>20251216</v>
      </c>
      <c r="AB1210" s="3">
        <v>227500</v>
      </c>
    </row>
    <row r="1211" spans="3:28" x14ac:dyDescent="0.25">
      <c r="C1211" s="2">
        <v>10000001</v>
      </c>
      <c r="D1211" s="2" t="s">
        <v>1753</v>
      </c>
      <c r="F1211" s="2">
        <v>12010391</v>
      </c>
      <c r="H1211" s="2" t="s">
        <v>1753</v>
      </c>
      <c r="I1211" s="2" t="str">
        <f t="shared" si="18"/>
        <v>12</v>
      </c>
      <c r="J1211" s="2">
        <v>50</v>
      </c>
      <c r="K1211" s="3">
        <v>-65502</v>
      </c>
      <c r="L1211" s="2" t="s">
        <v>26</v>
      </c>
      <c r="M1211" s="3">
        <v>-65502</v>
      </c>
      <c r="N1211" s="2" t="s">
        <v>26</v>
      </c>
      <c r="R1211" s="2" t="s">
        <v>27</v>
      </c>
      <c r="S1211" s="2" t="s">
        <v>1779</v>
      </c>
      <c r="T1211" s="2" t="s">
        <v>59</v>
      </c>
      <c r="U1211" s="2" t="s">
        <v>1780</v>
      </c>
      <c r="V1211" s="4">
        <f>+VLOOKUP(U1211,'FBCJ Jul-Des 2025'!$G$10:$P$1302,8,0)</f>
        <v>70101114</v>
      </c>
      <c r="W1211" s="4" t="str">
        <f>+VLOOKUP(V1211,Sheet1!$A$2:$B$27,2,0)</f>
        <v>By Perbaikan &amp; Perawatan Perabot Material Pihak3</v>
      </c>
      <c r="X1211" s="4" t="str">
        <f>+VLOOKUP(U1211,'FBCJ Jul-Des 2025'!$G$10:$P$1302,9,0)</f>
        <v>R124QCA</v>
      </c>
      <c r="Y1211" s="2" t="s">
        <v>43</v>
      </c>
      <c r="Z1211" s="2">
        <v>1880288</v>
      </c>
      <c r="AA1211" s="2">
        <v>20251216</v>
      </c>
      <c r="AB1211" s="3">
        <v>65502</v>
      </c>
    </row>
    <row r="1212" spans="3:28" x14ac:dyDescent="0.25">
      <c r="C1212" s="2">
        <v>10000001</v>
      </c>
      <c r="D1212" s="2" t="s">
        <v>1753</v>
      </c>
      <c r="F1212" s="2">
        <v>12010392</v>
      </c>
      <c r="H1212" s="2" t="s">
        <v>1753</v>
      </c>
      <c r="I1212" s="2" t="str">
        <f t="shared" si="18"/>
        <v>12</v>
      </c>
      <c r="J1212" s="2">
        <v>50</v>
      </c>
      <c r="K1212" s="3">
        <v>-800000</v>
      </c>
      <c r="L1212" s="2" t="s">
        <v>26</v>
      </c>
      <c r="M1212" s="3">
        <v>-800000</v>
      </c>
      <c r="N1212" s="2" t="s">
        <v>26</v>
      </c>
      <c r="R1212" s="2" t="s">
        <v>27</v>
      </c>
      <c r="S1212" s="2" t="s">
        <v>1781</v>
      </c>
      <c r="T1212" s="2" t="s">
        <v>254</v>
      </c>
      <c r="U1212" s="2" t="s">
        <v>1782</v>
      </c>
      <c r="V1212" s="4">
        <f>+VLOOKUP(U1212,'FBCJ Jul-Des 2025'!$G$10:$P$1302,8,0)</f>
        <v>70107100</v>
      </c>
      <c r="W1212" s="4" t="str">
        <f>+VLOOKUP(V1212,Sheet1!$A$2:$B$27,2,0)</f>
        <v>Biaya Mess</v>
      </c>
      <c r="X1212" s="4" t="str">
        <f>+VLOOKUP(U1212,'FBCJ Jul-Des 2025'!$G$10:$P$1302,9,0)</f>
        <v>R124D1HRGA</v>
      </c>
      <c r="Y1212" s="2" t="s">
        <v>43</v>
      </c>
      <c r="Z1212" s="2">
        <v>1880288</v>
      </c>
      <c r="AA1212" s="2">
        <v>20251216</v>
      </c>
      <c r="AB1212" s="3">
        <v>800000</v>
      </c>
    </row>
    <row r="1213" spans="3:28" x14ac:dyDescent="0.25">
      <c r="C1213" s="2">
        <v>10000001</v>
      </c>
      <c r="D1213" s="2" t="s">
        <v>1753</v>
      </c>
      <c r="F1213" s="2">
        <v>12010393</v>
      </c>
      <c r="H1213" s="2" t="s">
        <v>1753</v>
      </c>
      <c r="I1213" s="2" t="str">
        <f t="shared" si="18"/>
        <v>12</v>
      </c>
      <c r="J1213" s="2">
        <v>50</v>
      </c>
      <c r="K1213" s="3">
        <v>-851896</v>
      </c>
      <c r="L1213" s="2" t="s">
        <v>26</v>
      </c>
      <c r="M1213" s="3">
        <v>-851896</v>
      </c>
      <c r="N1213" s="2" t="s">
        <v>26</v>
      </c>
      <c r="R1213" s="2" t="s">
        <v>27</v>
      </c>
      <c r="S1213" s="2" t="s">
        <v>1783</v>
      </c>
      <c r="T1213" s="2" t="s">
        <v>146</v>
      </c>
      <c r="U1213" s="2" t="s">
        <v>1784</v>
      </c>
      <c r="V1213" s="4">
        <f>+VLOOKUP(U1213,'FBCJ Jul-Des 2025'!$G$10:$P$1302,8,0)</f>
        <v>70115100</v>
      </c>
      <c r="W1213" s="4" t="str">
        <f>+VLOOKUP(V1213,Sheet1!$A$2:$B$27,2,0)</f>
        <v>Biaya Riset, Pengembangan, dan Laboratorium</v>
      </c>
      <c r="X1213" s="4" t="str">
        <f>+VLOOKUP(U1213,'FBCJ Jul-Des 2025'!$G$10:$P$1302,9,0)</f>
        <v>R124QCA</v>
      </c>
      <c r="Y1213" s="2" t="s">
        <v>43</v>
      </c>
      <c r="Z1213" s="2">
        <v>1880288</v>
      </c>
      <c r="AA1213" s="2">
        <v>20251216</v>
      </c>
      <c r="AB1213" s="3">
        <v>851896</v>
      </c>
    </row>
    <row r="1214" spans="3:28" x14ac:dyDescent="0.25">
      <c r="C1214" s="2">
        <v>10000001</v>
      </c>
      <c r="D1214" s="2" t="s">
        <v>1753</v>
      </c>
      <c r="F1214" s="2">
        <v>12010394</v>
      </c>
      <c r="H1214" s="2" t="s">
        <v>1753</v>
      </c>
      <c r="I1214" s="2" t="str">
        <f t="shared" si="18"/>
        <v>12</v>
      </c>
      <c r="J1214" s="2">
        <v>50</v>
      </c>
      <c r="K1214" s="3">
        <v>-109450</v>
      </c>
      <c r="L1214" s="2" t="s">
        <v>26</v>
      </c>
      <c r="M1214" s="3">
        <v>-109450</v>
      </c>
      <c r="N1214" s="2" t="s">
        <v>26</v>
      </c>
      <c r="R1214" s="2" t="s">
        <v>27</v>
      </c>
      <c r="S1214" s="2" t="s">
        <v>1783</v>
      </c>
      <c r="T1214" s="2" t="s">
        <v>59</v>
      </c>
      <c r="U1214" s="2" t="s">
        <v>1785</v>
      </c>
      <c r="V1214" s="4">
        <f>+VLOOKUP(U1214,'FBCJ Jul-Des 2025'!$G$10:$P$1302,8,0)</f>
        <v>70101114</v>
      </c>
      <c r="W1214" s="4" t="str">
        <f>+VLOOKUP(V1214,Sheet1!$A$2:$B$27,2,0)</f>
        <v>By Perbaikan &amp; Perawatan Perabot Material Pihak3</v>
      </c>
      <c r="X1214" s="4" t="str">
        <f>+VLOOKUP(U1214,'FBCJ Jul-Des 2025'!$G$10:$P$1302,9,0)</f>
        <v>R124QCA</v>
      </c>
      <c r="Y1214" s="2" t="s">
        <v>43</v>
      </c>
      <c r="Z1214" s="2">
        <v>1880288</v>
      </c>
      <c r="AA1214" s="2">
        <v>20251216</v>
      </c>
      <c r="AB1214" s="3">
        <v>109450</v>
      </c>
    </row>
    <row r="1215" spans="3:28" x14ac:dyDescent="0.25">
      <c r="C1215" s="2">
        <v>10000001</v>
      </c>
      <c r="D1215" s="2" t="s">
        <v>1753</v>
      </c>
      <c r="F1215" s="2">
        <v>12010395</v>
      </c>
      <c r="H1215" s="2" t="s">
        <v>1753</v>
      </c>
      <c r="I1215" s="2" t="str">
        <f t="shared" si="18"/>
        <v>12</v>
      </c>
      <c r="J1215" s="2">
        <v>50</v>
      </c>
      <c r="K1215" s="3">
        <v>-730769</v>
      </c>
      <c r="L1215" s="2" t="s">
        <v>26</v>
      </c>
      <c r="M1215" s="3">
        <v>-730769</v>
      </c>
      <c r="N1215" s="2" t="s">
        <v>26</v>
      </c>
      <c r="R1215" s="2" t="s">
        <v>27</v>
      </c>
      <c r="S1215" s="2" t="s">
        <v>1786</v>
      </c>
      <c r="T1215" s="2" t="s">
        <v>59</v>
      </c>
      <c r="U1215" s="2" t="s">
        <v>1787</v>
      </c>
      <c r="V1215" s="4">
        <f>+VLOOKUP(U1215,'FBCJ Jul-Des 2025'!$G$10:$P$1302,8,0)</f>
        <v>70101114</v>
      </c>
      <c r="W1215" s="4" t="str">
        <f>+VLOOKUP(V1215,Sheet1!$A$2:$B$27,2,0)</f>
        <v>By Perbaikan &amp; Perawatan Perabot Material Pihak3</v>
      </c>
      <c r="X1215" s="4" t="str">
        <f>+VLOOKUP(U1215,'FBCJ Jul-Des 2025'!$G$10:$P$1302,9,0)</f>
        <v>R124QCA</v>
      </c>
      <c r="Y1215" s="2" t="s">
        <v>43</v>
      </c>
      <c r="Z1215" s="2">
        <v>1880288</v>
      </c>
      <c r="AA1215" s="2">
        <v>20251216</v>
      </c>
      <c r="AB1215" s="3">
        <v>730769</v>
      </c>
    </row>
    <row r="1216" spans="3:28" x14ac:dyDescent="0.25">
      <c r="C1216" s="2">
        <v>10000001</v>
      </c>
      <c r="D1216" s="2" t="s">
        <v>1753</v>
      </c>
      <c r="F1216" s="2">
        <v>12010396</v>
      </c>
      <c r="H1216" s="2" t="s">
        <v>1753</v>
      </c>
      <c r="I1216" s="2" t="str">
        <f t="shared" si="18"/>
        <v>12</v>
      </c>
      <c r="J1216" s="2">
        <v>50</v>
      </c>
      <c r="K1216" s="3">
        <v>-43000</v>
      </c>
      <c r="L1216" s="2" t="s">
        <v>26</v>
      </c>
      <c r="M1216" s="3">
        <v>-43000</v>
      </c>
      <c r="N1216" s="2" t="s">
        <v>26</v>
      </c>
      <c r="R1216" s="2" t="s">
        <v>27</v>
      </c>
      <c r="S1216" s="2" t="s">
        <v>1786</v>
      </c>
      <c r="T1216" s="2" t="s">
        <v>518</v>
      </c>
      <c r="U1216" s="2" t="s">
        <v>1788</v>
      </c>
      <c r="V1216" s="4">
        <f>+VLOOKUP(U1216,'FBCJ Jul-Des 2025'!$G$10:$P$1302,8,0)</f>
        <v>70119300</v>
      </c>
      <c r="W1216" s="4" t="str">
        <f>+VLOOKUP(V1216,Sheet1!$A$2:$B$27,2,0)</f>
        <v>Biaya Umum dan Administrasi</v>
      </c>
      <c r="X1216" s="4" t="str">
        <f>+VLOOKUP(U1216,'FBCJ Jul-Des 2025'!$G$10:$P$1302,9,0)</f>
        <v>R124QCA</v>
      </c>
      <c r="Y1216" s="2" t="s">
        <v>43</v>
      </c>
      <c r="Z1216" s="2">
        <v>1880288</v>
      </c>
      <c r="AA1216" s="2">
        <v>20251216</v>
      </c>
      <c r="AB1216" s="3">
        <v>43000</v>
      </c>
    </row>
    <row r="1217" spans="3:28" x14ac:dyDescent="0.25">
      <c r="C1217" s="2">
        <v>10000001</v>
      </c>
      <c r="D1217" s="2" t="s">
        <v>1753</v>
      </c>
      <c r="F1217" s="2">
        <v>12010397</v>
      </c>
      <c r="H1217" s="2" t="s">
        <v>1753</v>
      </c>
      <c r="I1217" s="2" t="str">
        <f t="shared" si="18"/>
        <v>12</v>
      </c>
      <c r="J1217" s="2">
        <v>50</v>
      </c>
      <c r="K1217" s="3">
        <v>-155500</v>
      </c>
      <c r="L1217" s="2" t="s">
        <v>26</v>
      </c>
      <c r="M1217" s="3">
        <v>-155500</v>
      </c>
      <c r="N1217" s="2" t="s">
        <v>26</v>
      </c>
      <c r="R1217" s="2" t="s">
        <v>27</v>
      </c>
      <c r="S1217" s="2" t="s">
        <v>1786</v>
      </c>
      <c r="T1217" s="2" t="s">
        <v>146</v>
      </c>
      <c r="U1217" s="2" t="s">
        <v>1789</v>
      </c>
      <c r="V1217" s="4">
        <f>+VLOOKUP(U1217,'FBCJ Jul-Des 2025'!$G$10:$P$1302,8,0)</f>
        <v>70115100</v>
      </c>
      <c r="W1217" s="4" t="str">
        <f>+VLOOKUP(V1217,Sheet1!$A$2:$B$27,2,0)</f>
        <v>Biaya Riset, Pengembangan, dan Laboratorium</v>
      </c>
      <c r="X1217" s="4" t="str">
        <f>+VLOOKUP(U1217,'FBCJ Jul-Des 2025'!$G$10:$P$1302,9,0)</f>
        <v>R124QCA</v>
      </c>
      <c r="Y1217" s="2" t="s">
        <v>43</v>
      </c>
      <c r="Z1217" s="2">
        <v>1880288</v>
      </c>
      <c r="AA1217" s="2">
        <v>20251216</v>
      </c>
      <c r="AB1217" s="3">
        <v>155500</v>
      </c>
    </row>
    <row r="1218" spans="3:28" x14ac:dyDescent="0.25">
      <c r="C1218" s="2">
        <v>10000001</v>
      </c>
      <c r="D1218" s="2" t="s">
        <v>1753</v>
      </c>
      <c r="F1218" s="2">
        <v>12010398</v>
      </c>
      <c r="H1218" s="2" t="s">
        <v>1753</v>
      </c>
      <c r="I1218" s="2" t="str">
        <f t="shared" si="18"/>
        <v>12</v>
      </c>
      <c r="J1218" s="2">
        <v>50</v>
      </c>
      <c r="K1218" s="3">
        <v>-64000</v>
      </c>
      <c r="L1218" s="2" t="s">
        <v>26</v>
      </c>
      <c r="M1218" s="3">
        <v>-64000</v>
      </c>
      <c r="N1218" s="2" t="s">
        <v>26</v>
      </c>
      <c r="R1218" s="2" t="s">
        <v>27</v>
      </c>
      <c r="S1218" s="2" t="s">
        <v>1786</v>
      </c>
      <c r="T1218" s="2" t="s">
        <v>274</v>
      </c>
      <c r="U1218" s="2" t="s">
        <v>1790</v>
      </c>
      <c r="V1218" s="4">
        <f>+VLOOKUP(U1218,'FBCJ Jul-Des 2025'!$G$10:$P$1302,8,0)</f>
        <v>70108100</v>
      </c>
      <c r="W1218" s="4" t="str">
        <f>+VLOOKUP(V1218,Sheet1!$A$2:$B$27,2,0)</f>
        <v>Biaya Peralatan Dan Perabot Kantor</v>
      </c>
      <c r="X1218" s="4" t="str">
        <f>+VLOOKUP(U1218,'FBCJ Jul-Des 2025'!$G$10:$P$1302,9,0)</f>
        <v>R124QCA</v>
      </c>
      <c r="Y1218" s="2" t="s">
        <v>43</v>
      </c>
      <c r="Z1218" s="2">
        <v>1880288</v>
      </c>
      <c r="AA1218" s="2">
        <v>20251216</v>
      </c>
      <c r="AB1218" s="3">
        <v>64000</v>
      </c>
    </row>
    <row r="1219" spans="3:28" x14ac:dyDescent="0.25">
      <c r="C1219" s="2">
        <v>10000001</v>
      </c>
      <c r="D1219" s="2" t="s">
        <v>1753</v>
      </c>
      <c r="F1219" s="2">
        <v>12010399</v>
      </c>
      <c r="H1219" s="2" t="s">
        <v>1753</v>
      </c>
      <c r="I1219" s="2" t="str">
        <f t="shared" si="18"/>
        <v>12</v>
      </c>
      <c r="J1219" s="2">
        <v>50</v>
      </c>
      <c r="K1219" s="3">
        <v>-600000</v>
      </c>
      <c r="L1219" s="2" t="s">
        <v>26</v>
      </c>
      <c r="M1219" s="3">
        <v>-600000</v>
      </c>
      <c r="N1219" s="2" t="s">
        <v>26</v>
      </c>
      <c r="R1219" s="2" t="s">
        <v>27</v>
      </c>
      <c r="S1219" s="2" t="s">
        <v>1791</v>
      </c>
      <c r="T1219" s="2" t="s">
        <v>439</v>
      </c>
      <c r="U1219" s="2" t="s">
        <v>1792</v>
      </c>
      <c r="V1219" s="4">
        <f>+VLOOKUP(U1219,'FBCJ Jul-Des 2025'!$G$10:$P$1302,8,0)</f>
        <v>70107500</v>
      </c>
      <c r="W1219" s="4" t="str">
        <f>+VLOOKUP(V1219,Sheet1!$A$2:$B$27,2,0)</f>
        <v>Biaya Sumbangan Sosial</v>
      </c>
      <c r="X1219" s="4" t="str">
        <f>+VLOOKUP(U1219,'FBCJ Jul-Des 2025'!$G$10:$P$1302,9,0)</f>
        <v>R124WHFSB</v>
      </c>
      <c r="Y1219" s="2" t="s">
        <v>43</v>
      </c>
      <c r="Z1219" s="2">
        <v>1880288</v>
      </c>
      <c r="AA1219" s="2">
        <v>20251216</v>
      </c>
      <c r="AB1219" s="3">
        <v>600000</v>
      </c>
    </row>
    <row r="1220" spans="3:28" x14ac:dyDescent="0.25">
      <c r="C1220" s="2">
        <v>10000001</v>
      </c>
      <c r="D1220" s="2" t="s">
        <v>1753</v>
      </c>
      <c r="F1220" s="2">
        <v>12010400</v>
      </c>
      <c r="H1220" s="2" t="s">
        <v>1753</v>
      </c>
      <c r="I1220" s="2" t="str">
        <f t="shared" si="18"/>
        <v>12</v>
      </c>
      <c r="J1220" s="2">
        <v>50</v>
      </c>
      <c r="K1220" s="3">
        <v>-600000</v>
      </c>
      <c r="L1220" s="2" t="s">
        <v>26</v>
      </c>
      <c r="M1220" s="3">
        <v>-600000</v>
      </c>
      <c r="N1220" s="2" t="s">
        <v>26</v>
      </c>
      <c r="R1220" s="2" t="s">
        <v>27</v>
      </c>
      <c r="S1220" s="2" t="s">
        <v>1793</v>
      </c>
      <c r="T1220" s="2" t="s">
        <v>439</v>
      </c>
      <c r="U1220" s="2" t="s">
        <v>1794</v>
      </c>
      <c r="V1220" s="4">
        <f>+VLOOKUP(U1220,'FBCJ Jul-Des 2025'!$G$10:$P$1302,8,0)</f>
        <v>70107500</v>
      </c>
      <c r="W1220" s="4" t="str">
        <f>+VLOOKUP(V1220,Sheet1!$A$2:$B$27,2,0)</f>
        <v>Biaya Sumbangan Sosial</v>
      </c>
      <c r="X1220" s="4" t="str">
        <f>+VLOOKUP(U1220,'FBCJ Jul-Des 2025'!$G$10:$P$1302,9,0)</f>
        <v>R124QCA</v>
      </c>
      <c r="Y1220" s="2" t="s">
        <v>43</v>
      </c>
      <c r="Z1220" s="2">
        <v>1880288</v>
      </c>
      <c r="AA1220" s="2">
        <v>20251216</v>
      </c>
      <c r="AB1220" s="3">
        <v>600000</v>
      </c>
    </row>
    <row r="1221" spans="3:28" x14ac:dyDescent="0.25">
      <c r="C1221" s="2">
        <v>10000001</v>
      </c>
      <c r="D1221" s="2" t="s">
        <v>1753</v>
      </c>
      <c r="F1221" s="2">
        <v>12010401</v>
      </c>
      <c r="H1221" s="2" t="s">
        <v>1753</v>
      </c>
      <c r="I1221" s="2" t="str">
        <f t="shared" si="18"/>
        <v>12</v>
      </c>
      <c r="J1221" s="2">
        <v>50</v>
      </c>
      <c r="K1221" s="3">
        <v>-600000</v>
      </c>
      <c r="L1221" s="2" t="s">
        <v>26</v>
      </c>
      <c r="M1221" s="3">
        <v>-600000</v>
      </c>
      <c r="N1221" s="2" t="s">
        <v>26</v>
      </c>
      <c r="R1221" s="2" t="s">
        <v>27</v>
      </c>
      <c r="S1221" s="2" t="s">
        <v>1795</v>
      </c>
      <c r="T1221" s="2" t="s">
        <v>439</v>
      </c>
      <c r="U1221" s="2" t="s">
        <v>1796</v>
      </c>
      <c r="V1221" s="4">
        <f>+VLOOKUP(U1221,'FBCJ Jul-Des 2025'!$G$10:$P$1302,8,0)</f>
        <v>70107500</v>
      </c>
      <c r="W1221" s="4" t="str">
        <f>+VLOOKUP(V1221,Sheet1!$A$2:$B$27,2,0)</f>
        <v>Biaya Sumbangan Sosial</v>
      </c>
      <c r="X1221" s="4" t="str">
        <f>+VLOOKUP(U1221,'FBCJ Jul-Des 2025'!$G$10:$P$1302,9,0)</f>
        <v>R124LOG</v>
      </c>
      <c r="Y1221" s="2" t="s">
        <v>43</v>
      </c>
      <c r="Z1221" s="2">
        <v>1880288</v>
      </c>
      <c r="AA1221" s="2">
        <v>20251216</v>
      </c>
      <c r="AB1221" s="3">
        <v>600000</v>
      </c>
    </row>
    <row r="1222" spans="3:28" x14ac:dyDescent="0.25">
      <c r="C1222" s="2">
        <v>10000001</v>
      </c>
      <c r="D1222" s="2" t="s">
        <v>1753</v>
      </c>
      <c r="F1222" s="2">
        <v>12010402</v>
      </c>
      <c r="H1222" s="2" t="s">
        <v>1753</v>
      </c>
      <c r="I1222" s="2" t="str">
        <f t="shared" si="18"/>
        <v>12</v>
      </c>
      <c r="J1222" s="2">
        <v>50</v>
      </c>
      <c r="K1222" s="3">
        <v>-50000</v>
      </c>
      <c r="L1222" s="2" t="s">
        <v>26</v>
      </c>
      <c r="M1222" s="3">
        <v>-50000</v>
      </c>
      <c r="N1222" s="2" t="s">
        <v>26</v>
      </c>
      <c r="R1222" s="2" t="s">
        <v>27</v>
      </c>
      <c r="S1222" s="2" t="s">
        <v>1797</v>
      </c>
      <c r="T1222" s="2" t="s">
        <v>334</v>
      </c>
      <c r="U1222" s="2" t="s">
        <v>1798</v>
      </c>
      <c r="V1222" s="4">
        <f>+VLOOKUP(U1222,'FBCJ Jul-Des 2025'!$G$10:$P$1302,8,0)</f>
        <v>70001110</v>
      </c>
      <c r="W1222" s="4" t="str">
        <f>+VLOOKUP(V1222,Sheet1!$A$2:$B$27,2,0)</f>
        <v>Biaya Ekspor lainnya</v>
      </c>
      <c r="X1222" s="4" t="str">
        <f>+VLOOKUP(U1222,'FBCJ Jul-Des 2025'!$G$10:$P$1302,9,0)</f>
        <v>M204D1COMM</v>
      </c>
      <c r="Y1222" s="2" t="s">
        <v>43</v>
      </c>
      <c r="Z1222" s="2">
        <v>1880288</v>
      </c>
      <c r="AA1222" s="2">
        <v>20251216</v>
      </c>
      <c r="AB1222" s="3">
        <v>50000</v>
      </c>
    </row>
    <row r="1223" spans="3:28" x14ac:dyDescent="0.25">
      <c r="C1223" s="2">
        <v>10000001</v>
      </c>
      <c r="D1223" s="2" t="s">
        <v>1753</v>
      </c>
      <c r="F1223" s="2">
        <v>12010403</v>
      </c>
      <c r="H1223" s="2" t="s">
        <v>1753</v>
      </c>
      <c r="I1223" s="2" t="str">
        <f t="shared" si="18"/>
        <v>12</v>
      </c>
      <c r="J1223" s="2">
        <v>50</v>
      </c>
      <c r="K1223" s="3">
        <v>-50000</v>
      </c>
      <c r="L1223" s="2" t="s">
        <v>26</v>
      </c>
      <c r="M1223" s="3">
        <v>-50000</v>
      </c>
      <c r="N1223" s="2" t="s">
        <v>26</v>
      </c>
      <c r="R1223" s="2" t="s">
        <v>27</v>
      </c>
      <c r="S1223" s="2" t="s">
        <v>1797</v>
      </c>
      <c r="T1223" s="2" t="s">
        <v>334</v>
      </c>
      <c r="U1223" s="2" t="s">
        <v>1799</v>
      </c>
      <c r="V1223" s="4">
        <f>+VLOOKUP(U1223,'FBCJ Jul-Des 2025'!$G$10:$P$1302,8,0)</f>
        <v>70001110</v>
      </c>
      <c r="W1223" s="4" t="str">
        <f>+VLOOKUP(V1223,Sheet1!$A$2:$B$27,2,0)</f>
        <v>Biaya Ekspor lainnya</v>
      </c>
      <c r="X1223" s="4" t="str">
        <f>+VLOOKUP(U1223,'FBCJ Jul-Des 2025'!$G$10:$P$1302,9,0)</f>
        <v>P206D1SLSS</v>
      </c>
      <c r="Y1223" s="2" t="s">
        <v>43</v>
      </c>
      <c r="Z1223" s="2">
        <v>1880288</v>
      </c>
      <c r="AA1223" s="2">
        <v>20251216</v>
      </c>
      <c r="AB1223" s="3">
        <v>50000</v>
      </c>
    </row>
    <row r="1224" spans="3:28" x14ac:dyDescent="0.25">
      <c r="C1224" s="2">
        <v>10000001</v>
      </c>
      <c r="D1224" s="2" t="s">
        <v>1753</v>
      </c>
      <c r="F1224" s="2">
        <v>12010404</v>
      </c>
      <c r="H1224" s="2" t="s">
        <v>1753</v>
      </c>
      <c r="I1224" s="2" t="str">
        <f t="shared" ref="I1224:I1287" si="19">+MID(H1224,4,2)</f>
        <v>12</v>
      </c>
      <c r="J1224" s="2">
        <v>50</v>
      </c>
      <c r="K1224" s="3">
        <v>-50000</v>
      </c>
      <c r="L1224" s="2" t="s">
        <v>26</v>
      </c>
      <c r="M1224" s="3">
        <v>-50000</v>
      </c>
      <c r="N1224" s="2" t="s">
        <v>26</v>
      </c>
      <c r="R1224" s="2" t="s">
        <v>27</v>
      </c>
      <c r="S1224" s="2" t="s">
        <v>1797</v>
      </c>
      <c r="T1224" s="2" t="s">
        <v>334</v>
      </c>
      <c r="U1224" s="2" t="s">
        <v>1800</v>
      </c>
      <c r="V1224" s="4">
        <f>+VLOOKUP(U1224,'FBCJ Jul-Des 2025'!$G$10:$P$1302,8,0)</f>
        <v>70001110</v>
      </c>
      <c r="W1224" s="4" t="str">
        <f>+VLOOKUP(V1224,Sheet1!$A$2:$B$27,2,0)</f>
        <v>Biaya Ekspor lainnya</v>
      </c>
      <c r="X1224" s="4" t="str">
        <f>+VLOOKUP(U1224,'FBCJ Jul-Des 2025'!$G$10:$P$1302,9,0)</f>
        <v>P206D1SLSS</v>
      </c>
      <c r="Y1224" s="2" t="s">
        <v>43</v>
      </c>
      <c r="Z1224" s="2">
        <v>1880288</v>
      </c>
      <c r="AA1224" s="2">
        <v>20251216</v>
      </c>
      <c r="AB1224" s="3">
        <v>50000</v>
      </c>
    </row>
    <row r="1225" spans="3:28" x14ac:dyDescent="0.25">
      <c r="C1225" s="2">
        <v>10000001</v>
      </c>
      <c r="D1225" s="2" t="s">
        <v>1753</v>
      </c>
      <c r="F1225" s="2">
        <v>12010405</v>
      </c>
      <c r="H1225" s="2" t="s">
        <v>1753</v>
      </c>
      <c r="I1225" s="2" t="str">
        <f t="shared" si="19"/>
        <v>12</v>
      </c>
      <c r="J1225" s="2">
        <v>50</v>
      </c>
      <c r="K1225" s="3">
        <v>-509000</v>
      </c>
      <c r="L1225" s="2" t="s">
        <v>26</v>
      </c>
      <c r="M1225" s="3">
        <v>-509000</v>
      </c>
      <c r="N1225" s="2" t="s">
        <v>26</v>
      </c>
      <c r="R1225" s="2" t="s">
        <v>27</v>
      </c>
      <c r="S1225" s="2" t="s">
        <v>1801</v>
      </c>
      <c r="T1225" s="2" t="s">
        <v>129</v>
      </c>
      <c r="U1225" s="2" t="s">
        <v>1802</v>
      </c>
      <c r="V1225" s="4">
        <f>+VLOOKUP(U1225,'FBCJ Jul-Des 2025'!$G$10:$P$1302,8,0)</f>
        <v>70101102</v>
      </c>
      <c r="W1225" s="4" t="str">
        <f>+VLOOKUP(V1225,Sheet1!$A$2:$B$27,2,0)</f>
        <v>By Pemeliharaan BgnanPrasarana Material Pihak3</v>
      </c>
      <c r="X1225" s="4" t="str">
        <f>+VLOOKUP(U1225,'FBCJ Jul-Des 2025'!$G$10:$P$1302,9,0)</f>
        <v>R124WHP</v>
      </c>
      <c r="Y1225" s="2" t="s">
        <v>43</v>
      </c>
      <c r="Z1225" s="2">
        <v>1880288</v>
      </c>
      <c r="AA1225" s="2">
        <v>20251216</v>
      </c>
      <c r="AB1225" s="3">
        <v>509000</v>
      </c>
    </row>
    <row r="1226" spans="3:28" x14ac:dyDescent="0.25">
      <c r="C1226" s="2">
        <v>10000001</v>
      </c>
      <c r="D1226" s="2" t="s">
        <v>1753</v>
      </c>
      <c r="F1226" s="2">
        <v>12010406</v>
      </c>
      <c r="H1226" s="2" t="s">
        <v>1753</v>
      </c>
      <c r="I1226" s="2" t="str">
        <f t="shared" si="19"/>
        <v>12</v>
      </c>
      <c r="J1226" s="2">
        <v>50</v>
      </c>
      <c r="K1226" s="3">
        <v>-290500</v>
      </c>
      <c r="L1226" s="2" t="s">
        <v>26</v>
      </c>
      <c r="M1226" s="3">
        <v>-290500</v>
      </c>
      <c r="N1226" s="2" t="s">
        <v>26</v>
      </c>
      <c r="R1226" s="2" t="s">
        <v>27</v>
      </c>
      <c r="S1226" s="2" t="s">
        <v>1803</v>
      </c>
      <c r="T1226" s="2" t="s">
        <v>254</v>
      </c>
      <c r="U1226" s="2" t="s">
        <v>1804</v>
      </c>
      <c r="V1226" s="4">
        <f>+VLOOKUP(U1226,'FBCJ Jul-Des 2025'!$G$10:$P$1302,8,0)</f>
        <v>70107100</v>
      </c>
      <c r="W1226" s="4" t="str">
        <f>+VLOOKUP(V1226,Sheet1!$A$2:$B$27,2,0)</f>
        <v>Biaya Mess</v>
      </c>
      <c r="X1226" s="4" t="str">
        <f>+VLOOKUP(U1226,'FBCJ Jul-Des 2025'!$G$10:$P$1302,9,0)</f>
        <v>R124D1HRGA</v>
      </c>
      <c r="Y1226" s="2" t="s">
        <v>43</v>
      </c>
      <c r="Z1226" s="2">
        <v>1880288</v>
      </c>
      <c r="AA1226" s="2">
        <v>20251216</v>
      </c>
      <c r="AB1226" s="3">
        <v>290500</v>
      </c>
    </row>
    <row r="1227" spans="3:28" x14ac:dyDescent="0.25">
      <c r="C1227" s="2">
        <v>10000001</v>
      </c>
      <c r="D1227" s="2" t="s">
        <v>1753</v>
      </c>
      <c r="F1227" s="2">
        <v>12010407</v>
      </c>
      <c r="H1227" s="2" t="s">
        <v>1753</v>
      </c>
      <c r="I1227" s="2" t="str">
        <f t="shared" si="19"/>
        <v>12</v>
      </c>
      <c r="J1227" s="2">
        <v>50</v>
      </c>
      <c r="K1227" s="3">
        <v>-386262</v>
      </c>
      <c r="L1227" s="2" t="s">
        <v>26</v>
      </c>
      <c r="M1227" s="3">
        <v>-386262</v>
      </c>
      <c r="N1227" s="2" t="s">
        <v>26</v>
      </c>
      <c r="R1227" s="2" t="s">
        <v>27</v>
      </c>
      <c r="S1227" s="2" t="s">
        <v>1805</v>
      </c>
      <c r="T1227" s="2" t="s">
        <v>126</v>
      </c>
      <c r="U1227" s="2" t="s">
        <v>1806</v>
      </c>
      <c r="V1227" s="4">
        <f>+VLOOKUP(U1227,'FBCJ Jul-Des 2025'!$G$10:$P$1302,8,0)</f>
        <v>70107600</v>
      </c>
      <c r="W1227" s="4" t="str">
        <f>+VLOOKUP(V1227,Sheet1!$A$2:$B$27,2,0)</f>
        <v>Biaya Konsumsi Kantor</v>
      </c>
      <c r="X1227" s="4" t="str">
        <f>+VLOOKUP(U1227,'FBCJ Jul-Des 2025'!$G$10:$P$1302,9,0)</f>
        <v>R124D1EHFS</v>
      </c>
      <c r="Y1227" s="2" t="s">
        <v>43</v>
      </c>
      <c r="Z1227" s="2">
        <v>1880288</v>
      </c>
      <c r="AA1227" s="2">
        <v>20251216</v>
      </c>
      <c r="AB1227" s="3">
        <v>386262</v>
      </c>
    </row>
    <row r="1228" spans="3:28" x14ac:dyDescent="0.25">
      <c r="C1228" s="2">
        <v>10000001</v>
      </c>
      <c r="D1228" s="2" t="s">
        <v>1753</v>
      </c>
      <c r="F1228" s="2">
        <v>12010408</v>
      </c>
      <c r="H1228" s="2" t="s">
        <v>1753</v>
      </c>
      <c r="I1228" s="2" t="str">
        <f t="shared" si="19"/>
        <v>12</v>
      </c>
      <c r="J1228" s="2">
        <v>50</v>
      </c>
      <c r="K1228" s="3">
        <v>-1000000</v>
      </c>
      <c r="L1228" s="2" t="s">
        <v>26</v>
      </c>
      <c r="M1228" s="3">
        <v>-1000000</v>
      </c>
      <c r="N1228" s="2" t="s">
        <v>26</v>
      </c>
      <c r="R1228" s="2" t="s">
        <v>27</v>
      </c>
      <c r="S1228" s="2" t="s">
        <v>1807</v>
      </c>
      <c r="T1228" s="2" t="s">
        <v>96</v>
      </c>
      <c r="U1228" s="2" t="s">
        <v>1808</v>
      </c>
      <c r="V1228" s="4">
        <f>+VLOOKUP(U1228,'FBCJ Jul-Des 2025'!$G$10:$P$1302,8,0)</f>
        <v>70106400</v>
      </c>
      <c r="W1228" s="4" t="str">
        <f>+VLOOKUP(V1228,Sheet1!$A$2:$B$27,2,0)</f>
        <v>Biaya Bahan Bakar</v>
      </c>
      <c r="X1228" s="4" t="str">
        <f>+VLOOKUP(U1228,'FBCJ Jul-Des 2025'!$G$10:$P$1302,9,0)</f>
        <v>R124D1HRGA</v>
      </c>
      <c r="Y1228" s="2" t="s">
        <v>43</v>
      </c>
      <c r="Z1228" s="2">
        <v>1880288</v>
      </c>
      <c r="AA1228" s="2">
        <v>20251216</v>
      </c>
      <c r="AB1228" s="3">
        <v>1000000</v>
      </c>
    </row>
    <row r="1229" spans="3:28" x14ac:dyDescent="0.25">
      <c r="C1229" s="2">
        <v>10000001</v>
      </c>
      <c r="D1229" s="2" t="s">
        <v>1753</v>
      </c>
      <c r="F1229" s="2">
        <v>12010409</v>
      </c>
      <c r="H1229" s="2" t="s">
        <v>1753</v>
      </c>
      <c r="I1229" s="2" t="str">
        <f t="shared" si="19"/>
        <v>12</v>
      </c>
      <c r="J1229" s="2">
        <v>50</v>
      </c>
      <c r="K1229" s="3">
        <v>-50000</v>
      </c>
      <c r="L1229" s="2" t="s">
        <v>26</v>
      </c>
      <c r="M1229" s="3">
        <v>-50000</v>
      </c>
      <c r="N1229" s="2" t="s">
        <v>26</v>
      </c>
      <c r="R1229" s="2" t="s">
        <v>27</v>
      </c>
      <c r="S1229" s="2" t="s">
        <v>1809</v>
      </c>
      <c r="T1229" s="2" t="s">
        <v>334</v>
      </c>
      <c r="U1229" s="2" t="s">
        <v>1810</v>
      </c>
      <c r="V1229" s="4">
        <f>+VLOOKUP(U1229,'FBCJ Jul-Des 2025'!$G$10:$P$1302,8,0)</f>
        <v>70001110</v>
      </c>
      <c r="W1229" s="4" t="str">
        <f>+VLOOKUP(V1229,Sheet1!$A$2:$B$27,2,0)</f>
        <v>Biaya Ekspor lainnya</v>
      </c>
      <c r="X1229" s="4" t="str">
        <f>+VLOOKUP(U1229,'FBCJ Jul-Des 2025'!$G$10:$P$1302,9,0)</f>
        <v>C206D1SLSS</v>
      </c>
      <c r="Y1229" s="2" t="s">
        <v>43</v>
      </c>
      <c r="Z1229" s="2">
        <v>1880288</v>
      </c>
      <c r="AA1229" s="2">
        <v>20251216</v>
      </c>
      <c r="AB1229" s="3">
        <v>50000</v>
      </c>
    </row>
    <row r="1230" spans="3:28" x14ac:dyDescent="0.25">
      <c r="C1230" s="2">
        <v>10000001</v>
      </c>
      <c r="D1230" s="2" t="s">
        <v>1753</v>
      </c>
      <c r="F1230" s="2">
        <v>12010410</v>
      </c>
      <c r="H1230" s="2" t="s">
        <v>1753</v>
      </c>
      <c r="I1230" s="2" t="str">
        <f t="shared" si="19"/>
        <v>12</v>
      </c>
      <c r="J1230" s="2">
        <v>50</v>
      </c>
      <c r="K1230" s="3">
        <v>-50000</v>
      </c>
      <c r="L1230" s="2" t="s">
        <v>26</v>
      </c>
      <c r="M1230" s="3">
        <v>-50000</v>
      </c>
      <c r="N1230" s="2" t="s">
        <v>26</v>
      </c>
      <c r="R1230" s="2" t="s">
        <v>27</v>
      </c>
      <c r="S1230" s="2" t="s">
        <v>1809</v>
      </c>
      <c r="T1230" s="2" t="s">
        <v>334</v>
      </c>
      <c r="U1230" s="2" t="s">
        <v>1811</v>
      </c>
      <c r="V1230" s="4">
        <f>+VLOOKUP(U1230,'FBCJ Jul-Des 2025'!$G$10:$P$1302,8,0)</f>
        <v>70001110</v>
      </c>
      <c r="W1230" s="4" t="str">
        <f>+VLOOKUP(V1230,Sheet1!$A$2:$B$27,2,0)</f>
        <v>Biaya Ekspor lainnya</v>
      </c>
      <c r="X1230" s="4" t="str">
        <f>+VLOOKUP(U1230,'FBCJ Jul-Des 2025'!$G$10:$P$1302,9,0)</f>
        <v>M204D1COMM</v>
      </c>
      <c r="Y1230" s="2" t="s">
        <v>43</v>
      </c>
      <c r="Z1230" s="2">
        <v>1880288</v>
      </c>
      <c r="AA1230" s="2">
        <v>20251216</v>
      </c>
      <c r="AB1230" s="3">
        <v>50000</v>
      </c>
    </row>
    <row r="1231" spans="3:28" x14ac:dyDescent="0.25">
      <c r="C1231" s="2">
        <v>10000001</v>
      </c>
      <c r="D1231" s="2" t="s">
        <v>1753</v>
      </c>
      <c r="F1231" s="2">
        <v>12010411</v>
      </c>
      <c r="H1231" s="2" t="s">
        <v>1753</v>
      </c>
      <c r="I1231" s="2" t="str">
        <f t="shared" si="19"/>
        <v>12</v>
      </c>
      <c r="J1231" s="2">
        <v>50</v>
      </c>
      <c r="K1231" s="3">
        <v>-50000</v>
      </c>
      <c r="L1231" s="2" t="s">
        <v>26</v>
      </c>
      <c r="M1231" s="3">
        <v>-50000</v>
      </c>
      <c r="N1231" s="2" t="s">
        <v>26</v>
      </c>
      <c r="R1231" s="2" t="s">
        <v>27</v>
      </c>
      <c r="S1231" s="2" t="s">
        <v>1809</v>
      </c>
      <c r="T1231" s="2" t="s">
        <v>334</v>
      </c>
      <c r="U1231" s="2" t="s">
        <v>1812</v>
      </c>
      <c r="V1231" s="4">
        <f>+VLOOKUP(U1231,'FBCJ Jul-Des 2025'!$G$10:$P$1302,8,0)</f>
        <v>70001110</v>
      </c>
      <c r="W1231" s="4" t="str">
        <f>+VLOOKUP(V1231,Sheet1!$A$2:$B$27,2,0)</f>
        <v>Biaya Ekspor lainnya</v>
      </c>
      <c r="X1231" s="4" t="str">
        <f>+VLOOKUP(U1231,'FBCJ Jul-Des 2025'!$G$10:$P$1302,9,0)</f>
        <v>M204D1COMM</v>
      </c>
      <c r="Y1231" s="2" t="s">
        <v>43</v>
      </c>
      <c r="Z1231" s="2">
        <v>1880288</v>
      </c>
      <c r="AA1231" s="2">
        <v>20251216</v>
      </c>
      <c r="AB1231" s="3">
        <v>50000</v>
      </c>
    </row>
    <row r="1232" spans="3:28" x14ac:dyDescent="0.25">
      <c r="C1232" s="2">
        <v>10000001</v>
      </c>
      <c r="D1232" s="2" t="s">
        <v>1753</v>
      </c>
      <c r="F1232" s="2">
        <v>12010412</v>
      </c>
      <c r="H1232" s="2" t="s">
        <v>1753</v>
      </c>
      <c r="I1232" s="2" t="str">
        <f t="shared" si="19"/>
        <v>12</v>
      </c>
      <c r="J1232" s="2">
        <v>50</v>
      </c>
      <c r="K1232" s="3">
        <v>-50000</v>
      </c>
      <c r="L1232" s="2" t="s">
        <v>26</v>
      </c>
      <c r="M1232" s="3">
        <v>-50000</v>
      </c>
      <c r="N1232" s="2" t="s">
        <v>26</v>
      </c>
      <c r="R1232" s="2" t="s">
        <v>27</v>
      </c>
      <c r="S1232" s="2" t="s">
        <v>1809</v>
      </c>
      <c r="T1232" s="2" t="s">
        <v>334</v>
      </c>
      <c r="U1232" s="2" t="s">
        <v>1813</v>
      </c>
      <c r="V1232" s="4">
        <f>+VLOOKUP(U1232,'FBCJ Jul-Des 2025'!$G$10:$P$1302,8,0)</f>
        <v>70001110</v>
      </c>
      <c r="W1232" s="4" t="str">
        <f>+VLOOKUP(V1232,Sheet1!$A$2:$B$27,2,0)</f>
        <v>Biaya Ekspor lainnya</v>
      </c>
      <c r="X1232" s="4" t="str">
        <f>+VLOOKUP(U1232,'FBCJ Jul-Des 2025'!$G$10:$P$1302,9,0)</f>
        <v>M204D1COMM</v>
      </c>
      <c r="Y1232" s="2" t="s">
        <v>43</v>
      </c>
      <c r="Z1232" s="2">
        <v>1880288</v>
      </c>
      <c r="AA1232" s="2">
        <v>20251216</v>
      </c>
      <c r="AB1232" s="3">
        <v>50000</v>
      </c>
    </row>
    <row r="1233" spans="3:28" x14ac:dyDescent="0.25">
      <c r="C1233" s="2">
        <v>10000001</v>
      </c>
      <c r="D1233" s="2" t="s">
        <v>1753</v>
      </c>
      <c r="F1233" s="2">
        <v>12010413</v>
      </c>
      <c r="H1233" s="2" t="s">
        <v>1753</v>
      </c>
      <c r="I1233" s="2" t="str">
        <f t="shared" si="19"/>
        <v>12</v>
      </c>
      <c r="J1233" s="2">
        <v>50</v>
      </c>
      <c r="K1233" s="3">
        <v>-50000</v>
      </c>
      <c r="L1233" s="2" t="s">
        <v>26</v>
      </c>
      <c r="M1233" s="3">
        <v>-50000</v>
      </c>
      <c r="N1233" s="2" t="s">
        <v>26</v>
      </c>
      <c r="R1233" s="2" t="s">
        <v>27</v>
      </c>
      <c r="S1233" s="2" t="s">
        <v>1809</v>
      </c>
      <c r="T1233" s="2" t="s">
        <v>334</v>
      </c>
      <c r="U1233" s="2" t="s">
        <v>1814</v>
      </c>
      <c r="V1233" s="4">
        <f>+VLOOKUP(U1233,'FBCJ Jul-Des 2025'!$G$10:$P$1302,8,0)</f>
        <v>70001110</v>
      </c>
      <c r="W1233" s="4" t="str">
        <f>+VLOOKUP(V1233,Sheet1!$A$2:$B$27,2,0)</f>
        <v>Biaya Ekspor lainnya</v>
      </c>
      <c r="X1233" s="4" t="str">
        <f>+VLOOKUP(U1233,'FBCJ Jul-Des 2025'!$G$10:$P$1302,9,0)</f>
        <v>M204D1COMM</v>
      </c>
      <c r="Y1233" s="2" t="s">
        <v>43</v>
      </c>
      <c r="Z1233" s="2">
        <v>1880288</v>
      </c>
      <c r="AA1233" s="2">
        <v>20251216</v>
      </c>
      <c r="AB1233" s="3">
        <v>50000</v>
      </c>
    </row>
    <row r="1234" spans="3:28" x14ac:dyDescent="0.25">
      <c r="C1234" s="2">
        <v>10000001</v>
      </c>
      <c r="D1234" s="2" t="s">
        <v>1753</v>
      </c>
      <c r="F1234" s="2">
        <v>12010414</v>
      </c>
      <c r="H1234" s="2" t="s">
        <v>1753</v>
      </c>
      <c r="I1234" s="2" t="str">
        <f t="shared" si="19"/>
        <v>12</v>
      </c>
      <c r="J1234" s="2">
        <v>50</v>
      </c>
      <c r="K1234" s="3">
        <v>-50000</v>
      </c>
      <c r="L1234" s="2" t="s">
        <v>26</v>
      </c>
      <c r="M1234" s="3">
        <v>-50000</v>
      </c>
      <c r="N1234" s="2" t="s">
        <v>26</v>
      </c>
      <c r="R1234" s="2" t="s">
        <v>27</v>
      </c>
      <c r="S1234" s="2" t="s">
        <v>1809</v>
      </c>
      <c r="T1234" s="2" t="s">
        <v>334</v>
      </c>
      <c r="U1234" s="2" t="s">
        <v>1815</v>
      </c>
      <c r="V1234" s="4">
        <f>+VLOOKUP(U1234,'FBCJ Jul-Des 2025'!$G$10:$P$1302,8,0)</f>
        <v>70001110</v>
      </c>
      <c r="W1234" s="4" t="str">
        <f>+VLOOKUP(V1234,Sheet1!$A$2:$B$27,2,0)</f>
        <v>Biaya Ekspor lainnya</v>
      </c>
      <c r="X1234" s="4" t="str">
        <f>+VLOOKUP(U1234,'FBCJ Jul-Des 2025'!$G$10:$P$1302,9,0)</f>
        <v>M204D1COMM</v>
      </c>
      <c r="Y1234" s="2" t="s">
        <v>43</v>
      </c>
      <c r="Z1234" s="2">
        <v>1880288</v>
      </c>
      <c r="AA1234" s="2">
        <v>20251216</v>
      </c>
      <c r="AB1234" s="3">
        <v>50000</v>
      </c>
    </row>
    <row r="1235" spans="3:28" x14ac:dyDescent="0.25">
      <c r="C1235" s="2">
        <v>10000001</v>
      </c>
      <c r="D1235" s="2" t="s">
        <v>1753</v>
      </c>
      <c r="F1235" s="2">
        <v>12010415</v>
      </c>
      <c r="H1235" s="2" t="s">
        <v>1753</v>
      </c>
      <c r="I1235" s="2" t="str">
        <f t="shared" si="19"/>
        <v>12</v>
      </c>
      <c r="J1235" s="2">
        <v>50</v>
      </c>
      <c r="K1235" s="3">
        <v>-400000</v>
      </c>
      <c r="L1235" s="2" t="s">
        <v>26</v>
      </c>
      <c r="M1235" s="3">
        <v>-400000</v>
      </c>
      <c r="N1235" s="2" t="s">
        <v>26</v>
      </c>
      <c r="R1235" s="2" t="s">
        <v>27</v>
      </c>
      <c r="S1235" s="2" t="s">
        <v>1816</v>
      </c>
      <c r="T1235" s="2" t="s">
        <v>41</v>
      </c>
      <c r="U1235" s="2" t="s">
        <v>1817</v>
      </c>
      <c r="V1235" s="4">
        <f>+VLOOKUP(U1235,'FBCJ Jul-Des 2025'!$G$10:$P$1302,8,0)</f>
        <v>70107300</v>
      </c>
      <c r="W1235" s="4" t="str">
        <f>+VLOOKUP(V1235,Sheet1!$A$2:$B$27,2,0)</f>
        <v>Biaya Olahraga Dan Permainan</v>
      </c>
      <c r="X1235" s="4" t="str">
        <f>+VLOOKUP(U1235,'FBCJ Jul-Des 2025'!$G$10:$P$1302,9,0)</f>
        <v>R124D1HRDV</v>
      </c>
      <c r="Y1235" s="2" t="s">
        <v>43</v>
      </c>
      <c r="Z1235" s="2">
        <v>1880288</v>
      </c>
      <c r="AA1235" s="2">
        <v>20251216</v>
      </c>
      <c r="AB1235" s="3">
        <v>400000</v>
      </c>
    </row>
    <row r="1236" spans="3:28" x14ac:dyDescent="0.25">
      <c r="C1236" s="2">
        <v>10000001</v>
      </c>
      <c r="D1236" s="2" t="s">
        <v>1753</v>
      </c>
      <c r="F1236" s="2">
        <v>12010416</v>
      </c>
      <c r="H1236" s="2" t="s">
        <v>1753</v>
      </c>
      <c r="I1236" s="2" t="str">
        <f t="shared" si="19"/>
        <v>12</v>
      </c>
      <c r="J1236" s="2">
        <v>50</v>
      </c>
      <c r="K1236" s="3">
        <v>-620000</v>
      </c>
      <c r="L1236" s="2" t="s">
        <v>26</v>
      </c>
      <c r="M1236" s="3">
        <v>-620000</v>
      </c>
      <c r="N1236" s="2" t="s">
        <v>26</v>
      </c>
      <c r="R1236" s="2" t="s">
        <v>27</v>
      </c>
      <c r="S1236" s="2" t="s">
        <v>1818</v>
      </c>
      <c r="T1236" s="2" t="s">
        <v>96</v>
      </c>
      <c r="U1236" s="2" t="s">
        <v>1819</v>
      </c>
      <c r="V1236" s="4">
        <f>+VLOOKUP(U1236,'FBCJ Jul-Des 2025'!$G$10:$P$1302,8,0)</f>
        <v>70106400</v>
      </c>
      <c r="W1236" s="4" t="str">
        <f>+VLOOKUP(V1236,Sheet1!$A$2:$B$27,2,0)</f>
        <v>Biaya Bahan Bakar</v>
      </c>
      <c r="X1236" s="4" t="str">
        <f>+VLOOKUP(U1236,'FBCJ Jul-Des 2025'!$G$10:$P$1302,9,0)</f>
        <v>R124D1HRGA</v>
      </c>
      <c r="Y1236" s="2" t="s">
        <v>43</v>
      </c>
      <c r="Z1236" s="2">
        <v>1880288</v>
      </c>
      <c r="AA1236" s="2">
        <v>20251216</v>
      </c>
      <c r="AB1236" s="3">
        <v>620000</v>
      </c>
    </row>
    <row r="1237" spans="3:28" x14ac:dyDescent="0.25">
      <c r="C1237" s="2">
        <v>10000001</v>
      </c>
      <c r="D1237" s="2" t="s">
        <v>1753</v>
      </c>
      <c r="F1237" s="2">
        <v>12010417</v>
      </c>
      <c r="H1237" s="2" t="s">
        <v>1753</v>
      </c>
      <c r="I1237" s="2" t="str">
        <f t="shared" si="19"/>
        <v>12</v>
      </c>
      <c r="J1237" s="2">
        <v>50</v>
      </c>
      <c r="K1237" s="3">
        <v>-380000</v>
      </c>
      <c r="L1237" s="2" t="s">
        <v>26</v>
      </c>
      <c r="M1237" s="3">
        <v>-380000</v>
      </c>
      <c r="N1237" s="2" t="s">
        <v>26</v>
      </c>
      <c r="R1237" s="2" t="s">
        <v>27</v>
      </c>
      <c r="S1237" s="2" t="s">
        <v>1818</v>
      </c>
      <c r="T1237" s="2" t="s">
        <v>67</v>
      </c>
      <c r="U1237" s="2" t="s">
        <v>98</v>
      </c>
      <c r="V1237" s="4">
        <f>+VLOOKUP(U1237,'FBCJ Jul-Des 2025'!$G$10:$P$1302,8,0)</f>
        <v>70106100</v>
      </c>
      <c r="W1237" s="4" t="str">
        <f>+VLOOKUP(V1237,Sheet1!$A$2:$B$27,2,0)</f>
        <v>Biaya Transportasi Lokal</v>
      </c>
      <c r="X1237" s="4" t="str">
        <f>+VLOOKUP(U1237,'FBCJ Jul-Des 2025'!$G$10:$P$1302,9,0)</f>
        <v>R124D1HRGA</v>
      </c>
      <c r="Y1237" s="2" t="s">
        <v>43</v>
      </c>
      <c r="Z1237" s="2">
        <v>1880288</v>
      </c>
      <c r="AA1237" s="2">
        <v>20251216</v>
      </c>
      <c r="AB1237" s="3">
        <v>380000</v>
      </c>
    </row>
    <row r="1238" spans="3:28" x14ac:dyDescent="0.25">
      <c r="C1238" s="2">
        <v>10000001</v>
      </c>
      <c r="D1238" s="2" t="s">
        <v>1753</v>
      </c>
      <c r="F1238" s="2">
        <v>12010418</v>
      </c>
      <c r="H1238" s="2" t="s">
        <v>1753</v>
      </c>
      <c r="I1238" s="2" t="str">
        <f t="shared" si="19"/>
        <v>12</v>
      </c>
      <c r="J1238" s="2">
        <v>50</v>
      </c>
      <c r="K1238" s="3">
        <v>-512300</v>
      </c>
      <c r="L1238" s="2" t="s">
        <v>26</v>
      </c>
      <c r="M1238" s="3">
        <v>-512300</v>
      </c>
      <c r="N1238" s="2" t="s">
        <v>26</v>
      </c>
      <c r="R1238" s="2" t="s">
        <v>27</v>
      </c>
      <c r="S1238" s="2" t="s">
        <v>1820</v>
      </c>
      <c r="T1238" s="2" t="s">
        <v>146</v>
      </c>
      <c r="U1238" s="2" t="s">
        <v>1821</v>
      </c>
      <c r="V1238" s="4">
        <f>+VLOOKUP(U1238,'FBCJ Jul-Des 2025'!$G$10:$P$1302,8,0)</f>
        <v>70115100</v>
      </c>
      <c r="W1238" s="4" t="str">
        <f>+VLOOKUP(V1238,Sheet1!$A$2:$B$27,2,0)</f>
        <v>Biaya Riset, Pengembangan, dan Laboratorium</v>
      </c>
      <c r="X1238" s="4" t="str">
        <f>+VLOOKUP(U1238,'FBCJ Jul-Des 2025'!$G$10:$P$1302,9,0)</f>
        <v>M204D1COMM</v>
      </c>
      <c r="Y1238" s="2" t="s">
        <v>43</v>
      </c>
      <c r="Z1238" s="2">
        <v>1880288</v>
      </c>
      <c r="AA1238" s="2">
        <v>20251216</v>
      </c>
      <c r="AB1238" s="3">
        <v>512300</v>
      </c>
    </row>
    <row r="1239" spans="3:28" x14ac:dyDescent="0.25">
      <c r="C1239" s="2">
        <v>10000001</v>
      </c>
      <c r="D1239" s="2" t="s">
        <v>1753</v>
      </c>
      <c r="F1239" s="2">
        <v>12010419</v>
      </c>
      <c r="H1239" s="2" t="s">
        <v>1753</v>
      </c>
      <c r="I1239" s="2" t="str">
        <f t="shared" si="19"/>
        <v>12</v>
      </c>
      <c r="J1239" s="2">
        <v>50</v>
      </c>
      <c r="K1239" s="3">
        <v>-151500</v>
      </c>
      <c r="L1239" s="2" t="s">
        <v>26</v>
      </c>
      <c r="M1239" s="3">
        <v>-151500</v>
      </c>
      <c r="N1239" s="2" t="s">
        <v>26</v>
      </c>
      <c r="R1239" s="2" t="s">
        <v>27</v>
      </c>
      <c r="S1239" s="2" t="s">
        <v>1822</v>
      </c>
      <c r="T1239" s="2" t="s">
        <v>274</v>
      </c>
      <c r="U1239" s="2" t="s">
        <v>1823</v>
      </c>
      <c r="V1239" s="4">
        <f>+VLOOKUP(U1239,'FBCJ Jul-Des 2025'!$G$10:$P$1302,8,0)</f>
        <v>70108100</v>
      </c>
      <c r="W1239" s="4" t="str">
        <f>+VLOOKUP(V1239,Sheet1!$A$2:$B$27,2,0)</f>
        <v>Biaya Peralatan Dan Perabot Kantor</v>
      </c>
      <c r="X1239" s="4" t="str">
        <f>+VLOOKUP(U1239,'FBCJ Jul-Des 2025'!$G$10:$P$1302,9,0)</f>
        <v>R124D1FRCO</v>
      </c>
      <c r="Y1239" s="2" t="s">
        <v>43</v>
      </c>
      <c r="Z1239" s="2">
        <v>1880288</v>
      </c>
      <c r="AA1239" s="2">
        <v>20251216</v>
      </c>
      <c r="AB1239" s="3">
        <v>151500</v>
      </c>
    </row>
    <row r="1240" spans="3:28" x14ac:dyDescent="0.25">
      <c r="C1240" s="2">
        <v>10000001</v>
      </c>
      <c r="D1240" s="2" t="s">
        <v>1753</v>
      </c>
      <c r="F1240" s="2">
        <v>12010420</v>
      </c>
      <c r="H1240" s="2" t="s">
        <v>1753</v>
      </c>
      <c r="I1240" s="2" t="str">
        <f t="shared" si="19"/>
        <v>12</v>
      </c>
      <c r="J1240" s="2">
        <v>50</v>
      </c>
      <c r="K1240" s="3">
        <v>-50000</v>
      </c>
      <c r="L1240" s="2" t="s">
        <v>26</v>
      </c>
      <c r="M1240" s="3">
        <v>-50000</v>
      </c>
      <c r="N1240" s="2" t="s">
        <v>26</v>
      </c>
      <c r="R1240" s="2" t="s">
        <v>27</v>
      </c>
      <c r="S1240" s="2" t="s">
        <v>1824</v>
      </c>
      <c r="T1240" s="2" t="s">
        <v>334</v>
      </c>
      <c r="U1240" s="2" t="s">
        <v>1825</v>
      </c>
      <c r="V1240" s="4">
        <f>+VLOOKUP(U1240,'FBCJ Jul-Des 2025'!$G$10:$P$1302,8,0)</f>
        <v>70001110</v>
      </c>
      <c r="W1240" s="4" t="str">
        <f>+VLOOKUP(V1240,Sheet1!$A$2:$B$27,2,0)</f>
        <v>Biaya Ekspor lainnya</v>
      </c>
      <c r="X1240" s="4" t="str">
        <f>+VLOOKUP(U1240,'FBCJ Jul-Des 2025'!$G$10:$P$1302,9,0)</f>
        <v>M204D1COMM</v>
      </c>
      <c r="Y1240" s="2" t="s">
        <v>43</v>
      </c>
      <c r="Z1240" s="2">
        <v>1880288</v>
      </c>
      <c r="AA1240" s="2">
        <v>20251216</v>
      </c>
      <c r="AB1240" s="3">
        <v>50000</v>
      </c>
    </row>
    <row r="1241" spans="3:28" x14ac:dyDescent="0.25">
      <c r="C1241" s="2">
        <v>10000001</v>
      </c>
      <c r="D1241" s="2" t="s">
        <v>1753</v>
      </c>
      <c r="F1241" s="2">
        <v>12010421</v>
      </c>
      <c r="H1241" s="2" t="s">
        <v>1753</v>
      </c>
      <c r="I1241" s="2" t="str">
        <f t="shared" si="19"/>
        <v>12</v>
      </c>
      <c r="J1241" s="2">
        <v>50</v>
      </c>
      <c r="K1241" s="3">
        <v>-50000</v>
      </c>
      <c r="L1241" s="2" t="s">
        <v>26</v>
      </c>
      <c r="M1241" s="3">
        <v>-50000</v>
      </c>
      <c r="N1241" s="2" t="s">
        <v>26</v>
      </c>
      <c r="R1241" s="2" t="s">
        <v>27</v>
      </c>
      <c r="S1241" s="2" t="s">
        <v>1824</v>
      </c>
      <c r="T1241" s="2" t="s">
        <v>334</v>
      </c>
      <c r="U1241" s="2" t="s">
        <v>1826</v>
      </c>
      <c r="V1241" s="4">
        <f>+VLOOKUP(U1241,'FBCJ Jul-Des 2025'!$G$10:$P$1302,8,0)</f>
        <v>70001110</v>
      </c>
      <c r="W1241" s="4" t="str">
        <f>+VLOOKUP(V1241,Sheet1!$A$2:$B$27,2,0)</f>
        <v>Biaya Ekspor lainnya</v>
      </c>
      <c r="X1241" s="4" t="str">
        <f>+VLOOKUP(U1241,'FBCJ Jul-Des 2025'!$G$10:$P$1302,9,0)</f>
        <v>P206D1SLSS</v>
      </c>
      <c r="Y1241" s="2" t="s">
        <v>43</v>
      </c>
      <c r="Z1241" s="2">
        <v>1880288</v>
      </c>
      <c r="AA1241" s="2">
        <v>20251216</v>
      </c>
      <c r="AB1241" s="3">
        <v>50000</v>
      </c>
    </row>
    <row r="1242" spans="3:28" x14ac:dyDescent="0.25">
      <c r="C1242" s="2">
        <v>10000001</v>
      </c>
      <c r="D1242" s="2" t="s">
        <v>1753</v>
      </c>
      <c r="F1242" s="2">
        <v>12010422</v>
      </c>
      <c r="H1242" s="2" t="s">
        <v>1753</v>
      </c>
      <c r="I1242" s="2" t="str">
        <f t="shared" si="19"/>
        <v>12</v>
      </c>
      <c r="J1242" s="2">
        <v>50</v>
      </c>
      <c r="K1242" s="3">
        <v>-50000</v>
      </c>
      <c r="L1242" s="2" t="s">
        <v>26</v>
      </c>
      <c r="M1242" s="3">
        <v>-50000</v>
      </c>
      <c r="N1242" s="2" t="s">
        <v>26</v>
      </c>
      <c r="R1242" s="2" t="s">
        <v>27</v>
      </c>
      <c r="S1242" s="2" t="s">
        <v>1824</v>
      </c>
      <c r="T1242" s="2" t="s">
        <v>334</v>
      </c>
      <c r="U1242" s="2" t="s">
        <v>1827</v>
      </c>
      <c r="V1242" s="4">
        <f>+VLOOKUP(U1242,'FBCJ Jul-Des 2025'!$G$10:$P$1302,8,0)</f>
        <v>70001110</v>
      </c>
      <c r="W1242" s="4" t="str">
        <f>+VLOOKUP(V1242,Sheet1!$A$2:$B$27,2,0)</f>
        <v>Biaya Ekspor lainnya</v>
      </c>
      <c r="X1242" s="4" t="str">
        <f>+VLOOKUP(U1242,'FBCJ Jul-Des 2025'!$G$10:$P$1302,9,0)</f>
        <v>C206D1SLSS</v>
      </c>
      <c r="Y1242" s="2" t="s">
        <v>43</v>
      </c>
      <c r="Z1242" s="2">
        <v>1880288</v>
      </c>
      <c r="AA1242" s="2">
        <v>20251216</v>
      </c>
      <c r="AB1242" s="3">
        <v>50000</v>
      </c>
    </row>
    <row r="1243" spans="3:28" x14ac:dyDescent="0.25">
      <c r="C1243" s="2">
        <v>10000001</v>
      </c>
      <c r="D1243" s="2" t="s">
        <v>1828</v>
      </c>
      <c r="F1243" s="2">
        <v>12010423</v>
      </c>
      <c r="H1243" s="2" t="s">
        <v>1828</v>
      </c>
      <c r="I1243" s="2" t="str">
        <f t="shared" si="19"/>
        <v>12</v>
      </c>
      <c r="J1243" s="2">
        <v>50</v>
      </c>
      <c r="K1243" s="3">
        <v>-50000</v>
      </c>
      <c r="L1243" s="2" t="s">
        <v>26</v>
      </c>
      <c r="M1243" s="3">
        <v>-50000</v>
      </c>
      <c r="N1243" s="2" t="s">
        <v>26</v>
      </c>
      <c r="R1243" s="2" t="s">
        <v>27</v>
      </c>
      <c r="S1243" s="2" t="s">
        <v>1829</v>
      </c>
      <c r="T1243" s="2" t="s">
        <v>334</v>
      </c>
      <c r="U1243" s="2" t="s">
        <v>1830</v>
      </c>
      <c r="V1243" s="4">
        <f>+VLOOKUP(U1243,'FBCJ Jul-Des 2025'!$G$10:$P$1302,8,0)</f>
        <v>70001110</v>
      </c>
      <c r="W1243" s="4" t="str">
        <f>+VLOOKUP(V1243,Sheet1!$A$2:$B$27,2,0)</f>
        <v>Biaya Ekspor lainnya</v>
      </c>
      <c r="X1243" s="4" t="str">
        <f>+VLOOKUP(U1243,'FBCJ Jul-Des 2025'!$G$10:$P$1302,9,0)</f>
        <v>P206D1SLSS</v>
      </c>
      <c r="Y1243" s="2" t="s">
        <v>43</v>
      </c>
      <c r="Z1243" s="2">
        <v>1880288</v>
      </c>
      <c r="AA1243" s="2">
        <v>20251222</v>
      </c>
      <c r="AB1243" s="3">
        <v>50000</v>
      </c>
    </row>
    <row r="1244" spans="3:28" x14ac:dyDescent="0.25">
      <c r="C1244" s="2">
        <v>10000001</v>
      </c>
      <c r="D1244" s="2" t="s">
        <v>1828</v>
      </c>
      <c r="F1244" s="2">
        <v>12010424</v>
      </c>
      <c r="H1244" s="2" t="s">
        <v>1828</v>
      </c>
      <c r="I1244" s="2" t="str">
        <f t="shared" si="19"/>
        <v>12</v>
      </c>
      <c r="J1244" s="2">
        <v>50</v>
      </c>
      <c r="K1244" s="3">
        <v>-50000</v>
      </c>
      <c r="L1244" s="2" t="s">
        <v>26</v>
      </c>
      <c r="M1244" s="3">
        <v>-50000</v>
      </c>
      <c r="N1244" s="2" t="s">
        <v>26</v>
      </c>
      <c r="R1244" s="2" t="s">
        <v>27</v>
      </c>
      <c r="S1244" s="2" t="s">
        <v>1829</v>
      </c>
      <c r="T1244" s="2" t="s">
        <v>334</v>
      </c>
      <c r="U1244" s="2" t="s">
        <v>1831</v>
      </c>
      <c r="V1244" s="4">
        <f>+VLOOKUP(U1244,'FBCJ Jul-Des 2025'!$G$10:$P$1302,8,0)</f>
        <v>70001110</v>
      </c>
      <c r="W1244" s="4" t="str">
        <f>+VLOOKUP(V1244,Sheet1!$A$2:$B$27,2,0)</f>
        <v>Biaya Ekspor lainnya</v>
      </c>
      <c r="X1244" s="4" t="str">
        <f>+VLOOKUP(U1244,'FBCJ Jul-Des 2025'!$G$10:$P$1302,9,0)</f>
        <v>M204D1COMM</v>
      </c>
      <c r="Y1244" s="2" t="s">
        <v>43</v>
      </c>
      <c r="Z1244" s="2">
        <v>1880288</v>
      </c>
      <c r="AA1244" s="2">
        <v>20251222</v>
      </c>
      <c r="AB1244" s="3">
        <v>50000</v>
      </c>
    </row>
    <row r="1245" spans="3:28" x14ac:dyDescent="0.25">
      <c r="C1245" s="2">
        <v>10000001</v>
      </c>
      <c r="D1245" s="2" t="s">
        <v>1828</v>
      </c>
      <c r="F1245" s="2">
        <v>12010425</v>
      </c>
      <c r="H1245" s="2" t="s">
        <v>1828</v>
      </c>
      <c r="I1245" s="2" t="str">
        <f t="shared" si="19"/>
        <v>12</v>
      </c>
      <c r="J1245" s="2">
        <v>50</v>
      </c>
      <c r="K1245" s="3">
        <v>-50000</v>
      </c>
      <c r="L1245" s="2" t="s">
        <v>26</v>
      </c>
      <c r="M1245" s="3">
        <v>-50000</v>
      </c>
      <c r="N1245" s="2" t="s">
        <v>26</v>
      </c>
      <c r="R1245" s="2" t="s">
        <v>27</v>
      </c>
      <c r="S1245" s="2" t="s">
        <v>1829</v>
      </c>
      <c r="T1245" s="2" t="s">
        <v>334</v>
      </c>
      <c r="U1245" s="2" t="s">
        <v>1832</v>
      </c>
      <c r="V1245" s="4">
        <f>+VLOOKUP(U1245,'FBCJ Jul-Des 2025'!$G$10:$P$1302,8,0)</f>
        <v>70001110</v>
      </c>
      <c r="W1245" s="4" t="str">
        <f>+VLOOKUP(V1245,Sheet1!$A$2:$B$27,2,0)</f>
        <v>Biaya Ekspor lainnya</v>
      </c>
      <c r="X1245" s="4" t="str">
        <f>+VLOOKUP(U1245,'FBCJ Jul-Des 2025'!$G$10:$P$1302,9,0)</f>
        <v>P206D1SLSC</v>
      </c>
      <c r="Y1245" s="2" t="s">
        <v>43</v>
      </c>
      <c r="Z1245" s="2">
        <v>1880288</v>
      </c>
      <c r="AA1245" s="2">
        <v>20251222</v>
      </c>
      <c r="AB1245" s="3">
        <v>50000</v>
      </c>
    </row>
    <row r="1246" spans="3:28" x14ac:dyDescent="0.25">
      <c r="C1246" s="2">
        <v>10000001</v>
      </c>
      <c r="D1246" s="2" t="s">
        <v>1828</v>
      </c>
      <c r="F1246" s="2">
        <v>12010426</v>
      </c>
      <c r="H1246" s="2" t="s">
        <v>1828</v>
      </c>
      <c r="I1246" s="2" t="str">
        <f t="shared" si="19"/>
        <v>12</v>
      </c>
      <c r="J1246" s="2">
        <v>50</v>
      </c>
      <c r="K1246" s="3">
        <v>-50000</v>
      </c>
      <c r="L1246" s="2" t="s">
        <v>26</v>
      </c>
      <c r="M1246" s="3">
        <v>-50000</v>
      </c>
      <c r="N1246" s="2" t="s">
        <v>26</v>
      </c>
      <c r="R1246" s="2" t="s">
        <v>27</v>
      </c>
      <c r="S1246" s="2" t="s">
        <v>1829</v>
      </c>
      <c r="T1246" s="2" t="s">
        <v>334</v>
      </c>
      <c r="U1246" s="2" t="s">
        <v>1833</v>
      </c>
      <c r="V1246" s="4">
        <f>+VLOOKUP(U1246,'FBCJ Jul-Des 2025'!$G$10:$P$1302,8,0)</f>
        <v>70001110</v>
      </c>
      <c r="W1246" s="4" t="str">
        <f>+VLOOKUP(V1246,Sheet1!$A$2:$B$27,2,0)</f>
        <v>Biaya Ekspor lainnya</v>
      </c>
      <c r="X1246" s="4" t="str">
        <f>+VLOOKUP(U1246,'FBCJ Jul-Des 2025'!$G$10:$P$1302,9,0)</f>
        <v>P206D1SLSS</v>
      </c>
      <c r="Y1246" s="2" t="s">
        <v>43</v>
      </c>
      <c r="Z1246" s="2">
        <v>1880288</v>
      </c>
      <c r="AA1246" s="2">
        <v>20251222</v>
      </c>
      <c r="AB1246" s="3">
        <v>50000</v>
      </c>
    </row>
    <row r="1247" spans="3:28" x14ac:dyDescent="0.25">
      <c r="C1247" s="2">
        <v>10000001</v>
      </c>
      <c r="D1247" s="2" t="s">
        <v>1828</v>
      </c>
      <c r="F1247" s="2">
        <v>12010427</v>
      </c>
      <c r="H1247" s="2" t="s">
        <v>1828</v>
      </c>
      <c r="I1247" s="2" t="str">
        <f t="shared" si="19"/>
        <v>12</v>
      </c>
      <c r="J1247" s="2">
        <v>50</v>
      </c>
      <c r="K1247" s="3">
        <v>-50000</v>
      </c>
      <c r="L1247" s="2" t="s">
        <v>26</v>
      </c>
      <c r="M1247" s="3">
        <v>-50000</v>
      </c>
      <c r="N1247" s="2" t="s">
        <v>26</v>
      </c>
      <c r="R1247" s="2" t="s">
        <v>27</v>
      </c>
      <c r="S1247" s="2" t="s">
        <v>1829</v>
      </c>
      <c r="T1247" s="2" t="s">
        <v>334</v>
      </c>
      <c r="U1247" s="2" t="s">
        <v>1834</v>
      </c>
      <c r="V1247" s="4">
        <f>+VLOOKUP(U1247,'FBCJ Jul-Des 2025'!$G$10:$P$1302,8,0)</f>
        <v>70001110</v>
      </c>
      <c r="W1247" s="4" t="str">
        <f>+VLOOKUP(V1247,Sheet1!$A$2:$B$27,2,0)</f>
        <v>Biaya Ekspor lainnya</v>
      </c>
      <c r="X1247" s="4" t="str">
        <f>+VLOOKUP(U1247,'FBCJ Jul-Des 2025'!$G$10:$P$1302,9,0)</f>
        <v>P206D1SLSC</v>
      </c>
      <c r="Y1247" s="2" t="s">
        <v>43</v>
      </c>
      <c r="Z1247" s="2">
        <v>1880288</v>
      </c>
      <c r="AA1247" s="2">
        <v>20251222</v>
      </c>
      <c r="AB1247" s="3">
        <v>50000</v>
      </c>
    </row>
    <row r="1248" spans="3:28" x14ac:dyDescent="0.25">
      <c r="C1248" s="2">
        <v>10000001</v>
      </c>
      <c r="D1248" s="2" t="s">
        <v>1828</v>
      </c>
      <c r="F1248" s="2">
        <v>12010428</v>
      </c>
      <c r="H1248" s="2" t="s">
        <v>1828</v>
      </c>
      <c r="I1248" s="2" t="str">
        <f t="shared" si="19"/>
        <v>12</v>
      </c>
      <c r="J1248" s="2">
        <v>50</v>
      </c>
      <c r="K1248" s="3">
        <v>-269820</v>
      </c>
      <c r="L1248" s="2" t="s">
        <v>26</v>
      </c>
      <c r="M1248" s="3">
        <v>-269820</v>
      </c>
      <c r="N1248" s="2" t="s">
        <v>26</v>
      </c>
      <c r="R1248" s="2" t="s">
        <v>27</v>
      </c>
      <c r="S1248" s="2" t="s">
        <v>1835</v>
      </c>
      <c r="T1248" s="2" t="s">
        <v>59</v>
      </c>
      <c r="U1248" s="2" t="s">
        <v>1836</v>
      </c>
      <c r="V1248" s="4">
        <f>+VLOOKUP(U1248,'FBCJ Jul-Des 2025'!$G$10:$P$1302,8,0)</f>
        <v>70101114</v>
      </c>
      <c r="W1248" s="4" t="str">
        <f>+VLOOKUP(V1248,Sheet1!$A$2:$B$27,2,0)</f>
        <v>By Perbaikan &amp; Perawatan Perabot Material Pihak3</v>
      </c>
      <c r="X1248" s="4" t="str">
        <f>+VLOOKUP(U1248,'FBCJ Jul-Des 2025'!$G$10:$P$1302,9,0)</f>
        <v>R124STTRK</v>
      </c>
      <c r="Y1248" s="2" t="s">
        <v>43</v>
      </c>
      <c r="Z1248" s="2">
        <v>1880288</v>
      </c>
      <c r="AA1248" s="2">
        <v>20251222</v>
      </c>
      <c r="AB1248" s="3">
        <v>269820</v>
      </c>
    </row>
    <row r="1249" spans="3:28" x14ac:dyDescent="0.25">
      <c r="C1249" s="2">
        <v>10000001</v>
      </c>
      <c r="D1249" s="2" t="s">
        <v>1828</v>
      </c>
      <c r="F1249" s="2">
        <v>12010429</v>
      </c>
      <c r="H1249" s="2" t="s">
        <v>1828</v>
      </c>
      <c r="I1249" s="2" t="str">
        <f t="shared" si="19"/>
        <v>12</v>
      </c>
      <c r="J1249" s="2">
        <v>50</v>
      </c>
      <c r="K1249" s="3">
        <v>-775080</v>
      </c>
      <c r="L1249" s="2" t="s">
        <v>26</v>
      </c>
      <c r="M1249" s="3">
        <v>-775080</v>
      </c>
      <c r="N1249" s="2" t="s">
        <v>26</v>
      </c>
      <c r="R1249" s="2" t="s">
        <v>27</v>
      </c>
      <c r="S1249" s="2" t="s">
        <v>1837</v>
      </c>
      <c r="T1249" s="2" t="s">
        <v>59</v>
      </c>
      <c r="U1249" s="2" t="s">
        <v>1838</v>
      </c>
      <c r="V1249" s="4">
        <f>+VLOOKUP(U1249,'FBCJ Jul-Des 2025'!$G$10:$P$1302,8,0)</f>
        <v>70101114</v>
      </c>
      <c r="W1249" s="4" t="str">
        <f>+VLOOKUP(V1249,Sheet1!$A$2:$B$27,2,0)</f>
        <v>By Perbaikan &amp; Perawatan Perabot Material Pihak3</v>
      </c>
      <c r="X1249" s="4" t="str">
        <f>+VLOOKUP(U1249,'FBCJ Jul-Des 2025'!$G$10:$P$1302,9,0)</f>
        <v>R124TCP</v>
      </c>
      <c r="Y1249" s="2" t="s">
        <v>43</v>
      </c>
      <c r="Z1249" s="2">
        <v>1880288</v>
      </c>
      <c r="AA1249" s="2">
        <v>20251222</v>
      </c>
      <c r="AB1249" s="3">
        <v>775080</v>
      </c>
    </row>
    <row r="1250" spans="3:28" x14ac:dyDescent="0.25">
      <c r="C1250" s="2">
        <v>10000001</v>
      </c>
      <c r="D1250" s="2" t="s">
        <v>1828</v>
      </c>
      <c r="F1250" s="2">
        <v>12010430</v>
      </c>
      <c r="H1250" s="2" t="s">
        <v>1828</v>
      </c>
      <c r="I1250" s="2" t="str">
        <f t="shared" si="19"/>
        <v>12</v>
      </c>
      <c r="J1250" s="2">
        <v>50</v>
      </c>
      <c r="K1250" s="3">
        <v>-171000</v>
      </c>
      <c r="L1250" s="2" t="s">
        <v>26</v>
      </c>
      <c r="M1250" s="3">
        <v>-171000</v>
      </c>
      <c r="N1250" s="2" t="s">
        <v>26</v>
      </c>
      <c r="R1250" s="2" t="s">
        <v>27</v>
      </c>
      <c r="S1250" s="2" t="s">
        <v>1839</v>
      </c>
      <c r="T1250" s="2" t="s">
        <v>57</v>
      </c>
      <c r="U1250" s="2" t="s">
        <v>1840</v>
      </c>
      <c r="V1250" s="4">
        <f>+VLOOKUP(U1250,'FBCJ Jul-Des 2025'!$G$10:$P$1302,8,0)</f>
        <v>70101202</v>
      </c>
      <c r="W1250" s="4" t="str">
        <f>+VLOOKUP(V1250,Sheet1!$A$2:$B$27,2,0)</f>
        <v>By Pemeliharaan Kend,ABerat,Mesin-Material Pihak3</v>
      </c>
      <c r="X1250" s="4" t="str">
        <f>+VLOOKUP(U1250,'FBCJ Jul-Des 2025'!$G$10:$P$1302,9,0)</f>
        <v>R124WHFSB</v>
      </c>
      <c r="Y1250" s="2" t="s">
        <v>43</v>
      </c>
      <c r="Z1250" s="2">
        <v>1880288</v>
      </c>
      <c r="AA1250" s="2">
        <v>20251222</v>
      </c>
      <c r="AB1250" s="3">
        <v>171000</v>
      </c>
    </row>
    <row r="1251" spans="3:28" x14ac:dyDescent="0.25">
      <c r="C1251" s="2">
        <v>10000001</v>
      </c>
      <c r="D1251" s="2" t="s">
        <v>1828</v>
      </c>
      <c r="F1251" s="2">
        <v>12010431</v>
      </c>
      <c r="H1251" s="2" t="s">
        <v>1828</v>
      </c>
      <c r="I1251" s="2" t="str">
        <f t="shared" si="19"/>
        <v>12</v>
      </c>
      <c r="J1251" s="2">
        <v>50</v>
      </c>
      <c r="K1251" s="3">
        <v>-951025</v>
      </c>
      <c r="L1251" s="2" t="s">
        <v>26</v>
      </c>
      <c r="M1251" s="3">
        <v>-951025</v>
      </c>
      <c r="N1251" s="2" t="s">
        <v>26</v>
      </c>
      <c r="R1251" s="2" t="s">
        <v>27</v>
      </c>
      <c r="S1251" s="2" t="s">
        <v>1841</v>
      </c>
      <c r="T1251" s="2" t="s">
        <v>59</v>
      </c>
      <c r="U1251" s="2" t="s">
        <v>1842</v>
      </c>
      <c r="V1251" s="4">
        <f>+VLOOKUP(U1251,'FBCJ Jul-Des 2025'!$G$10:$P$1302,8,0)</f>
        <v>70101114</v>
      </c>
      <c r="W1251" s="4" t="str">
        <f>+VLOOKUP(V1251,Sheet1!$A$2:$B$27,2,0)</f>
        <v>By Perbaikan &amp; Perawatan Perabot Material Pihak3</v>
      </c>
      <c r="X1251" s="4" t="str">
        <f>+VLOOKUP(U1251,'FBCJ Jul-Des 2025'!$G$10:$P$1302,9,0)</f>
        <v>R124D1HRGA</v>
      </c>
      <c r="Y1251" s="2" t="s">
        <v>43</v>
      </c>
      <c r="Z1251" s="2">
        <v>1880288</v>
      </c>
      <c r="AA1251" s="2">
        <v>20251222</v>
      </c>
      <c r="AB1251" s="3">
        <v>951025</v>
      </c>
    </row>
    <row r="1252" spans="3:28" x14ac:dyDescent="0.25">
      <c r="C1252" s="2">
        <v>10000001</v>
      </c>
      <c r="D1252" s="2" t="s">
        <v>1828</v>
      </c>
      <c r="F1252" s="2">
        <v>12010432</v>
      </c>
      <c r="H1252" s="2" t="s">
        <v>1828</v>
      </c>
      <c r="I1252" s="2" t="str">
        <f t="shared" si="19"/>
        <v>12</v>
      </c>
      <c r="J1252" s="2">
        <v>50</v>
      </c>
      <c r="K1252" s="3">
        <v>-50000</v>
      </c>
      <c r="L1252" s="2" t="s">
        <v>26</v>
      </c>
      <c r="M1252" s="3">
        <v>-50000</v>
      </c>
      <c r="N1252" s="2" t="s">
        <v>26</v>
      </c>
      <c r="R1252" s="2" t="s">
        <v>27</v>
      </c>
      <c r="S1252" s="2" t="s">
        <v>1843</v>
      </c>
      <c r="T1252" s="2" t="s">
        <v>334</v>
      </c>
      <c r="U1252" s="2" t="s">
        <v>1844</v>
      </c>
      <c r="V1252" s="4">
        <f>+VLOOKUP(U1252,'FBCJ Jul-Des 2025'!$G$10:$P$1302,8,0)</f>
        <v>70001110</v>
      </c>
      <c r="W1252" s="4" t="str">
        <f>+VLOOKUP(V1252,Sheet1!$A$2:$B$27,2,0)</f>
        <v>Biaya Ekspor lainnya</v>
      </c>
      <c r="X1252" s="4" t="str">
        <f>+VLOOKUP(U1252,'FBCJ Jul-Des 2025'!$G$10:$P$1302,9,0)</f>
        <v>P206D1SLSS</v>
      </c>
      <c r="Y1252" s="2" t="s">
        <v>43</v>
      </c>
      <c r="Z1252" s="2">
        <v>1880288</v>
      </c>
      <c r="AA1252" s="2">
        <v>20251222</v>
      </c>
      <c r="AB1252" s="3">
        <v>50000</v>
      </c>
    </row>
    <row r="1253" spans="3:28" x14ac:dyDescent="0.25">
      <c r="C1253" s="2">
        <v>10000001</v>
      </c>
      <c r="D1253" s="2" t="s">
        <v>1828</v>
      </c>
      <c r="F1253" s="2">
        <v>12010433</v>
      </c>
      <c r="H1253" s="2" t="s">
        <v>1828</v>
      </c>
      <c r="I1253" s="2" t="str">
        <f t="shared" si="19"/>
        <v>12</v>
      </c>
      <c r="J1253" s="2">
        <v>50</v>
      </c>
      <c r="K1253" s="3">
        <v>-50000</v>
      </c>
      <c r="L1253" s="2" t="s">
        <v>26</v>
      </c>
      <c r="M1253" s="3">
        <v>-50000</v>
      </c>
      <c r="N1253" s="2" t="s">
        <v>26</v>
      </c>
      <c r="R1253" s="2" t="s">
        <v>27</v>
      </c>
      <c r="S1253" s="2" t="s">
        <v>1843</v>
      </c>
      <c r="T1253" s="2" t="s">
        <v>334</v>
      </c>
      <c r="U1253" s="2" t="s">
        <v>1845</v>
      </c>
      <c r="V1253" s="4">
        <f>+VLOOKUP(U1253,'FBCJ Jul-Des 2025'!$G$10:$P$1302,8,0)</f>
        <v>70001110</v>
      </c>
      <c r="W1253" s="4" t="str">
        <f>+VLOOKUP(V1253,Sheet1!$A$2:$B$27,2,0)</f>
        <v>Biaya Ekspor lainnya</v>
      </c>
      <c r="X1253" s="4" t="str">
        <f>+VLOOKUP(U1253,'FBCJ Jul-Des 2025'!$G$10:$P$1302,9,0)</f>
        <v>P206D1SLSC</v>
      </c>
      <c r="Y1253" s="2" t="s">
        <v>43</v>
      </c>
      <c r="Z1253" s="2">
        <v>1880288</v>
      </c>
      <c r="AA1253" s="2">
        <v>20251222</v>
      </c>
      <c r="AB1253" s="3">
        <v>50000</v>
      </c>
    </row>
    <row r="1254" spans="3:28" x14ac:dyDescent="0.25">
      <c r="C1254" s="2">
        <v>10000001</v>
      </c>
      <c r="D1254" s="2" t="s">
        <v>1828</v>
      </c>
      <c r="F1254" s="2">
        <v>12010434</v>
      </c>
      <c r="H1254" s="2" t="s">
        <v>1828</v>
      </c>
      <c r="I1254" s="2" t="str">
        <f t="shared" si="19"/>
        <v>12</v>
      </c>
      <c r="J1254" s="2">
        <v>50</v>
      </c>
      <c r="K1254" s="3">
        <v>-50000</v>
      </c>
      <c r="L1254" s="2" t="s">
        <v>26</v>
      </c>
      <c r="M1254" s="3">
        <v>-50000</v>
      </c>
      <c r="N1254" s="2" t="s">
        <v>26</v>
      </c>
      <c r="R1254" s="2" t="s">
        <v>27</v>
      </c>
      <c r="S1254" s="2" t="s">
        <v>1843</v>
      </c>
      <c r="T1254" s="2" t="s">
        <v>334</v>
      </c>
      <c r="U1254" s="2" t="s">
        <v>1846</v>
      </c>
      <c r="V1254" s="4">
        <f>+VLOOKUP(U1254,'FBCJ Jul-Des 2025'!$G$10:$P$1302,8,0)</f>
        <v>70001110</v>
      </c>
      <c r="W1254" s="4" t="str">
        <f>+VLOOKUP(V1254,Sheet1!$A$2:$B$27,2,0)</f>
        <v>Biaya Ekspor lainnya</v>
      </c>
      <c r="X1254" s="4" t="str">
        <f>+VLOOKUP(U1254,'FBCJ Jul-Des 2025'!$G$10:$P$1302,9,0)</f>
        <v>P206D1SLSS</v>
      </c>
      <c r="Y1254" s="2" t="s">
        <v>43</v>
      </c>
      <c r="Z1254" s="2">
        <v>1880288</v>
      </c>
      <c r="AA1254" s="2">
        <v>20251222</v>
      </c>
      <c r="AB1254" s="3">
        <v>50000</v>
      </c>
    </row>
    <row r="1255" spans="3:28" x14ac:dyDescent="0.25">
      <c r="C1255" s="2">
        <v>10000001</v>
      </c>
      <c r="D1255" s="2" t="s">
        <v>1828</v>
      </c>
      <c r="F1255" s="2">
        <v>12010435</v>
      </c>
      <c r="H1255" s="2" t="s">
        <v>1828</v>
      </c>
      <c r="I1255" s="2" t="str">
        <f t="shared" si="19"/>
        <v>12</v>
      </c>
      <c r="J1255" s="2">
        <v>50</v>
      </c>
      <c r="K1255" s="3">
        <v>-50000</v>
      </c>
      <c r="L1255" s="2" t="s">
        <v>26</v>
      </c>
      <c r="M1255" s="3">
        <v>-50000</v>
      </c>
      <c r="N1255" s="2" t="s">
        <v>26</v>
      </c>
      <c r="R1255" s="2" t="s">
        <v>27</v>
      </c>
      <c r="S1255" s="2" t="s">
        <v>1843</v>
      </c>
      <c r="T1255" s="2" t="s">
        <v>334</v>
      </c>
      <c r="U1255" s="2" t="s">
        <v>1847</v>
      </c>
      <c r="V1255" s="4">
        <f>+VLOOKUP(U1255,'FBCJ Jul-Des 2025'!$G$10:$P$1302,8,0)</f>
        <v>70001110</v>
      </c>
      <c r="W1255" s="4" t="str">
        <f>+VLOOKUP(V1255,Sheet1!$A$2:$B$27,2,0)</f>
        <v>Biaya Ekspor lainnya</v>
      </c>
      <c r="X1255" s="4" t="str">
        <f>+VLOOKUP(U1255,'FBCJ Jul-Des 2025'!$G$10:$P$1302,9,0)</f>
        <v>P206D1SLSS</v>
      </c>
      <c r="Y1255" s="2" t="s">
        <v>43</v>
      </c>
      <c r="Z1255" s="2">
        <v>1880288</v>
      </c>
      <c r="AA1255" s="2">
        <v>20251222</v>
      </c>
      <c r="AB1255" s="3">
        <v>50000</v>
      </c>
    </row>
    <row r="1256" spans="3:28" x14ac:dyDescent="0.25">
      <c r="C1256" s="2">
        <v>10000001</v>
      </c>
      <c r="D1256" s="2" t="s">
        <v>1828</v>
      </c>
      <c r="F1256" s="2">
        <v>12010436</v>
      </c>
      <c r="H1256" s="2" t="s">
        <v>1828</v>
      </c>
      <c r="I1256" s="2" t="str">
        <f t="shared" si="19"/>
        <v>12</v>
      </c>
      <c r="J1256" s="2">
        <v>50</v>
      </c>
      <c r="K1256" s="3">
        <v>-50000</v>
      </c>
      <c r="L1256" s="2" t="s">
        <v>26</v>
      </c>
      <c r="M1256" s="3">
        <v>-50000</v>
      </c>
      <c r="N1256" s="2" t="s">
        <v>26</v>
      </c>
      <c r="R1256" s="2" t="s">
        <v>27</v>
      </c>
      <c r="S1256" s="2" t="s">
        <v>1843</v>
      </c>
      <c r="T1256" s="2" t="s">
        <v>334</v>
      </c>
      <c r="U1256" s="2" t="s">
        <v>1848</v>
      </c>
      <c r="V1256" s="4">
        <f>+VLOOKUP(U1256,'FBCJ Jul-Des 2025'!$G$10:$P$1302,8,0)</f>
        <v>70001110</v>
      </c>
      <c r="W1256" s="4" t="str">
        <f>+VLOOKUP(V1256,Sheet1!$A$2:$B$27,2,0)</f>
        <v>Biaya Ekspor lainnya</v>
      </c>
      <c r="X1256" s="4" t="str">
        <f>+VLOOKUP(U1256,'FBCJ Jul-Des 2025'!$G$10:$P$1302,9,0)</f>
        <v>P206D1SLSC</v>
      </c>
      <c r="Y1256" s="2" t="s">
        <v>43</v>
      </c>
      <c r="Z1256" s="2">
        <v>1880288</v>
      </c>
      <c r="AA1256" s="2">
        <v>20251222</v>
      </c>
      <c r="AB1256" s="3">
        <v>50000</v>
      </c>
    </row>
    <row r="1257" spans="3:28" x14ac:dyDescent="0.25">
      <c r="C1257" s="2">
        <v>10000001</v>
      </c>
      <c r="D1257" s="2" t="s">
        <v>1828</v>
      </c>
      <c r="F1257" s="2">
        <v>12010437</v>
      </c>
      <c r="H1257" s="2" t="s">
        <v>1828</v>
      </c>
      <c r="I1257" s="2" t="str">
        <f t="shared" si="19"/>
        <v>12</v>
      </c>
      <c r="J1257" s="2">
        <v>50</v>
      </c>
      <c r="K1257" s="3">
        <v>-200000</v>
      </c>
      <c r="L1257" s="2" t="s">
        <v>26</v>
      </c>
      <c r="M1257" s="3">
        <v>-200000</v>
      </c>
      <c r="N1257" s="2" t="s">
        <v>26</v>
      </c>
      <c r="R1257" s="2" t="s">
        <v>27</v>
      </c>
      <c r="S1257" s="2" t="s">
        <v>1843</v>
      </c>
      <c r="T1257" s="2" t="s">
        <v>334</v>
      </c>
      <c r="U1257" s="2" t="s">
        <v>1849</v>
      </c>
      <c r="V1257" s="4">
        <f>+VLOOKUP(U1257,'FBCJ Jul-Des 2025'!$G$10:$P$1302,8,0)</f>
        <v>70001110</v>
      </c>
      <c r="W1257" s="4" t="str">
        <f>+VLOOKUP(V1257,Sheet1!$A$2:$B$27,2,0)</f>
        <v>Biaya Ekspor lainnya</v>
      </c>
      <c r="X1257" s="4" t="str">
        <f>+VLOOKUP(U1257,'FBCJ Jul-Des 2025'!$G$10:$P$1302,9,0)</f>
        <v>P206D1SLSS</v>
      </c>
      <c r="Y1257" s="2" t="s">
        <v>43</v>
      </c>
      <c r="Z1257" s="2">
        <v>1880288</v>
      </c>
      <c r="AA1257" s="2">
        <v>20251222</v>
      </c>
      <c r="AB1257" s="3">
        <v>200000</v>
      </c>
    </row>
    <row r="1258" spans="3:28" x14ac:dyDescent="0.25">
      <c r="C1258" s="2">
        <v>10000001</v>
      </c>
      <c r="D1258" s="2" t="s">
        <v>1828</v>
      </c>
      <c r="F1258" s="2">
        <v>12010438</v>
      </c>
      <c r="H1258" s="2" t="s">
        <v>1828</v>
      </c>
      <c r="I1258" s="2" t="str">
        <f t="shared" si="19"/>
        <v>12</v>
      </c>
      <c r="J1258" s="2">
        <v>50</v>
      </c>
      <c r="K1258" s="3">
        <v>-200000</v>
      </c>
      <c r="L1258" s="2" t="s">
        <v>26</v>
      </c>
      <c r="M1258" s="3">
        <v>-200000</v>
      </c>
      <c r="N1258" s="2" t="s">
        <v>26</v>
      </c>
      <c r="R1258" s="2" t="s">
        <v>27</v>
      </c>
      <c r="S1258" s="2" t="s">
        <v>1843</v>
      </c>
      <c r="T1258" s="2" t="s">
        <v>334</v>
      </c>
      <c r="U1258" s="2" t="s">
        <v>1850</v>
      </c>
      <c r="V1258" s="4">
        <f>+VLOOKUP(U1258,'FBCJ Jul-Des 2025'!$G$10:$P$1302,8,0)</f>
        <v>70001110</v>
      </c>
      <c r="W1258" s="4" t="str">
        <f>+VLOOKUP(V1258,Sheet1!$A$2:$B$27,2,0)</f>
        <v>Biaya Ekspor lainnya</v>
      </c>
      <c r="X1258" s="4" t="str">
        <f>+VLOOKUP(U1258,'FBCJ Jul-Des 2025'!$G$10:$P$1302,9,0)</f>
        <v>P206D1SLSS</v>
      </c>
      <c r="Y1258" s="2" t="s">
        <v>43</v>
      </c>
      <c r="Z1258" s="2">
        <v>1880288</v>
      </c>
      <c r="AA1258" s="2">
        <v>20251222</v>
      </c>
      <c r="AB1258" s="3">
        <v>200000</v>
      </c>
    </row>
    <row r="1259" spans="3:28" x14ac:dyDescent="0.25">
      <c r="C1259" s="2">
        <v>10000001</v>
      </c>
      <c r="D1259" s="2" t="s">
        <v>1828</v>
      </c>
      <c r="F1259" s="2">
        <v>12010439</v>
      </c>
      <c r="H1259" s="2" t="s">
        <v>1828</v>
      </c>
      <c r="I1259" s="2" t="str">
        <f t="shared" si="19"/>
        <v>12</v>
      </c>
      <c r="J1259" s="2">
        <v>50</v>
      </c>
      <c r="K1259" s="3">
        <v>-610000</v>
      </c>
      <c r="L1259" s="2" t="s">
        <v>26</v>
      </c>
      <c r="M1259" s="3">
        <v>-610000</v>
      </c>
      <c r="N1259" s="2" t="s">
        <v>26</v>
      </c>
      <c r="R1259" s="2" t="s">
        <v>27</v>
      </c>
      <c r="S1259" s="2" t="s">
        <v>1851</v>
      </c>
      <c r="T1259" s="2" t="s">
        <v>126</v>
      </c>
      <c r="U1259" s="2" t="s">
        <v>1852</v>
      </c>
      <c r="V1259" s="4">
        <f>+VLOOKUP(U1259,'FBCJ Jul-Des 2025'!$G$10:$P$1302,8,0)</f>
        <v>70107600</v>
      </c>
      <c r="W1259" s="4" t="str">
        <f>+VLOOKUP(V1259,Sheet1!$A$2:$B$27,2,0)</f>
        <v>Biaya Konsumsi Kantor</v>
      </c>
      <c r="X1259" s="4" t="str">
        <f>+VLOOKUP(U1259,'FBCJ Jul-Des 2025'!$G$10:$P$1302,9,0)</f>
        <v>R124D1EHFS</v>
      </c>
      <c r="Y1259" s="2" t="s">
        <v>43</v>
      </c>
      <c r="Z1259" s="2">
        <v>1880288</v>
      </c>
      <c r="AA1259" s="2">
        <v>20251222</v>
      </c>
      <c r="AB1259" s="3">
        <v>610000</v>
      </c>
    </row>
    <row r="1260" spans="3:28" x14ac:dyDescent="0.25">
      <c r="C1260" s="2">
        <v>10000001</v>
      </c>
      <c r="D1260" s="2" t="s">
        <v>1828</v>
      </c>
      <c r="F1260" s="2">
        <v>12010440</v>
      </c>
      <c r="H1260" s="2" t="s">
        <v>1828</v>
      </c>
      <c r="I1260" s="2" t="str">
        <f t="shared" si="19"/>
        <v>12</v>
      </c>
      <c r="J1260" s="2">
        <v>50</v>
      </c>
      <c r="K1260" s="3">
        <v>-50000</v>
      </c>
      <c r="L1260" s="2" t="s">
        <v>26</v>
      </c>
      <c r="M1260" s="3">
        <v>-50000</v>
      </c>
      <c r="N1260" s="2" t="s">
        <v>26</v>
      </c>
      <c r="R1260" s="2" t="s">
        <v>27</v>
      </c>
      <c r="S1260" s="2" t="s">
        <v>1853</v>
      </c>
      <c r="T1260" s="2" t="s">
        <v>334</v>
      </c>
      <c r="U1260" s="2" t="s">
        <v>1854</v>
      </c>
      <c r="V1260" s="4">
        <f>+VLOOKUP(U1260,'FBCJ Jul-Des 2025'!$G$10:$P$1302,8,0)</f>
        <v>70001110</v>
      </c>
      <c r="W1260" s="4" t="str">
        <f>+VLOOKUP(V1260,Sheet1!$A$2:$B$27,2,0)</f>
        <v>Biaya Ekspor lainnya</v>
      </c>
      <c r="X1260" s="4" t="str">
        <f>+VLOOKUP(U1260,'FBCJ Jul-Des 2025'!$G$10:$P$1302,9,0)</f>
        <v>P206D1SLSS</v>
      </c>
      <c r="Y1260" s="2" t="s">
        <v>43</v>
      </c>
      <c r="Z1260" s="2">
        <v>1880288</v>
      </c>
      <c r="AA1260" s="2">
        <v>20251222</v>
      </c>
      <c r="AB1260" s="3">
        <v>50000</v>
      </c>
    </row>
    <row r="1261" spans="3:28" x14ac:dyDescent="0.25">
      <c r="C1261" s="2">
        <v>10000001</v>
      </c>
      <c r="D1261" s="2" t="s">
        <v>1828</v>
      </c>
      <c r="F1261" s="2">
        <v>12010441</v>
      </c>
      <c r="H1261" s="2" t="s">
        <v>1828</v>
      </c>
      <c r="I1261" s="2" t="str">
        <f t="shared" si="19"/>
        <v>12</v>
      </c>
      <c r="J1261" s="2">
        <v>50</v>
      </c>
      <c r="K1261" s="3">
        <v>-50000</v>
      </c>
      <c r="L1261" s="2" t="s">
        <v>26</v>
      </c>
      <c r="M1261" s="3">
        <v>-50000</v>
      </c>
      <c r="N1261" s="2" t="s">
        <v>26</v>
      </c>
      <c r="R1261" s="2" t="s">
        <v>27</v>
      </c>
      <c r="S1261" s="2" t="s">
        <v>1853</v>
      </c>
      <c r="T1261" s="2" t="s">
        <v>334</v>
      </c>
      <c r="U1261" s="2" t="s">
        <v>1855</v>
      </c>
      <c r="V1261" s="4">
        <f>+VLOOKUP(U1261,'FBCJ Jul-Des 2025'!$G$10:$P$1302,8,0)</f>
        <v>70001110</v>
      </c>
      <c r="W1261" s="4" t="str">
        <f>+VLOOKUP(V1261,Sheet1!$A$2:$B$27,2,0)</f>
        <v>Biaya Ekspor lainnya</v>
      </c>
      <c r="X1261" s="4" t="str">
        <f>+VLOOKUP(U1261,'FBCJ Jul-Des 2025'!$G$10:$P$1302,9,0)</f>
        <v>P206D1SLSS</v>
      </c>
      <c r="Y1261" s="2" t="s">
        <v>43</v>
      </c>
      <c r="Z1261" s="2">
        <v>1880288</v>
      </c>
      <c r="AA1261" s="2">
        <v>20251222</v>
      </c>
      <c r="AB1261" s="3">
        <v>50000</v>
      </c>
    </row>
    <row r="1262" spans="3:28" x14ac:dyDescent="0.25">
      <c r="C1262" s="2">
        <v>10000001</v>
      </c>
      <c r="D1262" s="2" t="s">
        <v>1828</v>
      </c>
      <c r="F1262" s="2">
        <v>12010442</v>
      </c>
      <c r="H1262" s="2" t="s">
        <v>1828</v>
      </c>
      <c r="I1262" s="2" t="str">
        <f t="shared" si="19"/>
        <v>12</v>
      </c>
      <c r="J1262" s="2">
        <v>50</v>
      </c>
      <c r="K1262" s="3">
        <v>-50000</v>
      </c>
      <c r="L1262" s="2" t="s">
        <v>26</v>
      </c>
      <c r="M1262" s="3">
        <v>-50000</v>
      </c>
      <c r="N1262" s="2" t="s">
        <v>26</v>
      </c>
      <c r="R1262" s="2" t="s">
        <v>27</v>
      </c>
      <c r="S1262" s="2" t="s">
        <v>1853</v>
      </c>
      <c r="T1262" s="2" t="s">
        <v>334</v>
      </c>
      <c r="U1262" s="2" t="s">
        <v>1856</v>
      </c>
      <c r="V1262" s="4">
        <f>+VLOOKUP(U1262,'FBCJ Jul-Des 2025'!$G$10:$P$1302,8,0)</f>
        <v>70001110</v>
      </c>
      <c r="W1262" s="4" t="str">
        <f>+VLOOKUP(V1262,Sheet1!$A$2:$B$27,2,0)</f>
        <v>Biaya Ekspor lainnya</v>
      </c>
      <c r="X1262" s="4" t="str">
        <f>+VLOOKUP(U1262,'FBCJ Jul-Des 2025'!$G$10:$P$1302,9,0)</f>
        <v>P206D1SLSS</v>
      </c>
      <c r="Y1262" s="2" t="s">
        <v>43</v>
      </c>
      <c r="Z1262" s="2">
        <v>1880288</v>
      </c>
      <c r="AA1262" s="2">
        <v>20251222</v>
      </c>
      <c r="AB1262" s="3">
        <v>50000</v>
      </c>
    </row>
    <row r="1263" spans="3:28" x14ac:dyDescent="0.25">
      <c r="C1263" s="2">
        <v>10000001</v>
      </c>
      <c r="D1263" s="2" t="s">
        <v>1828</v>
      </c>
      <c r="F1263" s="2">
        <v>12010443</v>
      </c>
      <c r="H1263" s="2" t="s">
        <v>1828</v>
      </c>
      <c r="I1263" s="2" t="str">
        <f t="shared" si="19"/>
        <v>12</v>
      </c>
      <c r="J1263" s="2">
        <v>50</v>
      </c>
      <c r="K1263" s="3">
        <v>-50000</v>
      </c>
      <c r="L1263" s="2" t="s">
        <v>26</v>
      </c>
      <c r="M1263" s="3">
        <v>-50000</v>
      </c>
      <c r="N1263" s="2" t="s">
        <v>26</v>
      </c>
      <c r="R1263" s="2" t="s">
        <v>27</v>
      </c>
      <c r="S1263" s="2" t="s">
        <v>1853</v>
      </c>
      <c r="T1263" s="2" t="s">
        <v>334</v>
      </c>
      <c r="U1263" s="2" t="s">
        <v>1857</v>
      </c>
      <c r="V1263" s="4">
        <f>+VLOOKUP(U1263,'FBCJ Jul-Des 2025'!$G$10:$P$1302,8,0)</f>
        <v>70001110</v>
      </c>
      <c r="W1263" s="4" t="str">
        <f>+VLOOKUP(V1263,Sheet1!$A$2:$B$27,2,0)</f>
        <v>Biaya Ekspor lainnya</v>
      </c>
      <c r="X1263" s="4" t="str">
        <f>+VLOOKUP(U1263,'FBCJ Jul-Des 2025'!$G$10:$P$1302,9,0)</f>
        <v>P206D1SLSC</v>
      </c>
      <c r="Y1263" s="2" t="s">
        <v>43</v>
      </c>
      <c r="Z1263" s="2">
        <v>1880288</v>
      </c>
      <c r="AA1263" s="2">
        <v>20251222</v>
      </c>
      <c r="AB1263" s="3">
        <v>50000</v>
      </c>
    </row>
    <row r="1264" spans="3:28" x14ac:dyDescent="0.25">
      <c r="C1264" s="2">
        <v>10000001</v>
      </c>
      <c r="D1264" s="2" t="s">
        <v>1828</v>
      </c>
      <c r="F1264" s="2">
        <v>12010444</v>
      </c>
      <c r="H1264" s="2" t="s">
        <v>1828</v>
      </c>
      <c r="I1264" s="2" t="str">
        <f t="shared" si="19"/>
        <v>12</v>
      </c>
      <c r="J1264" s="2">
        <v>50</v>
      </c>
      <c r="K1264" s="3">
        <v>-50000</v>
      </c>
      <c r="L1264" s="2" t="s">
        <v>26</v>
      </c>
      <c r="M1264" s="3">
        <v>-50000</v>
      </c>
      <c r="N1264" s="2" t="s">
        <v>26</v>
      </c>
      <c r="R1264" s="2" t="s">
        <v>27</v>
      </c>
      <c r="S1264" s="2" t="s">
        <v>1853</v>
      </c>
      <c r="T1264" s="2" t="s">
        <v>334</v>
      </c>
      <c r="U1264" s="2" t="s">
        <v>1858</v>
      </c>
      <c r="V1264" s="4">
        <f>+VLOOKUP(U1264,'FBCJ Jul-Des 2025'!$G$10:$P$1302,8,0)</f>
        <v>70001110</v>
      </c>
      <c r="W1264" s="4" t="str">
        <f>+VLOOKUP(V1264,Sheet1!$A$2:$B$27,2,0)</f>
        <v>Biaya Ekspor lainnya</v>
      </c>
      <c r="X1264" s="4" t="str">
        <f>+VLOOKUP(U1264,'FBCJ Jul-Des 2025'!$G$10:$P$1302,9,0)</f>
        <v>P206D1SLSS</v>
      </c>
      <c r="Y1264" s="2" t="s">
        <v>43</v>
      </c>
      <c r="Z1264" s="2">
        <v>1880288</v>
      </c>
      <c r="AA1264" s="2">
        <v>20251222</v>
      </c>
      <c r="AB1264" s="3">
        <v>50000</v>
      </c>
    </row>
    <row r="1265" spans="3:28" x14ac:dyDescent="0.25">
      <c r="C1265" s="2">
        <v>10000001</v>
      </c>
      <c r="D1265" s="2" t="s">
        <v>1828</v>
      </c>
      <c r="F1265" s="2">
        <v>12010445</v>
      </c>
      <c r="H1265" s="2" t="s">
        <v>1828</v>
      </c>
      <c r="I1265" s="2" t="str">
        <f t="shared" si="19"/>
        <v>12</v>
      </c>
      <c r="J1265" s="2">
        <v>50</v>
      </c>
      <c r="K1265" s="3">
        <v>-50000</v>
      </c>
      <c r="L1265" s="2" t="s">
        <v>26</v>
      </c>
      <c r="M1265" s="3">
        <v>-50000</v>
      </c>
      <c r="N1265" s="2" t="s">
        <v>26</v>
      </c>
      <c r="R1265" s="2" t="s">
        <v>27</v>
      </c>
      <c r="S1265" s="2" t="s">
        <v>1853</v>
      </c>
      <c r="T1265" s="2" t="s">
        <v>334</v>
      </c>
      <c r="U1265" s="2" t="s">
        <v>1859</v>
      </c>
      <c r="V1265" s="4">
        <f>+VLOOKUP(U1265,'FBCJ Jul-Des 2025'!$G$10:$P$1302,8,0)</f>
        <v>70001110</v>
      </c>
      <c r="W1265" s="4" t="str">
        <f>+VLOOKUP(V1265,Sheet1!$A$2:$B$27,2,0)</f>
        <v>Biaya Ekspor lainnya</v>
      </c>
      <c r="X1265" s="4" t="str">
        <f>+VLOOKUP(U1265,'FBCJ Jul-Des 2025'!$G$10:$P$1302,9,0)</f>
        <v>P206D1SLSS</v>
      </c>
      <c r="Y1265" s="2" t="s">
        <v>43</v>
      </c>
      <c r="Z1265" s="2">
        <v>1880288</v>
      </c>
      <c r="AA1265" s="2">
        <v>20251222</v>
      </c>
      <c r="AB1265" s="3">
        <v>50000</v>
      </c>
    </row>
    <row r="1266" spans="3:28" x14ac:dyDescent="0.25">
      <c r="C1266" s="2">
        <v>10000001</v>
      </c>
      <c r="D1266" s="2" t="s">
        <v>1828</v>
      </c>
      <c r="F1266" s="2">
        <v>12010446</v>
      </c>
      <c r="H1266" s="2" t="s">
        <v>1828</v>
      </c>
      <c r="I1266" s="2" t="str">
        <f t="shared" si="19"/>
        <v>12</v>
      </c>
      <c r="J1266" s="2">
        <v>50</v>
      </c>
      <c r="K1266" s="3">
        <v>-50000</v>
      </c>
      <c r="L1266" s="2" t="s">
        <v>26</v>
      </c>
      <c r="M1266" s="3">
        <v>-50000</v>
      </c>
      <c r="N1266" s="2" t="s">
        <v>26</v>
      </c>
      <c r="R1266" s="2" t="s">
        <v>27</v>
      </c>
      <c r="S1266" s="2" t="s">
        <v>1853</v>
      </c>
      <c r="T1266" s="2" t="s">
        <v>334</v>
      </c>
      <c r="U1266" s="2" t="s">
        <v>1860</v>
      </c>
      <c r="V1266" s="4">
        <f>+VLOOKUP(U1266,'FBCJ Jul-Des 2025'!$G$10:$P$1302,8,0)</f>
        <v>70001110</v>
      </c>
      <c r="W1266" s="4" t="str">
        <f>+VLOOKUP(V1266,Sheet1!$A$2:$B$27,2,0)</f>
        <v>Biaya Ekspor lainnya</v>
      </c>
      <c r="X1266" s="4" t="str">
        <f>+VLOOKUP(U1266,'FBCJ Jul-Des 2025'!$G$10:$P$1302,9,0)</f>
        <v>P206D1SLSS</v>
      </c>
      <c r="Y1266" s="2" t="s">
        <v>43</v>
      </c>
      <c r="Z1266" s="2">
        <v>1880288</v>
      </c>
      <c r="AA1266" s="2">
        <v>20251222</v>
      </c>
      <c r="AB1266" s="3">
        <v>50000</v>
      </c>
    </row>
    <row r="1267" spans="3:28" x14ac:dyDescent="0.25">
      <c r="C1267" s="2">
        <v>10000001</v>
      </c>
      <c r="D1267" s="2" t="s">
        <v>1828</v>
      </c>
      <c r="F1267" s="2">
        <v>12010447</v>
      </c>
      <c r="H1267" s="2" t="s">
        <v>1828</v>
      </c>
      <c r="I1267" s="2" t="str">
        <f t="shared" si="19"/>
        <v>12</v>
      </c>
      <c r="J1267" s="2">
        <v>50</v>
      </c>
      <c r="K1267" s="3">
        <v>-50000</v>
      </c>
      <c r="L1267" s="2" t="s">
        <v>26</v>
      </c>
      <c r="M1267" s="3">
        <v>-50000</v>
      </c>
      <c r="N1267" s="2" t="s">
        <v>26</v>
      </c>
      <c r="R1267" s="2" t="s">
        <v>27</v>
      </c>
      <c r="S1267" s="2" t="s">
        <v>1853</v>
      </c>
      <c r="T1267" s="2" t="s">
        <v>334</v>
      </c>
      <c r="U1267" s="2" t="s">
        <v>1861</v>
      </c>
      <c r="V1267" s="4">
        <f>+VLOOKUP(U1267,'FBCJ Jul-Des 2025'!$G$10:$P$1302,8,0)</f>
        <v>70001110</v>
      </c>
      <c r="W1267" s="4" t="str">
        <f>+VLOOKUP(V1267,Sheet1!$A$2:$B$27,2,0)</f>
        <v>Biaya Ekspor lainnya</v>
      </c>
      <c r="X1267" s="4" t="str">
        <f>+VLOOKUP(U1267,'FBCJ Jul-Des 2025'!$G$10:$P$1302,9,0)</f>
        <v>P206D1SLSC</v>
      </c>
      <c r="Y1267" s="2" t="s">
        <v>43</v>
      </c>
      <c r="Z1267" s="2">
        <v>1880288</v>
      </c>
      <c r="AA1267" s="2">
        <v>20251222</v>
      </c>
      <c r="AB1267" s="3">
        <v>50000</v>
      </c>
    </row>
    <row r="1268" spans="3:28" x14ac:dyDescent="0.25">
      <c r="C1268" s="2">
        <v>10000001</v>
      </c>
      <c r="D1268" s="2" t="s">
        <v>1828</v>
      </c>
      <c r="F1268" s="2">
        <v>12010448</v>
      </c>
      <c r="H1268" s="2" t="s">
        <v>1828</v>
      </c>
      <c r="I1268" s="2" t="str">
        <f t="shared" si="19"/>
        <v>12</v>
      </c>
      <c r="J1268" s="2">
        <v>50</v>
      </c>
      <c r="K1268" s="3">
        <v>-50000</v>
      </c>
      <c r="L1268" s="2" t="s">
        <v>26</v>
      </c>
      <c r="M1268" s="3">
        <v>-50000</v>
      </c>
      <c r="N1268" s="2" t="s">
        <v>26</v>
      </c>
      <c r="R1268" s="2" t="s">
        <v>27</v>
      </c>
      <c r="S1268" s="2" t="s">
        <v>1853</v>
      </c>
      <c r="T1268" s="2" t="s">
        <v>334</v>
      </c>
      <c r="U1268" s="2" t="s">
        <v>1862</v>
      </c>
      <c r="V1268" s="4">
        <f>+VLOOKUP(U1268,'FBCJ Jul-Des 2025'!$G$10:$P$1302,8,0)</f>
        <v>70001110</v>
      </c>
      <c r="W1268" s="4" t="str">
        <f>+VLOOKUP(V1268,Sheet1!$A$2:$B$27,2,0)</f>
        <v>Biaya Ekspor lainnya</v>
      </c>
      <c r="X1268" s="4" t="str">
        <f>+VLOOKUP(U1268,'FBCJ Jul-Des 2025'!$G$10:$P$1302,9,0)</f>
        <v>P206D1SLSS</v>
      </c>
      <c r="Y1268" s="2" t="s">
        <v>43</v>
      </c>
      <c r="Z1268" s="2">
        <v>1880288</v>
      </c>
      <c r="AA1268" s="2">
        <v>20251222</v>
      </c>
      <c r="AB1268" s="3">
        <v>50000</v>
      </c>
    </row>
    <row r="1269" spans="3:28" x14ac:dyDescent="0.25">
      <c r="C1269" s="2">
        <v>10000001</v>
      </c>
      <c r="D1269" s="2" t="s">
        <v>1828</v>
      </c>
      <c r="F1269" s="2">
        <v>12010449</v>
      </c>
      <c r="H1269" s="2" t="s">
        <v>1828</v>
      </c>
      <c r="I1269" s="2" t="str">
        <f t="shared" si="19"/>
        <v>12</v>
      </c>
      <c r="J1269" s="2">
        <v>50</v>
      </c>
      <c r="K1269" s="3">
        <v>-50000</v>
      </c>
      <c r="L1269" s="2" t="s">
        <v>26</v>
      </c>
      <c r="M1269" s="3">
        <v>-50000</v>
      </c>
      <c r="N1269" s="2" t="s">
        <v>26</v>
      </c>
      <c r="R1269" s="2" t="s">
        <v>27</v>
      </c>
      <c r="S1269" s="2" t="s">
        <v>1853</v>
      </c>
      <c r="T1269" s="2" t="s">
        <v>334</v>
      </c>
      <c r="U1269" s="2" t="s">
        <v>1863</v>
      </c>
      <c r="V1269" s="4">
        <f>+VLOOKUP(U1269,'FBCJ Jul-Des 2025'!$G$10:$P$1302,8,0)</f>
        <v>70001110</v>
      </c>
      <c r="W1269" s="4" t="str">
        <f>+VLOOKUP(V1269,Sheet1!$A$2:$B$27,2,0)</f>
        <v>Biaya Ekspor lainnya</v>
      </c>
      <c r="X1269" s="4" t="str">
        <f>+VLOOKUP(U1269,'FBCJ Jul-Des 2025'!$G$10:$P$1302,9,0)</f>
        <v>P206D1SLSS</v>
      </c>
      <c r="Y1269" s="2" t="s">
        <v>43</v>
      </c>
      <c r="Z1269" s="2">
        <v>1880288</v>
      </c>
      <c r="AA1269" s="2">
        <v>20251222</v>
      </c>
      <c r="AB1269" s="3">
        <v>50000</v>
      </c>
    </row>
    <row r="1270" spans="3:28" x14ac:dyDescent="0.25">
      <c r="C1270" s="2">
        <v>10000001</v>
      </c>
      <c r="D1270" s="2" t="s">
        <v>1828</v>
      </c>
      <c r="F1270" s="2">
        <v>12010450</v>
      </c>
      <c r="H1270" s="2" t="s">
        <v>1828</v>
      </c>
      <c r="I1270" s="2" t="str">
        <f t="shared" si="19"/>
        <v>12</v>
      </c>
      <c r="J1270" s="2">
        <v>50</v>
      </c>
      <c r="K1270" s="3">
        <v>-50000</v>
      </c>
      <c r="L1270" s="2" t="s">
        <v>26</v>
      </c>
      <c r="M1270" s="3">
        <v>-50000</v>
      </c>
      <c r="N1270" s="2" t="s">
        <v>26</v>
      </c>
      <c r="R1270" s="2" t="s">
        <v>27</v>
      </c>
      <c r="S1270" s="2" t="s">
        <v>1853</v>
      </c>
      <c r="T1270" s="2" t="s">
        <v>334</v>
      </c>
      <c r="U1270" s="2" t="s">
        <v>1864</v>
      </c>
      <c r="V1270" s="4">
        <f>+VLOOKUP(U1270,'FBCJ Jul-Des 2025'!$G$10:$P$1302,8,0)</f>
        <v>70001110</v>
      </c>
      <c r="W1270" s="4" t="str">
        <f>+VLOOKUP(V1270,Sheet1!$A$2:$B$27,2,0)</f>
        <v>Biaya Ekspor lainnya</v>
      </c>
      <c r="X1270" s="4" t="str">
        <f>+VLOOKUP(U1270,'FBCJ Jul-Des 2025'!$G$10:$P$1302,9,0)</f>
        <v>P206D1SLSS</v>
      </c>
      <c r="Y1270" s="2" t="s">
        <v>43</v>
      </c>
      <c r="Z1270" s="2">
        <v>1880288</v>
      </c>
      <c r="AA1270" s="2">
        <v>20251222</v>
      </c>
      <c r="AB1270" s="3">
        <v>50000</v>
      </c>
    </row>
    <row r="1271" spans="3:28" x14ac:dyDescent="0.25">
      <c r="C1271" s="2">
        <v>10000001</v>
      </c>
      <c r="D1271" s="2" t="s">
        <v>1828</v>
      </c>
      <c r="F1271" s="2">
        <v>12010451</v>
      </c>
      <c r="H1271" s="2" t="s">
        <v>1828</v>
      </c>
      <c r="I1271" s="2" t="str">
        <f t="shared" si="19"/>
        <v>12</v>
      </c>
      <c r="J1271" s="2">
        <v>50</v>
      </c>
      <c r="K1271" s="3">
        <v>-50000</v>
      </c>
      <c r="L1271" s="2" t="s">
        <v>26</v>
      </c>
      <c r="M1271" s="3">
        <v>-50000</v>
      </c>
      <c r="N1271" s="2" t="s">
        <v>26</v>
      </c>
      <c r="R1271" s="2" t="s">
        <v>27</v>
      </c>
      <c r="S1271" s="2" t="s">
        <v>1853</v>
      </c>
      <c r="T1271" s="2" t="s">
        <v>334</v>
      </c>
      <c r="U1271" s="2" t="s">
        <v>1865</v>
      </c>
      <c r="V1271" s="4">
        <f>+VLOOKUP(U1271,'FBCJ Jul-Des 2025'!$G$10:$P$1302,8,0)</f>
        <v>70001110</v>
      </c>
      <c r="W1271" s="4" t="str">
        <f>+VLOOKUP(V1271,Sheet1!$A$2:$B$27,2,0)</f>
        <v>Biaya Ekspor lainnya</v>
      </c>
      <c r="X1271" s="4" t="str">
        <f>+VLOOKUP(U1271,'FBCJ Jul-Des 2025'!$G$10:$P$1302,9,0)</f>
        <v>P206D1SLSS</v>
      </c>
      <c r="Y1271" s="2" t="s">
        <v>43</v>
      </c>
      <c r="Z1271" s="2">
        <v>1880288</v>
      </c>
      <c r="AA1271" s="2">
        <v>20251222</v>
      </c>
      <c r="AB1271" s="3">
        <v>50000</v>
      </c>
    </row>
    <row r="1272" spans="3:28" x14ac:dyDescent="0.25">
      <c r="C1272" s="2">
        <v>10000001</v>
      </c>
      <c r="D1272" s="2" t="s">
        <v>1828</v>
      </c>
      <c r="F1272" s="2">
        <v>12010452</v>
      </c>
      <c r="H1272" s="2" t="s">
        <v>1828</v>
      </c>
      <c r="I1272" s="2" t="str">
        <f t="shared" si="19"/>
        <v>12</v>
      </c>
      <c r="J1272" s="2">
        <v>50</v>
      </c>
      <c r="K1272" s="3">
        <v>-50000</v>
      </c>
      <c r="L1272" s="2" t="s">
        <v>26</v>
      </c>
      <c r="M1272" s="3">
        <v>-50000</v>
      </c>
      <c r="N1272" s="2" t="s">
        <v>26</v>
      </c>
      <c r="R1272" s="2" t="s">
        <v>27</v>
      </c>
      <c r="S1272" s="2" t="s">
        <v>1853</v>
      </c>
      <c r="T1272" s="2" t="s">
        <v>334</v>
      </c>
      <c r="U1272" s="2" t="s">
        <v>1866</v>
      </c>
      <c r="V1272" s="4">
        <f>+VLOOKUP(U1272,'FBCJ Jul-Des 2025'!$G$10:$P$1302,8,0)</f>
        <v>70001110</v>
      </c>
      <c r="W1272" s="4" t="str">
        <f>+VLOOKUP(V1272,Sheet1!$A$2:$B$27,2,0)</f>
        <v>Biaya Ekspor lainnya</v>
      </c>
      <c r="X1272" s="4" t="str">
        <f>+VLOOKUP(U1272,'FBCJ Jul-Des 2025'!$G$10:$P$1302,9,0)</f>
        <v>P206D1SLSS</v>
      </c>
      <c r="Y1272" s="2" t="s">
        <v>43</v>
      </c>
      <c r="Z1272" s="2">
        <v>1880288</v>
      </c>
      <c r="AA1272" s="2">
        <v>20251222</v>
      </c>
      <c r="AB1272" s="3">
        <v>50000</v>
      </c>
    </row>
    <row r="1273" spans="3:28" x14ac:dyDescent="0.25">
      <c r="C1273" s="2">
        <v>10000001</v>
      </c>
      <c r="D1273" s="2" t="s">
        <v>1828</v>
      </c>
      <c r="F1273" s="2">
        <v>12010453</v>
      </c>
      <c r="H1273" s="2" t="s">
        <v>1828</v>
      </c>
      <c r="I1273" s="2" t="str">
        <f t="shared" si="19"/>
        <v>12</v>
      </c>
      <c r="J1273" s="2">
        <v>50</v>
      </c>
      <c r="K1273" s="3">
        <v>-400000</v>
      </c>
      <c r="L1273" s="2" t="s">
        <v>26</v>
      </c>
      <c r="M1273" s="3">
        <v>-400000</v>
      </c>
      <c r="N1273" s="2" t="s">
        <v>26</v>
      </c>
      <c r="R1273" s="2" t="s">
        <v>27</v>
      </c>
      <c r="S1273" s="2" t="s">
        <v>1867</v>
      </c>
      <c r="T1273" s="2" t="s">
        <v>126</v>
      </c>
      <c r="U1273" s="2" t="s">
        <v>1868</v>
      </c>
      <c r="V1273" s="4">
        <f>+VLOOKUP(U1273,'FBCJ Jul-Des 2025'!$G$10:$P$1302,8,0)</f>
        <v>70107600</v>
      </c>
      <c r="W1273" s="4" t="str">
        <f>+VLOOKUP(V1273,Sheet1!$A$2:$B$27,2,0)</f>
        <v>Biaya Konsumsi Kantor</v>
      </c>
      <c r="X1273" s="4" t="str">
        <f>+VLOOKUP(U1273,'FBCJ Jul-Des 2025'!$G$10:$P$1302,9,0)</f>
        <v>R124D1MGMT</v>
      </c>
      <c r="Y1273" s="2" t="s">
        <v>43</v>
      </c>
      <c r="Z1273" s="2">
        <v>1880288</v>
      </c>
      <c r="AA1273" s="2">
        <v>20251222</v>
      </c>
      <c r="AB1273" s="3">
        <v>400000</v>
      </c>
    </row>
    <row r="1274" spans="3:28" x14ac:dyDescent="0.25">
      <c r="C1274" s="2">
        <v>10000001</v>
      </c>
      <c r="D1274" s="2" t="s">
        <v>1828</v>
      </c>
      <c r="F1274" s="2">
        <v>12010454</v>
      </c>
      <c r="H1274" s="2" t="s">
        <v>1828</v>
      </c>
      <c r="I1274" s="2" t="str">
        <f t="shared" si="19"/>
        <v>12</v>
      </c>
      <c r="J1274" s="2">
        <v>50</v>
      </c>
      <c r="K1274" s="3">
        <v>-420000</v>
      </c>
      <c r="L1274" s="2" t="s">
        <v>26</v>
      </c>
      <c r="M1274" s="3">
        <v>-420000</v>
      </c>
      <c r="N1274" s="2" t="s">
        <v>26</v>
      </c>
      <c r="R1274" s="2" t="s">
        <v>27</v>
      </c>
      <c r="S1274" s="2" t="s">
        <v>1869</v>
      </c>
      <c r="T1274" s="2" t="s">
        <v>96</v>
      </c>
      <c r="U1274" s="2" t="s">
        <v>1870</v>
      </c>
      <c r="V1274" s="4">
        <f>+VLOOKUP(U1274,'FBCJ Jul-Des 2025'!$G$10:$P$1302,8,0)</f>
        <v>70106400</v>
      </c>
      <c r="W1274" s="4" t="str">
        <f>+VLOOKUP(V1274,Sheet1!$A$2:$B$27,2,0)</f>
        <v>Biaya Bahan Bakar</v>
      </c>
      <c r="X1274" s="4" t="str">
        <f>+VLOOKUP(U1274,'FBCJ Jul-Des 2025'!$G$10:$P$1302,9,0)</f>
        <v>R124D1HRGA</v>
      </c>
      <c r="Y1274" s="2" t="s">
        <v>43</v>
      </c>
      <c r="Z1274" s="2">
        <v>1880288</v>
      </c>
      <c r="AA1274" s="2">
        <v>20251222</v>
      </c>
      <c r="AB1274" s="3">
        <v>420000</v>
      </c>
    </row>
    <row r="1275" spans="3:28" x14ac:dyDescent="0.25">
      <c r="C1275" s="2">
        <v>10000001</v>
      </c>
      <c r="D1275" s="2" t="s">
        <v>1828</v>
      </c>
      <c r="F1275" s="2">
        <v>12010455</v>
      </c>
      <c r="H1275" s="2" t="s">
        <v>1828</v>
      </c>
      <c r="I1275" s="2" t="str">
        <f t="shared" si="19"/>
        <v>12</v>
      </c>
      <c r="J1275" s="2">
        <v>50</v>
      </c>
      <c r="K1275" s="3">
        <v>-580000</v>
      </c>
      <c r="L1275" s="2" t="s">
        <v>26</v>
      </c>
      <c r="M1275" s="3">
        <v>-580000</v>
      </c>
      <c r="N1275" s="2" t="s">
        <v>26</v>
      </c>
      <c r="R1275" s="2" t="s">
        <v>27</v>
      </c>
      <c r="S1275" s="2" t="s">
        <v>1869</v>
      </c>
      <c r="T1275" s="2" t="s">
        <v>67</v>
      </c>
      <c r="U1275" s="2" t="s">
        <v>98</v>
      </c>
      <c r="V1275" s="4">
        <f>+VLOOKUP(U1275,'FBCJ Jul-Des 2025'!$G$10:$P$1302,8,0)</f>
        <v>70106100</v>
      </c>
      <c r="W1275" s="4" t="str">
        <f>+VLOOKUP(V1275,Sheet1!$A$2:$B$27,2,0)</f>
        <v>Biaya Transportasi Lokal</v>
      </c>
      <c r="X1275" s="4" t="str">
        <f>+VLOOKUP(U1275,'FBCJ Jul-Des 2025'!$G$10:$P$1302,9,0)</f>
        <v>R124D1HRGA</v>
      </c>
      <c r="Y1275" s="2" t="s">
        <v>43</v>
      </c>
      <c r="Z1275" s="2">
        <v>1880288</v>
      </c>
      <c r="AA1275" s="2">
        <v>20251222</v>
      </c>
      <c r="AB1275" s="3">
        <v>580000</v>
      </c>
    </row>
    <row r="1276" spans="3:28" x14ac:dyDescent="0.25">
      <c r="C1276" s="2">
        <v>10000001</v>
      </c>
      <c r="D1276" s="2" t="s">
        <v>1871</v>
      </c>
      <c r="F1276" s="2">
        <v>12010456</v>
      </c>
      <c r="H1276" s="2" t="s">
        <v>1871</v>
      </c>
      <c r="I1276" s="2" t="str">
        <f t="shared" si="19"/>
        <v>12</v>
      </c>
      <c r="J1276" s="2">
        <v>50</v>
      </c>
      <c r="K1276" s="3">
        <v>-794848</v>
      </c>
      <c r="L1276" s="2" t="s">
        <v>26</v>
      </c>
      <c r="M1276" s="3">
        <v>-794848</v>
      </c>
      <c r="N1276" s="2" t="s">
        <v>26</v>
      </c>
      <c r="R1276" s="2" t="s">
        <v>27</v>
      </c>
      <c r="S1276" s="2" t="s">
        <v>1872</v>
      </c>
      <c r="T1276" s="2" t="s">
        <v>59</v>
      </c>
      <c r="U1276" s="2" t="s">
        <v>1873</v>
      </c>
      <c r="V1276" s="4">
        <f>+VLOOKUP(U1276,'FBCJ Jul-Des 2025'!$G$10:$P$1302,8,0)</f>
        <v>70101114</v>
      </c>
      <c r="W1276" s="4" t="str">
        <f>+VLOOKUP(V1276,Sheet1!$A$2:$B$27,2,0)</f>
        <v>By Perbaikan &amp; Perawatan Perabot Material Pihak3</v>
      </c>
      <c r="X1276" s="4" t="str">
        <f>+VLOOKUP(U1276,'FBCJ Jul-Des 2025'!$G$10:$P$1302,9,0)</f>
        <v>R124FAM</v>
      </c>
      <c r="Y1276" s="2" t="s">
        <v>43</v>
      </c>
      <c r="Z1276" s="2">
        <v>1880288</v>
      </c>
      <c r="AA1276" s="2">
        <v>20251223</v>
      </c>
      <c r="AB1276" s="3">
        <v>794848</v>
      </c>
    </row>
    <row r="1277" spans="3:28" x14ac:dyDescent="0.25">
      <c r="C1277" s="2">
        <v>10000001</v>
      </c>
      <c r="D1277" s="2" t="s">
        <v>1871</v>
      </c>
      <c r="F1277" s="2">
        <v>12010457</v>
      </c>
      <c r="H1277" s="2" t="s">
        <v>1871</v>
      </c>
      <c r="I1277" s="2" t="str">
        <f t="shared" si="19"/>
        <v>12</v>
      </c>
      <c r="J1277" s="2">
        <v>50</v>
      </c>
      <c r="K1277" s="3">
        <v>-420000</v>
      </c>
      <c r="L1277" s="2" t="s">
        <v>26</v>
      </c>
      <c r="M1277" s="3">
        <v>-420000</v>
      </c>
      <c r="N1277" s="2" t="s">
        <v>26</v>
      </c>
      <c r="R1277" s="2" t="s">
        <v>27</v>
      </c>
      <c r="S1277" s="2" t="s">
        <v>1874</v>
      </c>
      <c r="T1277" s="2" t="s">
        <v>129</v>
      </c>
      <c r="U1277" s="2" t="s">
        <v>1875</v>
      </c>
      <c r="V1277" s="4">
        <f>+VLOOKUP(U1277,'FBCJ Jul-Des 2025'!$G$10:$P$1302,8,0)</f>
        <v>70101102</v>
      </c>
      <c r="W1277" s="4" t="str">
        <f>+VLOOKUP(V1277,Sheet1!$A$2:$B$27,2,0)</f>
        <v>By Pemeliharaan BgnanPrasarana Material Pihak3</v>
      </c>
      <c r="X1277" s="4" t="str">
        <f>+VLOOKUP(U1277,'FBCJ Jul-Des 2025'!$G$10:$P$1302,9,0)</f>
        <v>R124M09</v>
      </c>
      <c r="Y1277" s="2" t="s">
        <v>43</v>
      </c>
      <c r="Z1277" s="2">
        <v>1880288</v>
      </c>
      <c r="AA1277" s="2">
        <v>20251223</v>
      </c>
      <c r="AB1277" s="3">
        <v>420000</v>
      </c>
    </row>
    <row r="1278" spans="3:28" x14ac:dyDescent="0.25">
      <c r="C1278" s="2">
        <v>10000001</v>
      </c>
      <c r="D1278" s="2" t="s">
        <v>1871</v>
      </c>
      <c r="F1278" s="2">
        <v>12010458</v>
      </c>
      <c r="H1278" s="2" t="s">
        <v>1871</v>
      </c>
      <c r="I1278" s="2" t="str">
        <f t="shared" si="19"/>
        <v>12</v>
      </c>
      <c r="J1278" s="2">
        <v>50</v>
      </c>
      <c r="K1278" s="3">
        <v>-372700</v>
      </c>
      <c r="L1278" s="2" t="s">
        <v>26</v>
      </c>
      <c r="M1278" s="3">
        <v>-372700</v>
      </c>
      <c r="N1278" s="2" t="s">
        <v>26</v>
      </c>
      <c r="R1278" s="2" t="s">
        <v>27</v>
      </c>
      <c r="S1278" s="2" t="s">
        <v>1876</v>
      </c>
      <c r="T1278" s="2" t="s">
        <v>59</v>
      </c>
      <c r="U1278" s="2" t="s">
        <v>1877</v>
      </c>
      <c r="V1278" s="4">
        <f>+VLOOKUP(U1278,'FBCJ Jul-Des 2025'!$G$10:$P$1302,8,0)</f>
        <v>70101114</v>
      </c>
      <c r="W1278" s="4" t="str">
        <f>+VLOOKUP(V1278,Sheet1!$A$2:$B$27,2,0)</f>
        <v>By Perbaikan &amp; Perawatan Perabot Material Pihak3</v>
      </c>
      <c r="X1278" s="4" t="str">
        <f>+VLOOKUP(U1278,'FBCJ Jul-Des 2025'!$G$10:$P$1302,9,0)</f>
        <v>R124FAM</v>
      </c>
      <c r="Y1278" s="2" t="s">
        <v>43</v>
      </c>
      <c r="Z1278" s="2">
        <v>1880288</v>
      </c>
      <c r="AA1278" s="2">
        <v>20251223</v>
      </c>
      <c r="AB1278" s="3">
        <v>372700</v>
      </c>
    </row>
    <row r="1279" spans="3:28" x14ac:dyDescent="0.25">
      <c r="C1279" s="2">
        <v>10000001</v>
      </c>
      <c r="D1279" s="2" t="s">
        <v>1871</v>
      </c>
      <c r="F1279" s="2">
        <v>12010459</v>
      </c>
      <c r="H1279" s="2" t="s">
        <v>1871</v>
      </c>
      <c r="I1279" s="2" t="str">
        <f t="shared" si="19"/>
        <v>12</v>
      </c>
      <c r="J1279" s="2">
        <v>50</v>
      </c>
      <c r="K1279" s="3">
        <v>-662900</v>
      </c>
      <c r="L1279" s="2" t="s">
        <v>26</v>
      </c>
      <c r="M1279" s="3">
        <v>-662900</v>
      </c>
      <c r="N1279" s="2" t="s">
        <v>26</v>
      </c>
      <c r="R1279" s="2" t="s">
        <v>27</v>
      </c>
      <c r="S1279" s="2" t="s">
        <v>1878</v>
      </c>
      <c r="T1279" s="2" t="s">
        <v>59</v>
      </c>
      <c r="U1279" s="2" t="s">
        <v>1879</v>
      </c>
      <c r="V1279" s="4">
        <f>+VLOOKUP(U1279,'FBCJ Jul-Des 2025'!$G$10:$P$1302,8,0)</f>
        <v>70101114</v>
      </c>
      <c r="W1279" s="4" t="str">
        <f>+VLOOKUP(V1279,Sheet1!$A$2:$B$27,2,0)</f>
        <v>By Perbaikan &amp; Perawatan Perabot Material Pihak3</v>
      </c>
      <c r="X1279" s="4" t="str">
        <f>+VLOOKUP(U1279,'FBCJ Jul-Des 2025'!$G$10:$P$1302,9,0)</f>
        <v>R124QCA</v>
      </c>
      <c r="Y1279" s="2" t="s">
        <v>43</v>
      </c>
      <c r="Z1279" s="2">
        <v>1880288</v>
      </c>
      <c r="AA1279" s="2">
        <v>20251223</v>
      </c>
      <c r="AB1279" s="3">
        <v>662900</v>
      </c>
    </row>
    <row r="1280" spans="3:28" x14ac:dyDescent="0.25">
      <c r="C1280" s="2">
        <v>10000001</v>
      </c>
      <c r="D1280" s="2" t="s">
        <v>1871</v>
      </c>
      <c r="F1280" s="2">
        <v>12010460</v>
      </c>
      <c r="H1280" s="2" t="s">
        <v>1871</v>
      </c>
      <c r="I1280" s="2" t="str">
        <f t="shared" si="19"/>
        <v>12</v>
      </c>
      <c r="J1280" s="2">
        <v>50</v>
      </c>
      <c r="K1280" s="3">
        <v>-895660</v>
      </c>
      <c r="L1280" s="2" t="s">
        <v>26</v>
      </c>
      <c r="M1280" s="3">
        <v>-895660</v>
      </c>
      <c r="N1280" s="2" t="s">
        <v>26</v>
      </c>
      <c r="R1280" s="2" t="s">
        <v>27</v>
      </c>
      <c r="S1280" s="2" t="s">
        <v>1880</v>
      </c>
      <c r="T1280" s="2" t="s">
        <v>59</v>
      </c>
      <c r="U1280" s="2" t="s">
        <v>1881</v>
      </c>
      <c r="V1280" s="4">
        <f>+VLOOKUP(U1280,'FBCJ Jul-Des 2025'!$G$10:$P$1302,8,0)</f>
        <v>70101114</v>
      </c>
      <c r="W1280" s="4" t="str">
        <f>+VLOOKUP(V1280,Sheet1!$A$2:$B$27,2,0)</f>
        <v>By Perbaikan &amp; Perawatan Perabot Material Pihak3</v>
      </c>
      <c r="X1280" s="4" t="str">
        <f>+VLOOKUP(U1280,'FBCJ Jul-Des 2025'!$G$10:$P$1302,9,0)</f>
        <v>R124QCA</v>
      </c>
      <c r="Y1280" s="2" t="s">
        <v>43</v>
      </c>
      <c r="Z1280" s="2">
        <v>1880288</v>
      </c>
      <c r="AA1280" s="2">
        <v>20251223</v>
      </c>
      <c r="AB1280" s="3">
        <v>895660</v>
      </c>
    </row>
    <row r="1281" spans="3:28" x14ac:dyDescent="0.25">
      <c r="C1281" s="2">
        <v>10000001</v>
      </c>
      <c r="D1281" s="2" t="s">
        <v>1871</v>
      </c>
      <c r="F1281" s="2">
        <v>12010461</v>
      </c>
      <c r="H1281" s="2" t="s">
        <v>1871</v>
      </c>
      <c r="I1281" s="2" t="str">
        <f t="shared" si="19"/>
        <v>12</v>
      </c>
      <c r="J1281" s="2">
        <v>50</v>
      </c>
      <c r="K1281" s="3">
        <v>-880200</v>
      </c>
      <c r="L1281" s="2" t="s">
        <v>26</v>
      </c>
      <c r="M1281" s="3">
        <v>-880200</v>
      </c>
      <c r="N1281" s="2" t="s">
        <v>26</v>
      </c>
      <c r="R1281" s="2" t="s">
        <v>27</v>
      </c>
      <c r="S1281" s="2" t="s">
        <v>1882</v>
      </c>
      <c r="T1281" s="2" t="s">
        <v>59</v>
      </c>
      <c r="U1281" s="2" t="s">
        <v>1873</v>
      </c>
      <c r="V1281" s="4">
        <f>+VLOOKUP(U1281,'FBCJ Jul-Des 2025'!$G$10:$P$1302,8,0)</f>
        <v>70101114</v>
      </c>
      <c r="W1281" s="4" t="str">
        <f>+VLOOKUP(V1281,Sheet1!$A$2:$B$27,2,0)</f>
        <v>By Perbaikan &amp; Perawatan Perabot Material Pihak3</v>
      </c>
      <c r="X1281" s="4" t="str">
        <f>+VLOOKUP(U1281,'FBCJ Jul-Des 2025'!$G$10:$P$1302,9,0)</f>
        <v>R124FAM</v>
      </c>
      <c r="Y1281" s="2" t="s">
        <v>43</v>
      </c>
      <c r="Z1281" s="2">
        <v>1880288</v>
      </c>
      <c r="AA1281" s="2">
        <v>20251223</v>
      </c>
      <c r="AB1281" s="3">
        <v>880200</v>
      </c>
    </row>
    <row r="1282" spans="3:28" x14ac:dyDescent="0.25">
      <c r="C1282" s="2">
        <v>10000001</v>
      </c>
      <c r="D1282" s="2" t="s">
        <v>1871</v>
      </c>
      <c r="F1282" s="2">
        <v>12010462</v>
      </c>
      <c r="H1282" s="2" t="s">
        <v>1871</v>
      </c>
      <c r="I1282" s="2" t="str">
        <f t="shared" si="19"/>
        <v>12</v>
      </c>
      <c r="J1282" s="2">
        <v>50</v>
      </c>
      <c r="K1282" s="3">
        <v>-610000</v>
      </c>
      <c r="L1282" s="2" t="s">
        <v>26</v>
      </c>
      <c r="M1282" s="3">
        <v>-610000</v>
      </c>
      <c r="N1282" s="2" t="s">
        <v>26</v>
      </c>
      <c r="R1282" s="2" t="s">
        <v>27</v>
      </c>
      <c r="S1282" s="2" t="s">
        <v>1883</v>
      </c>
      <c r="T1282" s="2" t="s">
        <v>59</v>
      </c>
      <c r="U1282" s="2" t="s">
        <v>1884</v>
      </c>
      <c r="V1282" s="4">
        <f>+VLOOKUP(U1282,'FBCJ Jul-Des 2025'!$G$10:$P$1302,8,0)</f>
        <v>70101114</v>
      </c>
      <c r="W1282" s="4" t="str">
        <f>+VLOOKUP(V1282,Sheet1!$A$2:$B$27,2,0)</f>
        <v>By Perbaikan &amp; Perawatan Perabot Material Pihak3</v>
      </c>
      <c r="X1282" s="4" t="str">
        <f>+VLOOKUP(U1282,'FBCJ Jul-Des 2025'!$G$10:$P$1302,9,0)</f>
        <v>R124QCA</v>
      </c>
      <c r="Y1282" s="2" t="s">
        <v>43</v>
      </c>
      <c r="Z1282" s="2">
        <v>1880288</v>
      </c>
      <c r="AA1282" s="2">
        <v>20251223</v>
      </c>
      <c r="AB1282" s="3">
        <v>610000</v>
      </c>
    </row>
    <row r="1283" spans="3:28" x14ac:dyDescent="0.25">
      <c r="C1283" s="2">
        <v>10000001</v>
      </c>
      <c r="D1283" s="2" t="s">
        <v>1871</v>
      </c>
      <c r="F1283" s="2">
        <v>12010463</v>
      </c>
      <c r="H1283" s="2" t="s">
        <v>1871</v>
      </c>
      <c r="I1283" s="2" t="str">
        <f t="shared" si="19"/>
        <v>12</v>
      </c>
      <c r="J1283" s="2">
        <v>50</v>
      </c>
      <c r="K1283" s="3">
        <v>-137000</v>
      </c>
      <c r="L1283" s="2" t="s">
        <v>26</v>
      </c>
      <c r="M1283" s="3">
        <v>-137000</v>
      </c>
      <c r="N1283" s="2" t="s">
        <v>26</v>
      </c>
      <c r="R1283" s="2" t="s">
        <v>27</v>
      </c>
      <c r="S1283" s="2" t="s">
        <v>1883</v>
      </c>
      <c r="T1283" s="2" t="s">
        <v>67</v>
      </c>
      <c r="U1283" s="2" t="s">
        <v>1885</v>
      </c>
      <c r="V1283" s="4">
        <f>+VLOOKUP(U1283,'FBCJ Jul-Des 2025'!$G$10:$P$1302,8,0)</f>
        <v>70106100</v>
      </c>
      <c r="W1283" s="4" t="str">
        <f>+VLOOKUP(V1283,Sheet1!$A$2:$B$27,2,0)</f>
        <v>Biaya Transportasi Lokal</v>
      </c>
      <c r="X1283" s="4" t="str">
        <f>+VLOOKUP(U1283,'FBCJ Jul-Des 2025'!$G$10:$P$1302,9,0)</f>
        <v>R124QCA</v>
      </c>
      <c r="Y1283" s="2" t="s">
        <v>43</v>
      </c>
      <c r="Z1283" s="2">
        <v>1880288</v>
      </c>
      <c r="AA1283" s="2">
        <v>20251223</v>
      </c>
      <c r="AB1283" s="3">
        <v>137000</v>
      </c>
    </row>
    <row r="1284" spans="3:28" x14ac:dyDescent="0.25">
      <c r="C1284" s="2">
        <v>10000001</v>
      </c>
      <c r="D1284" s="2" t="s">
        <v>1871</v>
      </c>
      <c r="F1284" s="2">
        <v>12010464</v>
      </c>
      <c r="H1284" s="2" t="s">
        <v>1871</v>
      </c>
      <c r="I1284" s="2" t="str">
        <f t="shared" si="19"/>
        <v>12</v>
      </c>
      <c r="J1284" s="2">
        <v>50</v>
      </c>
      <c r="K1284" s="3">
        <v>-113000</v>
      </c>
      <c r="L1284" s="2" t="s">
        <v>26</v>
      </c>
      <c r="M1284" s="3">
        <v>-113000</v>
      </c>
      <c r="N1284" s="2" t="s">
        <v>26</v>
      </c>
      <c r="R1284" s="2" t="s">
        <v>27</v>
      </c>
      <c r="S1284" s="2" t="s">
        <v>1883</v>
      </c>
      <c r="T1284" s="2" t="s">
        <v>59</v>
      </c>
      <c r="U1284" s="2" t="s">
        <v>1886</v>
      </c>
      <c r="V1284" s="4">
        <f>+VLOOKUP(U1284,'FBCJ Jul-Des 2025'!$G$10:$P$1302,8,0)</f>
        <v>70101114</v>
      </c>
      <c r="W1284" s="4" t="str">
        <f>+VLOOKUP(V1284,Sheet1!$A$2:$B$27,2,0)</f>
        <v>By Perbaikan &amp; Perawatan Perabot Material Pihak3</v>
      </c>
      <c r="X1284" s="4" t="str">
        <f>+VLOOKUP(U1284,'FBCJ Jul-Des 2025'!$G$10:$P$1302,9,0)</f>
        <v>R124QCA</v>
      </c>
      <c r="Y1284" s="2" t="s">
        <v>43</v>
      </c>
      <c r="Z1284" s="2">
        <v>1880288</v>
      </c>
      <c r="AA1284" s="2">
        <v>20251223</v>
      </c>
      <c r="AB1284" s="3">
        <v>113000</v>
      </c>
    </row>
    <row r="1285" spans="3:28" x14ac:dyDescent="0.25">
      <c r="C1285" s="2">
        <v>10000001</v>
      </c>
      <c r="D1285" s="2" t="s">
        <v>1871</v>
      </c>
      <c r="F1285" s="2">
        <v>12010465</v>
      </c>
      <c r="H1285" s="2" t="s">
        <v>1871</v>
      </c>
      <c r="I1285" s="2" t="str">
        <f t="shared" si="19"/>
        <v>12</v>
      </c>
      <c r="J1285" s="2">
        <v>50</v>
      </c>
      <c r="K1285" s="3">
        <v>-79460</v>
      </c>
      <c r="L1285" s="2" t="s">
        <v>26</v>
      </c>
      <c r="M1285" s="3">
        <v>-79460</v>
      </c>
      <c r="N1285" s="2" t="s">
        <v>26</v>
      </c>
      <c r="R1285" s="2" t="s">
        <v>27</v>
      </c>
      <c r="S1285" s="2" t="s">
        <v>1883</v>
      </c>
      <c r="T1285" s="2" t="s">
        <v>518</v>
      </c>
      <c r="U1285" s="2" t="s">
        <v>1887</v>
      </c>
      <c r="V1285" s="4">
        <f>+VLOOKUP(U1285,'FBCJ Jul-Des 2025'!$G$10:$P$1302,8,0)</f>
        <v>70119300</v>
      </c>
      <c r="W1285" s="4" t="str">
        <f>+VLOOKUP(V1285,Sheet1!$A$2:$B$27,2,0)</f>
        <v>Biaya Umum dan Administrasi</v>
      </c>
      <c r="X1285" s="4" t="str">
        <f>+VLOOKUP(U1285,'FBCJ Jul-Des 2025'!$G$10:$P$1302,9,0)</f>
        <v>R124QCA</v>
      </c>
      <c r="Y1285" s="2" t="s">
        <v>43</v>
      </c>
      <c r="Z1285" s="2">
        <v>1880288</v>
      </c>
      <c r="AA1285" s="2">
        <v>20251223</v>
      </c>
      <c r="AB1285" s="3">
        <v>79460</v>
      </c>
    </row>
    <row r="1286" spans="3:28" x14ac:dyDescent="0.25">
      <c r="C1286" s="2">
        <v>10000001</v>
      </c>
      <c r="D1286" s="2" t="s">
        <v>1871</v>
      </c>
      <c r="F1286" s="2">
        <v>12010466</v>
      </c>
      <c r="H1286" s="2" t="s">
        <v>1871</v>
      </c>
      <c r="I1286" s="2" t="str">
        <f t="shared" si="19"/>
        <v>12</v>
      </c>
      <c r="J1286" s="2">
        <v>50</v>
      </c>
      <c r="K1286" s="3">
        <v>-600000</v>
      </c>
      <c r="L1286" s="2" t="s">
        <v>26</v>
      </c>
      <c r="M1286" s="3">
        <v>-600000</v>
      </c>
      <c r="N1286" s="2" t="s">
        <v>26</v>
      </c>
      <c r="R1286" s="2" t="s">
        <v>27</v>
      </c>
      <c r="S1286" s="2" t="s">
        <v>1888</v>
      </c>
      <c r="T1286" s="2" t="s">
        <v>96</v>
      </c>
      <c r="U1286" s="2" t="s">
        <v>1889</v>
      </c>
      <c r="V1286" s="4">
        <f>+VLOOKUP(U1286,'FBCJ Jul-Des 2025'!$G$10:$P$1302,8,0)</f>
        <v>70106400</v>
      </c>
      <c r="W1286" s="4" t="str">
        <f>+VLOOKUP(V1286,Sheet1!$A$2:$B$27,2,0)</f>
        <v>Biaya Bahan Bakar</v>
      </c>
      <c r="X1286" s="4" t="str">
        <f>+VLOOKUP(U1286,'FBCJ Jul-Des 2025'!$G$10:$P$1302,9,0)</f>
        <v>R124D1HRGA</v>
      </c>
      <c r="Y1286" s="2" t="s">
        <v>43</v>
      </c>
      <c r="Z1286" s="2">
        <v>1880288</v>
      </c>
      <c r="AA1286" s="2">
        <v>20251223</v>
      </c>
      <c r="AB1286" s="3">
        <v>600000</v>
      </c>
    </row>
    <row r="1287" spans="3:28" x14ac:dyDescent="0.25">
      <c r="C1287" s="2">
        <v>10000001</v>
      </c>
      <c r="D1287" s="2" t="s">
        <v>1871</v>
      </c>
      <c r="F1287" s="2">
        <v>12010467</v>
      </c>
      <c r="H1287" s="2" t="s">
        <v>1871</v>
      </c>
      <c r="I1287" s="2" t="str">
        <f t="shared" si="19"/>
        <v>12</v>
      </c>
      <c r="J1287" s="2">
        <v>50</v>
      </c>
      <c r="K1287" s="3">
        <v>-399000</v>
      </c>
      <c r="L1287" s="2" t="s">
        <v>26</v>
      </c>
      <c r="M1287" s="3">
        <v>-399000</v>
      </c>
      <c r="N1287" s="2" t="s">
        <v>26</v>
      </c>
      <c r="R1287" s="2" t="s">
        <v>27</v>
      </c>
      <c r="S1287" s="2" t="s">
        <v>1888</v>
      </c>
      <c r="T1287" s="2" t="s">
        <v>67</v>
      </c>
      <c r="U1287" s="2" t="s">
        <v>98</v>
      </c>
      <c r="V1287" s="4">
        <f>+VLOOKUP(U1287,'FBCJ Jul-Des 2025'!$G$10:$P$1302,8,0)</f>
        <v>70106100</v>
      </c>
      <c r="W1287" s="4" t="str">
        <f>+VLOOKUP(V1287,Sheet1!$A$2:$B$27,2,0)</f>
        <v>Biaya Transportasi Lokal</v>
      </c>
      <c r="X1287" s="4" t="str">
        <f>+VLOOKUP(U1287,'FBCJ Jul-Des 2025'!$G$10:$P$1302,9,0)</f>
        <v>R124D1HRGA</v>
      </c>
      <c r="Y1287" s="2" t="s">
        <v>43</v>
      </c>
      <c r="Z1287" s="2">
        <v>1880288</v>
      </c>
      <c r="AA1287" s="2">
        <v>20251223</v>
      </c>
      <c r="AB1287" s="3">
        <v>399000</v>
      </c>
    </row>
    <row r="1288" spans="3:28" x14ac:dyDescent="0.25">
      <c r="C1288" s="2">
        <v>10000001</v>
      </c>
      <c r="D1288" s="2" t="s">
        <v>1871</v>
      </c>
      <c r="F1288" s="2">
        <v>12010468</v>
      </c>
      <c r="H1288" s="2" t="s">
        <v>1871</v>
      </c>
      <c r="I1288" s="2" t="str">
        <f t="shared" ref="I1288:I1295" si="20">+MID(H1288,4,2)</f>
        <v>12</v>
      </c>
      <c r="J1288" s="2">
        <v>50</v>
      </c>
      <c r="K1288" s="3">
        <v>-960000</v>
      </c>
      <c r="L1288" s="2" t="s">
        <v>26</v>
      </c>
      <c r="M1288" s="3">
        <v>-960000</v>
      </c>
      <c r="N1288" s="2" t="s">
        <v>26</v>
      </c>
      <c r="R1288" s="2" t="s">
        <v>27</v>
      </c>
      <c r="S1288" s="2" t="s">
        <v>1890</v>
      </c>
      <c r="T1288" s="2" t="s">
        <v>126</v>
      </c>
      <c r="U1288" s="2" t="s">
        <v>1891</v>
      </c>
      <c r="V1288" s="4">
        <f>+VLOOKUP(U1288,'FBCJ Jul-Des 2025'!$G$10:$P$1302,8,0)</f>
        <v>70107600</v>
      </c>
      <c r="W1288" s="4" t="str">
        <f>+VLOOKUP(V1288,Sheet1!$A$2:$B$27,2,0)</f>
        <v>Biaya Konsumsi Kantor</v>
      </c>
      <c r="X1288" s="4" t="str">
        <f>+VLOOKUP(U1288,'FBCJ Jul-Des 2025'!$G$10:$P$1302,9,0)</f>
        <v>R124REF</v>
      </c>
      <c r="Y1288" s="2" t="s">
        <v>43</v>
      </c>
      <c r="Z1288" s="2">
        <v>1880288</v>
      </c>
      <c r="AA1288" s="2">
        <v>20251223</v>
      </c>
      <c r="AB1288" s="3">
        <v>960000</v>
      </c>
    </row>
    <row r="1289" spans="3:28" x14ac:dyDescent="0.25">
      <c r="C1289" s="2">
        <v>10000001</v>
      </c>
      <c r="D1289" s="2" t="s">
        <v>1871</v>
      </c>
      <c r="F1289" s="2">
        <v>12010469</v>
      </c>
      <c r="H1289" s="2" t="s">
        <v>1871</v>
      </c>
      <c r="I1289" s="2" t="str">
        <f t="shared" si="20"/>
        <v>12</v>
      </c>
      <c r="J1289" s="2">
        <v>50</v>
      </c>
      <c r="K1289" s="3">
        <v>-256380</v>
      </c>
      <c r="L1289" s="2" t="s">
        <v>26</v>
      </c>
      <c r="M1289" s="3">
        <v>-256380</v>
      </c>
      <c r="N1289" s="2" t="s">
        <v>26</v>
      </c>
      <c r="R1289" s="2" t="s">
        <v>27</v>
      </c>
      <c r="S1289" s="2" t="s">
        <v>1892</v>
      </c>
      <c r="T1289" s="2" t="s">
        <v>57</v>
      </c>
      <c r="U1289" s="2" t="s">
        <v>1893</v>
      </c>
      <c r="V1289" s="4">
        <f>+VLOOKUP(U1289,'FBCJ Jul-Des 2025'!$G$10:$P$1302,8,0)</f>
        <v>70101202</v>
      </c>
      <c r="W1289" s="4" t="str">
        <f>+VLOOKUP(V1289,Sheet1!$A$2:$B$27,2,0)</f>
        <v>By Pemeliharaan Kend,ABerat,Mesin-Material Pihak3</v>
      </c>
      <c r="X1289" s="4" t="str">
        <f>+VLOOKUP(U1289,'FBCJ Jul-Des 2025'!$G$10:$P$1302,9,0)</f>
        <v>R124FRA</v>
      </c>
      <c r="Y1289" s="2" t="s">
        <v>43</v>
      </c>
      <c r="Z1289" s="2">
        <v>1880288</v>
      </c>
      <c r="AA1289" s="2">
        <v>20251223</v>
      </c>
      <c r="AB1289" s="3">
        <v>256380</v>
      </c>
    </row>
    <row r="1290" spans="3:28" x14ac:dyDescent="0.25">
      <c r="C1290" s="2">
        <v>10000001</v>
      </c>
      <c r="D1290" s="2" t="s">
        <v>1871</v>
      </c>
      <c r="F1290" s="2">
        <v>12010470</v>
      </c>
      <c r="H1290" s="2" t="s">
        <v>1871</v>
      </c>
      <c r="I1290" s="2" t="str">
        <f t="shared" si="20"/>
        <v>12</v>
      </c>
      <c r="J1290" s="2">
        <v>50</v>
      </c>
      <c r="K1290" s="3">
        <v>-600000</v>
      </c>
      <c r="L1290" s="2" t="s">
        <v>26</v>
      </c>
      <c r="M1290" s="3">
        <v>-600000</v>
      </c>
      <c r="N1290" s="2" t="s">
        <v>26</v>
      </c>
      <c r="R1290" s="2" t="s">
        <v>27</v>
      </c>
      <c r="S1290" s="2" t="s">
        <v>1894</v>
      </c>
      <c r="T1290" s="2" t="s">
        <v>41</v>
      </c>
      <c r="U1290" s="2" t="s">
        <v>1895</v>
      </c>
      <c r="V1290" s="4">
        <f>+VLOOKUP(U1290,'FBCJ Jul-Des 2025'!$G$10:$P$1302,8,0)</f>
        <v>70107300</v>
      </c>
      <c r="W1290" s="4" t="str">
        <f>+VLOOKUP(V1290,Sheet1!$A$2:$B$27,2,0)</f>
        <v>Biaya Olahraga Dan Permainan</v>
      </c>
      <c r="X1290" s="4" t="str">
        <f>+VLOOKUP(U1290,'FBCJ Jul-Des 2025'!$G$10:$P$1302,9,0)</f>
        <v>R124D1HRDV</v>
      </c>
      <c r="Y1290" s="2" t="s">
        <v>43</v>
      </c>
      <c r="Z1290" s="2">
        <v>1880288</v>
      </c>
      <c r="AA1290" s="2">
        <v>20251223</v>
      </c>
      <c r="AB1290" s="3">
        <v>600000</v>
      </c>
    </row>
    <row r="1291" spans="3:28" x14ac:dyDescent="0.25">
      <c r="C1291" s="2">
        <v>10000001</v>
      </c>
      <c r="D1291" s="2" t="s">
        <v>1871</v>
      </c>
      <c r="F1291" s="2">
        <v>12010471</v>
      </c>
      <c r="H1291" s="2" t="s">
        <v>1871</v>
      </c>
      <c r="I1291" s="2" t="str">
        <f t="shared" si="20"/>
        <v>12</v>
      </c>
      <c r="J1291" s="2">
        <v>50</v>
      </c>
      <c r="K1291" s="3">
        <v>-971000</v>
      </c>
      <c r="L1291" s="2" t="s">
        <v>26</v>
      </c>
      <c r="M1291" s="3">
        <v>-971000</v>
      </c>
      <c r="N1291" s="2" t="s">
        <v>26</v>
      </c>
      <c r="R1291" s="2" t="s">
        <v>27</v>
      </c>
      <c r="S1291" s="2" t="s">
        <v>1896</v>
      </c>
      <c r="T1291" s="2" t="s">
        <v>126</v>
      </c>
      <c r="U1291" s="2" t="s">
        <v>1897</v>
      </c>
      <c r="V1291" s="4">
        <f>+VLOOKUP(U1291,'FBCJ Jul-Des 2025'!$G$10:$P$1302,8,0)</f>
        <v>70107600</v>
      </c>
      <c r="W1291" s="4" t="str">
        <f>+VLOOKUP(V1291,Sheet1!$A$2:$B$27,2,0)</f>
        <v>Biaya Konsumsi Kantor</v>
      </c>
      <c r="X1291" s="4" t="str">
        <f>+VLOOKUP(U1291,'FBCJ Jul-Des 2025'!$G$10:$P$1302,9,0)</f>
        <v>R124D1HRDV</v>
      </c>
      <c r="Y1291" s="2" t="s">
        <v>43</v>
      </c>
      <c r="Z1291" s="2">
        <v>1880288</v>
      </c>
      <c r="AA1291" s="2">
        <v>20251223</v>
      </c>
      <c r="AB1291" s="3">
        <v>971000</v>
      </c>
    </row>
    <row r="1292" spans="3:28" x14ac:dyDescent="0.25">
      <c r="C1292" s="2">
        <v>10000001</v>
      </c>
      <c r="D1292" s="2" t="s">
        <v>1871</v>
      </c>
      <c r="F1292" s="2">
        <v>12010472</v>
      </c>
      <c r="H1292" s="2" t="s">
        <v>1871</v>
      </c>
      <c r="I1292" s="2" t="str">
        <f t="shared" si="20"/>
        <v>12</v>
      </c>
      <c r="J1292" s="2">
        <v>50</v>
      </c>
      <c r="K1292" s="3">
        <v>-610800</v>
      </c>
      <c r="L1292" s="2" t="s">
        <v>26</v>
      </c>
      <c r="M1292" s="3">
        <v>-610800</v>
      </c>
      <c r="N1292" s="2" t="s">
        <v>26</v>
      </c>
      <c r="R1292" s="2" t="s">
        <v>27</v>
      </c>
      <c r="S1292" s="2" t="s">
        <v>1898</v>
      </c>
      <c r="T1292" s="2" t="s">
        <v>57</v>
      </c>
      <c r="U1292" s="2" t="s">
        <v>1899</v>
      </c>
      <c r="V1292" s="4">
        <f>+VLOOKUP(U1292,'FBCJ Jul-Des 2025'!$G$10:$P$1302,8,0)</f>
        <v>70101202</v>
      </c>
      <c r="W1292" s="4" t="str">
        <f>+VLOOKUP(V1292,Sheet1!$A$2:$B$27,2,0)</f>
        <v>By Pemeliharaan Kend,ABerat,Mesin-Material Pihak3</v>
      </c>
      <c r="X1292" s="4" t="str">
        <f>+VLOOKUP(U1292,'FBCJ Jul-Des 2025'!$G$10:$P$1302,9,0)</f>
        <v>R124REF3</v>
      </c>
      <c r="Y1292" s="2" t="s">
        <v>43</v>
      </c>
      <c r="Z1292" s="2">
        <v>1880288</v>
      </c>
      <c r="AA1292" s="2">
        <v>20251223</v>
      </c>
      <c r="AB1292" s="3">
        <v>610800</v>
      </c>
    </row>
    <row r="1293" spans="3:28" x14ac:dyDescent="0.25">
      <c r="C1293" s="2">
        <v>10000001</v>
      </c>
      <c r="D1293" s="2" t="s">
        <v>1871</v>
      </c>
      <c r="F1293" s="2">
        <v>12010473</v>
      </c>
      <c r="H1293" s="2" t="s">
        <v>1871</v>
      </c>
      <c r="I1293" s="2" t="str">
        <f t="shared" si="20"/>
        <v>12</v>
      </c>
      <c r="J1293" s="2">
        <v>50</v>
      </c>
      <c r="K1293" s="3">
        <v>-333000</v>
      </c>
      <c r="L1293" s="2" t="s">
        <v>26</v>
      </c>
      <c r="M1293" s="3">
        <v>-333000</v>
      </c>
      <c r="N1293" s="2" t="s">
        <v>26</v>
      </c>
      <c r="R1293" s="2" t="s">
        <v>27</v>
      </c>
      <c r="S1293" s="2" t="s">
        <v>1898</v>
      </c>
      <c r="T1293" s="2" t="s">
        <v>375</v>
      </c>
      <c r="U1293" s="2" t="s">
        <v>1900</v>
      </c>
      <c r="V1293" s="4">
        <v>15000900</v>
      </c>
      <c r="W1293" s="4" t="str">
        <f>+VLOOKUP(V1293,Sheet1!$A$2:$B$27,2,0)</f>
        <v>Biaya Lainnya Yang Dibayar Di Muka</v>
      </c>
      <c r="X1293" s="4" t="s">
        <v>1913</v>
      </c>
      <c r="Y1293" s="2" t="s">
        <v>43</v>
      </c>
      <c r="Z1293" s="2">
        <v>1880288</v>
      </c>
      <c r="AA1293" s="2">
        <v>20251223</v>
      </c>
      <c r="AB1293" s="3">
        <v>333000</v>
      </c>
    </row>
    <row r="1294" spans="3:28" x14ac:dyDescent="0.25">
      <c r="C1294" s="2">
        <v>10000001</v>
      </c>
      <c r="D1294" s="2" t="s">
        <v>1871</v>
      </c>
      <c r="F1294" s="2">
        <v>12010474</v>
      </c>
      <c r="H1294" s="2" t="s">
        <v>1871</v>
      </c>
      <c r="I1294" s="2" t="str">
        <f t="shared" si="20"/>
        <v>12</v>
      </c>
      <c r="J1294" s="2">
        <v>50</v>
      </c>
      <c r="K1294" s="3">
        <v>-974025</v>
      </c>
      <c r="L1294" s="2" t="s">
        <v>26</v>
      </c>
      <c r="M1294" s="3">
        <v>-974025</v>
      </c>
      <c r="N1294" s="2" t="s">
        <v>26</v>
      </c>
      <c r="R1294" s="2" t="s">
        <v>27</v>
      </c>
      <c r="S1294" s="2" t="s">
        <v>1901</v>
      </c>
      <c r="T1294" s="2" t="s">
        <v>375</v>
      </c>
      <c r="U1294" s="2" t="s">
        <v>1902</v>
      </c>
      <c r="V1294" s="4">
        <v>15000900</v>
      </c>
      <c r="W1294" s="4" t="str">
        <f>+VLOOKUP(V1294,Sheet1!$A$2:$B$27,2,0)</f>
        <v>Biaya Lainnya Yang Dibayar Di Muka</v>
      </c>
      <c r="X1294" s="4" t="s">
        <v>1913</v>
      </c>
      <c r="Y1294" s="2" t="s">
        <v>43</v>
      </c>
      <c r="Z1294" s="2">
        <v>1880288</v>
      </c>
      <c r="AA1294" s="2">
        <v>20251223</v>
      </c>
      <c r="AB1294" s="3">
        <v>974025</v>
      </c>
    </row>
    <row r="1295" spans="3:28" x14ac:dyDescent="0.25">
      <c r="C1295" s="2">
        <v>10000001</v>
      </c>
      <c r="D1295" s="2" t="s">
        <v>1871</v>
      </c>
      <c r="F1295" s="2">
        <v>12010475</v>
      </c>
      <c r="H1295" s="2" t="s">
        <v>1871</v>
      </c>
      <c r="I1295" s="2" t="str">
        <f t="shared" si="20"/>
        <v>12</v>
      </c>
      <c r="J1295" s="2">
        <v>40</v>
      </c>
      <c r="K1295" s="3">
        <v>33403043</v>
      </c>
      <c r="L1295" s="2" t="s">
        <v>26</v>
      </c>
      <c r="M1295" s="3">
        <v>33403043</v>
      </c>
      <c r="N1295" s="2" t="s">
        <v>26</v>
      </c>
      <c r="R1295" s="2" t="s">
        <v>27</v>
      </c>
      <c r="T1295" s="2" t="s">
        <v>249</v>
      </c>
      <c r="U1295" s="2" t="s">
        <v>1903</v>
      </c>
      <c r="Y1295" s="2" t="s">
        <v>43</v>
      </c>
      <c r="Z1295" s="2">
        <v>12010649</v>
      </c>
      <c r="AA1295" s="2">
        <v>20251223</v>
      </c>
      <c r="AB1295" s="3">
        <v>33403043</v>
      </c>
    </row>
    <row r="1296" spans="3:28" x14ac:dyDescent="0.25">
      <c r="K1296" s="3">
        <f>SUM(K7:K1295)</f>
        <v>0</v>
      </c>
      <c r="M1296" s="3">
        <f>SUM(M7:M1295)</f>
        <v>0</v>
      </c>
      <c r="AB1296" s="3">
        <f>SUM(AB7:AB1295)</f>
        <v>639428026</v>
      </c>
    </row>
  </sheetData>
  <autoFilter ref="A6:AA1295" xr:uid="{00000000-0009-0000-0000-000002000000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E3CCF5-00A3-4680-856B-8990BF511244}">
  <dimension ref="A1:AL194"/>
  <sheetViews>
    <sheetView topLeftCell="A78" zoomScale="85" zoomScaleNormal="85" workbookViewId="0">
      <selection activeCell="K90" sqref="K90"/>
    </sheetView>
  </sheetViews>
  <sheetFormatPr defaultRowHeight="15" x14ac:dyDescent="0.25"/>
  <cols>
    <col min="1" max="1" width="14.140625" bestFit="1" customWidth="1"/>
    <col min="2" max="2" width="49.140625" bestFit="1" customWidth="1"/>
    <col min="3" max="8" width="11.5703125" bestFit="1" customWidth="1"/>
    <col min="9" max="9" width="12.5703125" bestFit="1" customWidth="1"/>
    <col min="10" max="10" width="11.5703125" bestFit="1" customWidth="1"/>
    <col min="11" max="11" width="14.140625" bestFit="1" customWidth="1"/>
    <col min="12" max="17" width="11.5703125" hidden="1" customWidth="1"/>
    <col min="18" max="18" width="12.5703125" bestFit="1" customWidth="1"/>
    <col min="19" max="19" width="15.7109375" bestFit="1" customWidth="1"/>
    <col min="20" max="20" width="12.5703125" bestFit="1" customWidth="1"/>
    <col min="21" max="21" width="11.5703125" bestFit="1" customWidth="1"/>
    <col min="27" max="27" width="14.140625" bestFit="1" customWidth="1"/>
    <col min="28" max="28" width="12.5703125" bestFit="1" customWidth="1"/>
    <col min="31" max="31" width="12.42578125" bestFit="1" customWidth="1"/>
    <col min="32" max="32" width="49.140625" bestFit="1" customWidth="1"/>
    <col min="33" max="33" width="12.5703125" bestFit="1" customWidth="1"/>
    <col min="37" max="37" width="14.140625" bestFit="1" customWidth="1"/>
    <col min="38" max="38" width="12.5703125" bestFit="1" customWidth="1"/>
  </cols>
  <sheetData>
    <row r="1" spans="1:38" x14ac:dyDescent="0.25">
      <c r="C1" s="12" t="s">
        <v>2066</v>
      </c>
      <c r="D1" s="13" t="s">
        <v>2067</v>
      </c>
      <c r="E1" s="13" t="s">
        <v>2068</v>
      </c>
      <c r="F1" s="14">
        <v>10</v>
      </c>
      <c r="G1" s="14">
        <v>11</v>
      </c>
      <c r="H1" s="14">
        <v>12</v>
      </c>
      <c r="I1" s="14" t="s">
        <v>2072</v>
      </c>
      <c r="J1" s="14"/>
      <c r="L1" s="12" t="s">
        <v>2066</v>
      </c>
      <c r="M1" s="13" t="s">
        <v>2067</v>
      </c>
      <c r="N1" s="13" t="s">
        <v>2068</v>
      </c>
      <c r="O1" s="14">
        <v>10</v>
      </c>
      <c r="P1" s="14">
        <v>11</v>
      </c>
      <c r="Q1" s="14">
        <v>12</v>
      </c>
      <c r="R1" s="14" t="s">
        <v>2072</v>
      </c>
      <c r="AA1" s="14" t="s">
        <v>2033</v>
      </c>
      <c r="AB1" s="14" t="s">
        <v>2072</v>
      </c>
      <c r="AK1" s="14" t="s">
        <v>2033</v>
      </c>
      <c r="AL1" s="14" t="s">
        <v>2072</v>
      </c>
    </row>
    <row r="2" spans="1:38" x14ac:dyDescent="0.25">
      <c r="A2">
        <v>15000900</v>
      </c>
      <c r="B2" t="s">
        <v>2039</v>
      </c>
      <c r="C2" s="8">
        <f>+SUMIFS('List Petty Cash Jul-Des 25'!$AB:$AB,'List Petty Cash Jul-Des 25'!$I:$I,Sheet1!C$1,'List Petty Cash Jul-Des 25'!$V:$V,Sheet1!$A2)</f>
        <v>131000</v>
      </c>
      <c r="D2" s="8">
        <f>+SUMIFS('List Petty Cash Jul-Des 25'!$AB:$AB,'List Petty Cash Jul-Des 25'!$I:$I,Sheet1!D$1,'List Petty Cash Jul-Des 25'!$V:$V,Sheet1!$A2)</f>
        <v>930000</v>
      </c>
      <c r="E2" s="8">
        <f>+SUMIFS('List Petty Cash Jul-Des 25'!$AB:$AB,'List Petty Cash Jul-Des 25'!$I:$I,Sheet1!E$1,'List Petty Cash Jul-Des 25'!$V:$V,Sheet1!$A2)</f>
        <v>1203853</v>
      </c>
      <c r="F2" s="8">
        <f>+SUMIFS('List Petty Cash Jul-Des 25'!$AB:$AB,'List Petty Cash Jul-Des 25'!$I:$I,Sheet1!F$1,'List Petty Cash Jul-Des 25'!$V:$V,Sheet1!$A2)</f>
        <v>1469656</v>
      </c>
      <c r="G2" s="8">
        <f>+SUMIFS('List Petty Cash Jul-Des 25'!$AB:$AB,'List Petty Cash Jul-Des 25'!$I:$I,Sheet1!G$1,'List Petty Cash Jul-Des 25'!$V:$V,Sheet1!$A2)</f>
        <v>4791052</v>
      </c>
      <c r="H2" s="8">
        <f>+SUMIFS('List Petty Cash Jul-Des 25'!$AB:$AB,'List Petty Cash Jul-Des 25'!$I:$I,Sheet1!H$1,'List Petty Cash Jul-Des 25'!$V:$V,Sheet1!$A2)</f>
        <v>3214369</v>
      </c>
      <c r="I2" s="9">
        <f>+SUM(C2:H2)</f>
        <v>11739930</v>
      </c>
      <c r="K2" t="s">
        <v>1913</v>
      </c>
      <c r="L2" s="8">
        <f>+SUMIFS('List Petty Cash Jul-Des 25'!$AB:$AB,'List Petty Cash Jul-Des 25'!$I:$I,Sheet1!L$1,'List Petty Cash Jul-Des 25'!$X:$X,Sheet1!$K2)</f>
        <v>131000</v>
      </c>
      <c r="M2" s="8">
        <f>+SUMIFS('List Petty Cash Jul-Des 25'!$AB:$AB,'List Petty Cash Jul-Des 25'!$I:$I,Sheet1!M$1,'List Petty Cash Jul-Des 25'!$X:$X,Sheet1!$K2)</f>
        <v>930000</v>
      </c>
      <c r="N2" s="8">
        <f>+SUMIFS('List Petty Cash Jul-Des 25'!$AB:$AB,'List Petty Cash Jul-Des 25'!$I:$I,Sheet1!N$1,'List Petty Cash Jul-Des 25'!$X:$X,Sheet1!$K2)</f>
        <v>1203853</v>
      </c>
      <c r="O2" s="8">
        <f>+SUMIFS('List Petty Cash Jul-Des 25'!$AB:$AB,'List Petty Cash Jul-Des 25'!$I:$I,Sheet1!O$1,'List Petty Cash Jul-Des 25'!$X:$X,Sheet1!$K2)</f>
        <v>1469656</v>
      </c>
      <c r="P2" s="8">
        <f>+SUMIFS('List Petty Cash Jul-Des 25'!$AB:$AB,'List Petty Cash Jul-Des 25'!$I:$I,Sheet1!P$1,'List Petty Cash Jul-Des 25'!$X:$X,Sheet1!$K2)</f>
        <v>4791052</v>
      </c>
      <c r="Q2" s="8">
        <f>+SUMIFS('List Petty Cash Jul-Des 25'!$AB:$AB,'List Petty Cash Jul-Des 25'!$I:$I,Sheet1!Q$1,'List Petty Cash Jul-Des 25'!$X:$X,Sheet1!$K2)</f>
        <v>3214369</v>
      </c>
      <c r="R2" s="9">
        <f>+SUM(L2:Q2)</f>
        <v>11739930</v>
      </c>
      <c r="S2" s="27">
        <f>+R2/$R$38*100%</f>
        <v>3.6720098346142871E-2</v>
      </c>
      <c r="T2">
        <v>15000900</v>
      </c>
      <c r="AA2" t="s">
        <v>1943</v>
      </c>
      <c r="AB2" s="9">
        <v>107619783</v>
      </c>
      <c r="AE2" t="s">
        <v>1943</v>
      </c>
      <c r="AK2" t="s">
        <v>1943</v>
      </c>
      <c r="AL2" s="9">
        <v>107619783</v>
      </c>
    </row>
    <row r="3" spans="1:38" x14ac:dyDescent="0.25">
      <c r="A3">
        <v>70001110</v>
      </c>
      <c r="B3" t="s">
        <v>2035</v>
      </c>
      <c r="C3" s="8">
        <f>+SUMIFS('List Petty Cash Jul-Des 25'!$AB:$AB,'List Petty Cash Jul-Des 25'!$I:$I,Sheet1!C$1,'List Petty Cash Jul-Des 25'!$V:$V,Sheet1!$A3)</f>
        <v>29000</v>
      </c>
      <c r="D3" s="8">
        <f>+SUMIFS('List Petty Cash Jul-Des 25'!$AB:$AB,'List Petty Cash Jul-Des 25'!$I:$I,Sheet1!D$1,'List Petty Cash Jul-Des 25'!$V:$V,Sheet1!$A3)</f>
        <v>886100</v>
      </c>
      <c r="E3" s="8">
        <f>+SUMIFS('List Petty Cash Jul-Des 25'!$AB:$AB,'List Petty Cash Jul-Des 25'!$I:$I,Sheet1!E$1,'List Petty Cash Jul-Des 25'!$V:$V,Sheet1!$A3)</f>
        <v>13000</v>
      </c>
      <c r="F3" s="8">
        <f>+SUMIFS('List Petty Cash Jul-Des 25'!$AB:$AB,'List Petty Cash Jul-Des 25'!$I:$I,Sheet1!F$1,'List Petty Cash Jul-Des 25'!$V:$V,Sheet1!$A3)</f>
        <v>24000</v>
      </c>
      <c r="G3" s="8">
        <f>+SUMIFS('List Petty Cash Jul-Des 25'!$AB:$AB,'List Petty Cash Jul-Des 25'!$I:$I,Sheet1!G$1,'List Petty Cash Jul-Des 25'!$V:$V,Sheet1!$A3)</f>
        <v>7190000</v>
      </c>
      <c r="H3" s="8">
        <f>+SUMIFS('List Petty Cash Jul-Des 25'!$AB:$AB,'List Petty Cash Jul-Des 25'!$I:$I,Sheet1!H$1,'List Petty Cash Jul-Des 25'!$V:$V,Sheet1!$A3)</f>
        <v>6918000</v>
      </c>
      <c r="I3" s="9">
        <f t="shared" ref="I3:I27" si="0">+SUM(C3:H3)</f>
        <v>15060100</v>
      </c>
      <c r="K3" t="s">
        <v>1924</v>
      </c>
      <c r="L3" s="8">
        <f>+SUMIFS('List Petty Cash Jul-Des 25'!$AB:$AB,'List Petty Cash Jul-Des 25'!$I:$I,Sheet1!L$1,'List Petty Cash Jul-Des 25'!$X:$X,Sheet1!$K3)</f>
        <v>820000</v>
      </c>
      <c r="M3" s="8">
        <f>+SUMIFS('List Petty Cash Jul-Des 25'!$AB:$AB,'List Petty Cash Jul-Des 25'!$I:$I,Sheet1!M$1,'List Petty Cash Jul-Des 25'!$X:$X,Sheet1!$K3)</f>
        <v>1870000</v>
      </c>
      <c r="N3" s="8">
        <f>+SUMIFS('List Petty Cash Jul-Des 25'!$AB:$AB,'List Petty Cash Jul-Des 25'!$I:$I,Sheet1!N$1,'List Petty Cash Jul-Des 25'!$X:$X,Sheet1!$K3)</f>
        <v>1280000</v>
      </c>
      <c r="O3" s="8">
        <f>+SUMIFS('List Petty Cash Jul-Des 25'!$AB:$AB,'List Petty Cash Jul-Des 25'!$I:$I,Sheet1!O$1,'List Petty Cash Jul-Des 25'!$X:$X,Sheet1!$K3)</f>
        <v>2775000</v>
      </c>
      <c r="P3" s="8">
        <f>+SUMIFS('List Petty Cash Jul-Des 25'!$AB:$AB,'List Petty Cash Jul-Des 25'!$I:$I,Sheet1!P$1,'List Petty Cash Jul-Des 25'!$X:$X,Sheet1!$K3)</f>
        <v>1778000</v>
      </c>
      <c r="Q3" s="8">
        <f>+SUMIFS('List Petty Cash Jul-Des 25'!$AB:$AB,'List Petty Cash Jul-Des 25'!$I:$I,Sheet1!Q$1,'List Petty Cash Jul-Des 25'!$X:$X,Sheet1!$K3)</f>
        <v>1630000</v>
      </c>
      <c r="R3" s="9">
        <f t="shared" ref="R3:R37" si="1">+SUM(L3:Q3)</f>
        <v>10153000</v>
      </c>
      <c r="S3" s="27">
        <f t="shared" ref="S3:S37" si="2">+R3/$R$38*100%</f>
        <v>3.1756506087207384E-2</v>
      </c>
      <c r="T3">
        <v>70001110</v>
      </c>
      <c r="AA3" t="s">
        <v>1923</v>
      </c>
      <c r="AB3" s="9">
        <v>33069100</v>
      </c>
      <c r="AE3">
        <v>70106400</v>
      </c>
      <c r="AF3" t="s">
        <v>2043</v>
      </c>
      <c r="AG3" s="8">
        <v>44610000</v>
      </c>
      <c r="AK3" t="s">
        <v>1923</v>
      </c>
      <c r="AL3" s="9">
        <v>33069100</v>
      </c>
    </row>
    <row r="4" spans="1:38" x14ac:dyDescent="0.25">
      <c r="A4">
        <v>70009110</v>
      </c>
      <c r="B4" t="s">
        <v>2036</v>
      </c>
      <c r="C4" s="8">
        <f>+SUMIFS('List Petty Cash Jul-Des 25'!$AB:$AB,'List Petty Cash Jul-Des 25'!$I:$I,Sheet1!C$1,'List Petty Cash Jul-Des 25'!$V:$V,Sheet1!$A4)</f>
        <v>7000000</v>
      </c>
      <c r="D4" s="8">
        <f>+SUMIFS('List Petty Cash Jul-Des 25'!$AB:$AB,'List Petty Cash Jul-Des 25'!$I:$I,Sheet1!D$1,'List Petty Cash Jul-Des 25'!$V:$V,Sheet1!$A4)</f>
        <v>5600000</v>
      </c>
      <c r="E4" s="8">
        <f>+SUMIFS('List Petty Cash Jul-Des 25'!$AB:$AB,'List Petty Cash Jul-Des 25'!$I:$I,Sheet1!E$1,'List Petty Cash Jul-Des 25'!$V:$V,Sheet1!$A4)</f>
        <v>5200000</v>
      </c>
      <c r="F4" s="8">
        <f>+SUMIFS('List Petty Cash Jul-Des 25'!$AB:$AB,'List Petty Cash Jul-Des 25'!$I:$I,Sheet1!F$1,'List Petty Cash Jul-Des 25'!$V:$V,Sheet1!$A4)</f>
        <v>9350000</v>
      </c>
      <c r="G4" s="8">
        <f>+SUMIFS('List Petty Cash Jul-Des 25'!$AB:$AB,'List Petty Cash Jul-Des 25'!$I:$I,Sheet1!G$1,'List Petty Cash Jul-Des 25'!$V:$V,Sheet1!$A4)</f>
        <v>0</v>
      </c>
      <c r="H4" s="8">
        <f>+SUMIFS('List Petty Cash Jul-Des 25'!$AB:$AB,'List Petty Cash Jul-Des 25'!$I:$I,Sheet1!H$1,'List Petty Cash Jul-Des 25'!$V:$V,Sheet1!$A4)</f>
        <v>0</v>
      </c>
      <c r="I4" s="9">
        <f t="shared" si="0"/>
        <v>27150000</v>
      </c>
      <c r="K4" t="s">
        <v>2019</v>
      </c>
      <c r="L4" s="8">
        <f>+SUMIFS('List Petty Cash Jul-Des 25'!$AB:$AB,'List Petty Cash Jul-Des 25'!$I:$I,Sheet1!L$1,'List Petty Cash Jul-Des 25'!$X:$X,Sheet1!$K4)</f>
        <v>0</v>
      </c>
      <c r="M4" s="8">
        <f>+SUMIFS('List Petty Cash Jul-Des 25'!$AB:$AB,'List Petty Cash Jul-Des 25'!$I:$I,Sheet1!M$1,'List Petty Cash Jul-Des 25'!$X:$X,Sheet1!$K4)</f>
        <v>0</v>
      </c>
      <c r="N4" s="8">
        <f>+SUMIFS('List Petty Cash Jul-Des 25'!$AB:$AB,'List Petty Cash Jul-Des 25'!$I:$I,Sheet1!N$1,'List Petty Cash Jul-Des 25'!$X:$X,Sheet1!$K4)</f>
        <v>0</v>
      </c>
      <c r="O4" s="8">
        <f>+SUMIFS('List Petty Cash Jul-Des 25'!$AB:$AB,'List Petty Cash Jul-Des 25'!$I:$I,Sheet1!O$1,'List Petty Cash Jul-Des 25'!$X:$X,Sheet1!$K4)</f>
        <v>135000</v>
      </c>
      <c r="P4" s="8">
        <f>+SUMIFS('List Petty Cash Jul-Des 25'!$AB:$AB,'List Petty Cash Jul-Des 25'!$I:$I,Sheet1!P$1,'List Petty Cash Jul-Des 25'!$X:$X,Sheet1!$K4)</f>
        <v>7478800</v>
      </c>
      <c r="Q4" s="8">
        <f>+SUMIFS('List Petty Cash Jul-Des 25'!$AB:$AB,'List Petty Cash Jul-Des 25'!$I:$I,Sheet1!Q$1,'List Petty Cash Jul-Des 25'!$X:$X,Sheet1!$K4)</f>
        <v>1335000</v>
      </c>
      <c r="R4" s="9">
        <f t="shared" si="1"/>
        <v>8948800</v>
      </c>
      <c r="S4" s="27">
        <f t="shared" si="2"/>
        <v>2.7990014938757156E-2</v>
      </c>
      <c r="T4">
        <v>70009110</v>
      </c>
      <c r="AA4" t="s">
        <v>1921</v>
      </c>
      <c r="AB4" s="9">
        <v>22378764</v>
      </c>
      <c r="AE4">
        <v>70106100</v>
      </c>
      <c r="AF4" t="s">
        <v>2042</v>
      </c>
      <c r="AG4" s="8">
        <v>26336300</v>
      </c>
      <c r="AK4" t="s">
        <v>1921</v>
      </c>
      <c r="AL4" s="9">
        <v>22378764</v>
      </c>
    </row>
    <row r="5" spans="1:38" x14ac:dyDescent="0.25">
      <c r="A5">
        <v>70101102</v>
      </c>
      <c r="B5" t="s">
        <v>2040</v>
      </c>
      <c r="C5" s="8">
        <f>+SUMIFS('List Petty Cash Jul-Des 25'!$AB:$AB,'List Petty Cash Jul-Des 25'!$I:$I,Sheet1!C$1,'List Petty Cash Jul-Des 25'!$V:$V,Sheet1!$A5)</f>
        <v>2744420</v>
      </c>
      <c r="D5" s="8">
        <f>+SUMIFS('List Petty Cash Jul-Des 25'!$AB:$AB,'List Petty Cash Jul-Des 25'!$I:$I,Sheet1!D$1,'List Petty Cash Jul-Des 25'!$V:$V,Sheet1!$A5)</f>
        <v>1138300</v>
      </c>
      <c r="E5" s="8">
        <f>+SUMIFS('List Petty Cash Jul-Des 25'!$AB:$AB,'List Petty Cash Jul-Des 25'!$I:$I,Sheet1!E$1,'List Petty Cash Jul-Des 25'!$V:$V,Sheet1!$A5)</f>
        <v>0</v>
      </c>
      <c r="F5" s="8">
        <f>+SUMIFS('List Petty Cash Jul-Des 25'!$AB:$AB,'List Petty Cash Jul-Des 25'!$I:$I,Sheet1!F$1,'List Petty Cash Jul-Des 25'!$V:$V,Sheet1!$A5)</f>
        <v>2443000</v>
      </c>
      <c r="G5" s="8">
        <f>+SUMIFS('List Petty Cash Jul-Des 25'!$AB:$AB,'List Petty Cash Jul-Des 25'!$I:$I,Sheet1!G$1,'List Petty Cash Jul-Des 25'!$V:$V,Sheet1!$A5)</f>
        <v>1956310</v>
      </c>
      <c r="H5" s="8">
        <f>+SUMIFS('List Petty Cash Jul-Des 25'!$AB:$AB,'List Petty Cash Jul-Des 25'!$I:$I,Sheet1!H$1,'List Petty Cash Jul-Des 25'!$V:$V,Sheet1!$A5)</f>
        <v>1890250</v>
      </c>
      <c r="I5" s="9">
        <f t="shared" si="0"/>
        <v>10172280</v>
      </c>
      <c r="K5" t="s">
        <v>1938</v>
      </c>
      <c r="L5" s="8">
        <f>+SUMIFS('List Petty Cash Jul-Des 25'!$AB:$AB,'List Petty Cash Jul-Des 25'!$I:$I,Sheet1!L$1,'List Petty Cash Jul-Des 25'!$X:$X,Sheet1!$K5)</f>
        <v>3702000</v>
      </c>
      <c r="M5" s="8">
        <f>+SUMIFS('List Petty Cash Jul-Des 25'!$AB:$AB,'List Petty Cash Jul-Des 25'!$I:$I,Sheet1!M$1,'List Petty Cash Jul-Des 25'!$X:$X,Sheet1!$K5)</f>
        <v>4927000</v>
      </c>
      <c r="N5" s="8">
        <f>+SUMIFS('List Petty Cash Jul-Des 25'!$AB:$AB,'List Petty Cash Jul-Des 25'!$I:$I,Sheet1!N$1,'List Petty Cash Jul-Des 25'!$X:$X,Sheet1!$K5)</f>
        <v>763000</v>
      </c>
      <c r="O5" s="8">
        <f>+SUMIFS('List Petty Cash Jul-Des 25'!$AB:$AB,'List Petty Cash Jul-Des 25'!$I:$I,Sheet1!O$1,'List Petty Cash Jul-Des 25'!$X:$X,Sheet1!$K5)</f>
        <v>3540000</v>
      </c>
      <c r="P5" s="8">
        <f>+SUMIFS('List Petty Cash Jul-Des 25'!$AB:$AB,'List Petty Cash Jul-Des 25'!$I:$I,Sheet1!P$1,'List Petty Cash Jul-Des 25'!$X:$X,Sheet1!$K5)</f>
        <v>1120000</v>
      </c>
      <c r="Q5" s="8">
        <f>+SUMIFS('List Petty Cash Jul-Des 25'!$AB:$AB,'List Petty Cash Jul-Des 25'!$I:$I,Sheet1!Q$1,'List Petty Cash Jul-Des 25'!$X:$X,Sheet1!$K5)</f>
        <v>1730300</v>
      </c>
      <c r="R5" s="9">
        <f t="shared" si="1"/>
        <v>15782300</v>
      </c>
      <c r="S5" s="27">
        <f t="shared" si="2"/>
        <v>4.9363804394773274E-2</v>
      </c>
      <c r="T5">
        <v>70101102</v>
      </c>
      <c r="AA5" t="s">
        <v>1959</v>
      </c>
      <c r="AB5" s="9">
        <v>19964591</v>
      </c>
      <c r="AE5">
        <v>70101114</v>
      </c>
      <c r="AF5" t="s">
        <v>2037</v>
      </c>
      <c r="AG5" s="8">
        <v>12884723</v>
      </c>
      <c r="AK5" t="s">
        <v>1959</v>
      </c>
      <c r="AL5" s="9">
        <v>19964591</v>
      </c>
    </row>
    <row r="6" spans="1:38" x14ac:dyDescent="0.25">
      <c r="A6">
        <v>70101114</v>
      </c>
      <c r="B6" t="s">
        <v>2037</v>
      </c>
      <c r="C6" s="8">
        <f>+SUMIFS('List Petty Cash Jul-Des 25'!$AB:$AB,'List Petty Cash Jul-Des 25'!$I:$I,Sheet1!C$1,'List Petty Cash Jul-Des 25'!$V:$V,Sheet1!$A6)</f>
        <v>8742306</v>
      </c>
      <c r="D6" s="8">
        <f>+SUMIFS('List Petty Cash Jul-Des 25'!$AB:$AB,'List Petty Cash Jul-Des 25'!$I:$I,Sheet1!D$1,'List Petty Cash Jul-Des 25'!$V:$V,Sheet1!$A6)</f>
        <v>4004078</v>
      </c>
      <c r="E6" s="8">
        <f>+SUMIFS('List Petty Cash Jul-Des 25'!$AB:$AB,'List Petty Cash Jul-Des 25'!$I:$I,Sheet1!E$1,'List Petty Cash Jul-Des 25'!$V:$V,Sheet1!$A6)</f>
        <v>5781593</v>
      </c>
      <c r="F6" s="8">
        <f>+SUMIFS('List Petty Cash Jul-Des 25'!$AB:$AB,'List Petty Cash Jul-Des 25'!$I:$I,Sheet1!F$1,'List Petty Cash Jul-Des 25'!$V:$V,Sheet1!$A6)</f>
        <v>7588405</v>
      </c>
      <c r="G6" s="8">
        <f>+SUMIFS('List Petty Cash Jul-Des 25'!$AB:$AB,'List Petty Cash Jul-Des 25'!$I:$I,Sheet1!G$1,'List Petty Cash Jul-Des 25'!$V:$V,Sheet1!$A6)</f>
        <v>2812320</v>
      </c>
      <c r="H6" s="8">
        <f>+SUMIFS('List Petty Cash Jul-Des 25'!$AB:$AB,'List Petty Cash Jul-Des 25'!$I:$I,Sheet1!H$1,'List Petty Cash Jul-Des 25'!$V:$V,Sheet1!$A6)</f>
        <v>12627978</v>
      </c>
      <c r="I6" s="9">
        <f t="shared" si="0"/>
        <v>41556680</v>
      </c>
      <c r="K6" t="s">
        <v>1967</v>
      </c>
      <c r="L6" s="8">
        <f>+SUMIFS('List Petty Cash Jul-Des 25'!$AB:$AB,'List Petty Cash Jul-Des 25'!$I:$I,Sheet1!L$1,'List Petty Cash Jul-Des 25'!$X:$X,Sheet1!$K6)</f>
        <v>350000</v>
      </c>
      <c r="M6" s="8">
        <f>+SUMIFS('List Petty Cash Jul-Des 25'!$AB:$AB,'List Petty Cash Jul-Des 25'!$I:$I,Sheet1!M$1,'List Petty Cash Jul-Des 25'!$X:$X,Sheet1!$K6)</f>
        <v>350000</v>
      </c>
      <c r="N6" s="8">
        <f>+SUMIFS('List Petty Cash Jul-Des 25'!$AB:$AB,'List Petty Cash Jul-Des 25'!$I:$I,Sheet1!N$1,'List Petty Cash Jul-Des 25'!$X:$X,Sheet1!$K6)</f>
        <v>700000</v>
      </c>
      <c r="O6" s="8">
        <f>+SUMIFS('List Petty Cash Jul-Des 25'!$AB:$AB,'List Petty Cash Jul-Des 25'!$I:$I,Sheet1!O$1,'List Petty Cash Jul-Des 25'!$X:$X,Sheet1!$K6)</f>
        <v>400000</v>
      </c>
      <c r="P6" s="8">
        <f>+SUMIFS('List Petty Cash Jul-Des 25'!$AB:$AB,'List Petty Cash Jul-Des 25'!$I:$I,Sheet1!P$1,'List Petty Cash Jul-Des 25'!$X:$X,Sheet1!$K6)</f>
        <v>400000</v>
      </c>
      <c r="Q6" s="8">
        <f>+SUMIFS('List Petty Cash Jul-Des 25'!$AB:$AB,'List Petty Cash Jul-Des 25'!$I:$I,Sheet1!Q$1,'List Petty Cash Jul-Des 25'!$X:$X,Sheet1!$K6)</f>
        <v>500000</v>
      </c>
      <c r="R6" s="9">
        <f t="shared" si="1"/>
        <v>2700000</v>
      </c>
      <c r="S6" s="27">
        <f t="shared" si="2"/>
        <v>8.4450474180498315E-3</v>
      </c>
      <c r="T6">
        <v>70101114</v>
      </c>
      <c r="AA6" t="s">
        <v>1938</v>
      </c>
      <c r="AB6" s="9">
        <v>15782300</v>
      </c>
      <c r="AE6">
        <v>70107100</v>
      </c>
      <c r="AF6" t="s">
        <v>2044</v>
      </c>
      <c r="AG6" s="8">
        <v>6993000</v>
      </c>
      <c r="AK6" t="s">
        <v>1938</v>
      </c>
      <c r="AL6" s="9">
        <v>15782300</v>
      </c>
    </row>
    <row r="7" spans="1:38" x14ac:dyDescent="0.25">
      <c r="A7">
        <v>70101202</v>
      </c>
      <c r="B7" t="s">
        <v>2038</v>
      </c>
      <c r="C7" s="8">
        <f>+SUMIFS('List Petty Cash Jul-Des 25'!$AB:$AB,'List Petty Cash Jul-Des 25'!$I:$I,Sheet1!C$1,'List Petty Cash Jul-Des 25'!$V:$V,Sheet1!$A7)</f>
        <v>6020808</v>
      </c>
      <c r="D7" s="8">
        <f>+SUMIFS('List Petty Cash Jul-Des 25'!$AB:$AB,'List Petty Cash Jul-Des 25'!$I:$I,Sheet1!D$1,'List Petty Cash Jul-Des 25'!$V:$V,Sheet1!$A7)</f>
        <v>2452500</v>
      </c>
      <c r="E7" s="8">
        <f>+SUMIFS('List Petty Cash Jul-Des 25'!$AB:$AB,'List Petty Cash Jul-Des 25'!$I:$I,Sheet1!E$1,'List Petty Cash Jul-Des 25'!$V:$V,Sheet1!$A7)</f>
        <v>4139620</v>
      </c>
      <c r="F7" s="8">
        <f>+SUMIFS('List Petty Cash Jul-Des 25'!$AB:$AB,'List Petty Cash Jul-Des 25'!$I:$I,Sheet1!F$1,'List Petty Cash Jul-Des 25'!$V:$V,Sheet1!$A7)</f>
        <v>12044280</v>
      </c>
      <c r="G7" s="8">
        <f>+SUMIFS('List Petty Cash Jul-Des 25'!$AB:$AB,'List Petty Cash Jul-Des 25'!$I:$I,Sheet1!G$1,'List Petty Cash Jul-Des 25'!$V:$V,Sheet1!$A7)</f>
        <v>2950976</v>
      </c>
      <c r="H7" s="8">
        <f>+SUMIFS('List Petty Cash Jul-Des 25'!$AB:$AB,'List Petty Cash Jul-Des 25'!$I:$I,Sheet1!H$1,'List Petty Cash Jul-Des 25'!$V:$V,Sheet1!$A7)</f>
        <v>7628680</v>
      </c>
      <c r="I7" s="9">
        <f t="shared" si="0"/>
        <v>35236864</v>
      </c>
      <c r="K7" t="s">
        <v>1923</v>
      </c>
      <c r="L7" s="8">
        <f>+SUMIFS('List Petty Cash Jul-Des 25'!$AB:$AB,'List Petty Cash Jul-Des 25'!$I:$I,Sheet1!L$1,'List Petty Cash Jul-Des 25'!$X:$X,Sheet1!$K7)</f>
        <v>6844000</v>
      </c>
      <c r="M7" s="8">
        <f>+SUMIFS('List Petty Cash Jul-Des 25'!$AB:$AB,'List Petty Cash Jul-Des 25'!$I:$I,Sheet1!M$1,'List Petty Cash Jul-Des 25'!$X:$X,Sheet1!$K7)</f>
        <v>4844100</v>
      </c>
      <c r="N7" s="8">
        <f>+SUMIFS('List Petty Cash Jul-Des 25'!$AB:$AB,'List Petty Cash Jul-Des 25'!$I:$I,Sheet1!N$1,'List Petty Cash Jul-Des 25'!$X:$X,Sheet1!$K7)</f>
        <v>3643000</v>
      </c>
      <c r="O7" s="8">
        <f>+SUMIFS('List Petty Cash Jul-Des 25'!$AB:$AB,'List Petty Cash Jul-Des 25'!$I:$I,Sheet1!O$1,'List Petty Cash Jul-Des 25'!$X:$X,Sheet1!$K7)</f>
        <v>5837000</v>
      </c>
      <c r="P7" s="8">
        <f>+SUMIFS('List Petty Cash Jul-Des 25'!$AB:$AB,'List Petty Cash Jul-Des 25'!$I:$I,Sheet1!P$1,'List Petty Cash Jul-Des 25'!$X:$X,Sheet1!$K7)</f>
        <v>6200000</v>
      </c>
      <c r="Q7" s="8">
        <f>+SUMIFS('List Petty Cash Jul-Des 25'!$AB:$AB,'List Petty Cash Jul-Des 25'!$I:$I,Sheet1!Q$1,'List Petty Cash Jul-Des 25'!$X:$X,Sheet1!$K7)</f>
        <v>5701000</v>
      </c>
      <c r="R7" s="9">
        <f t="shared" si="1"/>
        <v>33069100</v>
      </c>
      <c r="S7" s="27">
        <f t="shared" si="2"/>
        <v>0.10343337687860432</v>
      </c>
      <c r="T7">
        <v>70101202</v>
      </c>
      <c r="AA7" t="s">
        <v>1913</v>
      </c>
      <c r="AB7" s="9">
        <v>11739930</v>
      </c>
      <c r="AE7">
        <v>70101102</v>
      </c>
      <c r="AF7" t="s">
        <v>2040</v>
      </c>
      <c r="AG7" s="8">
        <v>6693470</v>
      </c>
    </row>
    <row r="8" spans="1:38" x14ac:dyDescent="0.25">
      <c r="A8">
        <v>70101230</v>
      </c>
      <c r="B8" t="s">
        <v>2053</v>
      </c>
      <c r="C8" s="8">
        <f>+SUMIFS('List Petty Cash Jul-Des 25'!$AB:$AB,'List Petty Cash Jul-Des 25'!$I:$I,Sheet1!C$1,'List Petty Cash Jul-Des 25'!$V:$V,Sheet1!$A8)</f>
        <v>1800000</v>
      </c>
      <c r="D8" s="8">
        <f>+SUMIFS('List Petty Cash Jul-Des 25'!$AB:$AB,'List Petty Cash Jul-Des 25'!$I:$I,Sheet1!D$1,'List Petty Cash Jul-Des 25'!$V:$V,Sheet1!$A8)</f>
        <v>0</v>
      </c>
      <c r="E8" s="8">
        <f>+SUMIFS('List Petty Cash Jul-Des 25'!$AB:$AB,'List Petty Cash Jul-Des 25'!$I:$I,Sheet1!E$1,'List Petty Cash Jul-Des 25'!$V:$V,Sheet1!$A8)</f>
        <v>0</v>
      </c>
      <c r="F8" s="8">
        <f>+SUMIFS('List Petty Cash Jul-Des 25'!$AB:$AB,'List Petty Cash Jul-Des 25'!$I:$I,Sheet1!F$1,'List Petty Cash Jul-Des 25'!$V:$V,Sheet1!$A8)</f>
        <v>0</v>
      </c>
      <c r="G8" s="8">
        <f>+SUMIFS('List Petty Cash Jul-Des 25'!$AB:$AB,'List Petty Cash Jul-Des 25'!$I:$I,Sheet1!G$1,'List Petty Cash Jul-Des 25'!$V:$V,Sheet1!$A8)</f>
        <v>0</v>
      </c>
      <c r="H8" s="8">
        <f>+SUMIFS('List Petty Cash Jul-Des 25'!$AB:$AB,'List Petty Cash Jul-Des 25'!$I:$I,Sheet1!H$1,'List Petty Cash Jul-Des 25'!$V:$V,Sheet1!$A8)</f>
        <v>0</v>
      </c>
      <c r="I8" s="9">
        <f t="shared" si="0"/>
        <v>1800000</v>
      </c>
      <c r="K8" t="s">
        <v>2014</v>
      </c>
      <c r="L8" s="8">
        <f>+SUMIFS('List Petty Cash Jul-Des 25'!$AB:$AB,'List Petty Cash Jul-Des 25'!$I:$I,Sheet1!L$1,'List Petty Cash Jul-Des 25'!$X:$X,Sheet1!$K8)</f>
        <v>0</v>
      </c>
      <c r="M8" s="8">
        <f>+SUMIFS('List Petty Cash Jul-Des 25'!$AB:$AB,'List Petty Cash Jul-Des 25'!$I:$I,Sheet1!M$1,'List Petty Cash Jul-Des 25'!$X:$X,Sheet1!$K8)</f>
        <v>0</v>
      </c>
      <c r="N8" s="8">
        <f>+SUMIFS('List Petty Cash Jul-Des 25'!$AB:$AB,'List Petty Cash Jul-Des 25'!$I:$I,Sheet1!N$1,'List Petty Cash Jul-Des 25'!$X:$X,Sheet1!$K8)</f>
        <v>0</v>
      </c>
      <c r="O8" s="8">
        <f>+SUMIFS('List Petty Cash Jul-Des 25'!$AB:$AB,'List Petty Cash Jul-Des 25'!$I:$I,Sheet1!O$1,'List Petty Cash Jul-Des 25'!$X:$X,Sheet1!$K8)</f>
        <v>2325000</v>
      </c>
      <c r="P8" s="8">
        <f>+SUMIFS('List Petty Cash Jul-Des 25'!$AB:$AB,'List Petty Cash Jul-Des 25'!$I:$I,Sheet1!P$1,'List Petty Cash Jul-Des 25'!$X:$X,Sheet1!$K8)</f>
        <v>2821000</v>
      </c>
      <c r="Q8" s="8">
        <f>+SUMIFS('List Petty Cash Jul-Des 25'!$AB:$AB,'List Petty Cash Jul-Des 25'!$I:$I,Sheet1!Q$1,'List Petty Cash Jul-Des 25'!$X:$X,Sheet1!$K8)</f>
        <v>0</v>
      </c>
      <c r="R8" s="9">
        <f t="shared" si="1"/>
        <v>5146000</v>
      </c>
      <c r="S8" s="27">
        <f t="shared" si="2"/>
        <v>1.6095634819734972E-2</v>
      </c>
      <c r="T8">
        <v>70101230</v>
      </c>
      <c r="AA8" t="s">
        <v>1924</v>
      </c>
      <c r="AB8" s="9">
        <v>10153000</v>
      </c>
      <c r="AE8">
        <v>70108100</v>
      </c>
      <c r="AF8" t="s">
        <v>2048</v>
      </c>
      <c r="AG8" s="8">
        <v>4247200</v>
      </c>
    </row>
    <row r="9" spans="1:38" x14ac:dyDescent="0.25">
      <c r="A9">
        <v>70102300</v>
      </c>
      <c r="B9" t="s">
        <v>2057</v>
      </c>
      <c r="C9" s="8">
        <f>+SUMIFS('List Petty Cash Jul-Des 25'!$AB:$AB,'List Petty Cash Jul-Des 25'!$I:$I,Sheet1!C$1,'List Petty Cash Jul-Des 25'!$V:$V,Sheet1!$A9)</f>
        <v>1116900</v>
      </c>
      <c r="D9" s="8">
        <f>+SUMIFS('List Petty Cash Jul-Des 25'!$AB:$AB,'List Petty Cash Jul-Des 25'!$I:$I,Sheet1!D$1,'List Petty Cash Jul-Des 25'!$V:$V,Sheet1!$A9)</f>
        <v>0</v>
      </c>
      <c r="E9" s="8">
        <f>+SUMIFS('List Petty Cash Jul-Des 25'!$AB:$AB,'List Petty Cash Jul-Des 25'!$I:$I,Sheet1!E$1,'List Petty Cash Jul-Des 25'!$V:$V,Sheet1!$A9)</f>
        <v>0</v>
      </c>
      <c r="F9" s="8">
        <f>+SUMIFS('List Petty Cash Jul-Des 25'!$AB:$AB,'List Petty Cash Jul-Des 25'!$I:$I,Sheet1!F$1,'List Petty Cash Jul-Des 25'!$V:$V,Sheet1!$A9)</f>
        <v>0</v>
      </c>
      <c r="G9" s="8">
        <f>+SUMIFS('List Petty Cash Jul-Des 25'!$AB:$AB,'List Petty Cash Jul-Des 25'!$I:$I,Sheet1!G$1,'List Petty Cash Jul-Des 25'!$V:$V,Sheet1!$A9)</f>
        <v>0</v>
      </c>
      <c r="H9" s="8">
        <f>+SUMIFS('List Petty Cash Jul-Des 25'!$AB:$AB,'List Petty Cash Jul-Des 25'!$I:$I,Sheet1!H$1,'List Petty Cash Jul-Des 25'!$V:$V,Sheet1!$A9)</f>
        <v>0</v>
      </c>
      <c r="I9" s="9">
        <f t="shared" si="0"/>
        <v>1116900</v>
      </c>
      <c r="K9" t="s">
        <v>1961</v>
      </c>
      <c r="L9" s="8">
        <f>+SUMIFS('List Petty Cash Jul-Des 25'!$AB:$AB,'List Petty Cash Jul-Des 25'!$I:$I,Sheet1!L$1,'List Petty Cash Jul-Des 25'!$X:$X,Sheet1!$K9)</f>
        <v>1273180</v>
      </c>
      <c r="M9" s="8">
        <f>+SUMIFS('List Petty Cash Jul-Des 25'!$AB:$AB,'List Petty Cash Jul-Des 25'!$I:$I,Sheet1!M$1,'List Petty Cash Jul-Des 25'!$X:$X,Sheet1!$K9)</f>
        <v>1113500</v>
      </c>
      <c r="N9" s="8">
        <f>+SUMIFS('List Petty Cash Jul-Des 25'!$AB:$AB,'List Petty Cash Jul-Des 25'!$I:$I,Sheet1!N$1,'List Petty Cash Jul-Des 25'!$X:$X,Sheet1!$K9)</f>
        <v>100000</v>
      </c>
      <c r="O9" s="8">
        <f>+SUMIFS('List Petty Cash Jul-Des 25'!$AB:$AB,'List Petty Cash Jul-Des 25'!$I:$I,Sheet1!O$1,'List Petty Cash Jul-Des 25'!$X:$X,Sheet1!$K9)</f>
        <v>999700</v>
      </c>
      <c r="P9" s="8">
        <f>+SUMIFS('List Petty Cash Jul-Des 25'!$AB:$AB,'List Petty Cash Jul-Des 25'!$I:$I,Sheet1!P$1,'List Petty Cash Jul-Des 25'!$X:$X,Sheet1!$K9)</f>
        <v>876800</v>
      </c>
      <c r="Q9" s="8">
        <f>+SUMIFS('List Petty Cash Jul-Des 25'!$AB:$AB,'List Petty Cash Jul-Des 25'!$I:$I,Sheet1!Q$1,'List Petty Cash Jul-Des 25'!$X:$X,Sheet1!$K9)</f>
        <v>996262</v>
      </c>
      <c r="R9" s="9">
        <f t="shared" si="1"/>
        <v>5359442</v>
      </c>
      <c r="S9" s="27">
        <f t="shared" si="2"/>
        <v>1.6763237712699192E-2</v>
      </c>
      <c r="T9">
        <v>70102300</v>
      </c>
      <c r="AA9" t="s">
        <v>2019</v>
      </c>
      <c r="AB9" s="9">
        <v>8948800</v>
      </c>
      <c r="AE9">
        <v>70107600</v>
      </c>
      <c r="AF9" t="s">
        <v>2047</v>
      </c>
      <c r="AG9" s="8">
        <v>4172490</v>
      </c>
    </row>
    <row r="10" spans="1:38" x14ac:dyDescent="0.25">
      <c r="A10">
        <v>70105210</v>
      </c>
      <c r="B10" t="s">
        <v>2056</v>
      </c>
      <c r="C10" s="8">
        <f>+SUMIFS('List Petty Cash Jul-Des 25'!$AB:$AB,'List Petty Cash Jul-Des 25'!$I:$I,Sheet1!C$1,'List Petty Cash Jul-Des 25'!$V:$V,Sheet1!$A10)</f>
        <v>0</v>
      </c>
      <c r="D10" s="8">
        <f>+SUMIFS('List Petty Cash Jul-Des 25'!$AB:$AB,'List Petty Cash Jul-Des 25'!$I:$I,Sheet1!D$1,'List Petty Cash Jul-Des 25'!$V:$V,Sheet1!$A10)</f>
        <v>0</v>
      </c>
      <c r="E10" s="8">
        <f>+SUMIFS('List Petty Cash Jul-Des 25'!$AB:$AB,'List Petty Cash Jul-Des 25'!$I:$I,Sheet1!E$1,'List Petty Cash Jul-Des 25'!$V:$V,Sheet1!$A10)</f>
        <v>0</v>
      </c>
      <c r="F10" s="8">
        <f>+SUMIFS('List Petty Cash Jul-Des 25'!$AB:$AB,'List Petty Cash Jul-Des 25'!$I:$I,Sheet1!F$1,'List Petty Cash Jul-Des 25'!$V:$V,Sheet1!$A10)</f>
        <v>0</v>
      </c>
      <c r="G10" s="8">
        <f>+SUMIFS('List Petty Cash Jul-Des 25'!$AB:$AB,'List Petty Cash Jul-Des 25'!$I:$I,Sheet1!G$1,'List Petty Cash Jul-Des 25'!$V:$V,Sheet1!$A10)</f>
        <v>420500</v>
      </c>
      <c r="H10" s="8">
        <f>+SUMIFS('List Petty Cash Jul-Des 25'!$AB:$AB,'List Petty Cash Jul-Des 25'!$I:$I,Sheet1!H$1,'List Petty Cash Jul-Des 25'!$V:$V,Sheet1!$A10)</f>
        <v>515500</v>
      </c>
      <c r="I10" s="9">
        <f t="shared" si="0"/>
        <v>936000</v>
      </c>
      <c r="K10" t="s">
        <v>1979</v>
      </c>
      <c r="L10" s="8">
        <f>+SUMIFS('List Petty Cash Jul-Des 25'!$AB:$AB,'List Petty Cash Jul-Des 25'!$I:$I,Sheet1!L$1,'List Petty Cash Jul-Des 25'!$X:$X,Sheet1!$K10)</f>
        <v>383350</v>
      </c>
      <c r="M10" s="8">
        <f>+SUMIFS('List Petty Cash Jul-Des 25'!$AB:$AB,'List Petty Cash Jul-Des 25'!$I:$I,Sheet1!M$1,'List Petty Cash Jul-Des 25'!$X:$X,Sheet1!$K10)</f>
        <v>344000</v>
      </c>
      <c r="N10" s="8">
        <f>+SUMIFS('List Petty Cash Jul-Des 25'!$AB:$AB,'List Petty Cash Jul-Des 25'!$I:$I,Sheet1!N$1,'List Petty Cash Jul-Des 25'!$X:$X,Sheet1!$K10)</f>
        <v>0</v>
      </c>
      <c r="O10" s="8">
        <f>+SUMIFS('List Petty Cash Jul-Des 25'!$AB:$AB,'List Petty Cash Jul-Des 25'!$I:$I,Sheet1!O$1,'List Petty Cash Jul-Des 25'!$X:$X,Sheet1!$K10)</f>
        <v>511000</v>
      </c>
      <c r="P10" s="8">
        <f>+SUMIFS('List Petty Cash Jul-Des 25'!$AB:$AB,'List Petty Cash Jul-Des 25'!$I:$I,Sheet1!P$1,'List Petty Cash Jul-Des 25'!$X:$X,Sheet1!$K10)</f>
        <v>543200</v>
      </c>
      <c r="Q10" s="8">
        <f>+SUMIFS('List Petty Cash Jul-Des 25'!$AB:$AB,'List Petty Cash Jul-Des 25'!$I:$I,Sheet1!Q$1,'List Petty Cash Jul-Des 25'!$X:$X,Sheet1!$K10)</f>
        <v>865000</v>
      </c>
      <c r="R10" s="9">
        <f t="shared" si="1"/>
        <v>2646550</v>
      </c>
      <c r="S10" s="27">
        <f t="shared" si="2"/>
        <v>8.2778667571258447E-3</v>
      </c>
      <c r="T10">
        <v>70105210</v>
      </c>
      <c r="AA10" t="s">
        <v>1951</v>
      </c>
      <c r="AB10" s="9">
        <v>7294000</v>
      </c>
      <c r="AE10">
        <v>70105210</v>
      </c>
      <c r="AF10" t="s">
        <v>2056</v>
      </c>
      <c r="AG10" s="8">
        <v>936000</v>
      </c>
    </row>
    <row r="11" spans="1:38" x14ac:dyDescent="0.25">
      <c r="A11">
        <v>70105300</v>
      </c>
      <c r="B11" t="s">
        <v>2041</v>
      </c>
      <c r="C11" s="8">
        <f>+SUMIFS('List Petty Cash Jul-Des 25'!$AB:$AB,'List Petty Cash Jul-Des 25'!$I:$I,Sheet1!C$1,'List Petty Cash Jul-Des 25'!$V:$V,Sheet1!$A11)</f>
        <v>57800</v>
      </c>
      <c r="D11" s="8">
        <f>+SUMIFS('List Petty Cash Jul-Des 25'!$AB:$AB,'List Petty Cash Jul-Des 25'!$I:$I,Sheet1!D$1,'List Petty Cash Jul-Des 25'!$V:$V,Sheet1!$A11)</f>
        <v>57800</v>
      </c>
      <c r="E11" s="8">
        <f>+SUMIFS('List Petty Cash Jul-Des 25'!$AB:$AB,'List Petty Cash Jul-Des 25'!$I:$I,Sheet1!E$1,'List Petty Cash Jul-Des 25'!$V:$V,Sheet1!$A11)</f>
        <v>29900</v>
      </c>
      <c r="F11" s="8">
        <f>+SUMIFS('List Petty Cash Jul-Des 25'!$AB:$AB,'List Petty Cash Jul-Des 25'!$I:$I,Sheet1!F$1,'List Petty Cash Jul-Des 25'!$V:$V,Sheet1!$A11)</f>
        <v>57800</v>
      </c>
      <c r="G11" s="8">
        <f>+SUMIFS('List Petty Cash Jul-Des 25'!$AB:$AB,'List Petty Cash Jul-Des 25'!$I:$I,Sheet1!G$1,'List Petty Cash Jul-Des 25'!$V:$V,Sheet1!$A11)</f>
        <v>210500</v>
      </c>
      <c r="H11" s="8">
        <f>+SUMIFS('List Petty Cash Jul-Des 25'!$AB:$AB,'List Petty Cash Jul-Des 25'!$I:$I,Sheet1!H$1,'List Petty Cash Jul-Des 25'!$V:$V,Sheet1!$A11)</f>
        <v>57800</v>
      </c>
      <c r="I11" s="9">
        <f t="shared" si="0"/>
        <v>471600</v>
      </c>
      <c r="K11" t="s">
        <v>1921</v>
      </c>
      <c r="L11" s="8">
        <f>+SUMIFS('List Petty Cash Jul-Des 25'!$AB:$AB,'List Petty Cash Jul-Des 25'!$I:$I,Sheet1!L$1,'List Petty Cash Jul-Des 25'!$X:$X,Sheet1!$K11)</f>
        <v>4618599</v>
      </c>
      <c r="M11" s="8">
        <f>+SUMIFS('List Petty Cash Jul-Des 25'!$AB:$AB,'List Petty Cash Jul-Des 25'!$I:$I,Sheet1!M$1,'List Petty Cash Jul-Des 25'!$X:$X,Sheet1!$K11)</f>
        <v>1095000</v>
      </c>
      <c r="N11" s="8">
        <f>+SUMIFS('List Petty Cash Jul-Des 25'!$AB:$AB,'List Petty Cash Jul-Des 25'!$I:$I,Sheet1!N$1,'List Petty Cash Jul-Des 25'!$X:$X,Sheet1!$K11)</f>
        <v>2100000</v>
      </c>
      <c r="O11" s="8">
        <f>+SUMIFS('List Petty Cash Jul-Des 25'!$AB:$AB,'List Petty Cash Jul-Des 25'!$I:$I,Sheet1!O$1,'List Petty Cash Jul-Des 25'!$X:$X,Sheet1!$K11)</f>
        <v>3472235</v>
      </c>
      <c r="P11" s="8">
        <f>+SUMIFS('List Petty Cash Jul-Des 25'!$AB:$AB,'List Petty Cash Jul-Des 25'!$I:$I,Sheet1!P$1,'List Petty Cash Jul-Des 25'!$X:$X,Sheet1!$K11)</f>
        <v>4637500</v>
      </c>
      <c r="Q11" s="8">
        <f>+SUMIFS('List Petty Cash Jul-Des 25'!$AB:$AB,'List Petty Cash Jul-Des 25'!$I:$I,Sheet1!Q$1,'List Petty Cash Jul-Des 25'!$X:$X,Sheet1!$K11)</f>
        <v>6455430</v>
      </c>
      <c r="R11" s="9">
        <f t="shared" si="1"/>
        <v>22378764</v>
      </c>
      <c r="S11" s="27">
        <f t="shared" si="2"/>
        <v>6.9996193754572777E-2</v>
      </c>
      <c r="T11">
        <v>70105300</v>
      </c>
      <c r="AA11" t="s">
        <v>1945</v>
      </c>
      <c r="AB11" s="9">
        <v>6649980</v>
      </c>
      <c r="AE11">
        <v>70105300</v>
      </c>
      <c r="AF11" t="s">
        <v>2041</v>
      </c>
      <c r="AG11" s="8">
        <v>471600</v>
      </c>
    </row>
    <row r="12" spans="1:38" x14ac:dyDescent="0.25">
      <c r="A12">
        <v>70105321</v>
      </c>
      <c r="B12" t="s">
        <v>2055</v>
      </c>
      <c r="C12" s="8">
        <f>+SUMIFS('List Petty Cash Jul-Des 25'!$AB:$AB,'List Petty Cash Jul-Des 25'!$I:$I,Sheet1!C$1,'List Petty Cash Jul-Des 25'!$V:$V,Sheet1!$A12)</f>
        <v>0</v>
      </c>
      <c r="D12" s="8">
        <f>+SUMIFS('List Petty Cash Jul-Des 25'!$AB:$AB,'List Petty Cash Jul-Des 25'!$I:$I,Sheet1!D$1,'List Petty Cash Jul-Des 25'!$V:$V,Sheet1!$A12)</f>
        <v>0</v>
      </c>
      <c r="E12" s="8">
        <f>+SUMIFS('List Petty Cash Jul-Des 25'!$AB:$AB,'List Petty Cash Jul-Des 25'!$I:$I,Sheet1!E$1,'List Petty Cash Jul-Des 25'!$V:$V,Sheet1!$A12)</f>
        <v>0</v>
      </c>
      <c r="F12" s="8">
        <f>+SUMIFS('List Petty Cash Jul-Des 25'!$AB:$AB,'List Petty Cash Jul-Des 25'!$I:$I,Sheet1!F$1,'List Petty Cash Jul-Des 25'!$V:$V,Sheet1!$A12)</f>
        <v>916000</v>
      </c>
      <c r="G12" s="8">
        <f>+SUMIFS('List Petty Cash Jul-Des 25'!$AB:$AB,'List Petty Cash Jul-Des 25'!$I:$I,Sheet1!G$1,'List Petty Cash Jul-Des 25'!$V:$V,Sheet1!$A12)</f>
        <v>0</v>
      </c>
      <c r="H12" s="8">
        <f>+SUMIFS('List Petty Cash Jul-Des 25'!$AB:$AB,'List Petty Cash Jul-Des 25'!$I:$I,Sheet1!H$1,'List Petty Cash Jul-Des 25'!$V:$V,Sheet1!$A12)</f>
        <v>0</v>
      </c>
      <c r="I12" s="9">
        <f t="shared" si="0"/>
        <v>916000</v>
      </c>
      <c r="K12" t="s">
        <v>1943</v>
      </c>
      <c r="L12" s="8">
        <f>+SUMIFS('List Petty Cash Jul-Des 25'!$AB:$AB,'List Petty Cash Jul-Des 25'!$I:$I,Sheet1!L$1,'List Petty Cash Jul-Des 25'!$X:$X,Sheet1!$K12)</f>
        <v>18188358</v>
      </c>
      <c r="M12" s="8">
        <f>+SUMIFS('List Petty Cash Jul-Des 25'!$AB:$AB,'List Petty Cash Jul-Des 25'!$I:$I,Sheet1!M$1,'List Petty Cash Jul-Des 25'!$X:$X,Sheet1!$K12)</f>
        <v>14559402</v>
      </c>
      <c r="N12" s="8">
        <f>+SUMIFS('List Petty Cash Jul-Des 25'!$AB:$AB,'List Petty Cash Jul-Des 25'!$I:$I,Sheet1!N$1,'List Petty Cash Jul-Des 25'!$X:$X,Sheet1!$K12)</f>
        <v>10663587</v>
      </c>
      <c r="O12" s="8">
        <f>+SUMIFS('List Petty Cash Jul-Des 25'!$AB:$AB,'List Petty Cash Jul-Des 25'!$I:$I,Sheet1!O$1,'List Petty Cash Jul-Des 25'!$X:$X,Sheet1!$K12)</f>
        <v>20320035</v>
      </c>
      <c r="P12" s="8">
        <f>+SUMIFS('List Petty Cash Jul-Des 25'!$AB:$AB,'List Petty Cash Jul-Des 25'!$I:$I,Sheet1!P$1,'List Petty Cash Jul-Des 25'!$X:$X,Sheet1!$K12)</f>
        <v>25204360</v>
      </c>
      <c r="Q12" s="8">
        <f>+SUMIFS('List Petty Cash Jul-Des 25'!$AB:$AB,'List Petty Cash Jul-Des 25'!$I:$I,Sheet1!Q$1,'List Petty Cash Jul-Des 25'!$X:$X,Sheet1!$K12)</f>
        <v>18684041</v>
      </c>
      <c r="R12" s="9">
        <f t="shared" si="1"/>
        <v>107619783</v>
      </c>
      <c r="S12" s="27">
        <f t="shared" si="2"/>
        <v>0.33661265576119742</v>
      </c>
      <c r="T12">
        <v>70105321</v>
      </c>
      <c r="AA12" t="s">
        <v>1971</v>
      </c>
      <c r="AB12" s="9">
        <v>6084036</v>
      </c>
      <c r="AE12">
        <v>70101202</v>
      </c>
      <c r="AF12" t="s">
        <v>2038</v>
      </c>
      <c r="AG12" s="8">
        <v>275000</v>
      </c>
      <c r="AK12" s="14" t="s">
        <v>2033</v>
      </c>
      <c r="AL12" s="14" t="s">
        <v>2072</v>
      </c>
    </row>
    <row r="13" spans="1:38" x14ac:dyDescent="0.25">
      <c r="A13">
        <v>70106100</v>
      </c>
      <c r="B13" t="s">
        <v>2042</v>
      </c>
      <c r="C13" s="8">
        <f>+SUMIFS('List Petty Cash Jul-Des 25'!$AB:$AB,'List Petty Cash Jul-Des 25'!$I:$I,Sheet1!C$1,'List Petty Cash Jul-Des 25'!$V:$V,Sheet1!$A13)</f>
        <v>4714300</v>
      </c>
      <c r="D13" s="8">
        <f>+SUMIFS('List Petty Cash Jul-Des 25'!$AB:$AB,'List Petty Cash Jul-Des 25'!$I:$I,Sheet1!D$1,'List Petty Cash Jul-Des 25'!$V:$V,Sheet1!$A13)</f>
        <v>3220000</v>
      </c>
      <c r="E13" s="8">
        <f>+SUMIFS('List Petty Cash Jul-Des 25'!$AB:$AB,'List Petty Cash Jul-Des 25'!$I:$I,Sheet1!E$1,'List Petty Cash Jul-Des 25'!$V:$V,Sheet1!$A13)</f>
        <v>3209000</v>
      </c>
      <c r="F13" s="8">
        <f>+SUMIFS('List Petty Cash Jul-Des 25'!$AB:$AB,'List Petty Cash Jul-Des 25'!$I:$I,Sheet1!F$1,'List Petty Cash Jul-Des 25'!$V:$V,Sheet1!$A13)</f>
        <v>5769000</v>
      </c>
      <c r="G13" s="8">
        <f>+SUMIFS('List Petty Cash Jul-Des 25'!$AB:$AB,'List Petty Cash Jul-Des 25'!$I:$I,Sheet1!G$1,'List Petty Cash Jul-Des 25'!$V:$V,Sheet1!$A13)</f>
        <v>9921500</v>
      </c>
      <c r="H13" s="8">
        <f>+SUMIFS('List Petty Cash Jul-Des 25'!$AB:$AB,'List Petty Cash Jul-Des 25'!$I:$I,Sheet1!H$1,'List Petty Cash Jul-Des 25'!$V:$V,Sheet1!$A13)</f>
        <v>5718500</v>
      </c>
      <c r="I13" s="9">
        <f t="shared" si="0"/>
        <v>32552300</v>
      </c>
      <c r="K13" t="s">
        <v>1975</v>
      </c>
      <c r="L13" s="8">
        <f>+SUMIFS('List Petty Cash Jul-Des 25'!$AB:$AB,'List Petty Cash Jul-Des 25'!$I:$I,Sheet1!L$1,'List Petty Cash Jul-Des 25'!$X:$X,Sheet1!$K13)</f>
        <v>1389800</v>
      </c>
      <c r="M13" s="8">
        <f>+SUMIFS('List Petty Cash Jul-Des 25'!$AB:$AB,'List Petty Cash Jul-Des 25'!$I:$I,Sheet1!M$1,'List Petty Cash Jul-Des 25'!$X:$X,Sheet1!$K13)</f>
        <v>0</v>
      </c>
      <c r="N13" s="8">
        <f>+SUMIFS('List Petty Cash Jul-Des 25'!$AB:$AB,'List Petty Cash Jul-Des 25'!$I:$I,Sheet1!N$1,'List Petty Cash Jul-Des 25'!$X:$X,Sheet1!$K13)</f>
        <v>618300</v>
      </c>
      <c r="O13" s="8">
        <f>+SUMIFS('List Petty Cash Jul-Des 25'!$AB:$AB,'List Petty Cash Jul-Des 25'!$I:$I,Sheet1!O$1,'List Petty Cash Jul-Des 25'!$X:$X,Sheet1!$K13)</f>
        <v>870000</v>
      </c>
      <c r="P13" s="8">
        <f>+SUMIFS('List Petty Cash Jul-Des 25'!$AB:$AB,'List Petty Cash Jul-Des 25'!$I:$I,Sheet1!P$1,'List Petty Cash Jul-Des 25'!$X:$X,Sheet1!$K13)</f>
        <v>500000</v>
      </c>
      <c r="Q13" s="8">
        <f>+SUMIFS('List Petty Cash Jul-Des 25'!$AB:$AB,'List Petty Cash Jul-Des 25'!$I:$I,Sheet1!Q$1,'List Petty Cash Jul-Des 25'!$X:$X,Sheet1!$K13)</f>
        <v>400000</v>
      </c>
      <c r="R13" s="9">
        <f t="shared" si="1"/>
        <v>3778100</v>
      </c>
      <c r="S13" s="27">
        <f t="shared" si="2"/>
        <v>1.1817123574123728E-2</v>
      </c>
      <c r="T13">
        <v>70106100</v>
      </c>
      <c r="AA13" t="s">
        <v>1926</v>
      </c>
      <c r="AB13" s="9">
        <v>5690177</v>
      </c>
      <c r="AG13" s="9">
        <f>SUM(AG3:AG12)</f>
        <v>107619783</v>
      </c>
      <c r="AK13" t="s">
        <v>1943</v>
      </c>
      <c r="AL13" s="8">
        <v>107619783</v>
      </c>
    </row>
    <row r="14" spans="1:38" x14ac:dyDescent="0.25">
      <c r="A14">
        <v>70106400</v>
      </c>
      <c r="B14" t="s">
        <v>2043</v>
      </c>
      <c r="C14" s="8">
        <f>+SUMIFS('List Petty Cash Jul-Des 25'!$AB:$AB,'List Petty Cash Jul-Des 25'!$I:$I,Sheet1!C$1,'List Petty Cash Jul-Des 25'!$V:$V,Sheet1!$A14)</f>
        <v>6890000</v>
      </c>
      <c r="D14" s="8">
        <f>+SUMIFS('List Petty Cash Jul-Des 25'!$AB:$AB,'List Petty Cash Jul-Des 25'!$I:$I,Sheet1!D$1,'List Petty Cash Jul-Des 25'!$V:$V,Sheet1!$A14)</f>
        <v>5150000</v>
      </c>
      <c r="E14" s="8">
        <f>+SUMIFS('List Petty Cash Jul-Des 25'!$AB:$AB,'List Petty Cash Jul-Des 25'!$I:$I,Sheet1!E$1,'List Petty Cash Jul-Des 25'!$V:$V,Sheet1!$A14)</f>
        <v>4330000</v>
      </c>
      <c r="F14" s="8">
        <f>+SUMIFS('List Petty Cash Jul-Des 25'!$AB:$AB,'List Petty Cash Jul-Des 25'!$I:$I,Sheet1!F$1,'List Petty Cash Jul-Des 25'!$V:$V,Sheet1!$A14)</f>
        <v>7780000</v>
      </c>
      <c r="G14" s="8">
        <f>+SUMIFS('List Petty Cash Jul-Des 25'!$AB:$AB,'List Petty Cash Jul-Des 25'!$I:$I,Sheet1!G$1,'List Petty Cash Jul-Des 25'!$V:$V,Sheet1!$A14)</f>
        <v>11610000</v>
      </c>
      <c r="H14" s="8">
        <f>+SUMIFS('List Petty Cash Jul-Des 25'!$AB:$AB,'List Petty Cash Jul-Des 25'!$I:$I,Sheet1!H$1,'List Petty Cash Jul-Des 25'!$V:$V,Sheet1!$A14)</f>
        <v>8850000</v>
      </c>
      <c r="I14" s="9">
        <f t="shared" si="0"/>
        <v>44610000</v>
      </c>
      <c r="K14" t="s">
        <v>1973</v>
      </c>
      <c r="L14" s="8">
        <f>+SUMIFS('List Petty Cash Jul-Des 25'!$AB:$AB,'List Petty Cash Jul-Des 25'!$I:$I,Sheet1!L$1,'List Petty Cash Jul-Des 25'!$X:$X,Sheet1!$K14)</f>
        <v>1000000</v>
      </c>
      <c r="M14" s="8">
        <f>+SUMIFS('List Petty Cash Jul-Des 25'!$AB:$AB,'List Petty Cash Jul-Des 25'!$I:$I,Sheet1!M$1,'List Petty Cash Jul-Des 25'!$X:$X,Sheet1!$K14)</f>
        <v>600000</v>
      </c>
      <c r="N14" s="8">
        <f>+SUMIFS('List Petty Cash Jul-Des 25'!$AB:$AB,'List Petty Cash Jul-Des 25'!$I:$I,Sheet1!N$1,'List Petty Cash Jul-Des 25'!$X:$X,Sheet1!$K14)</f>
        <v>0</v>
      </c>
      <c r="O14" s="8">
        <f>+SUMIFS('List Petty Cash Jul-Des 25'!$AB:$AB,'List Petty Cash Jul-Des 25'!$I:$I,Sheet1!O$1,'List Petty Cash Jul-Des 25'!$X:$X,Sheet1!$K14)</f>
        <v>0</v>
      </c>
      <c r="P14" s="8">
        <f>+SUMIFS('List Petty Cash Jul-Des 25'!$AB:$AB,'List Petty Cash Jul-Des 25'!$I:$I,Sheet1!P$1,'List Petty Cash Jul-Des 25'!$X:$X,Sheet1!$K14)</f>
        <v>0</v>
      </c>
      <c r="Q14" s="8">
        <f>+SUMIFS('List Petty Cash Jul-Des 25'!$AB:$AB,'List Petty Cash Jul-Des 25'!$I:$I,Sheet1!Q$1,'List Petty Cash Jul-Des 25'!$X:$X,Sheet1!$K14)</f>
        <v>1000000</v>
      </c>
      <c r="R14" s="9">
        <f t="shared" si="1"/>
        <v>2600000</v>
      </c>
      <c r="S14" s="27">
        <f t="shared" si="2"/>
        <v>8.1322678840479844E-3</v>
      </c>
      <c r="T14">
        <v>70106400</v>
      </c>
      <c r="AA14" t="s">
        <v>1961</v>
      </c>
      <c r="AB14" s="9">
        <v>5359442</v>
      </c>
      <c r="AK14" t="s">
        <v>1923</v>
      </c>
      <c r="AL14" s="8">
        <v>33069100</v>
      </c>
    </row>
    <row r="15" spans="1:38" x14ac:dyDescent="0.25">
      <c r="A15">
        <v>70107100</v>
      </c>
      <c r="B15" t="s">
        <v>2044</v>
      </c>
      <c r="C15" s="8">
        <f>+SUMIFS('List Petty Cash Jul-Des 25'!$AB:$AB,'List Petty Cash Jul-Des 25'!$I:$I,Sheet1!C$1,'List Petty Cash Jul-Des 25'!$V:$V,Sheet1!$A15)</f>
        <v>290500</v>
      </c>
      <c r="D15" s="8">
        <f>+SUMIFS('List Petty Cash Jul-Des 25'!$AB:$AB,'List Petty Cash Jul-Des 25'!$I:$I,Sheet1!D$1,'List Petty Cash Jul-Des 25'!$V:$V,Sheet1!$A15)</f>
        <v>1890500</v>
      </c>
      <c r="E15" s="8">
        <f>+SUMIFS('List Petty Cash Jul-Des 25'!$AB:$AB,'List Petty Cash Jul-Des 25'!$I:$I,Sheet1!E$1,'List Petty Cash Jul-Des 25'!$V:$V,Sheet1!$A15)</f>
        <v>290500</v>
      </c>
      <c r="F15" s="8">
        <f>+SUMIFS('List Petty Cash Jul-Des 25'!$AB:$AB,'List Petty Cash Jul-Des 25'!$I:$I,Sheet1!F$1,'List Petty Cash Jul-Des 25'!$V:$V,Sheet1!$A15)</f>
        <v>1890500</v>
      </c>
      <c r="G15" s="8">
        <f>+SUMIFS('List Petty Cash Jul-Des 25'!$AB:$AB,'List Petty Cash Jul-Des 25'!$I:$I,Sheet1!G$1,'List Petty Cash Jul-Des 25'!$V:$V,Sheet1!$A15)</f>
        <v>1540500</v>
      </c>
      <c r="H15" s="8">
        <f>+SUMIFS('List Petty Cash Jul-Des 25'!$AB:$AB,'List Petty Cash Jul-Des 25'!$I:$I,Sheet1!H$1,'List Petty Cash Jul-Des 25'!$V:$V,Sheet1!$A15)</f>
        <v>1090500</v>
      </c>
      <c r="I15" s="9">
        <f t="shared" si="0"/>
        <v>6993000</v>
      </c>
      <c r="K15" t="s">
        <v>2023</v>
      </c>
      <c r="L15" s="8">
        <f>+SUMIFS('List Petty Cash Jul-Des 25'!$AB:$AB,'List Petty Cash Jul-Des 25'!$I:$I,Sheet1!L$1,'List Petty Cash Jul-Des 25'!$X:$X,Sheet1!$K15)</f>
        <v>0</v>
      </c>
      <c r="M15" s="8">
        <f>+SUMIFS('List Petty Cash Jul-Des 25'!$AB:$AB,'List Petty Cash Jul-Des 25'!$I:$I,Sheet1!M$1,'List Petty Cash Jul-Des 25'!$X:$X,Sheet1!$K15)</f>
        <v>0</v>
      </c>
      <c r="N15" s="8">
        <f>+SUMIFS('List Petty Cash Jul-Des 25'!$AB:$AB,'List Petty Cash Jul-Des 25'!$I:$I,Sheet1!N$1,'List Petty Cash Jul-Des 25'!$X:$X,Sheet1!$K15)</f>
        <v>0</v>
      </c>
      <c r="O15" s="8">
        <f>+SUMIFS('List Petty Cash Jul-Des 25'!$AB:$AB,'List Petty Cash Jul-Des 25'!$I:$I,Sheet1!O$1,'List Petty Cash Jul-Des 25'!$X:$X,Sheet1!$K15)</f>
        <v>0</v>
      </c>
      <c r="P15" s="8">
        <f>+SUMIFS('List Petty Cash Jul-Des 25'!$AB:$AB,'List Petty Cash Jul-Des 25'!$I:$I,Sheet1!P$1,'List Petty Cash Jul-Des 25'!$X:$X,Sheet1!$K15)</f>
        <v>385000</v>
      </c>
      <c r="Q15" s="8">
        <f>+SUMIFS('List Petty Cash Jul-Des 25'!$AB:$AB,'List Petty Cash Jul-Des 25'!$I:$I,Sheet1!Q$1,'List Petty Cash Jul-Des 25'!$X:$X,Sheet1!$K15)</f>
        <v>0</v>
      </c>
      <c r="R15" s="9">
        <f t="shared" si="1"/>
        <v>385000</v>
      </c>
      <c r="S15" s="27">
        <f t="shared" si="2"/>
        <v>1.2042012059071054E-3</v>
      </c>
      <c r="T15">
        <v>70107100</v>
      </c>
      <c r="AA15" t="s">
        <v>2014</v>
      </c>
      <c r="AB15" s="9">
        <v>5146000</v>
      </c>
      <c r="AK15" t="s">
        <v>1921</v>
      </c>
      <c r="AL15" s="8">
        <v>22378764</v>
      </c>
    </row>
    <row r="16" spans="1:38" x14ac:dyDescent="0.25">
      <c r="A16">
        <v>70107300</v>
      </c>
      <c r="B16" t="s">
        <v>2045</v>
      </c>
      <c r="C16" s="8">
        <f>+SUMIFS('List Petty Cash Jul-Des 25'!$AB:$AB,'List Petty Cash Jul-Des 25'!$I:$I,Sheet1!C$1,'List Petty Cash Jul-Des 25'!$V:$V,Sheet1!$A16)</f>
        <v>2786599</v>
      </c>
      <c r="D16" s="8">
        <f>+SUMIFS('List Petty Cash Jul-Des 25'!$AB:$AB,'List Petty Cash Jul-Des 25'!$I:$I,Sheet1!D$1,'List Petty Cash Jul-Des 25'!$V:$V,Sheet1!$A16)</f>
        <v>1000000</v>
      </c>
      <c r="E16" s="8">
        <f>+SUMIFS('List Petty Cash Jul-Des 25'!$AB:$AB,'List Petty Cash Jul-Des 25'!$I:$I,Sheet1!E$1,'List Petty Cash Jul-Des 25'!$V:$V,Sheet1!$A16)</f>
        <v>1400000</v>
      </c>
      <c r="F16" s="8">
        <f>+SUMIFS('List Petty Cash Jul-Des 25'!$AB:$AB,'List Petty Cash Jul-Des 25'!$I:$I,Sheet1!F$1,'List Petty Cash Jul-Des 25'!$V:$V,Sheet1!$A16)</f>
        <v>2330000</v>
      </c>
      <c r="G16" s="8">
        <f>+SUMIFS('List Petty Cash Jul-Des 25'!$AB:$AB,'List Petty Cash Jul-Des 25'!$I:$I,Sheet1!G$1,'List Petty Cash Jul-Des 25'!$V:$V,Sheet1!$A16)</f>
        <v>2100000</v>
      </c>
      <c r="H16" s="8">
        <f>+SUMIFS('List Petty Cash Jul-Des 25'!$AB:$AB,'List Petty Cash Jul-Des 25'!$I:$I,Sheet1!H$1,'List Petty Cash Jul-Des 25'!$V:$V,Sheet1!$A16)</f>
        <v>2239480</v>
      </c>
      <c r="I16" s="9">
        <f t="shared" si="0"/>
        <v>11856079</v>
      </c>
      <c r="K16" t="s">
        <v>2031</v>
      </c>
      <c r="L16" s="8">
        <f>+SUMIFS('List Petty Cash Jul-Des 25'!$AB:$AB,'List Petty Cash Jul-Des 25'!$I:$I,Sheet1!L$1,'List Petty Cash Jul-Des 25'!$X:$X,Sheet1!$K16)</f>
        <v>0</v>
      </c>
      <c r="M16" s="8">
        <f>+SUMIFS('List Petty Cash Jul-Des 25'!$AB:$AB,'List Petty Cash Jul-Des 25'!$I:$I,Sheet1!M$1,'List Petty Cash Jul-Des 25'!$X:$X,Sheet1!$K16)</f>
        <v>0</v>
      </c>
      <c r="N16" s="8">
        <f>+SUMIFS('List Petty Cash Jul-Des 25'!$AB:$AB,'List Petty Cash Jul-Des 25'!$I:$I,Sheet1!N$1,'List Petty Cash Jul-Des 25'!$X:$X,Sheet1!$K16)</f>
        <v>0</v>
      </c>
      <c r="O16" s="8">
        <f>+SUMIFS('List Petty Cash Jul-Des 25'!$AB:$AB,'List Petty Cash Jul-Des 25'!$I:$I,Sheet1!O$1,'List Petty Cash Jul-Des 25'!$X:$X,Sheet1!$K16)</f>
        <v>0</v>
      </c>
      <c r="P16" s="8">
        <f>+SUMIFS('List Petty Cash Jul-Des 25'!$AB:$AB,'List Petty Cash Jul-Des 25'!$I:$I,Sheet1!P$1,'List Petty Cash Jul-Des 25'!$X:$X,Sheet1!$K16)</f>
        <v>0</v>
      </c>
      <c r="Q16" s="8">
        <f>+SUMIFS('List Petty Cash Jul-Des 25'!$AB:$AB,'List Petty Cash Jul-Des 25'!$I:$I,Sheet1!Q$1,'List Petty Cash Jul-Des 25'!$X:$X,Sheet1!$K16)</f>
        <v>2047748</v>
      </c>
      <c r="R16" s="9">
        <f t="shared" si="1"/>
        <v>2047748</v>
      </c>
      <c r="S16" s="27">
        <f t="shared" si="2"/>
        <v>6.4049366519321124E-3</v>
      </c>
      <c r="T16">
        <v>70107300</v>
      </c>
      <c r="AA16" t="s">
        <v>1933</v>
      </c>
      <c r="AB16" s="9">
        <v>4769040</v>
      </c>
      <c r="AK16" t="s">
        <v>1959</v>
      </c>
      <c r="AL16" s="8">
        <v>19964591</v>
      </c>
    </row>
    <row r="17" spans="1:38" x14ac:dyDescent="0.25">
      <c r="A17">
        <v>70107500</v>
      </c>
      <c r="B17" t="s">
        <v>2046</v>
      </c>
      <c r="C17" s="8">
        <f>+SUMIFS('List Petty Cash Jul-Des 25'!$AB:$AB,'List Petty Cash Jul-Des 25'!$I:$I,Sheet1!C$1,'List Petty Cash Jul-Des 25'!$V:$V,Sheet1!$A17)</f>
        <v>0</v>
      </c>
      <c r="D17" s="8">
        <f>+SUMIFS('List Petty Cash Jul-Des 25'!$AB:$AB,'List Petty Cash Jul-Des 25'!$I:$I,Sheet1!D$1,'List Petty Cash Jul-Des 25'!$V:$V,Sheet1!$A17)</f>
        <v>600000</v>
      </c>
      <c r="E17" s="8">
        <f>+SUMIFS('List Petty Cash Jul-Des 25'!$AB:$AB,'List Petty Cash Jul-Des 25'!$I:$I,Sheet1!E$1,'List Petty Cash Jul-Des 25'!$V:$V,Sheet1!$A17)</f>
        <v>0</v>
      </c>
      <c r="F17" s="8">
        <f>+SUMIFS('List Petty Cash Jul-Des 25'!$AB:$AB,'List Petty Cash Jul-Des 25'!$I:$I,Sheet1!F$1,'List Petty Cash Jul-Des 25'!$V:$V,Sheet1!$A17)</f>
        <v>600000</v>
      </c>
      <c r="G17" s="8">
        <f>+SUMIFS('List Petty Cash Jul-Des 25'!$AB:$AB,'List Petty Cash Jul-Des 25'!$I:$I,Sheet1!G$1,'List Petty Cash Jul-Des 25'!$V:$V,Sheet1!$A17)</f>
        <v>0</v>
      </c>
      <c r="H17" s="8">
        <f>+SUMIFS('List Petty Cash Jul-Des 25'!$AB:$AB,'List Petty Cash Jul-Des 25'!$I:$I,Sheet1!H$1,'List Petty Cash Jul-Des 25'!$V:$V,Sheet1!$A17)</f>
        <v>1800000</v>
      </c>
      <c r="I17" s="9">
        <f t="shared" si="0"/>
        <v>3000000</v>
      </c>
      <c r="K17" t="s">
        <v>1992</v>
      </c>
      <c r="L17" s="8">
        <f>+SUMIFS('List Petty Cash Jul-Des 25'!$AB:$AB,'List Petty Cash Jul-Des 25'!$I:$I,Sheet1!L$1,'List Petty Cash Jul-Des 25'!$X:$X,Sheet1!$K17)</f>
        <v>0</v>
      </c>
      <c r="M17" s="8">
        <f>+SUMIFS('List Petty Cash Jul-Des 25'!$AB:$AB,'List Petty Cash Jul-Des 25'!$I:$I,Sheet1!M$1,'List Petty Cash Jul-Des 25'!$X:$X,Sheet1!$K17)</f>
        <v>145000</v>
      </c>
      <c r="N17" s="8">
        <f>+SUMIFS('List Petty Cash Jul-Des 25'!$AB:$AB,'List Petty Cash Jul-Des 25'!$I:$I,Sheet1!N$1,'List Petty Cash Jul-Des 25'!$X:$X,Sheet1!$K17)</f>
        <v>2157121</v>
      </c>
      <c r="O17" s="8">
        <f>+SUMIFS('List Petty Cash Jul-Des 25'!$AB:$AB,'List Petty Cash Jul-Des 25'!$I:$I,Sheet1!O$1,'List Petty Cash Jul-Des 25'!$X:$X,Sheet1!$K17)</f>
        <v>463000</v>
      </c>
      <c r="P17" s="8">
        <f>+SUMIFS('List Petty Cash Jul-Des 25'!$AB:$AB,'List Petty Cash Jul-Des 25'!$I:$I,Sheet1!P$1,'List Petty Cash Jul-Des 25'!$X:$X,Sheet1!$K17)</f>
        <v>845510</v>
      </c>
      <c r="Q17" s="8">
        <f>+SUMIFS('List Petty Cash Jul-Des 25'!$AB:$AB,'List Petty Cash Jul-Des 25'!$I:$I,Sheet1!Q$1,'List Petty Cash Jul-Des 25'!$X:$X,Sheet1!$K17)</f>
        <v>416100</v>
      </c>
      <c r="R17" s="9">
        <f t="shared" si="1"/>
        <v>4026731</v>
      </c>
      <c r="S17" s="27">
        <f t="shared" si="2"/>
        <v>1.2594790457307856E-2</v>
      </c>
      <c r="T17">
        <v>70107500</v>
      </c>
      <c r="AA17" t="s">
        <v>2013</v>
      </c>
      <c r="AB17" s="9">
        <v>4295450</v>
      </c>
      <c r="AK17" t="s">
        <v>1938</v>
      </c>
      <c r="AL17" s="8">
        <v>15782300</v>
      </c>
    </row>
    <row r="18" spans="1:38" x14ac:dyDescent="0.25">
      <c r="A18">
        <v>70107600</v>
      </c>
      <c r="B18" t="s">
        <v>2047</v>
      </c>
      <c r="C18" s="8">
        <f>+SUMIFS('List Petty Cash Jul-Des 25'!$AB:$AB,'List Petty Cash Jul-Des 25'!$I:$I,Sheet1!C$1,'List Petty Cash Jul-Des 25'!$V:$V,Sheet1!$A18)</f>
        <v>7481180</v>
      </c>
      <c r="D18" s="8">
        <f>+SUMIFS('List Petty Cash Jul-Des 25'!$AB:$AB,'List Petty Cash Jul-Des 25'!$I:$I,Sheet1!D$1,'List Petty Cash Jul-Des 25'!$V:$V,Sheet1!$A18)</f>
        <v>1231500</v>
      </c>
      <c r="E18" s="8">
        <f>+SUMIFS('List Petty Cash Jul-Des 25'!$AB:$AB,'List Petty Cash Jul-Des 25'!$I:$I,Sheet1!E$1,'List Petty Cash Jul-Des 25'!$V:$V,Sheet1!$A18)</f>
        <v>3109831</v>
      </c>
      <c r="F18" s="8">
        <f>+SUMIFS('List Petty Cash Jul-Des 25'!$AB:$AB,'List Petty Cash Jul-Des 25'!$I:$I,Sheet1!F$1,'List Petty Cash Jul-Des 25'!$V:$V,Sheet1!$A18)</f>
        <v>6498955</v>
      </c>
      <c r="G18" s="8">
        <f>+SUMIFS('List Petty Cash Jul-Des 25'!$AB:$AB,'List Petty Cash Jul-Des 25'!$I:$I,Sheet1!G$1,'List Petty Cash Jul-Des 25'!$V:$V,Sheet1!$A18)</f>
        <v>7327260</v>
      </c>
      <c r="H18" s="8">
        <f>+SUMIFS('List Petty Cash Jul-Des 25'!$AB:$AB,'List Petty Cash Jul-Des 25'!$I:$I,Sheet1!H$1,'List Petty Cash Jul-Des 25'!$V:$V,Sheet1!$A18)</f>
        <v>7150212</v>
      </c>
      <c r="I18" s="9">
        <f t="shared" si="0"/>
        <v>32798938</v>
      </c>
      <c r="K18" t="s">
        <v>2007</v>
      </c>
      <c r="L18" s="8">
        <f>+SUMIFS('List Petty Cash Jul-Des 25'!$AB:$AB,'List Petty Cash Jul-Des 25'!$I:$I,Sheet1!L$1,'List Petty Cash Jul-Des 25'!$X:$X,Sheet1!$K18)</f>
        <v>0</v>
      </c>
      <c r="M18" s="8">
        <f>+SUMIFS('List Petty Cash Jul-Des 25'!$AB:$AB,'List Petty Cash Jul-Des 25'!$I:$I,Sheet1!M$1,'List Petty Cash Jul-Des 25'!$X:$X,Sheet1!$K18)</f>
        <v>0</v>
      </c>
      <c r="N18" s="8">
        <f>+SUMIFS('List Petty Cash Jul-Des 25'!$AB:$AB,'List Petty Cash Jul-Des 25'!$I:$I,Sheet1!N$1,'List Petty Cash Jul-Des 25'!$X:$X,Sheet1!$K18)</f>
        <v>61000</v>
      </c>
      <c r="O18" s="8">
        <f>+SUMIFS('List Petty Cash Jul-Des 25'!$AB:$AB,'List Petty Cash Jul-Des 25'!$I:$I,Sheet1!O$1,'List Petty Cash Jul-Des 25'!$X:$X,Sheet1!$K18)</f>
        <v>2325500</v>
      </c>
      <c r="P18" s="8">
        <f>+SUMIFS('List Petty Cash Jul-Des 25'!$AB:$AB,'List Petty Cash Jul-Des 25'!$I:$I,Sheet1!P$1,'List Petty Cash Jul-Des 25'!$X:$X,Sheet1!$K18)</f>
        <v>0</v>
      </c>
      <c r="Q18" s="8">
        <f>+SUMIFS('List Petty Cash Jul-Des 25'!$AB:$AB,'List Petty Cash Jul-Des 25'!$I:$I,Sheet1!Q$1,'List Petty Cash Jul-Des 25'!$X:$X,Sheet1!$K18)</f>
        <v>256380</v>
      </c>
      <c r="R18" s="9">
        <f t="shared" si="1"/>
        <v>2642880</v>
      </c>
      <c r="S18" s="27">
        <f t="shared" si="2"/>
        <v>8.2663877482279761E-3</v>
      </c>
      <c r="T18">
        <v>70107600</v>
      </c>
      <c r="AA18" t="s">
        <v>1948</v>
      </c>
      <c r="AB18" s="9">
        <v>4171300</v>
      </c>
      <c r="AK18" t="s">
        <v>1924</v>
      </c>
      <c r="AL18" s="8">
        <v>10153000</v>
      </c>
    </row>
    <row r="19" spans="1:38" x14ac:dyDescent="0.25">
      <c r="A19">
        <v>70108100</v>
      </c>
      <c r="B19" t="s">
        <v>2048</v>
      </c>
      <c r="C19" s="8">
        <f>+SUMIFS('List Petty Cash Jul-Des 25'!$AB:$AB,'List Petty Cash Jul-Des 25'!$I:$I,Sheet1!C$1,'List Petty Cash Jul-Des 25'!$V:$V,Sheet1!$A19)</f>
        <v>1632050</v>
      </c>
      <c r="D19" s="8">
        <f>+SUMIFS('List Petty Cash Jul-Des 25'!$AB:$AB,'List Petty Cash Jul-Des 25'!$I:$I,Sheet1!D$1,'List Petty Cash Jul-Des 25'!$V:$V,Sheet1!$A19)</f>
        <v>961000</v>
      </c>
      <c r="E19" s="8">
        <f>+SUMIFS('List Petty Cash Jul-Des 25'!$AB:$AB,'List Petty Cash Jul-Des 25'!$I:$I,Sheet1!E$1,'List Petty Cash Jul-Des 25'!$V:$V,Sheet1!$A19)</f>
        <v>652400</v>
      </c>
      <c r="F19" s="8">
        <f>+SUMIFS('List Petty Cash Jul-Des 25'!$AB:$AB,'List Petty Cash Jul-Des 25'!$I:$I,Sheet1!F$1,'List Petty Cash Jul-Des 25'!$V:$V,Sheet1!$A19)</f>
        <v>1881000</v>
      </c>
      <c r="G19" s="8">
        <f>+SUMIFS('List Petty Cash Jul-Des 25'!$AB:$AB,'List Petty Cash Jul-Des 25'!$I:$I,Sheet1!G$1,'List Petty Cash Jul-Des 25'!$V:$V,Sheet1!$A19)</f>
        <v>1539300</v>
      </c>
      <c r="H19" s="8">
        <f>+SUMIFS('List Petty Cash Jul-Des 25'!$AB:$AB,'List Petty Cash Jul-Des 25'!$I:$I,Sheet1!H$1,'List Petty Cash Jul-Des 25'!$V:$V,Sheet1!$A19)</f>
        <v>569516</v>
      </c>
      <c r="I19" s="9">
        <f t="shared" si="0"/>
        <v>7235266</v>
      </c>
      <c r="K19" t="s">
        <v>2013</v>
      </c>
      <c r="L19" s="8">
        <f>+SUMIFS('List Petty Cash Jul-Des 25'!$AB:$AB,'List Petty Cash Jul-Des 25'!$I:$I,Sheet1!L$1,'List Petty Cash Jul-Des 25'!$X:$X,Sheet1!$K19)</f>
        <v>0</v>
      </c>
      <c r="M19" s="8">
        <f>+SUMIFS('List Petty Cash Jul-Des 25'!$AB:$AB,'List Petty Cash Jul-Des 25'!$I:$I,Sheet1!M$1,'List Petty Cash Jul-Des 25'!$X:$X,Sheet1!$K19)</f>
        <v>0</v>
      </c>
      <c r="N19" s="8">
        <f>+SUMIFS('List Petty Cash Jul-Des 25'!$AB:$AB,'List Petty Cash Jul-Des 25'!$I:$I,Sheet1!N$1,'List Petty Cash Jul-Des 25'!$X:$X,Sheet1!$K19)</f>
        <v>0</v>
      </c>
      <c r="O19" s="8">
        <f>+SUMIFS('List Petty Cash Jul-Des 25'!$AB:$AB,'List Petty Cash Jul-Des 25'!$I:$I,Sheet1!O$1,'List Petty Cash Jul-Des 25'!$X:$X,Sheet1!$K19)</f>
        <v>2869500</v>
      </c>
      <c r="P19" s="8">
        <f>+SUMIFS('List Petty Cash Jul-Des 25'!$AB:$AB,'List Petty Cash Jul-Des 25'!$I:$I,Sheet1!P$1,'List Petty Cash Jul-Des 25'!$X:$X,Sheet1!$K19)</f>
        <v>625950</v>
      </c>
      <c r="Q19" s="8">
        <f>+SUMIFS('List Petty Cash Jul-Des 25'!$AB:$AB,'List Petty Cash Jul-Des 25'!$I:$I,Sheet1!Q$1,'List Petty Cash Jul-Des 25'!$X:$X,Sheet1!$K19)</f>
        <v>800000</v>
      </c>
      <c r="R19" s="9">
        <f t="shared" si="1"/>
        <v>4295450</v>
      </c>
      <c r="S19" s="27">
        <f t="shared" si="2"/>
        <v>1.3435288493282276E-2</v>
      </c>
      <c r="T19">
        <v>70108100</v>
      </c>
      <c r="AA19" t="s">
        <v>1992</v>
      </c>
      <c r="AB19" s="9">
        <v>4026731</v>
      </c>
      <c r="AK19" t="s">
        <v>2019</v>
      </c>
      <c r="AL19" s="8">
        <v>8948800</v>
      </c>
    </row>
    <row r="20" spans="1:38" x14ac:dyDescent="0.25">
      <c r="A20">
        <v>70108110</v>
      </c>
      <c r="B20" t="s">
        <v>2049</v>
      </c>
      <c r="C20" s="8">
        <f>+SUMIFS('List Petty Cash Jul-Des 25'!$AB:$AB,'List Petty Cash Jul-Des 25'!$I:$I,Sheet1!C$1,'List Petty Cash Jul-Des 25'!$V:$V,Sheet1!$A20)</f>
        <v>398800</v>
      </c>
      <c r="D20" s="8">
        <f>+SUMIFS('List Petty Cash Jul-Des 25'!$AB:$AB,'List Petty Cash Jul-Des 25'!$I:$I,Sheet1!D$1,'List Petty Cash Jul-Des 25'!$V:$V,Sheet1!$A20)</f>
        <v>441400</v>
      </c>
      <c r="E20" s="8">
        <f>+SUMIFS('List Petty Cash Jul-Des 25'!$AB:$AB,'List Petty Cash Jul-Des 25'!$I:$I,Sheet1!E$1,'List Petty Cash Jul-Des 25'!$V:$V,Sheet1!$A20)</f>
        <v>0</v>
      </c>
      <c r="F20" s="8">
        <f>+SUMIFS('List Petty Cash Jul-Des 25'!$AB:$AB,'List Petty Cash Jul-Des 25'!$I:$I,Sheet1!F$1,'List Petty Cash Jul-Des 25'!$V:$V,Sheet1!$A20)</f>
        <v>601500</v>
      </c>
      <c r="G20" s="8">
        <f>+SUMIFS('List Petty Cash Jul-Des 25'!$AB:$AB,'List Petty Cash Jul-Des 25'!$I:$I,Sheet1!G$1,'List Petty Cash Jul-Des 25'!$V:$V,Sheet1!$A20)</f>
        <v>196000</v>
      </c>
      <c r="H20" s="8">
        <f>+SUMIFS('List Petty Cash Jul-Des 25'!$AB:$AB,'List Petty Cash Jul-Des 25'!$I:$I,Sheet1!H$1,'List Petty Cash Jul-Des 25'!$V:$V,Sheet1!$A20)</f>
        <v>28000</v>
      </c>
      <c r="I20" s="9">
        <f t="shared" si="0"/>
        <v>1665700</v>
      </c>
      <c r="K20" t="s">
        <v>1962</v>
      </c>
      <c r="L20" s="8">
        <f>+SUMIFS('List Petty Cash Jul-Des 25'!$AB:$AB,'List Petty Cash Jul-Des 25'!$I:$I,Sheet1!L$1,'List Petty Cash Jul-Des 25'!$X:$X,Sheet1!$K20)</f>
        <v>919650</v>
      </c>
      <c r="M20" s="8">
        <f>+SUMIFS('List Petty Cash Jul-Des 25'!$AB:$AB,'List Petty Cash Jul-Des 25'!$I:$I,Sheet1!M$1,'List Petty Cash Jul-Des 25'!$X:$X,Sheet1!$K20)</f>
        <v>150000</v>
      </c>
      <c r="N20" s="8">
        <f>+SUMIFS('List Petty Cash Jul-Des 25'!$AB:$AB,'List Petty Cash Jul-Des 25'!$I:$I,Sheet1!N$1,'List Petty Cash Jul-Des 25'!$X:$X,Sheet1!$K20)</f>
        <v>652000</v>
      </c>
      <c r="O20" s="8">
        <f>+SUMIFS('List Petty Cash Jul-Des 25'!$AB:$AB,'List Petty Cash Jul-Des 25'!$I:$I,Sheet1!O$1,'List Petty Cash Jul-Des 25'!$X:$X,Sheet1!$K20)</f>
        <v>150000</v>
      </c>
      <c r="P20" s="8">
        <f>+SUMIFS('List Petty Cash Jul-Des 25'!$AB:$AB,'List Petty Cash Jul-Des 25'!$I:$I,Sheet1!P$1,'List Petty Cash Jul-Des 25'!$X:$X,Sheet1!$K20)</f>
        <v>299200</v>
      </c>
      <c r="Q20" s="8">
        <f>+SUMIFS('List Petty Cash Jul-Des 25'!$AB:$AB,'List Petty Cash Jul-Des 25'!$I:$I,Sheet1!Q$1,'List Petty Cash Jul-Des 25'!$X:$X,Sheet1!$K20)</f>
        <v>600000</v>
      </c>
      <c r="R20" s="9">
        <f t="shared" si="1"/>
        <v>2770850</v>
      </c>
      <c r="S20" s="27">
        <f t="shared" si="2"/>
        <v>8.6666517178901389E-3</v>
      </c>
      <c r="T20">
        <v>70108110</v>
      </c>
      <c r="AA20" t="s">
        <v>1975</v>
      </c>
      <c r="AB20" s="9">
        <v>3778100</v>
      </c>
      <c r="AK20" t="s">
        <v>1951</v>
      </c>
      <c r="AL20" s="8">
        <v>7294000</v>
      </c>
    </row>
    <row r="21" spans="1:38" x14ac:dyDescent="0.25">
      <c r="A21">
        <v>70110110</v>
      </c>
      <c r="B21" t="s">
        <v>2052</v>
      </c>
      <c r="C21" s="8">
        <f>+SUMIFS('List Petty Cash Jul-Des 25'!$AB:$AB,'List Petty Cash Jul-Des 25'!$I:$I,Sheet1!C$1,'List Petty Cash Jul-Des 25'!$V:$V,Sheet1!$A21)</f>
        <v>700000</v>
      </c>
      <c r="D21" s="8">
        <f>+SUMIFS('List Petty Cash Jul-Des 25'!$AB:$AB,'List Petty Cash Jul-Des 25'!$I:$I,Sheet1!D$1,'List Petty Cash Jul-Des 25'!$V:$V,Sheet1!$A21)</f>
        <v>0</v>
      </c>
      <c r="E21" s="8">
        <f>+SUMIFS('List Petty Cash Jul-Des 25'!$AB:$AB,'List Petty Cash Jul-Des 25'!$I:$I,Sheet1!E$1,'List Petty Cash Jul-Des 25'!$V:$V,Sheet1!$A21)</f>
        <v>700000</v>
      </c>
      <c r="F21" s="8">
        <f>+SUMIFS('List Petty Cash Jul-Des 25'!$AB:$AB,'List Petty Cash Jul-Des 25'!$I:$I,Sheet1!F$1,'List Petty Cash Jul-Des 25'!$V:$V,Sheet1!$A21)</f>
        <v>0</v>
      </c>
      <c r="G21" s="8">
        <f>+SUMIFS('List Petty Cash Jul-Des 25'!$AB:$AB,'List Petty Cash Jul-Des 25'!$I:$I,Sheet1!G$1,'List Petty Cash Jul-Des 25'!$V:$V,Sheet1!$A21)</f>
        <v>700000</v>
      </c>
      <c r="H21" s="8">
        <f>+SUMIFS('List Petty Cash Jul-Des 25'!$AB:$AB,'List Petty Cash Jul-Des 25'!$I:$I,Sheet1!H$1,'List Petty Cash Jul-Des 25'!$V:$V,Sheet1!$A21)</f>
        <v>0</v>
      </c>
      <c r="I21" s="9">
        <f t="shared" si="0"/>
        <v>2100000</v>
      </c>
      <c r="K21" t="s">
        <v>2028</v>
      </c>
      <c r="L21" s="8">
        <f>+SUMIFS('List Petty Cash Jul-Des 25'!$AB:$AB,'List Petty Cash Jul-Des 25'!$I:$I,Sheet1!L$1,'List Petty Cash Jul-Des 25'!$X:$X,Sheet1!$K21)</f>
        <v>0</v>
      </c>
      <c r="M21" s="8">
        <f>+SUMIFS('List Petty Cash Jul-Des 25'!$AB:$AB,'List Petty Cash Jul-Des 25'!$I:$I,Sheet1!M$1,'List Petty Cash Jul-Des 25'!$X:$X,Sheet1!$K21)</f>
        <v>0</v>
      </c>
      <c r="N21" s="8">
        <f>+SUMIFS('List Petty Cash Jul-Des 25'!$AB:$AB,'List Petty Cash Jul-Des 25'!$I:$I,Sheet1!N$1,'List Petty Cash Jul-Des 25'!$X:$X,Sheet1!$K21)</f>
        <v>0</v>
      </c>
      <c r="O21" s="8">
        <f>+SUMIFS('List Petty Cash Jul-Des 25'!$AB:$AB,'List Petty Cash Jul-Des 25'!$I:$I,Sheet1!O$1,'List Petty Cash Jul-Des 25'!$X:$X,Sheet1!$K21)</f>
        <v>0</v>
      </c>
      <c r="P21" s="8">
        <f>+SUMIFS('List Petty Cash Jul-Des 25'!$AB:$AB,'List Petty Cash Jul-Des 25'!$I:$I,Sheet1!P$1,'List Petty Cash Jul-Des 25'!$X:$X,Sheet1!$K21)</f>
        <v>0</v>
      </c>
      <c r="Q21" s="8">
        <f>+SUMIFS('List Petty Cash Jul-Des 25'!$AB:$AB,'List Petty Cash Jul-Des 25'!$I:$I,Sheet1!Q$1,'List Petty Cash Jul-Des 25'!$X:$X,Sheet1!$K21)</f>
        <v>1295000</v>
      </c>
      <c r="R21" s="9">
        <f t="shared" si="1"/>
        <v>1295000</v>
      </c>
      <c r="S21" s="27">
        <f t="shared" si="2"/>
        <v>4.0504949653239006E-3</v>
      </c>
      <c r="T21">
        <v>70110110</v>
      </c>
      <c r="AA21" t="s">
        <v>2012</v>
      </c>
      <c r="AB21" s="9">
        <v>3140100</v>
      </c>
      <c r="AK21" t="s">
        <v>1945</v>
      </c>
      <c r="AL21" s="8">
        <v>6649980</v>
      </c>
    </row>
    <row r="22" spans="1:38" x14ac:dyDescent="0.25">
      <c r="A22">
        <v>70110200</v>
      </c>
      <c r="B22" t="s">
        <v>2054</v>
      </c>
      <c r="C22" s="8">
        <f>+SUMIFS('List Petty Cash Jul-Des 25'!$AB:$AB,'List Petty Cash Jul-Des 25'!$I:$I,Sheet1!C$1,'List Petty Cash Jul-Des 25'!$V:$V,Sheet1!$A22)</f>
        <v>0</v>
      </c>
      <c r="D22" s="8">
        <f>+SUMIFS('List Petty Cash Jul-Des 25'!$AB:$AB,'List Petty Cash Jul-Des 25'!$I:$I,Sheet1!D$1,'List Petty Cash Jul-Des 25'!$V:$V,Sheet1!$A22)</f>
        <v>0</v>
      </c>
      <c r="E22" s="8">
        <f>+SUMIFS('List Petty Cash Jul-Des 25'!$AB:$AB,'List Petty Cash Jul-Des 25'!$I:$I,Sheet1!E$1,'List Petty Cash Jul-Des 25'!$V:$V,Sheet1!$A22)</f>
        <v>0</v>
      </c>
      <c r="F22" s="8">
        <f>+SUMIFS('List Petty Cash Jul-Des 25'!$AB:$AB,'List Petty Cash Jul-Des 25'!$I:$I,Sheet1!F$1,'List Petty Cash Jul-Des 25'!$V:$V,Sheet1!$A22)</f>
        <v>0</v>
      </c>
      <c r="G22" s="8">
        <f>+SUMIFS('List Petty Cash Jul-Des 25'!$AB:$AB,'List Petty Cash Jul-Des 25'!$I:$I,Sheet1!G$1,'List Petty Cash Jul-Des 25'!$V:$V,Sheet1!$A22)</f>
        <v>600000</v>
      </c>
      <c r="H22" s="8">
        <f>+SUMIFS('List Petty Cash Jul-Des 25'!$AB:$AB,'List Petty Cash Jul-Des 25'!$I:$I,Sheet1!H$1,'List Petty Cash Jul-Des 25'!$V:$V,Sheet1!$A22)</f>
        <v>0</v>
      </c>
      <c r="I22" s="9">
        <f t="shared" si="0"/>
        <v>600000</v>
      </c>
      <c r="K22" t="s">
        <v>1945</v>
      </c>
      <c r="L22" s="8">
        <f>+SUMIFS('List Petty Cash Jul-Des 25'!$AB:$AB,'List Petty Cash Jul-Des 25'!$I:$I,Sheet1!L$1,'List Petty Cash Jul-Des 25'!$X:$X,Sheet1!$K22)</f>
        <v>1793700</v>
      </c>
      <c r="M22" s="8">
        <f>+SUMIFS('List Petty Cash Jul-Des 25'!$AB:$AB,'List Petty Cash Jul-Des 25'!$I:$I,Sheet1!M$1,'List Petty Cash Jul-Des 25'!$X:$X,Sheet1!$K22)</f>
        <v>816000</v>
      </c>
      <c r="N22" s="8">
        <f>+SUMIFS('List Petty Cash Jul-Des 25'!$AB:$AB,'List Petty Cash Jul-Des 25'!$I:$I,Sheet1!N$1,'List Petty Cash Jul-Des 25'!$X:$X,Sheet1!$K22)</f>
        <v>2511000</v>
      </c>
      <c r="O22" s="8">
        <f>+SUMIFS('List Petty Cash Jul-Des 25'!$AB:$AB,'List Petty Cash Jul-Des 25'!$I:$I,Sheet1!O$1,'List Petty Cash Jul-Des 25'!$X:$X,Sheet1!$K22)</f>
        <v>1529280</v>
      </c>
      <c r="P22" s="8">
        <f>+SUMIFS('List Petty Cash Jul-Des 25'!$AB:$AB,'List Petty Cash Jul-Des 25'!$I:$I,Sheet1!P$1,'List Petty Cash Jul-Des 25'!$X:$X,Sheet1!$K22)</f>
        <v>0</v>
      </c>
      <c r="Q22" s="8">
        <f>+SUMIFS('List Petty Cash Jul-Des 25'!$AB:$AB,'List Petty Cash Jul-Des 25'!$I:$I,Sheet1!Q$1,'List Petty Cash Jul-Des 25'!$X:$X,Sheet1!$K22)</f>
        <v>0</v>
      </c>
      <c r="R22" s="9">
        <f t="shared" si="1"/>
        <v>6649980</v>
      </c>
      <c r="S22" s="27">
        <f t="shared" si="2"/>
        <v>2.079977645521593E-2</v>
      </c>
      <c r="T22">
        <v>70110200</v>
      </c>
      <c r="AA22" t="s">
        <v>1962</v>
      </c>
      <c r="AB22" s="9">
        <v>2770850</v>
      </c>
      <c r="AK22" t="s">
        <v>1971</v>
      </c>
      <c r="AL22" s="8">
        <v>6084036</v>
      </c>
    </row>
    <row r="23" spans="1:38" x14ac:dyDescent="0.25">
      <c r="A23">
        <v>70110210</v>
      </c>
      <c r="C23" s="8">
        <f>+SUMIFS('List Petty Cash Jul-Des 25'!$AB:$AB,'List Petty Cash Jul-Des 25'!$I:$I,Sheet1!C$1,'List Petty Cash Jul-Des 25'!$V:$V,Sheet1!$A23)</f>
        <v>0</v>
      </c>
      <c r="D23" s="8">
        <f>+SUMIFS('List Petty Cash Jul-Des 25'!$AB:$AB,'List Petty Cash Jul-Des 25'!$I:$I,Sheet1!D$1,'List Petty Cash Jul-Des 25'!$V:$V,Sheet1!$A23)</f>
        <v>0</v>
      </c>
      <c r="E23" s="8">
        <f>+SUMIFS('List Petty Cash Jul-Des 25'!$AB:$AB,'List Petty Cash Jul-Des 25'!$I:$I,Sheet1!E$1,'List Petty Cash Jul-Des 25'!$V:$V,Sheet1!$A23)</f>
        <v>0</v>
      </c>
      <c r="F23" s="8">
        <f>+SUMIFS('List Petty Cash Jul-Des 25'!$AB:$AB,'List Petty Cash Jul-Des 25'!$I:$I,Sheet1!F$1,'List Petty Cash Jul-Des 25'!$V:$V,Sheet1!$A23)</f>
        <v>135000</v>
      </c>
      <c r="G23" s="8">
        <f>+SUMIFS('List Petty Cash Jul-Des 25'!$AB:$AB,'List Petty Cash Jul-Des 25'!$I:$I,Sheet1!G$1,'List Petty Cash Jul-Des 25'!$V:$V,Sheet1!$A23)</f>
        <v>7478800</v>
      </c>
      <c r="H23" s="8">
        <f>+SUMIFS('List Petty Cash Jul-Des 25'!$AB:$AB,'List Petty Cash Jul-Des 25'!$I:$I,Sheet1!H$1,'List Petty Cash Jul-Des 25'!$V:$V,Sheet1!$A23)</f>
        <v>1335000</v>
      </c>
      <c r="I23" s="9">
        <f t="shared" ref="I23" si="3">+SUM(C23:H23)</f>
        <v>8948800</v>
      </c>
      <c r="K23" t="s">
        <v>1928</v>
      </c>
      <c r="L23" s="8">
        <f>+SUMIFS('List Petty Cash Jul-Des 25'!$AB:$AB,'List Petty Cash Jul-Des 25'!$I:$I,Sheet1!L$1,'List Petty Cash Jul-Des 25'!$X:$X,Sheet1!$K23)</f>
        <v>322008</v>
      </c>
      <c r="M23" s="8">
        <f>+SUMIFS('List Petty Cash Jul-Des 25'!$AB:$AB,'List Petty Cash Jul-Des 25'!$I:$I,Sheet1!M$1,'List Petty Cash Jul-Des 25'!$X:$X,Sheet1!$K23)</f>
        <v>428500</v>
      </c>
      <c r="N23" s="8">
        <f>+SUMIFS('List Petty Cash Jul-Des 25'!$AB:$AB,'List Petty Cash Jul-Des 25'!$I:$I,Sheet1!N$1,'List Petty Cash Jul-Des 25'!$X:$X,Sheet1!$K23)</f>
        <v>0</v>
      </c>
      <c r="O23" s="8">
        <f>+SUMIFS('List Petty Cash Jul-Des 25'!$AB:$AB,'List Petty Cash Jul-Des 25'!$I:$I,Sheet1!O$1,'List Petty Cash Jul-Des 25'!$X:$X,Sheet1!$K23)</f>
        <v>519520</v>
      </c>
      <c r="P23" s="8">
        <f>+SUMIFS('List Petty Cash Jul-Des 25'!$AB:$AB,'List Petty Cash Jul-Des 25'!$I:$I,Sheet1!P$1,'List Petty Cash Jul-Des 25'!$X:$X,Sheet1!$K23)</f>
        <v>591120</v>
      </c>
      <c r="Q23" s="8">
        <f>+SUMIFS('List Petty Cash Jul-Des 25'!$AB:$AB,'List Petty Cash Jul-Des 25'!$I:$I,Sheet1!Q$1,'List Petty Cash Jul-Des 25'!$X:$X,Sheet1!$K23)</f>
        <v>0</v>
      </c>
      <c r="R23" s="9">
        <f t="shared" si="1"/>
        <v>1861148</v>
      </c>
      <c r="S23" s="27">
        <f t="shared" si="2"/>
        <v>5.8212900414846688E-3</v>
      </c>
      <c r="T23">
        <v>70110210</v>
      </c>
      <c r="AA23" t="s">
        <v>1967</v>
      </c>
      <c r="AB23" s="9">
        <v>2700000</v>
      </c>
    </row>
    <row r="24" spans="1:38" x14ac:dyDescent="0.25">
      <c r="A24">
        <v>70110400</v>
      </c>
      <c r="B24" t="s">
        <v>2059</v>
      </c>
      <c r="C24" s="8">
        <f>+SUMIFS('List Petty Cash Jul-Des 25'!$AB:$AB,'List Petty Cash Jul-Des 25'!$I:$I,Sheet1!C$1,'List Petty Cash Jul-Des 25'!$V:$V,Sheet1!$A24)</f>
        <v>0</v>
      </c>
      <c r="D24" s="8">
        <f>+SUMIFS('List Petty Cash Jul-Des 25'!$AB:$AB,'List Petty Cash Jul-Des 25'!$I:$I,Sheet1!D$1,'List Petty Cash Jul-Des 25'!$V:$V,Sheet1!$A24)</f>
        <v>0</v>
      </c>
      <c r="E24" s="8">
        <f>+SUMIFS('List Petty Cash Jul-Des 25'!$AB:$AB,'List Petty Cash Jul-Des 25'!$I:$I,Sheet1!E$1,'List Petty Cash Jul-Des 25'!$V:$V,Sheet1!$A24)</f>
        <v>0</v>
      </c>
      <c r="F24" s="8">
        <f>+SUMIFS('List Petty Cash Jul-Des 25'!$AB:$AB,'List Petty Cash Jul-Des 25'!$I:$I,Sheet1!F$1,'List Petty Cash Jul-Des 25'!$V:$V,Sheet1!$A24)</f>
        <v>0</v>
      </c>
      <c r="G24" s="8">
        <f>+SUMIFS('List Petty Cash Jul-Des 25'!$AB:$AB,'List Petty Cash Jul-Des 25'!$I:$I,Sheet1!G$1,'List Petty Cash Jul-Des 25'!$V:$V,Sheet1!$A24)</f>
        <v>0</v>
      </c>
      <c r="H24" s="8">
        <f>+SUMIFS('List Petty Cash Jul-Des 25'!$AB:$AB,'List Petty Cash Jul-Des 25'!$I:$I,Sheet1!H$1,'List Petty Cash Jul-Des 25'!$V:$V,Sheet1!$A24)</f>
        <v>0</v>
      </c>
      <c r="I24" s="9">
        <f t="shared" si="0"/>
        <v>0</v>
      </c>
      <c r="K24" t="s">
        <v>1953</v>
      </c>
      <c r="L24" s="8">
        <f>+SUMIFS('List Petty Cash Jul-Des 25'!$AB:$AB,'List Petty Cash Jul-Des 25'!$I:$I,Sheet1!L$1,'List Petty Cash Jul-Des 25'!$X:$X,Sheet1!$K24)</f>
        <v>193900</v>
      </c>
      <c r="M24" s="8">
        <f>+SUMIFS('List Petty Cash Jul-Des 25'!$AB:$AB,'List Petty Cash Jul-Des 25'!$I:$I,Sheet1!M$1,'List Petty Cash Jul-Des 25'!$X:$X,Sheet1!$K24)</f>
        <v>70000</v>
      </c>
      <c r="N24" s="8">
        <f>+SUMIFS('List Petty Cash Jul-Des 25'!$AB:$AB,'List Petty Cash Jul-Des 25'!$I:$I,Sheet1!N$1,'List Petty Cash Jul-Des 25'!$X:$X,Sheet1!$K24)</f>
        <v>50000</v>
      </c>
      <c r="O24" s="8">
        <f>+SUMIFS('List Petty Cash Jul-Des 25'!$AB:$AB,'List Petty Cash Jul-Des 25'!$I:$I,Sheet1!O$1,'List Petty Cash Jul-Des 25'!$X:$X,Sheet1!$K24)</f>
        <v>402500</v>
      </c>
      <c r="P24" s="8">
        <f>+SUMIFS('List Petty Cash Jul-Des 25'!$AB:$AB,'List Petty Cash Jul-Des 25'!$I:$I,Sheet1!P$1,'List Petty Cash Jul-Des 25'!$X:$X,Sheet1!$K24)</f>
        <v>525000</v>
      </c>
      <c r="Q24" s="8">
        <f>+SUMIFS('List Petty Cash Jul-Des 25'!$AB:$AB,'List Petty Cash Jul-Des 25'!$I:$I,Sheet1!Q$1,'List Petty Cash Jul-Des 25'!$X:$X,Sheet1!$K24)</f>
        <v>50000</v>
      </c>
      <c r="R24" s="9">
        <f t="shared" si="1"/>
        <v>1291400</v>
      </c>
      <c r="S24" s="27">
        <f t="shared" si="2"/>
        <v>4.0392349020998341E-3</v>
      </c>
      <c r="T24">
        <v>70115100</v>
      </c>
      <c r="AA24" t="s">
        <v>1979</v>
      </c>
      <c r="AB24" s="9">
        <v>2646550</v>
      </c>
    </row>
    <row r="25" spans="1:38" x14ac:dyDescent="0.25">
      <c r="A25">
        <v>70115100</v>
      </c>
      <c r="B25" t="s">
        <v>2050</v>
      </c>
      <c r="C25" s="8">
        <f>+SUMIFS('List Petty Cash Jul-Des 25'!$AB:$AB,'List Petty Cash Jul-Des 25'!$I:$I,Sheet1!C$1,'List Petty Cash Jul-Des 25'!$V:$V,Sheet1!$A25)</f>
        <v>3966500</v>
      </c>
      <c r="D25" s="8">
        <f>+SUMIFS('List Petty Cash Jul-Des 25'!$AB:$AB,'List Petty Cash Jul-Des 25'!$I:$I,Sheet1!D$1,'List Petty Cash Jul-Des 25'!$V:$V,Sheet1!$A25)</f>
        <v>4734000</v>
      </c>
      <c r="E25" s="8">
        <f>+SUMIFS('List Petty Cash Jul-Des 25'!$AB:$AB,'List Petty Cash Jul-Des 25'!$I:$I,Sheet1!E$1,'List Petty Cash Jul-Des 25'!$V:$V,Sheet1!$A25)</f>
        <v>0</v>
      </c>
      <c r="F25" s="8">
        <f>+SUMIFS('List Petty Cash Jul-Des 25'!$AB:$AB,'List Petty Cash Jul-Des 25'!$I:$I,Sheet1!F$1,'List Petty Cash Jul-Des 25'!$V:$V,Sheet1!$A25)</f>
        <v>764725</v>
      </c>
      <c r="G25" s="8">
        <f>+SUMIFS('List Petty Cash Jul-Des 25'!$AB:$AB,'List Petty Cash Jul-Des 25'!$I:$I,Sheet1!G$1,'List Petty Cash Jul-Des 25'!$V:$V,Sheet1!$A25)</f>
        <v>365900</v>
      </c>
      <c r="H25" s="8">
        <f>+SUMIFS('List Petty Cash Jul-Des 25'!$AB:$AB,'List Petty Cash Jul-Des 25'!$I:$I,Sheet1!H$1,'List Petty Cash Jul-Des 25'!$V:$V,Sheet1!$A25)</f>
        <v>3072091</v>
      </c>
      <c r="I25" s="9">
        <f t="shared" si="0"/>
        <v>12903216</v>
      </c>
      <c r="K25" t="s">
        <v>1926</v>
      </c>
      <c r="L25" s="8">
        <f>+SUMIFS('List Petty Cash Jul-Des 25'!$AB:$AB,'List Petty Cash Jul-Des 25'!$I:$I,Sheet1!L$1,'List Petty Cash Jul-Des 25'!$X:$X,Sheet1!$K25)</f>
        <v>1894127</v>
      </c>
      <c r="M25" s="8">
        <f>+SUMIFS('List Petty Cash Jul-Des 25'!$AB:$AB,'List Petty Cash Jul-Des 25'!$I:$I,Sheet1!M$1,'List Petty Cash Jul-Des 25'!$X:$X,Sheet1!$K25)</f>
        <v>0</v>
      </c>
      <c r="N25" s="8">
        <f>+SUMIFS('List Petty Cash Jul-Des 25'!$AB:$AB,'List Petty Cash Jul-Des 25'!$I:$I,Sheet1!N$1,'List Petty Cash Jul-Des 25'!$X:$X,Sheet1!$K25)</f>
        <v>0</v>
      </c>
      <c r="O25" s="8">
        <f>+SUMIFS('List Petty Cash Jul-Des 25'!$AB:$AB,'List Petty Cash Jul-Des 25'!$I:$I,Sheet1!O$1,'List Petty Cash Jul-Des 25'!$X:$X,Sheet1!$K25)</f>
        <v>2804000</v>
      </c>
      <c r="P25" s="8">
        <f>+SUMIFS('List Petty Cash Jul-Des 25'!$AB:$AB,'List Petty Cash Jul-Des 25'!$I:$I,Sheet1!P$1,'List Petty Cash Jul-Des 25'!$X:$X,Sheet1!$K25)</f>
        <v>992050</v>
      </c>
      <c r="Q25" s="8">
        <f>+SUMIFS('List Petty Cash Jul-Des 25'!$AB:$AB,'List Petty Cash Jul-Des 25'!$I:$I,Sheet1!Q$1,'List Petty Cash Jul-Des 25'!$X:$X,Sheet1!$K25)</f>
        <v>0</v>
      </c>
      <c r="R25" s="9">
        <f t="shared" si="1"/>
        <v>5690177</v>
      </c>
      <c r="S25" s="27">
        <f t="shared" si="2"/>
        <v>1.7797709104480197E-2</v>
      </c>
      <c r="T25">
        <v>70119300</v>
      </c>
      <c r="AA25" t="s">
        <v>2007</v>
      </c>
      <c r="AB25" s="9">
        <v>2642880</v>
      </c>
    </row>
    <row r="26" spans="1:38" x14ac:dyDescent="0.25">
      <c r="A26">
        <v>70119300</v>
      </c>
      <c r="B26" t="s">
        <v>2051</v>
      </c>
      <c r="C26" s="8">
        <f>+SUMIFS('List Petty Cash Jul-Des 25'!$AB:$AB,'List Petty Cash Jul-Des 25'!$I:$I,Sheet1!C$1,'List Petty Cash Jul-Des 25'!$V:$V,Sheet1!$A26)</f>
        <v>2087000</v>
      </c>
      <c r="D26" s="8">
        <f>+SUMIFS('List Petty Cash Jul-Des 25'!$AB:$AB,'List Petty Cash Jul-Des 25'!$I:$I,Sheet1!D$1,'List Petty Cash Jul-Des 25'!$V:$V,Sheet1!$A26)</f>
        <v>140900</v>
      </c>
      <c r="E26" s="8">
        <f>+SUMIFS('List Petty Cash Jul-Des 25'!$AB:$AB,'List Petty Cash Jul-Des 25'!$I:$I,Sheet1!E$1,'List Petty Cash Jul-Des 25'!$V:$V,Sheet1!$A26)</f>
        <v>100000</v>
      </c>
      <c r="F26" s="8">
        <f>+SUMIFS('List Petty Cash Jul-Des 25'!$AB:$AB,'List Petty Cash Jul-Des 25'!$I:$I,Sheet1!F$1,'List Petty Cash Jul-Des 25'!$V:$V,Sheet1!$A26)</f>
        <v>1322000</v>
      </c>
      <c r="G26" s="8">
        <f>+SUMIFS('List Petty Cash Jul-Des 25'!$AB:$AB,'List Petty Cash Jul-Des 25'!$I:$I,Sheet1!G$1,'List Petty Cash Jul-Des 25'!$V:$V,Sheet1!$A26)</f>
        <v>2435000</v>
      </c>
      <c r="H26" s="8">
        <f>+SUMIFS('List Petty Cash Jul-Des 25'!$AB:$AB,'List Petty Cash Jul-Des 25'!$I:$I,Sheet1!H$1,'List Petty Cash Jul-Des 25'!$V:$V,Sheet1!$A26)</f>
        <v>2209460</v>
      </c>
      <c r="I26" s="9">
        <f t="shared" si="0"/>
        <v>8294360</v>
      </c>
      <c r="K26" t="s">
        <v>1959</v>
      </c>
      <c r="L26" s="8">
        <f>+SUMIFS('List Petty Cash Jul-Des 25'!$AB:$AB,'List Petty Cash Jul-Des 25'!$I:$I,Sheet1!L$1,'List Petty Cash Jul-Des 25'!$X:$X,Sheet1!$K26)</f>
        <v>4121804</v>
      </c>
      <c r="M26" s="8">
        <f>+SUMIFS('List Petty Cash Jul-Des 25'!$AB:$AB,'List Petty Cash Jul-Des 25'!$I:$I,Sheet1!M$1,'List Petty Cash Jul-Des 25'!$X:$X,Sheet1!$K26)</f>
        <v>823876</v>
      </c>
      <c r="N26" s="8">
        <f>+SUMIFS('List Petty Cash Jul-Des 25'!$AB:$AB,'List Petty Cash Jul-Des 25'!$I:$I,Sheet1!N$1,'List Petty Cash Jul-Des 25'!$X:$X,Sheet1!$K26)</f>
        <v>1880800</v>
      </c>
      <c r="O26" s="8">
        <f>+SUMIFS('List Petty Cash Jul-Des 25'!$AB:$AB,'List Petty Cash Jul-Des 25'!$I:$I,Sheet1!O$1,'List Petty Cash Jul-Des 25'!$X:$X,Sheet1!$K26)</f>
        <v>1916925</v>
      </c>
      <c r="P26" s="8">
        <f>+SUMIFS('List Petty Cash Jul-Des 25'!$AB:$AB,'List Petty Cash Jul-Des 25'!$I:$I,Sheet1!P$1,'List Petty Cash Jul-Des 25'!$X:$X,Sheet1!$K26)</f>
        <v>1658720</v>
      </c>
      <c r="Q26" s="8">
        <f>+SUMIFS('List Petty Cash Jul-Des 25'!$AB:$AB,'List Petty Cash Jul-Des 25'!$I:$I,Sheet1!Q$1,'List Petty Cash Jul-Des 25'!$X:$X,Sheet1!$K26)</f>
        <v>9562466</v>
      </c>
      <c r="R26" s="9">
        <f t="shared" si="1"/>
        <v>19964591</v>
      </c>
      <c r="S26" s="27">
        <f t="shared" si="2"/>
        <v>6.24451546951744E-2</v>
      </c>
      <c r="AA26" t="s">
        <v>1973</v>
      </c>
      <c r="AB26" s="9">
        <v>2600000</v>
      </c>
    </row>
    <row r="27" spans="1:38" x14ac:dyDescent="0.25">
      <c r="A27">
        <v>70119500</v>
      </c>
      <c r="B27" t="s">
        <v>2058</v>
      </c>
      <c r="C27" s="8">
        <f>+SUMIFS('List Petty Cash Jul-Des 25'!$AB:$AB,'List Petty Cash Jul-Des 25'!$I:$I,Sheet1!C$1,'List Petty Cash Jul-Des 25'!$V:$V,Sheet1!$A27)</f>
        <v>0</v>
      </c>
      <c r="D27" s="8">
        <f>+SUMIFS('List Petty Cash Jul-Des 25'!$AB:$AB,'List Petty Cash Jul-Des 25'!$I:$I,Sheet1!D$1,'List Petty Cash Jul-Des 25'!$V:$V,Sheet1!$A27)</f>
        <v>0</v>
      </c>
      <c r="E27" s="8">
        <f>+SUMIFS('List Petty Cash Jul-Des 25'!$AB:$AB,'List Petty Cash Jul-Des 25'!$I:$I,Sheet1!E$1,'List Petty Cash Jul-Des 25'!$V:$V,Sheet1!$A27)</f>
        <v>0</v>
      </c>
      <c r="F27" s="8">
        <f>+SUMIFS('List Petty Cash Jul-Des 25'!$AB:$AB,'List Petty Cash Jul-Des 25'!$I:$I,Sheet1!F$1,'List Petty Cash Jul-Des 25'!$V:$V,Sheet1!$A27)</f>
        <v>0</v>
      </c>
      <c r="G27" s="8">
        <f>+SUMIFS('List Petty Cash Jul-Des 25'!$AB:$AB,'List Petty Cash Jul-Des 25'!$I:$I,Sheet1!G$1,'List Petty Cash Jul-Des 25'!$V:$V,Sheet1!$A27)</f>
        <v>0</v>
      </c>
      <c r="H27" s="8">
        <f>+SUMIFS('List Petty Cash Jul-Des 25'!$AB:$AB,'List Petty Cash Jul-Des 25'!$I:$I,Sheet1!H$1,'List Petty Cash Jul-Des 25'!$V:$V,Sheet1!$A27)</f>
        <v>0</v>
      </c>
      <c r="I27" s="9">
        <f t="shared" si="0"/>
        <v>0</v>
      </c>
      <c r="K27" t="s">
        <v>1930</v>
      </c>
      <c r="L27" s="8">
        <f>+SUMIFS('List Petty Cash Jul-Des 25'!$AB:$AB,'List Petty Cash Jul-Des 25'!$I:$I,Sheet1!L$1,'List Petty Cash Jul-Des 25'!$X:$X,Sheet1!$K27)</f>
        <v>1292400</v>
      </c>
      <c r="M27" s="8">
        <f>+SUMIFS('List Petty Cash Jul-Des 25'!$AB:$AB,'List Petty Cash Jul-Des 25'!$I:$I,Sheet1!M$1,'List Petty Cash Jul-Des 25'!$X:$X,Sheet1!$K27)</f>
        <v>71400</v>
      </c>
      <c r="N27" s="8">
        <f>+SUMIFS('List Petty Cash Jul-Des 25'!$AB:$AB,'List Petty Cash Jul-Des 25'!$I:$I,Sheet1!N$1,'List Petty Cash Jul-Des 25'!$X:$X,Sheet1!$K27)</f>
        <v>0</v>
      </c>
      <c r="O27" s="8">
        <f>+SUMIFS('List Petty Cash Jul-Des 25'!$AB:$AB,'List Petty Cash Jul-Des 25'!$I:$I,Sheet1!O$1,'List Petty Cash Jul-Des 25'!$X:$X,Sheet1!$K27)</f>
        <v>586500</v>
      </c>
      <c r="P27" s="8">
        <f>+SUMIFS('List Petty Cash Jul-Des 25'!$AB:$AB,'List Petty Cash Jul-Des 25'!$I:$I,Sheet1!P$1,'List Petty Cash Jul-Des 25'!$X:$X,Sheet1!$K27)</f>
        <v>180000</v>
      </c>
      <c r="Q27" s="8">
        <f>+SUMIFS('List Petty Cash Jul-Des 25'!$AB:$AB,'List Petty Cash Jul-Des 25'!$I:$I,Sheet1!Q$1,'List Petty Cash Jul-Des 25'!$X:$X,Sheet1!$K27)</f>
        <v>0</v>
      </c>
      <c r="R27" s="9">
        <f t="shared" si="1"/>
        <v>2130300</v>
      </c>
      <c r="S27" s="27">
        <f t="shared" si="2"/>
        <v>6.6631424128413162E-3</v>
      </c>
      <c r="AA27" t="s">
        <v>1955</v>
      </c>
      <c r="AB27" s="9">
        <v>2235247</v>
      </c>
    </row>
    <row r="28" spans="1:38" x14ac:dyDescent="0.25">
      <c r="C28" s="11">
        <f t="shared" ref="C28:I28" si="4">SUM(C2:C27)</f>
        <v>58589163</v>
      </c>
      <c r="D28" s="11">
        <f t="shared" si="4"/>
        <v>34438078</v>
      </c>
      <c r="E28" s="11">
        <f t="shared" si="4"/>
        <v>30159697</v>
      </c>
      <c r="F28" s="11">
        <f t="shared" si="4"/>
        <v>63465821</v>
      </c>
      <c r="G28" s="11">
        <f t="shared" si="4"/>
        <v>66145918</v>
      </c>
      <c r="H28" s="11">
        <f t="shared" si="4"/>
        <v>66915336</v>
      </c>
      <c r="I28" s="11">
        <f t="shared" si="4"/>
        <v>319714013</v>
      </c>
      <c r="K28" t="s">
        <v>1951</v>
      </c>
      <c r="L28" s="8">
        <f>+SUMIFS('List Petty Cash Jul-Des 25'!$AB:$AB,'List Petty Cash Jul-Des 25'!$I:$I,Sheet1!L$1,'List Petty Cash Jul-Des 25'!$X:$X,Sheet1!$K28)</f>
        <v>1834000</v>
      </c>
      <c r="M28" s="8">
        <f>+SUMIFS('List Petty Cash Jul-Des 25'!$AB:$AB,'List Petty Cash Jul-Des 25'!$I:$I,Sheet1!M$1,'List Petty Cash Jul-Des 25'!$X:$X,Sheet1!$K28)</f>
        <v>604000</v>
      </c>
      <c r="N28" s="8">
        <f>+SUMIFS('List Petty Cash Jul-Des 25'!$AB:$AB,'List Petty Cash Jul-Des 25'!$I:$I,Sheet1!N$1,'List Petty Cash Jul-Des 25'!$X:$X,Sheet1!$K28)</f>
        <v>800000</v>
      </c>
      <c r="O28" s="8">
        <f>+SUMIFS('List Petty Cash Jul-Des 25'!$AB:$AB,'List Petty Cash Jul-Des 25'!$I:$I,Sheet1!O$1,'List Petty Cash Jul-Des 25'!$X:$X,Sheet1!$K28)</f>
        <v>379000</v>
      </c>
      <c r="P28" s="8">
        <f>+SUMIFS('List Petty Cash Jul-Des 25'!$AB:$AB,'List Petty Cash Jul-Des 25'!$I:$I,Sheet1!P$1,'List Petty Cash Jul-Des 25'!$X:$X,Sheet1!$K28)</f>
        <v>919000</v>
      </c>
      <c r="Q28" s="8">
        <f>+SUMIFS('List Petty Cash Jul-Des 25'!$AB:$AB,'List Petty Cash Jul-Des 25'!$I:$I,Sheet1!Q$1,'List Petty Cash Jul-Des 25'!$X:$X,Sheet1!$K28)</f>
        <v>2758000</v>
      </c>
      <c r="R28" s="9">
        <f t="shared" si="1"/>
        <v>7294000</v>
      </c>
      <c r="S28" s="27">
        <f t="shared" si="2"/>
        <v>2.2814139210094616E-2</v>
      </c>
      <c r="AA28" t="s">
        <v>1930</v>
      </c>
      <c r="AB28" s="9">
        <v>2130300</v>
      </c>
    </row>
    <row r="29" spans="1:38" x14ac:dyDescent="0.25">
      <c r="K29" t="s">
        <v>1995</v>
      </c>
      <c r="L29" s="8">
        <f>+SUMIFS('List Petty Cash Jul-Des 25'!$AB:$AB,'List Petty Cash Jul-Des 25'!$I:$I,Sheet1!L$1,'List Petty Cash Jul-Des 25'!$X:$X,Sheet1!$K29)</f>
        <v>0</v>
      </c>
      <c r="M29" s="8">
        <f>+SUMIFS('List Petty Cash Jul-Des 25'!$AB:$AB,'List Petty Cash Jul-Des 25'!$I:$I,Sheet1!M$1,'List Petty Cash Jul-Des 25'!$X:$X,Sheet1!$K29)</f>
        <v>310000</v>
      </c>
      <c r="N29" s="8">
        <f>+SUMIFS('List Petty Cash Jul-Des 25'!$AB:$AB,'List Petty Cash Jul-Des 25'!$I:$I,Sheet1!N$1,'List Petty Cash Jul-Des 25'!$X:$X,Sheet1!$K29)</f>
        <v>0</v>
      </c>
      <c r="O29" s="8">
        <f>+SUMIFS('List Petty Cash Jul-Des 25'!$AB:$AB,'List Petty Cash Jul-Des 25'!$I:$I,Sheet1!O$1,'List Petty Cash Jul-Des 25'!$X:$X,Sheet1!$K29)</f>
        <v>0</v>
      </c>
      <c r="P29" s="8">
        <f>+SUMIFS('List Petty Cash Jul-Des 25'!$AB:$AB,'List Petty Cash Jul-Des 25'!$I:$I,Sheet1!P$1,'List Petty Cash Jul-Des 25'!$X:$X,Sheet1!$K29)</f>
        <v>768956</v>
      </c>
      <c r="Q29" s="8">
        <f>+SUMIFS('List Petty Cash Jul-Des 25'!$AB:$AB,'List Petty Cash Jul-Des 25'!$I:$I,Sheet1!Q$1,'List Petty Cash Jul-Des 25'!$X:$X,Sheet1!$K29)</f>
        <v>0</v>
      </c>
      <c r="R29" s="9">
        <f t="shared" si="1"/>
        <v>1078956</v>
      </c>
      <c r="S29" s="27">
        <f t="shared" si="2"/>
        <v>3.374753548884953E-3</v>
      </c>
      <c r="AA29" t="s">
        <v>2031</v>
      </c>
      <c r="AB29" s="9">
        <v>2047748</v>
      </c>
    </row>
    <row r="30" spans="1:38" x14ac:dyDescent="0.25">
      <c r="K30" t="s">
        <v>1971</v>
      </c>
      <c r="L30" s="8">
        <f>+SUMIFS('List Petty Cash Jul-Des 25'!$AB:$AB,'List Petty Cash Jul-Des 25'!$I:$I,Sheet1!L$1,'List Petty Cash Jul-Des 25'!$X:$X,Sheet1!$K30)</f>
        <v>648100</v>
      </c>
      <c r="M30" s="8">
        <f>+SUMIFS('List Petty Cash Jul-Des 25'!$AB:$AB,'List Petty Cash Jul-Des 25'!$I:$I,Sheet1!M$1,'List Petty Cash Jul-Des 25'!$X:$X,Sheet1!$K30)</f>
        <v>0</v>
      </c>
      <c r="N30" s="8">
        <f>+SUMIFS('List Petty Cash Jul-Des 25'!$AB:$AB,'List Petty Cash Jul-Des 25'!$I:$I,Sheet1!N$1,'List Petty Cash Jul-Des 25'!$X:$X,Sheet1!$K30)</f>
        <v>261036</v>
      </c>
      <c r="O30" s="8">
        <f>+SUMIFS('List Petty Cash Jul-Des 25'!$AB:$AB,'List Petty Cash Jul-Des 25'!$I:$I,Sheet1!O$1,'List Petty Cash Jul-Des 25'!$X:$X,Sheet1!$K30)</f>
        <v>2744500</v>
      </c>
      <c r="P30" s="8">
        <f>+SUMIFS('List Petty Cash Jul-Des 25'!$AB:$AB,'List Petty Cash Jul-Des 25'!$I:$I,Sheet1!P$1,'List Petty Cash Jul-Des 25'!$X:$X,Sheet1!$K30)</f>
        <v>819600</v>
      </c>
      <c r="Q30" s="8">
        <f>+SUMIFS('List Petty Cash Jul-Des 25'!$AB:$AB,'List Petty Cash Jul-Des 25'!$I:$I,Sheet1!Q$1,'List Petty Cash Jul-Des 25'!$X:$X,Sheet1!$K30)</f>
        <v>1610800</v>
      </c>
      <c r="R30" s="9">
        <f t="shared" si="1"/>
        <v>6084036</v>
      </c>
      <c r="S30" s="27">
        <f t="shared" si="2"/>
        <v>1.9029619449304525E-2</v>
      </c>
      <c r="AA30" t="s">
        <v>1928</v>
      </c>
      <c r="AB30" s="9">
        <v>1861148</v>
      </c>
    </row>
    <row r="31" spans="1:38" x14ac:dyDescent="0.25">
      <c r="K31" t="s">
        <v>2012</v>
      </c>
      <c r="L31" s="8">
        <f>+SUMIFS('List Petty Cash Jul-Des 25'!$AB:$AB,'List Petty Cash Jul-Des 25'!$I:$I,Sheet1!L$1,'List Petty Cash Jul-Des 25'!$X:$X,Sheet1!$K31)</f>
        <v>0</v>
      </c>
      <c r="M31" s="8">
        <f>+SUMIFS('List Petty Cash Jul-Des 25'!$AB:$AB,'List Petty Cash Jul-Des 25'!$I:$I,Sheet1!M$1,'List Petty Cash Jul-Des 25'!$X:$X,Sheet1!$K31)</f>
        <v>0</v>
      </c>
      <c r="N31" s="8">
        <f>+SUMIFS('List Petty Cash Jul-Des 25'!$AB:$AB,'List Petty Cash Jul-Des 25'!$I:$I,Sheet1!N$1,'List Petty Cash Jul-Des 25'!$X:$X,Sheet1!$K31)</f>
        <v>0</v>
      </c>
      <c r="O31" s="8">
        <f>+SUMIFS('List Petty Cash Jul-Des 25'!$AB:$AB,'List Petty Cash Jul-Des 25'!$I:$I,Sheet1!O$1,'List Petty Cash Jul-Des 25'!$X:$X,Sheet1!$K31)</f>
        <v>1663000</v>
      </c>
      <c r="P31" s="8">
        <f>+SUMIFS('List Petty Cash Jul-Des 25'!$AB:$AB,'List Petty Cash Jul-Des 25'!$I:$I,Sheet1!P$1,'List Petty Cash Jul-Des 25'!$X:$X,Sheet1!$K31)</f>
        <v>877100</v>
      </c>
      <c r="Q31" s="8">
        <f>+SUMIFS('List Petty Cash Jul-Des 25'!$AB:$AB,'List Petty Cash Jul-Des 25'!$I:$I,Sheet1!Q$1,'List Petty Cash Jul-Des 25'!$X:$X,Sheet1!$K31)</f>
        <v>600000</v>
      </c>
      <c r="R31" s="9">
        <f t="shared" si="1"/>
        <v>3140100</v>
      </c>
      <c r="S31" s="27">
        <f t="shared" si="2"/>
        <v>9.8215901471919529E-3</v>
      </c>
      <c r="AA31" t="s">
        <v>1935</v>
      </c>
      <c r="AB31" s="9">
        <v>1590910</v>
      </c>
    </row>
    <row r="32" spans="1:38" x14ac:dyDescent="0.25">
      <c r="K32" t="s">
        <v>2008</v>
      </c>
      <c r="L32" s="8">
        <f>+SUMIFS('List Petty Cash Jul-Des 25'!$AB:$AB,'List Petty Cash Jul-Des 25'!$I:$I,Sheet1!L$1,'List Petty Cash Jul-Des 25'!$X:$X,Sheet1!$K32)</f>
        <v>0</v>
      </c>
      <c r="M32" s="8">
        <f>+SUMIFS('List Petty Cash Jul-Des 25'!$AB:$AB,'List Petty Cash Jul-Des 25'!$I:$I,Sheet1!M$1,'List Petty Cash Jul-Des 25'!$X:$X,Sheet1!$K32)</f>
        <v>0</v>
      </c>
      <c r="N32" s="8">
        <f>+SUMIFS('List Petty Cash Jul-Des 25'!$AB:$AB,'List Petty Cash Jul-Des 25'!$I:$I,Sheet1!N$1,'List Petty Cash Jul-Des 25'!$X:$X,Sheet1!$K32)</f>
        <v>133500</v>
      </c>
      <c r="O32" s="8">
        <f>+SUMIFS('List Petty Cash Jul-Des 25'!$AB:$AB,'List Petty Cash Jul-Des 25'!$I:$I,Sheet1!O$1,'List Petty Cash Jul-Des 25'!$X:$X,Sheet1!$K32)</f>
        <v>0</v>
      </c>
      <c r="P32" s="8">
        <f>+SUMIFS('List Petty Cash Jul-Des 25'!$AB:$AB,'List Petty Cash Jul-Des 25'!$I:$I,Sheet1!P$1,'List Petty Cash Jul-Des 25'!$X:$X,Sheet1!$K32)</f>
        <v>208000</v>
      </c>
      <c r="Q32" s="8">
        <f>+SUMIFS('List Petty Cash Jul-Des 25'!$AB:$AB,'List Petty Cash Jul-Des 25'!$I:$I,Sheet1!Q$1,'List Petty Cash Jul-Des 25'!$X:$X,Sheet1!$K32)</f>
        <v>1044900</v>
      </c>
      <c r="R32" s="9">
        <f t="shared" si="1"/>
        <v>1386400</v>
      </c>
      <c r="S32" s="27">
        <f t="shared" si="2"/>
        <v>4.336375459401587E-3</v>
      </c>
      <c r="AA32" t="s">
        <v>2008</v>
      </c>
      <c r="AB32" s="9">
        <v>1386400</v>
      </c>
    </row>
    <row r="33" spans="1:28" x14ac:dyDescent="0.25">
      <c r="K33" t="s">
        <v>1933</v>
      </c>
      <c r="L33" s="8">
        <f>+SUMIFS('List Petty Cash Jul-Des 25'!$AB:$AB,'List Petty Cash Jul-Des 25'!$I:$I,Sheet1!L$1,'List Petty Cash Jul-Des 25'!$X:$X,Sheet1!$K33)</f>
        <v>2781500</v>
      </c>
      <c r="M33" s="8">
        <f>+SUMIFS('List Petty Cash Jul-Des 25'!$AB:$AB,'List Petty Cash Jul-Des 25'!$I:$I,Sheet1!M$1,'List Petty Cash Jul-Des 25'!$X:$X,Sheet1!$K33)</f>
        <v>0</v>
      </c>
      <c r="N33" s="8">
        <f>+SUMIFS('List Petty Cash Jul-Des 25'!$AB:$AB,'List Petty Cash Jul-Des 25'!$I:$I,Sheet1!N$1,'List Petty Cash Jul-Des 25'!$X:$X,Sheet1!$K33)</f>
        <v>0</v>
      </c>
      <c r="O33" s="8">
        <f>+SUMIFS('List Petty Cash Jul-Des 25'!$AB:$AB,'List Petty Cash Jul-Des 25'!$I:$I,Sheet1!O$1,'List Petty Cash Jul-Des 25'!$X:$X,Sheet1!$K33)</f>
        <v>80000</v>
      </c>
      <c r="P33" s="8">
        <f>+SUMIFS('List Petty Cash Jul-Des 25'!$AB:$AB,'List Petty Cash Jul-Des 25'!$I:$I,Sheet1!P$1,'List Petty Cash Jul-Des 25'!$X:$X,Sheet1!$K33)</f>
        <v>0</v>
      </c>
      <c r="Q33" s="8">
        <f>+SUMIFS('List Petty Cash Jul-Des 25'!$AB:$AB,'List Petty Cash Jul-Des 25'!$I:$I,Sheet1!Q$1,'List Petty Cash Jul-Des 25'!$X:$X,Sheet1!$K33)</f>
        <v>1907540</v>
      </c>
      <c r="R33" s="9">
        <f t="shared" si="1"/>
        <v>4769040</v>
      </c>
      <c r="S33" s="27">
        <f t="shared" si="2"/>
        <v>1.4916581088361617E-2</v>
      </c>
      <c r="AA33" t="s">
        <v>2028</v>
      </c>
      <c r="AB33" s="9">
        <v>1295000</v>
      </c>
    </row>
    <row r="34" spans="1:28" x14ac:dyDescent="0.25">
      <c r="K34" t="s">
        <v>1948</v>
      </c>
      <c r="L34" s="8">
        <f>+SUMIFS('List Petty Cash Jul-Des 25'!$AB:$AB,'List Petty Cash Jul-Des 25'!$I:$I,Sheet1!L$1,'List Petty Cash Jul-Des 25'!$X:$X,Sheet1!$K34)</f>
        <v>2017000</v>
      </c>
      <c r="M34" s="8">
        <f>+SUMIFS('List Petty Cash Jul-Des 25'!$AB:$AB,'List Petty Cash Jul-Des 25'!$I:$I,Sheet1!M$1,'List Petty Cash Jul-Des 25'!$X:$X,Sheet1!$K34)</f>
        <v>386300</v>
      </c>
      <c r="N34" s="8">
        <f>+SUMIFS('List Petty Cash Jul-Des 25'!$AB:$AB,'List Petty Cash Jul-Des 25'!$I:$I,Sheet1!N$1,'List Petty Cash Jul-Des 25'!$X:$X,Sheet1!$K34)</f>
        <v>0</v>
      </c>
      <c r="O34" s="8">
        <f>+SUMIFS('List Petty Cash Jul-Des 25'!$AB:$AB,'List Petty Cash Jul-Des 25'!$I:$I,Sheet1!O$1,'List Petty Cash Jul-Des 25'!$X:$X,Sheet1!$K34)</f>
        <v>822000</v>
      </c>
      <c r="P34" s="8">
        <f>+SUMIFS('List Petty Cash Jul-Des 25'!$AB:$AB,'List Petty Cash Jul-Des 25'!$I:$I,Sheet1!P$1,'List Petty Cash Jul-Des 25'!$X:$X,Sheet1!$K34)</f>
        <v>0</v>
      </c>
      <c r="Q34" s="8">
        <f>+SUMIFS('List Petty Cash Jul-Des 25'!$AB:$AB,'List Petty Cash Jul-Des 25'!$I:$I,Sheet1!Q$1,'List Petty Cash Jul-Des 25'!$X:$X,Sheet1!$K34)</f>
        <v>946000</v>
      </c>
      <c r="R34" s="9">
        <f t="shared" si="1"/>
        <v>4171300</v>
      </c>
      <c r="S34" s="27">
        <f t="shared" si="2"/>
        <v>1.3046972701818985E-2</v>
      </c>
      <c r="AA34" t="s">
        <v>1953</v>
      </c>
      <c r="AB34" s="9">
        <v>1291400</v>
      </c>
    </row>
    <row r="35" spans="1:28" x14ac:dyDescent="0.25">
      <c r="K35" t="s">
        <v>1955</v>
      </c>
      <c r="L35" s="8">
        <f>+SUMIFS('List Petty Cash Jul-Des 25'!$AB:$AB,'List Petty Cash Jul-Des 25'!$I:$I,Sheet1!L$1,'List Petty Cash Jul-Des 25'!$X:$X,Sheet1!$K35)</f>
        <v>835777</v>
      </c>
      <c r="M35" s="8">
        <f>+SUMIFS('List Petty Cash Jul-Des 25'!$AB:$AB,'List Petty Cash Jul-Des 25'!$I:$I,Sheet1!M$1,'List Petty Cash Jul-Des 25'!$X:$X,Sheet1!$K35)</f>
        <v>0</v>
      </c>
      <c r="N35" s="8">
        <f>+SUMIFS('List Petty Cash Jul-Des 25'!$AB:$AB,'List Petty Cash Jul-Des 25'!$I:$I,Sheet1!N$1,'List Petty Cash Jul-Des 25'!$X:$X,Sheet1!$K35)</f>
        <v>0</v>
      </c>
      <c r="O35" s="8">
        <f>+SUMIFS('List Petty Cash Jul-Des 25'!$AB:$AB,'List Petty Cash Jul-Des 25'!$I:$I,Sheet1!O$1,'List Petty Cash Jul-Des 25'!$X:$X,Sheet1!$K35)</f>
        <v>890470</v>
      </c>
      <c r="P35" s="8">
        <f>+SUMIFS('List Petty Cash Jul-Des 25'!$AB:$AB,'List Petty Cash Jul-Des 25'!$I:$I,Sheet1!P$1,'List Petty Cash Jul-Des 25'!$X:$X,Sheet1!$K35)</f>
        <v>0</v>
      </c>
      <c r="Q35" s="8">
        <f>+SUMIFS('List Petty Cash Jul-Des 25'!$AB:$AB,'List Petty Cash Jul-Des 25'!$I:$I,Sheet1!Q$1,'List Petty Cash Jul-Des 25'!$X:$X,Sheet1!$K35)</f>
        <v>509000</v>
      </c>
      <c r="R35" s="9">
        <f t="shared" si="1"/>
        <v>2235247</v>
      </c>
      <c r="S35" s="27">
        <f t="shared" si="2"/>
        <v>6.9913951503902333E-3</v>
      </c>
      <c r="AA35" t="s">
        <v>1995</v>
      </c>
      <c r="AB35" s="9">
        <v>1078956</v>
      </c>
    </row>
    <row r="36" spans="1:28" x14ac:dyDescent="0.25">
      <c r="K36" t="s">
        <v>1935</v>
      </c>
      <c r="L36" s="8">
        <f>+SUMIFS('List Petty Cash Jul-Des 25'!$AB:$AB,'List Petty Cash Jul-Des 25'!$I:$I,Sheet1!L$1,'List Petty Cash Jul-Des 25'!$X:$X,Sheet1!$K36)</f>
        <v>243910</v>
      </c>
      <c r="M36" s="8">
        <f>+SUMIFS('List Petty Cash Jul-Des 25'!$AB:$AB,'List Petty Cash Jul-Des 25'!$I:$I,Sheet1!M$1,'List Petty Cash Jul-Des 25'!$X:$X,Sheet1!$K36)</f>
        <v>0</v>
      </c>
      <c r="N36" s="8">
        <f>+SUMIFS('List Petty Cash Jul-Des 25'!$AB:$AB,'List Petty Cash Jul-Des 25'!$I:$I,Sheet1!N$1,'List Petty Cash Jul-Des 25'!$X:$X,Sheet1!$K36)</f>
        <v>581500</v>
      </c>
      <c r="O36" s="8">
        <f>+SUMIFS('List Petty Cash Jul-Des 25'!$AB:$AB,'List Petty Cash Jul-Des 25'!$I:$I,Sheet1!O$1,'List Petty Cash Jul-Des 25'!$X:$X,Sheet1!$K36)</f>
        <v>665500</v>
      </c>
      <c r="P36" s="8">
        <f>+SUMIFS('List Petty Cash Jul-Des 25'!$AB:$AB,'List Petty Cash Jul-Des 25'!$I:$I,Sheet1!P$1,'List Petty Cash Jul-Des 25'!$X:$X,Sheet1!$K36)</f>
        <v>100000</v>
      </c>
      <c r="Q36" s="8">
        <f>+SUMIFS('List Petty Cash Jul-Des 25'!$AB:$AB,'List Petty Cash Jul-Des 25'!$I:$I,Sheet1!Q$1,'List Petty Cash Jul-Des 25'!$X:$X,Sheet1!$K36)</f>
        <v>0</v>
      </c>
      <c r="R36" s="9">
        <f t="shared" si="1"/>
        <v>1590910</v>
      </c>
      <c r="S36" s="27">
        <f t="shared" si="2"/>
        <v>4.9760408843887612E-3</v>
      </c>
      <c r="AA36" t="s">
        <v>1977</v>
      </c>
      <c r="AB36" s="9">
        <v>991000</v>
      </c>
    </row>
    <row r="37" spans="1:28" x14ac:dyDescent="0.25">
      <c r="K37" t="s">
        <v>1977</v>
      </c>
      <c r="L37" s="8">
        <f>+SUMIFS('List Petty Cash Jul-Des 25'!$AB:$AB,'List Petty Cash Jul-Des 25'!$I:$I,Sheet1!L$1,'List Petty Cash Jul-Des 25'!$X:$X,Sheet1!$K37)</f>
        <v>991000</v>
      </c>
      <c r="M37" s="8">
        <f>+SUMIFS('List Petty Cash Jul-Des 25'!$AB:$AB,'List Petty Cash Jul-Des 25'!$I:$I,Sheet1!M$1,'List Petty Cash Jul-Des 25'!$X:$X,Sheet1!$K37)</f>
        <v>0</v>
      </c>
      <c r="N37" s="8">
        <f>+SUMIFS('List Petty Cash Jul-Des 25'!$AB:$AB,'List Petty Cash Jul-Des 25'!$I:$I,Sheet1!N$1,'List Petty Cash Jul-Des 25'!$X:$X,Sheet1!$K37)</f>
        <v>0</v>
      </c>
      <c r="O37" s="8">
        <f>+SUMIFS('List Petty Cash Jul-Des 25'!$AB:$AB,'List Petty Cash Jul-Des 25'!$I:$I,Sheet1!O$1,'List Petty Cash Jul-Des 25'!$X:$X,Sheet1!$K37)</f>
        <v>0</v>
      </c>
      <c r="P37" s="8">
        <f>+SUMIFS('List Petty Cash Jul-Des 25'!$AB:$AB,'List Petty Cash Jul-Des 25'!$I:$I,Sheet1!P$1,'List Petty Cash Jul-Des 25'!$X:$X,Sheet1!$K37)</f>
        <v>0</v>
      </c>
      <c r="Q37" s="8">
        <f>+SUMIFS('List Petty Cash Jul-Des 25'!$AB:$AB,'List Petty Cash Jul-Des 25'!$I:$I,Sheet1!Q$1,'List Petty Cash Jul-Des 25'!$X:$X,Sheet1!$K37)</f>
        <v>0</v>
      </c>
      <c r="R37" s="9">
        <f t="shared" si="1"/>
        <v>991000</v>
      </c>
      <c r="S37" s="27">
        <f t="shared" si="2"/>
        <v>3.0996451819582898E-3</v>
      </c>
      <c r="AA37" t="s">
        <v>2023</v>
      </c>
      <c r="AB37" s="9">
        <v>385000</v>
      </c>
    </row>
    <row r="38" spans="1:28" x14ac:dyDescent="0.25">
      <c r="L38" s="11">
        <f>SUM(L2:L37)</f>
        <v>58589163</v>
      </c>
      <c r="M38" s="11">
        <f t="shared" ref="M38:Q38" si="5">SUM(M2:M37)</f>
        <v>34438078</v>
      </c>
      <c r="N38" s="11">
        <f t="shared" si="5"/>
        <v>30159697</v>
      </c>
      <c r="O38" s="11">
        <f t="shared" si="5"/>
        <v>63465821</v>
      </c>
      <c r="P38" s="11">
        <f t="shared" si="5"/>
        <v>66145918</v>
      </c>
      <c r="Q38" s="11">
        <f t="shared" si="5"/>
        <v>66915336</v>
      </c>
      <c r="R38" s="11">
        <f>SUM(R2:R37)</f>
        <v>319714013</v>
      </c>
    </row>
    <row r="39" spans="1:28" x14ac:dyDescent="0.25">
      <c r="C39" s="12" t="s">
        <v>2066</v>
      </c>
      <c r="D39" s="13" t="s">
        <v>2067</v>
      </c>
      <c r="E39" s="13" t="s">
        <v>2068</v>
      </c>
      <c r="F39" s="14">
        <v>10</v>
      </c>
      <c r="G39" s="14">
        <v>11</v>
      </c>
      <c r="H39" s="14">
        <v>12</v>
      </c>
      <c r="I39" s="14" t="s">
        <v>2072</v>
      </c>
      <c r="L39" s="8"/>
    </row>
    <row r="40" spans="1:28" x14ac:dyDescent="0.25">
      <c r="A40" t="s">
        <v>1913</v>
      </c>
      <c r="C40" s="8">
        <f>+SUMIFS('List Petty Cash Jul-Des 25'!$AB:$AB,'List Petty Cash Jul-Des 25'!$I:$I,Sheet1!C$1,'List Petty Cash Jul-Des 25'!$V:$V,Sheet1!$A40)</f>
        <v>0</v>
      </c>
    </row>
    <row r="41" spans="1:28" x14ac:dyDescent="0.25">
      <c r="A41">
        <v>15000900</v>
      </c>
      <c r="C41" s="8">
        <f>+SUMIFS('List Petty Cash Jul-Des 25'!$AB:$AB,'List Petty Cash Jul-Des 25'!$I:$I,Sheet1!C$1,'List Petty Cash Jul-Des 25'!$V:$V,Sheet1!$A41,'List Petty Cash Jul-Des 25'!$X:$X,Sheet1!$A40)</f>
        <v>131000</v>
      </c>
      <c r="D41" s="8">
        <f>+SUMIFS('List Petty Cash Jul-Des 25'!$AB:$AB,'List Petty Cash Jul-Des 25'!$I:$I,Sheet1!D$1,'List Petty Cash Jul-Des 25'!$V:$V,Sheet1!$A41,'List Petty Cash Jul-Des 25'!$X:$X,Sheet1!$A40)</f>
        <v>930000</v>
      </c>
      <c r="E41" s="8">
        <f>+SUMIFS('List Petty Cash Jul-Des 25'!$AB:$AB,'List Petty Cash Jul-Des 25'!$I:$I,Sheet1!E$1,'List Petty Cash Jul-Des 25'!$V:$V,Sheet1!$A41,'List Petty Cash Jul-Des 25'!$X:$X,Sheet1!$A40)</f>
        <v>1203853</v>
      </c>
      <c r="F41" s="8">
        <f>+SUMIFS('List Petty Cash Jul-Des 25'!$AB:$AB,'List Petty Cash Jul-Des 25'!$I:$I,Sheet1!F$1,'List Petty Cash Jul-Des 25'!$V:$V,Sheet1!$A41,'List Petty Cash Jul-Des 25'!$X:$X,Sheet1!$A40)</f>
        <v>1469656</v>
      </c>
      <c r="G41" s="8">
        <f>+SUMIFS('List Petty Cash Jul-Des 25'!$AB:$AB,'List Petty Cash Jul-Des 25'!$I:$I,Sheet1!G$1,'List Petty Cash Jul-Des 25'!$V:$V,Sheet1!$A41,'List Petty Cash Jul-Des 25'!$X:$X,Sheet1!$A40)</f>
        <v>4791052</v>
      </c>
      <c r="H41" s="8">
        <f>+SUMIFS('List Petty Cash Jul-Des 25'!$AB:$AB,'List Petty Cash Jul-Des 25'!$I:$I,Sheet1!H$1,'List Petty Cash Jul-Des 25'!$V:$V,Sheet1!$A41,'List Petty Cash Jul-Des 25'!$X:$X,Sheet1!$A40)</f>
        <v>3214369</v>
      </c>
      <c r="I41" s="9">
        <f>+SUM(C41:H41)</f>
        <v>11739930</v>
      </c>
    </row>
    <row r="42" spans="1:28" x14ac:dyDescent="0.25">
      <c r="A42" t="s">
        <v>1924</v>
      </c>
      <c r="S42" s="16" t="s">
        <v>2074</v>
      </c>
      <c r="T42" s="16" t="s">
        <v>2072</v>
      </c>
    </row>
    <row r="43" spans="1:28" x14ac:dyDescent="0.25">
      <c r="A43">
        <v>70001110</v>
      </c>
      <c r="B43" t="str">
        <f>+VLOOKUP(A43,$A$2:$B$27,2,0)</f>
        <v>Biaya Ekspor lainnya</v>
      </c>
      <c r="C43" s="8">
        <f>+SUMIFS('List Petty Cash Jul-Des 25'!$AB:$AB,'List Petty Cash Jul-Des 25'!$I:$I,Sheet1!C$1,'List Petty Cash Jul-Des 25'!$V:$V,Sheet1!$A43,'List Petty Cash Jul-Des 25'!$X:$X,Sheet1!$A42)</f>
        <v>0</v>
      </c>
      <c r="D43" s="8">
        <f>+SUMIFS('List Petty Cash Jul-Des 25'!$AB:$AB,'List Petty Cash Jul-Des 25'!$I:$I,Sheet1!D$1,'List Petty Cash Jul-Des 25'!$V:$V,Sheet1!$A43,'List Petty Cash Jul-Des 25'!$X:$X,Sheet1!$A42)</f>
        <v>0</v>
      </c>
      <c r="E43" s="8">
        <f>+SUMIFS('List Petty Cash Jul-Des 25'!$AB:$AB,'List Petty Cash Jul-Des 25'!$I:$I,Sheet1!E$1,'List Petty Cash Jul-Des 25'!$V:$V,Sheet1!$A43,'List Petty Cash Jul-Des 25'!$X:$X,Sheet1!$A42)</f>
        <v>0</v>
      </c>
      <c r="F43" s="8">
        <f>+SUMIFS('List Petty Cash Jul-Des 25'!$AB:$AB,'List Petty Cash Jul-Des 25'!$I:$I,Sheet1!F$1,'List Petty Cash Jul-Des 25'!$V:$V,Sheet1!$A43,'List Petty Cash Jul-Des 25'!$X:$X,Sheet1!$A42)</f>
        <v>0</v>
      </c>
      <c r="G43" s="8">
        <f>+SUMIFS('List Petty Cash Jul-Des 25'!$AB:$AB,'List Petty Cash Jul-Des 25'!$I:$I,Sheet1!G$1,'List Petty Cash Jul-Des 25'!$V:$V,Sheet1!$A43,'List Petty Cash Jul-Des 25'!$X:$X,Sheet1!$A42)</f>
        <v>1420000</v>
      </c>
      <c r="H43" s="8">
        <f>+SUMIFS('List Petty Cash Jul-Des 25'!$AB:$AB,'List Petty Cash Jul-Des 25'!$I:$I,Sheet1!H$1,'List Petty Cash Jul-Des 25'!$V:$V,Sheet1!$A43,'List Petty Cash Jul-Des 25'!$X:$X,Sheet1!$A42)</f>
        <v>1300000</v>
      </c>
      <c r="I43" s="9">
        <f t="shared" ref="I43:I45" si="6">+SUM(C43:H43)</f>
        <v>2720000</v>
      </c>
      <c r="L43" s="8"/>
      <c r="S43" s="17" t="s">
        <v>2073</v>
      </c>
      <c r="T43" s="18">
        <f>+C28</f>
        <v>58589163</v>
      </c>
    </row>
    <row r="44" spans="1:28" x14ac:dyDescent="0.25">
      <c r="A44">
        <v>70009110</v>
      </c>
      <c r="B44" t="str">
        <f t="shared" ref="B44:B45" si="7">+VLOOKUP(A44,$A$2:$B$27,2,0)</f>
        <v>Biaya Survey dan Analisa</v>
      </c>
      <c r="C44" s="8">
        <f>+SUMIFS('List Petty Cash Jul-Des 25'!$AB:$AB,'List Petty Cash Jul-Des 25'!$I:$I,Sheet1!C$1,'List Petty Cash Jul-Des 25'!$V:$V,Sheet1!$A44,'List Petty Cash Jul-Des 25'!$X:$X,Sheet1!$A42)</f>
        <v>400000</v>
      </c>
      <c r="D44" s="8">
        <f>+SUMIFS('List Petty Cash Jul-Des 25'!$AB:$AB,'List Petty Cash Jul-Des 25'!$I:$I,Sheet1!D$1,'List Petty Cash Jul-Des 25'!$V:$V,Sheet1!$A44,'List Petty Cash Jul-Des 25'!$X:$X,Sheet1!$A42)</f>
        <v>1350000</v>
      </c>
      <c r="E44" s="8">
        <f>+SUMIFS('List Petty Cash Jul-Des 25'!$AB:$AB,'List Petty Cash Jul-Des 25'!$I:$I,Sheet1!E$1,'List Petty Cash Jul-Des 25'!$V:$V,Sheet1!$A44,'List Petty Cash Jul-Des 25'!$X:$X,Sheet1!$A42)</f>
        <v>850000</v>
      </c>
      <c r="F44" s="8">
        <f>+SUMIFS('List Petty Cash Jul-Des 25'!$AB:$AB,'List Petty Cash Jul-Des 25'!$I:$I,Sheet1!F$1,'List Petty Cash Jul-Des 25'!$V:$V,Sheet1!$A44,'List Petty Cash Jul-Des 25'!$X:$X,Sheet1!$A42)</f>
        <v>2400000</v>
      </c>
      <c r="G44" s="8">
        <f>+SUMIFS('List Petty Cash Jul-Des 25'!$AB:$AB,'List Petty Cash Jul-Des 25'!$I:$I,Sheet1!G$1,'List Petty Cash Jul-Des 25'!$V:$V,Sheet1!$A44,'List Petty Cash Jul-Des 25'!$X:$X,Sheet1!$A42)</f>
        <v>0</v>
      </c>
      <c r="H44" s="8">
        <f>+SUMIFS('List Petty Cash Jul-Des 25'!$AB:$AB,'List Petty Cash Jul-Des 25'!$I:$I,Sheet1!H$1,'List Petty Cash Jul-Des 25'!$V:$V,Sheet1!$A44,'List Petty Cash Jul-Des 25'!$X:$X,Sheet1!$A42)</f>
        <v>0</v>
      </c>
      <c r="I44" s="9">
        <f t="shared" si="6"/>
        <v>5000000</v>
      </c>
      <c r="S44" s="17" t="s">
        <v>2075</v>
      </c>
      <c r="T44" s="18">
        <f>+D28</f>
        <v>34438078</v>
      </c>
    </row>
    <row r="45" spans="1:28" x14ac:dyDescent="0.25">
      <c r="A45">
        <v>70101202</v>
      </c>
      <c r="B45" t="str">
        <f t="shared" si="7"/>
        <v>By Pemeliharaan Kend,ABerat,Mesin-Material Pihak3</v>
      </c>
      <c r="C45" s="8">
        <f>+SUMIFS('List Petty Cash Jul-Des 25'!$AB:$AB,'List Petty Cash Jul-Des 25'!$I:$I,Sheet1!C$1,'List Petty Cash Jul-Des 25'!$V:$V,Sheet1!$A45,'List Petty Cash Jul-Des 25'!$X:$X,Sheet1!$A42)</f>
        <v>420000</v>
      </c>
      <c r="D45" s="8">
        <f>+SUMIFS('List Petty Cash Jul-Des 25'!$AB:$AB,'List Petty Cash Jul-Des 25'!$I:$I,Sheet1!D$1,'List Petty Cash Jul-Des 25'!$V:$V,Sheet1!$A45,'List Petty Cash Jul-Des 25'!$X:$X,Sheet1!$A42)</f>
        <v>520000</v>
      </c>
      <c r="E45" s="8">
        <f>+SUMIFS('List Petty Cash Jul-Des 25'!$AB:$AB,'List Petty Cash Jul-Des 25'!$I:$I,Sheet1!E$1,'List Petty Cash Jul-Des 25'!$V:$V,Sheet1!$A45,'List Petty Cash Jul-Des 25'!$X:$X,Sheet1!$A42)</f>
        <v>430000</v>
      </c>
      <c r="F45" s="8">
        <f>+SUMIFS('List Petty Cash Jul-Des 25'!$AB:$AB,'List Petty Cash Jul-Des 25'!$I:$I,Sheet1!F$1,'List Petty Cash Jul-Des 25'!$V:$V,Sheet1!$A45,'List Petty Cash Jul-Des 25'!$X:$X,Sheet1!$A42)</f>
        <v>375000</v>
      </c>
      <c r="G45" s="8">
        <f>+SUMIFS('List Petty Cash Jul-Des 25'!$AB:$AB,'List Petty Cash Jul-Des 25'!$I:$I,Sheet1!G$1,'List Petty Cash Jul-Des 25'!$V:$V,Sheet1!$A45,'List Petty Cash Jul-Des 25'!$X:$X,Sheet1!$A42)</f>
        <v>358000</v>
      </c>
      <c r="H45" s="8">
        <f>+SUMIFS('List Petty Cash Jul-Des 25'!$AB:$AB,'List Petty Cash Jul-Des 25'!$I:$I,Sheet1!H$1,'List Petty Cash Jul-Des 25'!$V:$V,Sheet1!$A45,'List Petty Cash Jul-Des 25'!$X:$X,Sheet1!$A42)</f>
        <v>330000</v>
      </c>
      <c r="I45" s="9">
        <f t="shared" si="6"/>
        <v>2433000</v>
      </c>
      <c r="S45" s="19" t="s">
        <v>2076</v>
      </c>
      <c r="T45" s="18">
        <f>+E28</f>
        <v>30159697</v>
      </c>
    </row>
    <row r="46" spans="1:28" x14ac:dyDescent="0.25">
      <c r="A46" t="s">
        <v>2019</v>
      </c>
      <c r="S46" s="17" t="s">
        <v>2077</v>
      </c>
      <c r="T46" s="18">
        <f>+F28</f>
        <v>63465821</v>
      </c>
    </row>
    <row r="47" spans="1:28" x14ac:dyDescent="0.25">
      <c r="A47">
        <v>70110210</v>
      </c>
      <c r="B47">
        <f>+VLOOKUP(A47,$A$2:$B$27,2,0)</f>
        <v>0</v>
      </c>
      <c r="C47" s="8">
        <f>+SUMIFS('List Petty Cash Jul-Des 25'!$AB:$AB,'List Petty Cash Jul-Des 25'!$I:$I,Sheet1!C$1,'List Petty Cash Jul-Des 25'!$V:$V,Sheet1!$A47,'List Petty Cash Jul-Des 25'!$X:$X,Sheet1!$A46)</f>
        <v>0</v>
      </c>
      <c r="D47" s="8">
        <f>+SUMIFS('List Petty Cash Jul-Des 25'!$AB:$AB,'List Petty Cash Jul-Des 25'!$I:$I,Sheet1!D$1,'List Petty Cash Jul-Des 25'!$V:$V,Sheet1!$A47,'List Petty Cash Jul-Des 25'!$X:$X,Sheet1!$A46)</f>
        <v>0</v>
      </c>
      <c r="E47" s="8">
        <f>+SUMIFS('List Petty Cash Jul-Des 25'!$AB:$AB,'List Petty Cash Jul-Des 25'!$I:$I,Sheet1!E$1,'List Petty Cash Jul-Des 25'!$V:$V,Sheet1!$A47,'List Petty Cash Jul-Des 25'!$X:$X,Sheet1!$A46)</f>
        <v>0</v>
      </c>
      <c r="F47" s="8">
        <f>+SUMIFS('List Petty Cash Jul-Des 25'!$AB:$AB,'List Petty Cash Jul-Des 25'!$I:$I,Sheet1!F$1,'List Petty Cash Jul-Des 25'!$V:$V,Sheet1!$A47,'List Petty Cash Jul-Des 25'!$X:$X,Sheet1!$A46)</f>
        <v>135000</v>
      </c>
      <c r="G47" s="8">
        <f>+SUMIFS('List Petty Cash Jul-Des 25'!$AB:$AB,'List Petty Cash Jul-Des 25'!$I:$I,Sheet1!G$1,'List Petty Cash Jul-Des 25'!$V:$V,Sheet1!$A47,'List Petty Cash Jul-Des 25'!$X:$X,Sheet1!$A46)</f>
        <v>7478800</v>
      </c>
      <c r="H47" s="8">
        <f>+SUMIFS('List Petty Cash Jul-Des 25'!$AB:$AB,'List Petty Cash Jul-Des 25'!$I:$I,Sheet1!H$1,'List Petty Cash Jul-Des 25'!$V:$V,Sheet1!$A47,'List Petty Cash Jul-Des 25'!$X:$X,Sheet1!$A46)</f>
        <v>1335000</v>
      </c>
      <c r="I47" s="9">
        <f>+SUM(C47:H47)</f>
        <v>8948800</v>
      </c>
      <c r="S47" s="20" t="s">
        <v>2078</v>
      </c>
      <c r="T47" s="18">
        <f>+G28</f>
        <v>66145918</v>
      </c>
    </row>
    <row r="48" spans="1:28" x14ac:dyDescent="0.25">
      <c r="A48" t="s">
        <v>1938</v>
      </c>
      <c r="S48" s="21" t="s">
        <v>2079</v>
      </c>
      <c r="T48" s="18">
        <f>+H28</f>
        <v>66915336</v>
      </c>
    </row>
    <row r="49" spans="1:20" x14ac:dyDescent="0.25">
      <c r="A49">
        <v>70001110</v>
      </c>
      <c r="B49" t="str">
        <f t="shared" ref="B49:B53" si="8">+VLOOKUP(A49,$A$2:$B$27,2,0)</f>
        <v>Biaya Ekspor lainnya</v>
      </c>
      <c r="C49" s="8">
        <f>+SUMIFS('List Petty Cash Jul-Des 25'!$AB:$AB,'List Petty Cash Jul-Des 25'!$I:$I,Sheet1!C$1,'List Petty Cash Jul-Des 25'!$V:$V,Sheet1!$A49,'List Petty Cash Jul-Des 25'!$X:$X,Sheet1!$A48)</f>
        <v>29000</v>
      </c>
      <c r="D49" s="8">
        <f>+SUMIFS('List Petty Cash Jul-Des 25'!$AB:$AB,'List Petty Cash Jul-Des 25'!$I:$I,Sheet1!D$1,'List Petty Cash Jul-Des 25'!$V:$V,Sheet1!$A49,'List Petty Cash Jul-Des 25'!$X:$X,Sheet1!$A48)</f>
        <v>18000</v>
      </c>
      <c r="E49" s="8">
        <f>+SUMIFS('List Petty Cash Jul-Des 25'!$AB:$AB,'List Petty Cash Jul-Des 25'!$I:$I,Sheet1!E$1,'List Petty Cash Jul-Des 25'!$V:$V,Sheet1!$A49,'List Petty Cash Jul-Des 25'!$X:$X,Sheet1!$A48)</f>
        <v>13000</v>
      </c>
      <c r="F49" s="8">
        <f>+SUMIFS('List Petty Cash Jul-Des 25'!$AB:$AB,'List Petty Cash Jul-Des 25'!$I:$I,Sheet1!F$1,'List Petty Cash Jul-Des 25'!$V:$V,Sheet1!$A49,'List Petty Cash Jul-Des 25'!$X:$X,Sheet1!$A48)</f>
        <v>24000</v>
      </c>
      <c r="G49" s="8">
        <f>+SUMIFS('List Petty Cash Jul-Des 25'!$AB:$AB,'List Petty Cash Jul-Des 25'!$I:$I,Sheet1!G$1,'List Petty Cash Jul-Des 25'!$V:$V,Sheet1!$A49,'List Petty Cash Jul-Des 25'!$X:$X,Sheet1!$A48)</f>
        <v>1120000</v>
      </c>
      <c r="H49" s="8">
        <f>+SUMIFS('List Petty Cash Jul-Des 25'!$AB:$AB,'List Petty Cash Jul-Des 25'!$I:$I,Sheet1!H$1,'List Petty Cash Jul-Des 25'!$V:$V,Sheet1!$A49,'List Petty Cash Jul-Des 25'!$X:$X,Sheet1!$A48)</f>
        <v>1218000</v>
      </c>
      <c r="I49" s="9">
        <f t="shared" ref="I49:I53" si="9">+SUM(C49:H49)</f>
        <v>2422000</v>
      </c>
      <c r="T49" s="9">
        <f>SUM(T43:T48)</f>
        <v>319714013</v>
      </c>
    </row>
    <row r="50" spans="1:20" x14ac:dyDescent="0.25">
      <c r="A50">
        <v>70009110</v>
      </c>
      <c r="B50" t="str">
        <f t="shared" si="8"/>
        <v>Biaya Survey dan Analisa</v>
      </c>
      <c r="C50" s="8">
        <f>+SUMIFS('List Petty Cash Jul-Des 25'!$AB:$AB,'List Petty Cash Jul-Des 25'!$I:$I,Sheet1!C$1,'List Petty Cash Jul-Des 25'!$V:$V,Sheet1!$A50,'List Petty Cash Jul-Des 25'!$X:$X,Sheet1!$A48)</f>
        <v>1150000</v>
      </c>
      <c r="D50" s="8">
        <f>+SUMIFS('List Petty Cash Jul-Des 25'!$AB:$AB,'List Petty Cash Jul-Des 25'!$I:$I,Sheet1!D$1,'List Petty Cash Jul-Des 25'!$V:$V,Sheet1!$A50,'List Petty Cash Jul-Des 25'!$X:$X,Sheet1!$A48)</f>
        <v>700000</v>
      </c>
      <c r="E50" s="8">
        <f>+SUMIFS('List Petty Cash Jul-Des 25'!$AB:$AB,'List Petty Cash Jul-Des 25'!$I:$I,Sheet1!E$1,'List Petty Cash Jul-Des 25'!$V:$V,Sheet1!$A50,'List Petty Cash Jul-Des 25'!$X:$X,Sheet1!$A48)</f>
        <v>750000</v>
      </c>
      <c r="F50" s="8">
        <f>+SUMIFS('List Petty Cash Jul-Des 25'!$AB:$AB,'List Petty Cash Jul-Des 25'!$I:$I,Sheet1!F$1,'List Petty Cash Jul-Des 25'!$V:$V,Sheet1!$A50,'List Petty Cash Jul-Des 25'!$X:$X,Sheet1!$A48)</f>
        <v>2600000</v>
      </c>
      <c r="G50" s="8">
        <f>+SUMIFS('List Petty Cash Jul-Des 25'!$AB:$AB,'List Petty Cash Jul-Des 25'!$I:$I,Sheet1!G$1,'List Petty Cash Jul-Des 25'!$V:$V,Sheet1!$A50,'List Petty Cash Jul-Des 25'!$X:$X,Sheet1!$A48)</f>
        <v>0</v>
      </c>
      <c r="H50" s="8">
        <f>+SUMIFS('List Petty Cash Jul-Des 25'!$AB:$AB,'List Petty Cash Jul-Des 25'!$I:$I,Sheet1!H$1,'List Petty Cash Jul-Des 25'!$V:$V,Sheet1!$A50,'List Petty Cash Jul-Des 25'!$X:$X,Sheet1!$A48)</f>
        <v>0</v>
      </c>
      <c r="I50" s="9">
        <f t="shared" si="9"/>
        <v>5200000</v>
      </c>
    </row>
    <row r="51" spans="1:20" x14ac:dyDescent="0.25">
      <c r="A51">
        <v>70105321</v>
      </c>
      <c r="B51" t="str">
        <f t="shared" si="8"/>
        <v>By Sertifikasi Non Quality Food Safety (Non QFS)</v>
      </c>
      <c r="C51" s="8">
        <f>+SUMIFS('List Petty Cash Jul-Des 25'!$AB:$AB,'List Petty Cash Jul-Des 25'!$I:$I,Sheet1!C$1,'List Petty Cash Jul-Des 25'!$V:$V,Sheet1!$A51,'List Petty Cash Jul-Des 25'!$X:$X,Sheet1!$A48)</f>
        <v>0</v>
      </c>
      <c r="D51" s="8">
        <f>+SUMIFS('List Petty Cash Jul-Des 25'!$AB:$AB,'List Petty Cash Jul-Des 25'!$I:$I,Sheet1!D$1,'List Petty Cash Jul-Des 25'!$V:$V,Sheet1!$A51,'List Petty Cash Jul-Des 25'!$X:$X,Sheet1!$A48)</f>
        <v>0</v>
      </c>
      <c r="E51" s="8">
        <f>+SUMIFS('List Petty Cash Jul-Des 25'!$AB:$AB,'List Petty Cash Jul-Des 25'!$I:$I,Sheet1!E$1,'List Petty Cash Jul-Des 25'!$V:$V,Sheet1!$A51,'List Petty Cash Jul-Des 25'!$X:$X,Sheet1!$A48)</f>
        <v>0</v>
      </c>
      <c r="F51" s="8">
        <f>+SUMIFS('List Petty Cash Jul-Des 25'!$AB:$AB,'List Petty Cash Jul-Des 25'!$I:$I,Sheet1!F$1,'List Petty Cash Jul-Des 25'!$V:$V,Sheet1!$A51,'List Petty Cash Jul-Des 25'!$X:$X,Sheet1!$A48)</f>
        <v>916000</v>
      </c>
      <c r="G51" s="8">
        <f>+SUMIFS('List Petty Cash Jul-Des 25'!$AB:$AB,'List Petty Cash Jul-Des 25'!$I:$I,Sheet1!G$1,'List Petty Cash Jul-Des 25'!$V:$V,Sheet1!$A51,'List Petty Cash Jul-Des 25'!$X:$X,Sheet1!$A48)</f>
        <v>0</v>
      </c>
      <c r="H51" s="8">
        <f>+SUMIFS('List Petty Cash Jul-Des 25'!$AB:$AB,'List Petty Cash Jul-Des 25'!$I:$I,Sheet1!H$1,'List Petty Cash Jul-Des 25'!$V:$V,Sheet1!$A51,'List Petty Cash Jul-Des 25'!$X:$X,Sheet1!$A48)</f>
        <v>0</v>
      </c>
      <c r="I51" s="9">
        <f t="shared" si="9"/>
        <v>916000</v>
      </c>
    </row>
    <row r="52" spans="1:20" x14ac:dyDescent="0.25">
      <c r="A52">
        <v>70107600</v>
      </c>
      <c r="B52" t="str">
        <f t="shared" si="8"/>
        <v>Biaya Konsumsi Kantor</v>
      </c>
      <c r="C52" s="8">
        <f>+SUMIFS('List Petty Cash Jul-Des 25'!$AB:$AB,'List Petty Cash Jul-Des 25'!$I:$I,Sheet1!C$1,'List Petty Cash Jul-Des 25'!$V:$V,Sheet1!$A52,'List Petty Cash Jul-Des 25'!$X:$X,Sheet1!$A48)</f>
        <v>945000</v>
      </c>
      <c r="D52" s="8">
        <f>+SUMIFS('List Petty Cash Jul-Des 25'!$AB:$AB,'List Petty Cash Jul-Des 25'!$I:$I,Sheet1!D$1,'List Petty Cash Jul-Des 25'!$V:$V,Sheet1!$A52,'List Petty Cash Jul-Des 25'!$X:$X,Sheet1!$A48)</f>
        <v>0</v>
      </c>
      <c r="E52" s="8">
        <f>+SUMIFS('List Petty Cash Jul-Des 25'!$AB:$AB,'List Petty Cash Jul-Des 25'!$I:$I,Sheet1!E$1,'List Petty Cash Jul-Des 25'!$V:$V,Sheet1!$A52,'List Petty Cash Jul-Des 25'!$X:$X,Sheet1!$A48)</f>
        <v>0</v>
      </c>
      <c r="F52" s="8">
        <f>+SUMIFS('List Petty Cash Jul-Des 25'!$AB:$AB,'List Petty Cash Jul-Des 25'!$I:$I,Sheet1!F$1,'List Petty Cash Jul-Des 25'!$V:$V,Sheet1!$A52,'List Petty Cash Jul-Des 25'!$X:$X,Sheet1!$A48)</f>
        <v>0</v>
      </c>
      <c r="G52" s="8">
        <f>+SUMIFS('List Petty Cash Jul-Des 25'!$AB:$AB,'List Petty Cash Jul-Des 25'!$I:$I,Sheet1!G$1,'List Petty Cash Jul-Des 25'!$V:$V,Sheet1!$A52,'List Petty Cash Jul-Des 25'!$X:$X,Sheet1!$A48)</f>
        <v>0</v>
      </c>
      <c r="H52" s="8">
        <f>+SUMIFS('List Petty Cash Jul-Des 25'!$AB:$AB,'List Petty Cash Jul-Des 25'!$I:$I,Sheet1!H$1,'List Petty Cash Jul-Des 25'!$V:$V,Sheet1!$A52,'List Petty Cash Jul-Des 25'!$X:$X,Sheet1!$A48)</f>
        <v>0</v>
      </c>
      <c r="I52" s="9">
        <f t="shared" si="9"/>
        <v>945000</v>
      </c>
    </row>
    <row r="53" spans="1:20" x14ac:dyDescent="0.25">
      <c r="A53">
        <v>70115100</v>
      </c>
      <c r="B53" t="str">
        <f t="shared" si="8"/>
        <v>Biaya Riset, Pengembangan, dan Laboratorium</v>
      </c>
      <c r="C53" s="8">
        <f>+SUMIFS('List Petty Cash Jul-Des 25'!$AB:$AB,'List Petty Cash Jul-Des 25'!$I:$I,Sheet1!C$1,'List Petty Cash Jul-Des 25'!$V:$V,Sheet1!$A53,'List Petty Cash Jul-Des 25'!$X:$X,Sheet1!$A48)</f>
        <v>1578000</v>
      </c>
      <c r="D53" s="8">
        <f>+SUMIFS('List Petty Cash Jul-Des 25'!$AB:$AB,'List Petty Cash Jul-Des 25'!$I:$I,Sheet1!D$1,'List Petty Cash Jul-Des 25'!$V:$V,Sheet1!$A53,'List Petty Cash Jul-Des 25'!$X:$X,Sheet1!$A48)</f>
        <v>4209000</v>
      </c>
      <c r="E53" s="8">
        <f>+SUMIFS('List Petty Cash Jul-Des 25'!$AB:$AB,'List Petty Cash Jul-Des 25'!$I:$I,Sheet1!E$1,'List Petty Cash Jul-Des 25'!$V:$V,Sheet1!$A53,'List Petty Cash Jul-Des 25'!$X:$X,Sheet1!$A48)</f>
        <v>0</v>
      </c>
      <c r="F53" s="8">
        <f>+SUMIFS('List Petty Cash Jul-Des 25'!$AB:$AB,'List Petty Cash Jul-Des 25'!$I:$I,Sheet1!F$1,'List Petty Cash Jul-Des 25'!$V:$V,Sheet1!$A53,'List Petty Cash Jul-Des 25'!$X:$X,Sheet1!$A48)</f>
        <v>0</v>
      </c>
      <c r="G53" s="8">
        <f>+SUMIFS('List Petty Cash Jul-Des 25'!$AB:$AB,'List Petty Cash Jul-Des 25'!$I:$I,Sheet1!G$1,'List Petty Cash Jul-Des 25'!$V:$V,Sheet1!$A53,'List Petty Cash Jul-Des 25'!$X:$X,Sheet1!$A48)</f>
        <v>0</v>
      </c>
      <c r="H53" s="8">
        <f>+SUMIFS('List Petty Cash Jul-Des 25'!$AB:$AB,'List Petty Cash Jul-Des 25'!$I:$I,Sheet1!H$1,'List Petty Cash Jul-Des 25'!$V:$V,Sheet1!$A53,'List Petty Cash Jul-Des 25'!$X:$X,Sheet1!$A48)</f>
        <v>512300</v>
      </c>
      <c r="I53" s="9">
        <f t="shared" si="9"/>
        <v>6299300</v>
      </c>
    </row>
    <row r="54" spans="1:20" x14ac:dyDescent="0.25">
      <c r="A54" t="s">
        <v>1967</v>
      </c>
    </row>
    <row r="55" spans="1:20" x14ac:dyDescent="0.25">
      <c r="A55">
        <v>70001110</v>
      </c>
      <c r="B55" t="str">
        <f t="shared" ref="B55:B56" si="10">+VLOOKUP(A55,$A$2:$B$27,2,0)</f>
        <v>Biaya Ekspor lainnya</v>
      </c>
      <c r="C55" s="8">
        <f>+SUMIFS('List Petty Cash Jul-Des 25'!$AB:$AB,'List Petty Cash Jul-Des 25'!$I:$I,Sheet1!C$1,'List Petty Cash Jul-Des 25'!$V:$V,Sheet1!$A55,'List Petty Cash Jul-Des 25'!$X:$X,Sheet1!$A54)</f>
        <v>0</v>
      </c>
      <c r="D55" s="8">
        <f>+SUMIFS('List Petty Cash Jul-Des 25'!$AB:$AB,'List Petty Cash Jul-Des 25'!$I:$I,Sheet1!D$1,'List Petty Cash Jul-Des 25'!$V:$V,Sheet1!$A55,'List Petty Cash Jul-Des 25'!$X:$X,Sheet1!$A54)</f>
        <v>0</v>
      </c>
      <c r="E55" s="8">
        <f>+SUMIFS('List Petty Cash Jul-Des 25'!$AB:$AB,'List Petty Cash Jul-Des 25'!$I:$I,Sheet1!E$1,'List Petty Cash Jul-Des 25'!$V:$V,Sheet1!$A55,'List Petty Cash Jul-Des 25'!$X:$X,Sheet1!$A54)</f>
        <v>0</v>
      </c>
      <c r="F55" s="8">
        <f>+SUMIFS('List Petty Cash Jul-Des 25'!$AB:$AB,'List Petty Cash Jul-Des 25'!$I:$I,Sheet1!F$1,'List Petty Cash Jul-Des 25'!$V:$V,Sheet1!$A55,'List Petty Cash Jul-Des 25'!$X:$X,Sheet1!$A54)</f>
        <v>0</v>
      </c>
      <c r="G55" s="8">
        <f>+SUMIFS('List Petty Cash Jul-Des 25'!$AB:$AB,'List Petty Cash Jul-Des 25'!$I:$I,Sheet1!G$1,'List Petty Cash Jul-Des 25'!$V:$V,Sheet1!$A55,'List Petty Cash Jul-Des 25'!$X:$X,Sheet1!$A54)</f>
        <v>400000</v>
      </c>
      <c r="H55" s="8">
        <f>+SUMIFS('List Petty Cash Jul-Des 25'!$AB:$AB,'List Petty Cash Jul-Des 25'!$I:$I,Sheet1!H$1,'List Petty Cash Jul-Des 25'!$V:$V,Sheet1!$A55,'List Petty Cash Jul-Des 25'!$X:$X,Sheet1!$A54)</f>
        <v>500000</v>
      </c>
      <c r="I55" s="9">
        <f t="shared" ref="I55:I56" si="11">+SUM(C55:H55)</f>
        <v>900000</v>
      </c>
    </row>
    <row r="56" spans="1:20" x14ac:dyDescent="0.25">
      <c r="A56">
        <v>70009110</v>
      </c>
      <c r="B56" t="str">
        <f t="shared" si="10"/>
        <v>Biaya Survey dan Analisa</v>
      </c>
      <c r="C56" s="8">
        <f>+SUMIFS('List Petty Cash Jul-Des 25'!$AB:$AB,'List Petty Cash Jul-Des 25'!$I:$I,Sheet1!C$1,'List Petty Cash Jul-Des 25'!$V:$V,Sheet1!$A56,'List Petty Cash Jul-Des 25'!$X:$X,Sheet1!$A54)</f>
        <v>350000</v>
      </c>
      <c r="D56" s="8">
        <f>+SUMIFS('List Petty Cash Jul-Des 25'!$AB:$AB,'List Petty Cash Jul-Des 25'!$I:$I,Sheet1!D$1,'List Petty Cash Jul-Des 25'!$V:$V,Sheet1!$A56,'List Petty Cash Jul-Des 25'!$X:$X,Sheet1!$A54)</f>
        <v>350000</v>
      </c>
      <c r="E56" s="8">
        <f>+SUMIFS('List Petty Cash Jul-Des 25'!$AB:$AB,'List Petty Cash Jul-Des 25'!$I:$I,Sheet1!E$1,'List Petty Cash Jul-Des 25'!$V:$V,Sheet1!$A56,'List Petty Cash Jul-Des 25'!$X:$X,Sheet1!$A54)</f>
        <v>700000</v>
      </c>
      <c r="F56" s="8">
        <f>+SUMIFS('List Petty Cash Jul-Des 25'!$AB:$AB,'List Petty Cash Jul-Des 25'!$I:$I,Sheet1!F$1,'List Petty Cash Jul-Des 25'!$V:$V,Sheet1!$A56,'List Petty Cash Jul-Des 25'!$X:$X,Sheet1!$A54)</f>
        <v>400000</v>
      </c>
      <c r="G56" s="8">
        <f>+SUMIFS('List Petty Cash Jul-Des 25'!$AB:$AB,'List Petty Cash Jul-Des 25'!$I:$I,Sheet1!G$1,'List Petty Cash Jul-Des 25'!$V:$V,Sheet1!$A56,'List Petty Cash Jul-Des 25'!$X:$X,Sheet1!$A54)</f>
        <v>0</v>
      </c>
      <c r="H56" s="8">
        <f>+SUMIFS('List Petty Cash Jul-Des 25'!$AB:$AB,'List Petty Cash Jul-Des 25'!$I:$I,Sheet1!H$1,'List Petty Cash Jul-Des 25'!$V:$V,Sheet1!$A56,'List Petty Cash Jul-Des 25'!$X:$X,Sheet1!$A54)</f>
        <v>0</v>
      </c>
      <c r="I56" s="9">
        <f t="shared" si="11"/>
        <v>1800000</v>
      </c>
    </row>
    <row r="57" spans="1:20" x14ac:dyDescent="0.25">
      <c r="A57" t="s">
        <v>1923</v>
      </c>
    </row>
    <row r="58" spans="1:20" x14ac:dyDescent="0.25">
      <c r="A58">
        <v>70001110</v>
      </c>
      <c r="B58" t="str">
        <f t="shared" ref="B58:B63" si="12">+VLOOKUP(A58,$A$2:$B$27,2,0)</f>
        <v>Biaya Ekspor lainnya</v>
      </c>
      <c r="C58" s="8">
        <f>+SUMIFS('List Petty Cash Jul-Des 25'!$AB:$AB,'List Petty Cash Jul-Des 25'!$I:$I,Sheet1!C$1,'List Petty Cash Jul-Des 25'!$V:$V,Sheet1!$A58,'List Petty Cash Jul-Des 25'!$X:$X,Sheet1!$A57)</f>
        <v>0</v>
      </c>
      <c r="D58" s="8">
        <f>+SUMIFS('List Petty Cash Jul-Des 25'!$AB:$AB,'List Petty Cash Jul-Des 25'!$I:$I,Sheet1!D$1,'List Petty Cash Jul-Des 25'!$V:$V,Sheet1!$A58,'List Petty Cash Jul-Des 25'!$X:$X,Sheet1!$A57)</f>
        <v>868100</v>
      </c>
      <c r="E58" s="8">
        <f>+SUMIFS('List Petty Cash Jul-Des 25'!$AB:$AB,'List Petty Cash Jul-Des 25'!$I:$I,Sheet1!E$1,'List Petty Cash Jul-Des 25'!$V:$V,Sheet1!$A58,'List Petty Cash Jul-Des 25'!$X:$X,Sheet1!$A57)</f>
        <v>0</v>
      </c>
      <c r="F58" s="8">
        <f>+SUMIFS('List Petty Cash Jul-Des 25'!$AB:$AB,'List Petty Cash Jul-Des 25'!$I:$I,Sheet1!F$1,'List Petty Cash Jul-Des 25'!$V:$V,Sheet1!$A58,'List Petty Cash Jul-Des 25'!$X:$X,Sheet1!$A57)</f>
        <v>0</v>
      </c>
      <c r="G58" s="8">
        <f>+SUMIFS('List Petty Cash Jul-Des 25'!$AB:$AB,'List Petty Cash Jul-Des 25'!$I:$I,Sheet1!G$1,'List Petty Cash Jul-Des 25'!$V:$V,Sheet1!$A58,'List Petty Cash Jul-Des 25'!$X:$X,Sheet1!$A57)</f>
        <v>4250000</v>
      </c>
      <c r="H58" s="8">
        <f>+SUMIFS('List Petty Cash Jul-Des 25'!$AB:$AB,'List Petty Cash Jul-Des 25'!$I:$I,Sheet1!H$1,'List Petty Cash Jul-Des 25'!$V:$V,Sheet1!$A58,'List Petty Cash Jul-Des 25'!$X:$X,Sheet1!$A57)</f>
        <v>3900000</v>
      </c>
      <c r="I58" s="9">
        <f t="shared" ref="I58:I63" si="13">+SUM(C58:H58)</f>
        <v>9018100</v>
      </c>
    </row>
    <row r="59" spans="1:20" x14ac:dyDescent="0.25">
      <c r="A59">
        <v>70009110</v>
      </c>
      <c r="B59" t="str">
        <f t="shared" si="12"/>
        <v>Biaya Survey dan Analisa</v>
      </c>
      <c r="C59" s="8">
        <f>+SUMIFS('List Petty Cash Jul-Des 25'!$AB:$AB,'List Petty Cash Jul-Des 25'!$I:$I,Sheet1!C$1,'List Petty Cash Jul-Des 25'!$V:$V,Sheet1!$A59,'List Petty Cash Jul-Des 25'!$X:$X,Sheet1!$A57)</f>
        <v>5100000</v>
      </c>
      <c r="D59" s="8">
        <f>+SUMIFS('List Petty Cash Jul-Des 25'!$AB:$AB,'List Petty Cash Jul-Des 25'!$I:$I,Sheet1!D$1,'List Petty Cash Jul-Des 25'!$V:$V,Sheet1!$A59,'List Petty Cash Jul-Des 25'!$X:$X,Sheet1!$A57)</f>
        <v>3200000</v>
      </c>
      <c r="E59" s="8">
        <f>+SUMIFS('List Petty Cash Jul-Des 25'!$AB:$AB,'List Petty Cash Jul-Des 25'!$I:$I,Sheet1!E$1,'List Petty Cash Jul-Des 25'!$V:$V,Sheet1!$A59,'List Petty Cash Jul-Des 25'!$X:$X,Sheet1!$A57)</f>
        <v>2900000</v>
      </c>
      <c r="F59" s="8">
        <f>+SUMIFS('List Petty Cash Jul-Des 25'!$AB:$AB,'List Petty Cash Jul-Des 25'!$I:$I,Sheet1!F$1,'List Petty Cash Jul-Des 25'!$V:$V,Sheet1!$A59,'List Petty Cash Jul-Des 25'!$X:$X,Sheet1!$A57)</f>
        <v>3950000</v>
      </c>
      <c r="G59" s="8">
        <f>+SUMIFS('List Petty Cash Jul-Des 25'!$AB:$AB,'List Petty Cash Jul-Des 25'!$I:$I,Sheet1!G$1,'List Petty Cash Jul-Des 25'!$V:$V,Sheet1!$A59,'List Petty Cash Jul-Des 25'!$X:$X,Sheet1!$A57)</f>
        <v>0</v>
      </c>
      <c r="H59" s="8">
        <f>+SUMIFS('List Petty Cash Jul-Des 25'!$AB:$AB,'List Petty Cash Jul-Des 25'!$I:$I,Sheet1!H$1,'List Petty Cash Jul-Des 25'!$V:$V,Sheet1!$A59,'List Petty Cash Jul-Des 25'!$X:$X,Sheet1!$A57)</f>
        <v>0</v>
      </c>
      <c r="I59" s="9">
        <f t="shared" si="13"/>
        <v>15150000</v>
      </c>
    </row>
    <row r="60" spans="1:20" x14ac:dyDescent="0.25">
      <c r="A60">
        <v>70101202</v>
      </c>
      <c r="B60" t="str">
        <f t="shared" si="12"/>
        <v>By Pemeliharaan Kend,ABerat,Mesin-Material Pihak3</v>
      </c>
      <c r="C60" s="8">
        <f>+SUMIFS('List Petty Cash Jul-Des 25'!$AB:$AB,'List Petty Cash Jul-Des 25'!$I:$I,Sheet1!C$1,'List Petty Cash Jul-Des 25'!$V:$V,Sheet1!$A60,'List Petty Cash Jul-Des 25'!$X:$X,Sheet1!$A57)</f>
        <v>328000</v>
      </c>
      <c r="D60" s="8">
        <f>+SUMIFS('List Petty Cash Jul-Des 25'!$AB:$AB,'List Petty Cash Jul-Des 25'!$I:$I,Sheet1!D$1,'List Petty Cash Jul-Des 25'!$V:$V,Sheet1!$A60,'List Petty Cash Jul-Des 25'!$X:$X,Sheet1!$A57)</f>
        <v>321000</v>
      </c>
      <c r="E60" s="8">
        <f>+SUMIFS('List Petty Cash Jul-Des 25'!$AB:$AB,'List Petty Cash Jul-Des 25'!$I:$I,Sheet1!E$1,'List Petty Cash Jul-Des 25'!$V:$V,Sheet1!$A60,'List Petty Cash Jul-Des 25'!$X:$X,Sheet1!$A57)</f>
        <v>298000</v>
      </c>
      <c r="F60" s="8">
        <f>+SUMIFS('List Petty Cash Jul-Des 25'!$AB:$AB,'List Petty Cash Jul-Des 25'!$I:$I,Sheet1!F$1,'List Petty Cash Jul-Des 25'!$V:$V,Sheet1!$A60,'List Petty Cash Jul-Des 25'!$X:$X,Sheet1!$A57)</f>
        <v>300000</v>
      </c>
      <c r="G60" s="8">
        <f>+SUMIFS('List Petty Cash Jul-Des 25'!$AB:$AB,'List Petty Cash Jul-Des 25'!$I:$I,Sheet1!G$1,'List Petty Cash Jul-Des 25'!$V:$V,Sheet1!$A60,'List Petty Cash Jul-Des 25'!$X:$X,Sheet1!$A57)</f>
        <v>452000</v>
      </c>
      <c r="H60" s="8">
        <f>+SUMIFS('List Petty Cash Jul-Des 25'!$AB:$AB,'List Petty Cash Jul-Des 25'!$I:$I,Sheet1!H$1,'List Petty Cash Jul-Des 25'!$V:$V,Sheet1!$A60,'List Petty Cash Jul-Des 25'!$X:$X,Sheet1!$A57)</f>
        <v>310000</v>
      </c>
      <c r="I60" s="9">
        <f t="shared" si="13"/>
        <v>2009000</v>
      </c>
    </row>
    <row r="61" spans="1:20" x14ac:dyDescent="0.25">
      <c r="A61">
        <v>70106100</v>
      </c>
      <c r="B61" t="str">
        <f t="shared" si="12"/>
        <v>Biaya Transportasi Lokal</v>
      </c>
      <c r="C61" s="8">
        <f>+SUMIFS('List Petty Cash Jul-Des 25'!$AB:$AB,'List Petty Cash Jul-Des 25'!$I:$I,Sheet1!C$1,'List Petty Cash Jul-Des 25'!$V:$V,Sheet1!$A61,'List Petty Cash Jul-Des 25'!$X:$X,Sheet1!$A57)</f>
        <v>394000</v>
      </c>
      <c r="D61" s="8">
        <f>+SUMIFS('List Petty Cash Jul-Des 25'!$AB:$AB,'List Petty Cash Jul-Des 25'!$I:$I,Sheet1!D$1,'List Petty Cash Jul-Des 25'!$V:$V,Sheet1!$A61,'List Petty Cash Jul-Des 25'!$X:$X,Sheet1!$A57)</f>
        <v>382000</v>
      </c>
      <c r="E61" s="8">
        <f>+SUMIFS('List Petty Cash Jul-Des 25'!$AB:$AB,'List Petty Cash Jul-Des 25'!$I:$I,Sheet1!E$1,'List Petty Cash Jul-Des 25'!$V:$V,Sheet1!$A61,'List Petty Cash Jul-Des 25'!$X:$X,Sheet1!$A57)</f>
        <v>445000</v>
      </c>
      <c r="F61" s="8">
        <f>+SUMIFS('List Petty Cash Jul-Des 25'!$AB:$AB,'List Petty Cash Jul-Des 25'!$I:$I,Sheet1!F$1,'List Petty Cash Jul-Des 25'!$V:$V,Sheet1!$A61,'List Petty Cash Jul-Des 25'!$X:$X,Sheet1!$A57)</f>
        <v>422000</v>
      </c>
      <c r="G61" s="8">
        <f>+SUMIFS('List Petty Cash Jul-Des 25'!$AB:$AB,'List Petty Cash Jul-Des 25'!$I:$I,Sheet1!G$1,'List Petty Cash Jul-Des 25'!$V:$V,Sheet1!$A61,'List Petty Cash Jul-Des 25'!$X:$X,Sheet1!$A57)</f>
        <v>432000</v>
      </c>
      <c r="H61" s="8">
        <f>+SUMIFS('List Petty Cash Jul-Des 25'!$AB:$AB,'List Petty Cash Jul-Des 25'!$I:$I,Sheet1!H$1,'List Petty Cash Jul-Des 25'!$V:$V,Sheet1!$A61,'List Petty Cash Jul-Des 25'!$X:$X,Sheet1!$A57)</f>
        <v>437000</v>
      </c>
      <c r="I61" s="9">
        <f t="shared" si="13"/>
        <v>2512000</v>
      </c>
    </row>
    <row r="62" spans="1:20" x14ac:dyDescent="0.25">
      <c r="A62">
        <v>70108110</v>
      </c>
      <c r="B62" t="str">
        <f t="shared" si="12"/>
        <v>Biaya  Fotocopy</v>
      </c>
      <c r="C62" s="8">
        <f>+SUMIFS('List Petty Cash Jul-Des 25'!$AB:$AB,'List Petty Cash Jul-Des 25'!$I:$I,Sheet1!C$1,'List Petty Cash Jul-Des 25'!$V:$V,Sheet1!$A62,'List Petty Cash Jul-Des 25'!$X:$X,Sheet1!$A57)</f>
        <v>22000</v>
      </c>
      <c r="D62" s="8">
        <f>+SUMIFS('List Petty Cash Jul-Des 25'!$AB:$AB,'List Petty Cash Jul-Des 25'!$I:$I,Sheet1!D$1,'List Petty Cash Jul-Des 25'!$V:$V,Sheet1!$A62,'List Petty Cash Jul-Des 25'!$X:$X,Sheet1!$A57)</f>
        <v>23000</v>
      </c>
      <c r="E62" s="8">
        <f>+SUMIFS('List Petty Cash Jul-Des 25'!$AB:$AB,'List Petty Cash Jul-Des 25'!$I:$I,Sheet1!E$1,'List Petty Cash Jul-Des 25'!$V:$V,Sheet1!$A62,'List Petty Cash Jul-Des 25'!$X:$X,Sheet1!$A57)</f>
        <v>0</v>
      </c>
      <c r="F62" s="8">
        <f>+SUMIFS('List Petty Cash Jul-Des 25'!$AB:$AB,'List Petty Cash Jul-Des 25'!$I:$I,Sheet1!F$1,'List Petty Cash Jul-Des 25'!$V:$V,Sheet1!$A62,'List Petty Cash Jul-Des 25'!$X:$X,Sheet1!$A57)</f>
        <v>15000</v>
      </c>
      <c r="G62" s="8">
        <f>+SUMIFS('List Petty Cash Jul-Des 25'!$AB:$AB,'List Petty Cash Jul-Des 25'!$I:$I,Sheet1!G$1,'List Petty Cash Jul-Des 25'!$V:$V,Sheet1!$A62,'List Petty Cash Jul-Des 25'!$X:$X,Sheet1!$A57)</f>
        <v>16000</v>
      </c>
      <c r="H62" s="8">
        <f>+SUMIFS('List Petty Cash Jul-Des 25'!$AB:$AB,'List Petty Cash Jul-Des 25'!$I:$I,Sheet1!H$1,'List Petty Cash Jul-Des 25'!$V:$V,Sheet1!$A62,'List Petty Cash Jul-Des 25'!$X:$X,Sheet1!$A57)</f>
        <v>28000</v>
      </c>
      <c r="I62" s="9">
        <f t="shared" si="13"/>
        <v>104000</v>
      </c>
    </row>
    <row r="63" spans="1:20" x14ac:dyDescent="0.25">
      <c r="A63">
        <v>70119300</v>
      </c>
      <c r="B63" t="str">
        <f t="shared" si="12"/>
        <v>Biaya Umum dan Administrasi</v>
      </c>
      <c r="C63" s="8">
        <f>+SUMIFS('List Petty Cash Jul-Des 25'!$AB:$AB,'List Petty Cash Jul-Des 25'!$I:$I,Sheet1!C$1,'List Petty Cash Jul-Des 25'!$V:$V,Sheet1!$A63,'List Petty Cash Jul-Des 25'!$X:$X,Sheet1!$A57)</f>
        <v>1000000</v>
      </c>
      <c r="D63" s="8">
        <f>+SUMIFS('List Petty Cash Jul-Des 25'!$AB:$AB,'List Petty Cash Jul-Des 25'!$I:$I,Sheet1!D$1,'List Petty Cash Jul-Des 25'!$V:$V,Sheet1!$A63,'List Petty Cash Jul-Des 25'!$X:$X,Sheet1!$A57)</f>
        <v>50000</v>
      </c>
      <c r="E63" s="8">
        <f>+SUMIFS('List Petty Cash Jul-Des 25'!$AB:$AB,'List Petty Cash Jul-Des 25'!$I:$I,Sheet1!E$1,'List Petty Cash Jul-Des 25'!$V:$V,Sheet1!$A63,'List Petty Cash Jul-Des 25'!$X:$X,Sheet1!$A57)</f>
        <v>0</v>
      </c>
      <c r="F63" s="8">
        <f>+SUMIFS('List Petty Cash Jul-Des 25'!$AB:$AB,'List Petty Cash Jul-Des 25'!$I:$I,Sheet1!F$1,'List Petty Cash Jul-Des 25'!$V:$V,Sheet1!$A63,'List Petty Cash Jul-Des 25'!$X:$X,Sheet1!$A57)</f>
        <v>1150000</v>
      </c>
      <c r="G63" s="8">
        <f>+SUMIFS('List Petty Cash Jul-Des 25'!$AB:$AB,'List Petty Cash Jul-Des 25'!$I:$I,Sheet1!G$1,'List Petty Cash Jul-Des 25'!$V:$V,Sheet1!$A63,'List Petty Cash Jul-Des 25'!$X:$X,Sheet1!$A57)</f>
        <v>1050000</v>
      </c>
      <c r="H63" s="8">
        <f>+SUMIFS('List Petty Cash Jul-Des 25'!$AB:$AB,'List Petty Cash Jul-Des 25'!$I:$I,Sheet1!H$1,'List Petty Cash Jul-Des 25'!$V:$V,Sheet1!$A63,'List Petty Cash Jul-Des 25'!$X:$X,Sheet1!$A57)</f>
        <v>1026000</v>
      </c>
      <c r="I63" s="9">
        <f t="shared" si="13"/>
        <v>4276000</v>
      </c>
    </row>
    <row r="64" spans="1:20" x14ac:dyDescent="0.25">
      <c r="A64" t="s">
        <v>2014</v>
      </c>
    </row>
    <row r="65" spans="1:9" x14ac:dyDescent="0.25">
      <c r="A65">
        <v>70101114</v>
      </c>
      <c r="B65" t="str">
        <f t="shared" ref="B65:B68" si="14">+VLOOKUP(A65,$A$2:$B$27,2,0)</f>
        <v>By Perbaikan &amp; Perawatan Perabot Material Pihak3</v>
      </c>
      <c r="C65" s="8">
        <f>+SUMIFS('List Petty Cash Jul-Des 25'!$AB:$AB,'List Petty Cash Jul-Des 25'!$I:$I,Sheet1!C$1,'List Petty Cash Jul-Des 25'!$V:$V,Sheet1!$A65,'List Petty Cash Jul-Des 25'!$X:$X,Sheet1!$A64)</f>
        <v>0</v>
      </c>
      <c r="D65" s="8">
        <f>+SUMIFS('List Petty Cash Jul-Des 25'!$AB:$AB,'List Petty Cash Jul-Des 25'!$I:$I,Sheet1!D$1,'List Petty Cash Jul-Des 25'!$V:$V,Sheet1!$A65,'List Petty Cash Jul-Des 25'!$X:$X,Sheet1!$A64)</f>
        <v>0</v>
      </c>
      <c r="E65" s="8">
        <f>+SUMIFS('List Petty Cash Jul-Des 25'!$AB:$AB,'List Petty Cash Jul-Des 25'!$I:$I,Sheet1!E$1,'List Petty Cash Jul-Des 25'!$V:$V,Sheet1!$A65,'List Petty Cash Jul-Des 25'!$X:$X,Sheet1!$A64)</f>
        <v>0</v>
      </c>
      <c r="F65" s="8">
        <f>+SUMIFS('List Petty Cash Jul-Des 25'!$AB:$AB,'List Petty Cash Jul-Des 25'!$I:$I,Sheet1!F$1,'List Petty Cash Jul-Des 25'!$V:$V,Sheet1!$A65,'List Petty Cash Jul-Des 25'!$X:$X,Sheet1!$A64)</f>
        <v>331000</v>
      </c>
      <c r="G65" s="8">
        <f>+SUMIFS('List Petty Cash Jul-Des 25'!$AB:$AB,'List Petty Cash Jul-Des 25'!$I:$I,Sheet1!G$1,'List Petty Cash Jul-Des 25'!$V:$V,Sheet1!$A65,'List Petty Cash Jul-Des 25'!$X:$X,Sheet1!$A64)</f>
        <v>0</v>
      </c>
      <c r="H65" s="8">
        <f>+SUMIFS('List Petty Cash Jul-Des 25'!$AB:$AB,'List Petty Cash Jul-Des 25'!$I:$I,Sheet1!H$1,'List Petty Cash Jul-Des 25'!$V:$V,Sheet1!$A65,'List Petty Cash Jul-Des 25'!$X:$X,Sheet1!$A64)</f>
        <v>0</v>
      </c>
      <c r="I65" s="9">
        <f t="shared" ref="I65:I68" si="15">+SUM(C65:H65)</f>
        <v>331000</v>
      </c>
    </row>
    <row r="66" spans="1:9" x14ac:dyDescent="0.25">
      <c r="A66">
        <v>70101202</v>
      </c>
      <c r="B66" t="str">
        <f t="shared" si="14"/>
        <v>By Pemeliharaan Kend,ABerat,Mesin-Material Pihak3</v>
      </c>
      <c r="C66" s="8">
        <f>+SUMIFS('List Petty Cash Jul-Des 25'!$AB:$AB,'List Petty Cash Jul-Des 25'!$I:$I,Sheet1!C$1,'List Petty Cash Jul-Des 25'!$V:$V,Sheet1!$A66,'List Petty Cash Jul-Des 25'!$X:$X,Sheet1!$A64)</f>
        <v>0</v>
      </c>
      <c r="D66" s="8">
        <f>+SUMIFS('List Petty Cash Jul-Des 25'!$AB:$AB,'List Petty Cash Jul-Des 25'!$I:$I,Sheet1!D$1,'List Petty Cash Jul-Des 25'!$V:$V,Sheet1!$A66,'List Petty Cash Jul-Des 25'!$X:$X,Sheet1!$A64)</f>
        <v>0</v>
      </c>
      <c r="E66" s="8">
        <f>+SUMIFS('List Petty Cash Jul-Des 25'!$AB:$AB,'List Petty Cash Jul-Des 25'!$I:$I,Sheet1!E$1,'List Petty Cash Jul-Des 25'!$V:$V,Sheet1!$A66,'List Petty Cash Jul-Des 25'!$X:$X,Sheet1!$A64)</f>
        <v>0</v>
      </c>
      <c r="F66" s="8">
        <f>+SUMIFS('List Petty Cash Jul-Des 25'!$AB:$AB,'List Petty Cash Jul-Des 25'!$I:$I,Sheet1!F$1,'List Petty Cash Jul-Des 25'!$V:$V,Sheet1!$A66,'List Petty Cash Jul-Des 25'!$X:$X,Sheet1!$A64)</f>
        <v>0</v>
      </c>
      <c r="G66" s="8">
        <f>+SUMIFS('List Petty Cash Jul-Des 25'!$AB:$AB,'List Petty Cash Jul-Des 25'!$I:$I,Sheet1!G$1,'List Petty Cash Jul-Des 25'!$V:$V,Sheet1!$A66,'List Petty Cash Jul-Des 25'!$X:$X,Sheet1!$A64)</f>
        <v>200000</v>
      </c>
      <c r="H66" s="8">
        <f>+SUMIFS('List Petty Cash Jul-Des 25'!$AB:$AB,'List Petty Cash Jul-Des 25'!$I:$I,Sheet1!H$1,'List Petty Cash Jul-Des 25'!$V:$V,Sheet1!$A66,'List Petty Cash Jul-Des 25'!$X:$X,Sheet1!$A64)</f>
        <v>0</v>
      </c>
      <c r="I66" s="9">
        <f t="shared" si="15"/>
        <v>200000</v>
      </c>
    </row>
    <row r="67" spans="1:9" x14ac:dyDescent="0.25">
      <c r="A67">
        <v>70106100</v>
      </c>
      <c r="B67" t="str">
        <f t="shared" si="14"/>
        <v>Biaya Transportasi Lokal</v>
      </c>
      <c r="C67" s="8">
        <f>+SUMIFS('List Petty Cash Jul-Des 25'!$AB:$AB,'List Petty Cash Jul-Des 25'!$I:$I,Sheet1!C$1,'List Petty Cash Jul-Des 25'!$V:$V,Sheet1!$A67,'List Petty Cash Jul-Des 25'!$X:$X,Sheet1!$A64)</f>
        <v>0</v>
      </c>
      <c r="D67" s="8">
        <f>+SUMIFS('List Petty Cash Jul-Des 25'!$AB:$AB,'List Petty Cash Jul-Des 25'!$I:$I,Sheet1!D$1,'List Petty Cash Jul-Des 25'!$V:$V,Sheet1!$A67,'List Petty Cash Jul-Des 25'!$X:$X,Sheet1!$A64)</f>
        <v>0</v>
      </c>
      <c r="E67" s="8">
        <f>+SUMIFS('List Petty Cash Jul-Des 25'!$AB:$AB,'List Petty Cash Jul-Des 25'!$I:$I,Sheet1!E$1,'List Petty Cash Jul-Des 25'!$V:$V,Sheet1!$A67,'List Petty Cash Jul-Des 25'!$X:$X,Sheet1!$A64)</f>
        <v>0</v>
      </c>
      <c r="F67" s="8">
        <f>+SUMIFS('List Petty Cash Jul-Des 25'!$AB:$AB,'List Petty Cash Jul-Des 25'!$I:$I,Sheet1!F$1,'List Petty Cash Jul-Des 25'!$V:$V,Sheet1!$A67,'List Petty Cash Jul-Des 25'!$X:$X,Sheet1!$A64)</f>
        <v>931500</v>
      </c>
      <c r="G67" s="8">
        <f>+SUMIFS('List Petty Cash Jul-Des 25'!$AB:$AB,'List Petty Cash Jul-Des 25'!$I:$I,Sheet1!G$1,'List Petty Cash Jul-Des 25'!$V:$V,Sheet1!$A67,'List Petty Cash Jul-Des 25'!$X:$X,Sheet1!$A64)</f>
        <v>2121000</v>
      </c>
      <c r="H67" s="8">
        <f>+SUMIFS('List Petty Cash Jul-Des 25'!$AB:$AB,'List Petty Cash Jul-Des 25'!$I:$I,Sheet1!H$1,'List Petty Cash Jul-Des 25'!$V:$V,Sheet1!$A67,'List Petty Cash Jul-Des 25'!$X:$X,Sheet1!$A64)</f>
        <v>0</v>
      </c>
      <c r="I67" s="9">
        <f t="shared" si="15"/>
        <v>3052500</v>
      </c>
    </row>
    <row r="68" spans="1:9" x14ac:dyDescent="0.25">
      <c r="A68">
        <v>70107600</v>
      </c>
      <c r="B68" t="str">
        <f t="shared" si="14"/>
        <v>Biaya Konsumsi Kantor</v>
      </c>
      <c r="C68" s="8">
        <f>+SUMIFS('List Petty Cash Jul-Des 25'!$AB:$AB,'List Petty Cash Jul-Des 25'!$I:$I,Sheet1!C$1,'List Petty Cash Jul-Des 25'!$V:$V,Sheet1!$A68,'List Petty Cash Jul-Des 25'!$X:$X,Sheet1!$A64)</f>
        <v>0</v>
      </c>
      <c r="D68" s="8">
        <f>+SUMIFS('List Petty Cash Jul-Des 25'!$AB:$AB,'List Petty Cash Jul-Des 25'!$I:$I,Sheet1!D$1,'List Petty Cash Jul-Des 25'!$V:$V,Sheet1!$A68,'List Petty Cash Jul-Des 25'!$X:$X,Sheet1!$A64)</f>
        <v>0</v>
      </c>
      <c r="E68" s="8">
        <f>+SUMIFS('List Petty Cash Jul-Des 25'!$AB:$AB,'List Petty Cash Jul-Des 25'!$I:$I,Sheet1!E$1,'List Petty Cash Jul-Des 25'!$V:$V,Sheet1!$A68,'List Petty Cash Jul-Des 25'!$X:$X,Sheet1!$A64)</f>
        <v>0</v>
      </c>
      <c r="F68" s="8">
        <f>+SUMIFS('List Petty Cash Jul-Des 25'!$AB:$AB,'List Petty Cash Jul-Des 25'!$I:$I,Sheet1!F$1,'List Petty Cash Jul-Des 25'!$V:$V,Sheet1!$A68,'List Petty Cash Jul-Des 25'!$X:$X,Sheet1!$A64)</f>
        <v>1062500</v>
      </c>
      <c r="G68" s="8">
        <f>+SUMIFS('List Petty Cash Jul-Des 25'!$AB:$AB,'List Petty Cash Jul-Des 25'!$I:$I,Sheet1!G$1,'List Petty Cash Jul-Des 25'!$V:$V,Sheet1!$A68,'List Petty Cash Jul-Des 25'!$X:$X,Sheet1!$A64)</f>
        <v>500000</v>
      </c>
      <c r="H68" s="8">
        <f>+SUMIFS('List Petty Cash Jul-Des 25'!$AB:$AB,'List Petty Cash Jul-Des 25'!$I:$I,Sheet1!H$1,'List Petty Cash Jul-Des 25'!$V:$V,Sheet1!$A68,'List Petty Cash Jul-Des 25'!$X:$X,Sheet1!$A64)</f>
        <v>0</v>
      </c>
      <c r="I68" s="9">
        <f t="shared" si="15"/>
        <v>1562500</v>
      </c>
    </row>
    <row r="69" spans="1:9" x14ac:dyDescent="0.25">
      <c r="A69" t="s">
        <v>1961</v>
      </c>
    </row>
    <row r="70" spans="1:9" x14ac:dyDescent="0.25">
      <c r="A70">
        <v>70101114</v>
      </c>
      <c r="B70" t="str">
        <f t="shared" ref="B70:B73" si="16">+VLOOKUP(A70,$A$2:$B$27,2,0)</f>
        <v>By Perbaikan &amp; Perawatan Perabot Material Pihak3</v>
      </c>
      <c r="C70" s="8">
        <f>+SUMIFS('List Petty Cash Jul-Des 25'!$AB:$AB,'List Petty Cash Jul-Des 25'!$I:$I,Sheet1!C$1,'List Petty Cash Jul-Des 25'!$V:$V,Sheet1!$A70,'List Petty Cash Jul-Des 25'!$X:$X,Sheet1!$A69)</f>
        <v>0</v>
      </c>
      <c r="D70" s="8">
        <f>+SUMIFS('List Petty Cash Jul-Des 25'!$AB:$AB,'List Petty Cash Jul-Des 25'!$I:$I,Sheet1!D$1,'List Petty Cash Jul-Des 25'!$V:$V,Sheet1!$A70,'List Petty Cash Jul-Des 25'!$X:$X,Sheet1!$A69)</f>
        <v>0</v>
      </c>
      <c r="E70" s="8">
        <f>+SUMIFS('List Petty Cash Jul-Des 25'!$AB:$AB,'List Petty Cash Jul-Des 25'!$I:$I,Sheet1!E$1,'List Petty Cash Jul-Des 25'!$V:$V,Sheet1!$A70,'List Petty Cash Jul-Des 25'!$X:$X,Sheet1!$A69)</f>
        <v>0</v>
      </c>
      <c r="F70" s="8">
        <f>+SUMIFS('List Petty Cash Jul-Des 25'!$AB:$AB,'List Petty Cash Jul-Des 25'!$I:$I,Sheet1!F$1,'List Petty Cash Jul-Des 25'!$V:$V,Sheet1!$A70,'List Petty Cash Jul-Des 25'!$X:$X,Sheet1!$A69)</f>
        <v>0</v>
      </c>
      <c r="G70" s="8">
        <f>+SUMIFS('List Petty Cash Jul-Des 25'!$AB:$AB,'List Petty Cash Jul-Des 25'!$I:$I,Sheet1!G$1,'List Petty Cash Jul-Des 25'!$V:$V,Sheet1!$A70,'List Petty Cash Jul-Des 25'!$X:$X,Sheet1!$A69)</f>
        <v>50000</v>
      </c>
      <c r="H70" s="8">
        <f>+SUMIFS('List Petty Cash Jul-Des 25'!$AB:$AB,'List Petty Cash Jul-Des 25'!$I:$I,Sheet1!H$1,'List Petty Cash Jul-Des 25'!$V:$V,Sheet1!$A70,'List Petty Cash Jul-Des 25'!$X:$X,Sheet1!$A69)</f>
        <v>0</v>
      </c>
      <c r="I70" s="9">
        <f t="shared" ref="I70:I73" si="17">+SUM(C70:H70)</f>
        <v>50000</v>
      </c>
    </row>
    <row r="71" spans="1:9" x14ac:dyDescent="0.25">
      <c r="A71">
        <v>70102300</v>
      </c>
      <c r="B71" t="str">
        <f t="shared" si="16"/>
        <v>Biaya Poliklinik</v>
      </c>
      <c r="C71" s="8">
        <f>+SUMIFS('List Petty Cash Jul-Des 25'!$AB:$AB,'List Petty Cash Jul-Des 25'!$I:$I,Sheet1!C$1,'List Petty Cash Jul-Des 25'!$V:$V,Sheet1!$A71,'List Petty Cash Jul-Des 25'!$X:$X,Sheet1!$A69)</f>
        <v>1116900</v>
      </c>
      <c r="D71" s="8">
        <f>+SUMIFS('List Petty Cash Jul-Des 25'!$AB:$AB,'List Petty Cash Jul-Des 25'!$I:$I,Sheet1!D$1,'List Petty Cash Jul-Des 25'!$V:$V,Sheet1!$A71,'List Petty Cash Jul-Des 25'!$X:$X,Sheet1!$A69)</f>
        <v>0</v>
      </c>
      <c r="E71" s="8">
        <f>+SUMIFS('List Petty Cash Jul-Des 25'!$AB:$AB,'List Petty Cash Jul-Des 25'!$I:$I,Sheet1!E$1,'List Petty Cash Jul-Des 25'!$V:$V,Sheet1!$A71,'List Petty Cash Jul-Des 25'!$X:$X,Sheet1!$A69)</f>
        <v>0</v>
      </c>
      <c r="F71" s="8">
        <f>+SUMIFS('List Petty Cash Jul-Des 25'!$AB:$AB,'List Petty Cash Jul-Des 25'!$I:$I,Sheet1!F$1,'List Petty Cash Jul-Des 25'!$V:$V,Sheet1!$A71,'List Petty Cash Jul-Des 25'!$X:$X,Sheet1!$A69)</f>
        <v>0</v>
      </c>
      <c r="G71" s="8">
        <f>+SUMIFS('List Petty Cash Jul-Des 25'!$AB:$AB,'List Petty Cash Jul-Des 25'!$I:$I,Sheet1!G$1,'List Petty Cash Jul-Des 25'!$V:$V,Sheet1!$A71,'List Petty Cash Jul-Des 25'!$X:$X,Sheet1!$A69)</f>
        <v>0</v>
      </c>
      <c r="H71" s="8">
        <f>+SUMIFS('List Petty Cash Jul-Des 25'!$AB:$AB,'List Petty Cash Jul-Des 25'!$I:$I,Sheet1!H$1,'List Petty Cash Jul-Des 25'!$V:$V,Sheet1!$A71,'List Petty Cash Jul-Des 25'!$X:$X,Sheet1!$A69)</f>
        <v>0</v>
      </c>
      <c r="I71" s="9">
        <f t="shared" si="17"/>
        <v>1116900</v>
      </c>
    </row>
    <row r="72" spans="1:9" x14ac:dyDescent="0.25">
      <c r="A72">
        <v>70107600</v>
      </c>
      <c r="B72" t="str">
        <f t="shared" si="16"/>
        <v>Biaya Konsumsi Kantor</v>
      </c>
      <c r="C72" s="8">
        <f>+SUMIFS('List Petty Cash Jul-Des 25'!$AB:$AB,'List Petty Cash Jul-Des 25'!$I:$I,Sheet1!C$1,'List Petty Cash Jul-Des 25'!$V:$V,Sheet1!$A72,'List Petty Cash Jul-Des 25'!$X:$X,Sheet1!$A69)</f>
        <v>156280</v>
      </c>
      <c r="D72" s="8">
        <f>+SUMIFS('List Petty Cash Jul-Des 25'!$AB:$AB,'List Petty Cash Jul-Des 25'!$I:$I,Sheet1!D$1,'List Petty Cash Jul-Des 25'!$V:$V,Sheet1!$A72,'List Petty Cash Jul-Des 25'!$X:$X,Sheet1!$A69)</f>
        <v>766500</v>
      </c>
      <c r="E72" s="8">
        <f>+SUMIFS('List Petty Cash Jul-Des 25'!$AB:$AB,'List Petty Cash Jul-Des 25'!$I:$I,Sheet1!E$1,'List Petty Cash Jul-Des 25'!$V:$V,Sheet1!$A72,'List Petty Cash Jul-Des 25'!$X:$X,Sheet1!$A69)</f>
        <v>100000</v>
      </c>
      <c r="F72" s="8">
        <f>+SUMIFS('List Petty Cash Jul-Des 25'!$AB:$AB,'List Petty Cash Jul-Des 25'!$I:$I,Sheet1!F$1,'List Petty Cash Jul-Des 25'!$V:$V,Sheet1!$A72,'List Petty Cash Jul-Des 25'!$X:$X,Sheet1!$A69)</f>
        <v>999700</v>
      </c>
      <c r="G72" s="8">
        <f>+SUMIFS('List Petty Cash Jul-Des 25'!$AB:$AB,'List Petty Cash Jul-Des 25'!$I:$I,Sheet1!G$1,'List Petty Cash Jul-Des 25'!$V:$V,Sheet1!$A72,'List Petty Cash Jul-Des 25'!$X:$X,Sheet1!$A69)</f>
        <v>826800</v>
      </c>
      <c r="H72" s="8">
        <f>+SUMIFS('List Petty Cash Jul-Des 25'!$AB:$AB,'List Petty Cash Jul-Des 25'!$I:$I,Sheet1!H$1,'List Petty Cash Jul-Des 25'!$V:$V,Sheet1!$A72,'List Petty Cash Jul-Des 25'!$X:$X,Sheet1!$A69)</f>
        <v>996262</v>
      </c>
      <c r="I72" s="9">
        <f t="shared" si="17"/>
        <v>3845542</v>
      </c>
    </row>
    <row r="73" spans="1:9" x14ac:dyDescent="0.25">
      <c r="A73">
        <v>70108110</v>
      </c>
      <c r="B73" t="str">
        <f t="shared" si="16"/>
        <v>Biaya  Fotocopy</v>
      </c>
      <c r="C73" s="8">
        <f>+SUMIFS('List Petty Cash Jul-Des 25'!$AB:$AB,'List Petty Cash Jul-Des 25'!$I:$I,Sheet1!C$1,'List Petty Cash Jul-Des 25'!$V:$V,Sheet1!$A73,'List Petty Cash Jul-Des 25'!$X:$X,Sheet1!$A69)</f>
        <v>0</v>
      </c>
      <c r="D73" s="8">
        <f>+SUMIFS('List Petty Cash Jul-Des 25'!$AB:$AB,'List Petty Cash Jul-Des 25'!$I:$I,Sheet1!D$1,'List Petty Cash Jul-Des 25'!$V:$V,Sheet1!$A73,'List Petty Cash Jul-Des 25'!$X:$X,Sheet1!$A69)</f>
        <v>347000</v>
      </c>
      <c r="E73" s="8">
        <f>+SUMIFS('List Petty Cash Jul-Des 25'!$AB:$AB,'List Petty Cash Jul-Des 25'!$I:$I,Sheet1!E$1,'List Petty Cash Jul-Des 25'!$V:$V,Sheet1!$A73,'List Petty Cash Jul-Des 25'!$X:$X,Sheet1!$A69)</f>
        <v>0</v>
      </c>
      <c r="F73" s="8">
        <f>+SUMIFS('List Petty Cash Jul-Des 25'!$AB:$AB,'List Petty Cash Jul-Des 25'!$I:$I,Sheet1!F$1,'List Petty Cash Jul-Des 25'!$V:$V,Sheet1!$A73,'List Petty Cash Jul-Des 25'!$X:$X,Sheet1!$A69)</f>
        <v>0</v>
      </c>
      <c r="G73" s="8">
        <f>+SUMIFS('List Petty Cash Jul-Des 25'!$AB:$AB,'List Petty Cash Jul-Des 25'!$I:$I,Sheet1!G$1,'List Petty Cash Jul-Des 25'!$V:$V,Sheet1!$A73,'List Petty Cash Jul-Des 25'!$X:$X,Sheet1!$A69)</f>
        <v>0</v>
      </c>
      <c r="H73" s="8">
        <f>+SUMIFS('List Petty Cash Jul-Des 25'!$AB:$AB,'List Petty Cash Jul-Des 25'!$I:$I,Sheet1!H$1,'List Petty Cash Jul-Des 25'!$V:$V,Sheet1!$A73,'List Petty Cash Jul-Des 25'!$X:$X,Sheet1!$A69)</f>
        <v>0</v>
      </c>
      <c r="I73" s="9">
        <f t="shared" si="17"/>
        <v>347000</v>
      </c>
    </row>
    <row r="74" spans="1:9" x14ac:dyDescent="0.25">
      <c r="A74" t="s">
        <v>1979</v>
      </c>
    </row>
    <row r="75" spans="1:9" x14ac:dyDescent="0.25">
      <c r="A75">
        <v>70101202</v>
      </c>
      <c r="B75" t="str">
        <f t="shared" ref="B75:B77" si="18">+VLOOKUP(A75,$A$2:$B$27,2,0)</f>
        <v>By Pemeliharaan Kend,ABerat,Mesin-Material Pihak3</v>
      </c>
      <c r="C75" s="8">
        <f>+SUMIFS('List Petty Cash Jul-Des 25'!$AB:$AB,'List Petty Cash Jul-Des 25'!$I:$I,Sheet1!C$1,'List Petty Cash Jul-Des 25'!$V:$V,Sheet1!$A75,'List Petty Cash Jul-Des 25'!$X:$X,Sheet1!$A74)</f>
        <v>0</v>
      </c>
      <c r="D75" s="8">
        <f>+SUMIFS('List Petty Cash Jul-Des 25'!$AB:$AB,'List Petty Cash Jul-Des 25'!$I:$I,Sheet1!D$1,'List Petty Cash Jul-Des 25'!$V:$V,Sheet1!$A75,'List Petty Cash Jul-Des 25'!$X:$X,Sheet1!$A74)</f>
        <v>269000</v>
      </c>
      <c r="E75" s="8">
        <f>+SUMIFS('List Petty Cash Jul-Des 25'!$AB:$AB,'List Petty Cash Jul-Des 25'!$I:$I,Sheet1!E$1,'List Petty Cash Jul-Des 25'!$V:$V,Sheet1!$A75,'List Petty Cash Jul-Des 25'!$X:$X,Sheet1!$A74)</f>
        <v>0</v>
      </c>
      <c r="F75" s="8">
        <f>+SUMIFS('List Petty Cash Jul-Des 25'!$AB:$AB,'List Petty Cash Jul-Des 25'!$I:$I,Sheet1!F$1,'List Petty Cash Jul-Des 25'!$V:$V,Sheet1!$A75,'List Petty Cash Jul-Des 25'!$X:$X,Sheet1!$A74)</f>
        <v>361000</v>
      </c>
      <c r="G75" s="8">
        <f>+SUMIFS('List Petty Cash Jul-Des 25'!$AB:$AB,'List Petty Cash Jul-Des 25'!$I:$I,Sheet1!G$1,'List Petty Cash Jul-Des 25'!$V:$V,Sheet1!$A75,'List Petty Cash Jul-Des 25'!$X:$X,Sheet1!$A74)</f>
        <v>0</v>
      </c>
      <c r="H75" s="8">
        <f>+SUMIFS('List Petty Cash Jul-Des 25'!$AB:$AB,'List Petty Cash Jul-Des 25'!$I:$I,Sheet1!H$1,'List Petty Cash Jul-Des 25'!$V:$V,Sheet1!$A75,'List Petty Cash Jul-Des 25'!$X:$X,Sheet1!$A74)</f>
        <v>637500</v>
      </c>
      <c r="I75" s="9">
        <f t="shared" ref="I75:I77" si="19">+SUM(C75:H75)</f>
        <v>1267500</v>
      </c>
    </row>
    <row r="76" spans="1:9" x14ac:dyDescent="0.25">
      <c r="A76">
        <v>70107600</v>
      </c>
      <c r="B76" t="str">
        <f t="shared" si="18"/>
        <v>Biaya Konsumsi Kantor</v>
      </c>
      <c r="C76" s="8">
        <f>+SUMIFS('List Petty Cash Jul-Des 25'!$AB:$AB,'List Petty Cash Jul-Des 25'!$I:$I,Sheet1!C$1,'List Petty Cash Jul-Des 25'!$V:$V,Sheet1!$A76,'List Petty Cash Jul-Des 25'!$X:$X,Sheet1!$A74)</f>
        <v>0</v>
      </c>
      <c r="D76" s="8">
        <f>+SUMIFS('List Petty Cash Jul-Des 25'!$AB:$AB,'List Petty Cash Jul-Des 25'!$I:$I,Sheet1!D$1,'List Petty Cash Jul-Des 25'!$V:$V,Sheet1!$A76,'List Petty Cash Jul-Des 25'!$X:$X,Sheet1!$A74)</f>
        <v>75000</v>
      </c>
      <c r="E76" s="8">
        <f>+SUMIFS('List Petty Cash Jul-Des 25'!$AB:$AB,'List Petty Cash Jul-Des 25'!$I:$I,Sheet1!E$1,'List Petty Cash Jul-Des 25'!$V:$V,Sheet1!$A76,'List Petty Cash Jul-Des 25'!$X:$X,Sheet1!$A74)</f>
        <v>0</v>
      </c>
      <c r="F76" s="8">
        <f>+SUMIFS('List Petty Cash Jul-Des 25'!$AB:$AB,'List Petty Cash Jul-Des 25'!$I:$I,Sheet1!F$1,'List Petty Cash Jul-Des 25'!$V:$V,Sheet1!$A76,'List Petty Cash Jul-Des 25'!$X:$X,Sheet1!$A74)</f>
        <v>150000</v>
      </c>
      <c r="G76" s="8">
        <f>+SUMIFS('List Petty Cash Jul-Des 25'!$AB:$AB,'List Petty Cash Jul-Des 25'!$I:$I,Sheet1!G$1,'List Petty Cash Jul-Des 25'!$V:$V,Sheet1!$A76,'List Petty Cash Jul-Des 25'!$X:$X,Sheet1!$A74)</f>
        <v>0</v>
      </c>
      <c r="H76" s="8">
        <f>+SUMIFS('List Petty Cash Jul-Des 25'!$AB:$AB,'List Petty Cash Jul-Des 25'!$I:$I,Sheet1!H$1,'List Petty Cash Jul-Des 25'!$V:$V,Sheet1!$A76,'List Petty Cash Jul-Des 25'!$X:$X,Sheet1!$A74)</f>
        <v>76000</v>
      </c>
      <c r="I76" s="9">
        <f t="shared" si="19"/>
        <v>301000</v>
      </c>
    </row>
    <row r="77" spans="1:9" x14ac:dyDescent="0.25">
      <c r="A77">
        <v>70108100</v>
      </c>
      <c r="B77" t="str">
        <f t="shared" si="18"/>
        <v>Biaya Peralatan Dan Perabot Kantor</v>
      </c>
      <c r="C77" s="8">
        <f>+SUMIFS('List Petty Cash Jul-Des 25'!$AB:$AB,'List Petty Cash Jul-Des 25'!$I:$I,Sheet1!C$1,'List Petty Cash Jul-Des 25'!$V:$V,Sheet1!$A77,'List Petty Cash Jul-Des 25'!$X:$X,Sheet1!$A74)</f>
        <v>383350</v>
      </c>
      <c r="D77" s="8">
        <f>+SUMIFS('List Petty Cash Jul-Des 25'!$AB:$AB,'List Petty Cash Jul-Des 25'!$I:$I,Sheet1!D$1,'List Petty Cash Jul-Des 25'!$V:$V,Sheet1!$A77,'List Petty Cash Jul-Des 25'!$X:$X,Sheet1!$A74)</f>
        <v>0</v>
      </c>
      <c r="E77" s="8">
        <f>+SUMIFS('List Petty Cash Jul-Des 25'!$AB:$AB,'List Petty Cash Jul-Des 25'!$I:$I,Sheet1!E$1,'List Petty Cash Jul-Des 25'!$V:$V,Sheet1!$A77,'List Petty Cash Jul-Des 25'!$X:$X,Sheet1!$A74)</f>
        <v>0</v>
      </c>
      <c r="F77" s="8">
        <f>+SUMIFS('List Petty Cash Jul-Des 25'!$AB:$AB,'List Petty Cash Jul-Des 25'!$I:$I,Sheet1!F$1,'List Petty Cash Jul-Des 25'!$V:$V,Sheet1!$A77,'List Petty Cash Jul-Des 25'!$X:$X,Sheet1!$A74)</f>
        <v>0</v>
      </c>
      <c r="G77" s="8">
        <f>+SUMIFS('List Petty Cash Jul-Des 25'!$AB:$AB,'List Petty Cash Jul-Des 25'!$I:$I,Sheet1!G$1,'List Petty Cash Jul-Des 25'!$V:$V,Sheet1!$A77,'List Petty Cash Jul-Des 25'!$X:$X,Sheet1!$A74)</f>
        <v>543200</v>
      </c>
      <c r="H77" s="8">
        <f>+SUMIFS('List Petty Cash Jul-Des 25'!$AB:$AB,'List Petty Cash Jul-Des 25'!$I:$I,Sheet1!H$1,'List Petty Cash Jul-Des 25'!$V:$V,Sheet1!$A77,'List Petty Cash Jul-Des 25'!$X:$X,Sheet1!$A74)</f>
        <v>151500</v>
      </c>
      <c r="I77" s="9">
        <f t="shared" si="19"/>
        <v>1078050</v>
      </c>
    </row>
    <row r="78" spans="1:9" x14ac:dyDescent="0.25">
      <c r="A78" t="s">
        <v>1921</v>
      </c>
    </row>
    <row r="79" spans="1:9" x14ac:dyDescent="0.25">
      <c r="A79">
        <v>70107300</v>
      </c>
      <c r="B79" t="str">
        <f t="shared" ref="B79:B83" si="20">+VLOOKUP(A79,$A$2:$B$27,2,0)</f>
        <v>Biaya Olahraga Dan Permainan</v>
      </c>
      <c r="C79" s="8">
        <f>+SUMIFS('List Petty Cash Jul-Des 25'!$AB:$AB,'List Petty Cash Jul-Des 25'!$I:$I,Sheet1!C$1,'List Petty Cash Jul-Des 25'!$V:$V,Sheet1!$A79,'List Petty Cash Jul-Des 25'!$X:$X,Sheet1!$A78)</f>
        <v>2786599</v>
      </c>
      <c r="D79" s="8">
        <f>+SUMIFS('List Petty Cash Jul-Des 25'!$AB:$AB,'List Petty Cash Jul-Des 25'!$I:$I,Sheet1!D$1,'List Petty Cash Jul-Des 25'!$V:$V,Sheet1!$A79,'List Petty Cash Jul-Des 25'!$X:$X,Sheet1!$A78)</f>
        <v>1000000</v>
      </c>
      <c r="E79" s="8">
        <f>+SUMIFS('List Petty Cash Jul-Des 25'!$AB:$AB,'List Petty Cash Jul-Des 25'!$I:$I,Sheet1!E$1,'List Petty Cash Jul-Des 25'!$V:$V,Sheet1!$A79,'List Petty Cash Jul-Des 25'!$X:$X,Sheet1!$A78)</f>
        <v>1400000</v>
      </c>
      <c r="F79" s="8">
        <f>+SUMIFS('List Petty Cash Jul-Des 25'!$AB:$AB,'List Petty Cash Jul-Des 25'!$I:$I,Sheet1!F$1,'List Petty Cash Jul-Des 25'!$V:$V,Sheet1!$A79,'List Petty Cash Jul-Des 25'!$X:$X,Sheet1!$A78)</f>
        <v>2330000</v>
      </c>
      <c r="G79" s="8">
        <f>+SUMIFS('List Petty Cash Jul-Des 25'!$AB:$AB,'List Petty Cash Jul-Des 25'!$I:$I,Sheet1!G$1,'List Petty Cash Jul-Des 25'!$V:$V,Sheet1!$A79,'List Petty Cash Jul-Des 25'!$X:$X,Sheet1!$A78)</f>
        <v>2100000</v>
      </c>
      <c r="H79" s="8">
        <f>+SUMIFS('List Petty Cash Jul-Des 25'!$AB:$AB,'List Petty Cash Jul-Des 25'!$I:$I,Sheet1!H$1,'List Petty Cash Jul-Des 25'!$V:$V,Sheet1!$A79,'List Petty Cash Jul-Des 25'!$X:$X,Sheet1!$A78)</f>
        <v>2239480</v>
      </c>
      <c r="I79" s="9">
        <f t="shared" ref="I79:I83" si="21">+SUM(C79:H79)</f>
        <v>11856079</v>
      </c>
    </row>
    <row r="80" spans="1:9" x14ac:dyDescent="0.25">
      <c r="A80">
        <v>70107600</v>
      </c>
      <c r="B80" t="str">
        <f t="shared" si="20"/>
        <v>Biaya Konsumsi Kantor</v>
      </c>
      <c r="C80" s="8">
        <f>+SUMIFS('List Petty Cash Jul-Des 25'!$AB:$AB,'List Petty Cash Jul-Des 25'!$I:$I,Sheet1!C$1,'List Petty Cash Jul-Des 25'!$V:$V,Sheet1!$A80,'List Petty Cash Jul-Des 25'!$X:$X,Sheet1!$A78)</f>
        <v>1132000</v>
      </c>
      <c r="D80" s="8">
        <f>+SUMIFS('List Petty Cash Jul-Des 25'!$AB:$AB,'List Petty Cash Jul-Des 25'!$I:$I,Sheet1!D$1,'List Petty Cash Jul-Des 25'!$V:$V,Sheet1!$A80,'List Petty Cash Jul-Des 25'!$X:$X,Sheet1!$A78)</f>
        <v>95000</v>
      </c>
      <c r="E80" s="8">
        <f>+SUMIFS('List Petty Cash Jul-Des 25'!$AB:$AB,'List Petty Cash Jul-Des 25'!$I:$I,Sheet1!E$1,'List Petty Cash Jul-Des 25'!$V:$V,Sheet1!$A80,'List Petty Cash Jul-Des 25'!$X:$X,Sheet1!$A78)</f>
        <v>0</v>
      </c>
      <c r="F80" s="8">
        <f>+SUMIFS('List Petty Cash Jul-Des 25'!$AB:$AB,'List Petty Cash Jul-Des 25'!$I:$I,Sheet1!F$1,'List Petty Cash Jul-Des 25'!$V:$V,Sheet1!$A80,'List Petty Cash Jul-Des 25'!$X:$X,Sheet1!$A78)</f>
        <v>1142235</v>
      </c>
      <c r="G80" s="8">
        <f>+SUMIFS('List Petty Cash Jul-Des 25'!$AB:$AB,'List Petty Cash Jul-Des 25'!$I:$I,Sheet1!G$1,'List Petty Cash Jul-Des 25'!$V:$V,Sheet1!$A80,'List Petty Cash Jul-Des 25'!$X:$X,Sheet1!$A78)</f>
        <v>237500</v>
      </c>
      <c r="H80" s="8">
        <f>+SUMIFS('List Petty Cash Jul-Des 25'!$AB:$AB,'List Petty Cash Jul-Des 25'!$I:$I,Sheet1!H$1,'List Petty Cash Jul-Des 25'!$V:$V,Sheet1!$A80,'List Petty Cash Jul-Des 25'!$X:$X,Sheet1!$A78)</f>
        <v>4215950</v>
      </c>
      <c r="I80" s="9">
        <f t="shared" si="21"/>
        <v>6822685</v>
      </c>
    </row>
    <row r="81" spans="1:11" x14ac:dyDescent="0.25">
      <c r="A81">
        <v>70110110</v>
      </c>
      <c r="B81" t="str">
        <f t="shared" si="20"/>
        <v>Biaya Organisasi Professional Nasional</v>
      </c>
      <c r="C81" s="8">
        <f>+SUMIFS('List Petty Cash Jul-Des 25'!$AB:$AB,'List Petty Cash Jul-Des 25'!$I:$I,Sheet1!C$1,'List Petty Cash Jul-Des 25'!$V:$V,Sheet1!$A81,'List Petty Cash Jul-Des 25'!$X:$X,Sheet1!$A78)</f>
        <v>700000</v>
      </c>
      <c r="D81" s="8">
        <f>+SUMIFS('List Petty Cash Jul-Des 25'!$AB:$AB,'List Petty Cash Jul-Des 25'!$I:$I,Sheet1!D$1,'List Petty Cash Jul-Des 25'!$V:$V,Sheet1!$A81,'List Petty Cash Jul-Des 25'!$X:$X,Sheet1!$A78)</f>
        <v>0</v>
      </c>
      <c r="E81" s="8">
        <f>+SUMIFS('List Petty Cash Jul-Des 25'!$AB:$AB,'List Petty Cash Jul-Des 25'!$I:$I,Sheet1!E$1,'List Petty Cash Jul-Des 25'!$V:$V,Sheet1!$A81,'List Petty Cash Jul-Des 25'!$X:$X,Sheet1!$A78)</f>
        <v>700000</v>
      </c>
      <c r="F81" s="8">
        <f>+SUMIFS('List Petty Cash Jul-Des 25'!$AB:$AB,'List Petty Cash Jul-Des 25'!$I:$I,Sheet1!F$1,'List Petty Cash Jul-Des 25'!$V:$V,Sheet1!$A81,'List Petty Cash Jul-Des 25'!$X:$X,Sheet1!$A78)</f>
        <v>0</v>
      </c>
      <c r="G81" s="8">
        <f>+SUMIFS('List Petty Cash Jul-Des 25'!$AB:$AB,'List Petty Cash Jul-Des 25'!$I:$I,Sheet1!G$1,'List Petty Cash Jul-Des 25'!$V:$V,Sheet1!$A81,'List Petty Cash Jul-Des 25'!$X:$X,Sheet1!$A78)</f>
        <v>700000</v>
      </c>
      <c r="H81" s="8">
        <f>+SUMIFS('List Petty Cash Jul-Des 25'!$AB:$AB,'List Petty Cash Jul-Des 25'!$I:$I,Sheet1!H$1,'List Petty Cash Jul-Des 25'!$V:$V,Sheet1!$A81,'List Petty Cash Jul-Des 25'!$X:$X,Sheet1!$A78)</f>
        <v>0</v>
      </c>
      <c r="I81" s="9">
        <f t="shared" si="21"/>
        <v>2100000</v>
      </c>
    </row>
    <row r="82" spans="1:11" x14ac:dyDescent="0.25">
      <c r="A82">
        <v>70110200</v>
      </c>
      <c r="B82" t="str">
        <f t="shared" si="20"/>
        <v>Biaya Pelatihan External Pihak ke-3</v>
      </c>
      <c r="C82" s="8">
        <f>+SUMIFS('List Petty Cash Jul-Des 25'!$AB:$AB,'List Petty Cash Jul-Des 25'!$I:$I,Sheet1!C$1,'List Petty Cash Jul-Des 25'!$V:$V,Sheet1!$A82,'List Petty Cash Jul-Des 25'!$X:$X,Sheet1!$A78)</f>
        <v>0</v>
      </c>
      <c r="D82" s="8">
        <f>+SUMIFS('List Petty Cash Jul-Des 25'!$AB:$AB,'List Petty Cash Jul-Des 25'!$I:$I,Sheet1!D$1,'List Petty Cash Jul-Des 25'!$V:$V,Sheet1!$A82,'List Petty Cash Jul-Des 25'!$X:$X,Sheet1!$A78)</f>
        <v>0</v>
      </c>
      <c r="E82" s="8">
        <f>+SUMIFS('List Petty Cash Jul-Des 25'!$AB:$AB,'List Petty Cash Jul-Des 25'!$I:$I,Sheet1!E$1,'List Petty Cash Jul-Des 25'!$V:$V,Sheet1!$A82,'List Petty Cash Jul-Des 25'!$X:$X,Sheet1!$A78)</f>
        <v>0</v>
      </c>
      <c r="F82" s="8">
        <f>+SUMIFS('List Petty Cash Jul-Des 25'!$AB:$AB,'List Petty Cash Jul-Des 25'!$I:$I,Sheet1!F$1,'List Petty Cash Jul-Des 25'!$V:$V,Sheet1!$A82,'List Petty Cash Jul-Des 25'!$X:$X,Sheet1!$A78)</f>
        <v>0</v>
      </c>
      <c r="G82" s="8">
        <f>+SUMIFS('List Petty Cash Jul-Des 25'!$AB:$AB,'List Petty Cash Jul-Des 25'!$I:$I,Sheet1!G$1,'List Petty Cash Jul-Des 25'!$V:$V,Sheet1!$A82,'List Petty Cash Jul-Des 25'!$X:$X,Sheet1!$A78)</f>
        <v>600000</v>
      </c>
      <c r="H82" s="8">
        <f>+SUMIFS('List Petty Cash Jul-Des 25'!$AB:$AB,'List Petty Cash Jul-Des 25'!$I:$I,Sheet1!H$1,'List Petty Cash Jul-Des 25'!$V:$V,Sheet1!$A82,'List Petty Cash Jul-Des 25'!$X:$X,Sheet1!$A78)</f>
        <v>0</v>
      </c>
      <c r="I82" s="9">
        <f t="shared" si="21"/>
        <v>600000</v>
      </c>
    </row>
    <row r="83" spans="1:11" x14ac:dyDescent="0.25">
      <c r="A83">
        <v>70119300</v>
      </c>
      <c r="B83" t="str">
        <f t="shared" si="20"/>
        <v>Biaya Umum dan Administrasi</v>
      </c>
      <c r="C83" s="8">
        <f>+SUMIFS('List Petty Cash Jul-Des 25'!$AB:$AB,'List Petty Cash Jul-Des 25'!$I:$I,Sheet1!C$1,'List Petty Cash Jul-Des 25'!$V:$V,Sheet1!$A83,'List Petty Cash Jul-Des 25'!$X:$X,Sheet1!$A78)</f>
        <v>0</v>
      </c>
      <c r="D83" s="8">
        <f>+SUMIFS('List Petty Cash Jul-Des 25'!$AB:$AB,'List Petty Cash Jul-Des 25'!$I:$I,Sheet1!D$1,'List Petty Cash Jul-Des 25'!$V:$V,Sheet1!$A83,'List Petty Cash Jul-Des 25'!$X:$X,Sheet1!$A78)</f>
        <v>0</v>
      </c>
      <c r="E83" s="8">
        <f>+SUMIFS('List Petty Cash Jul-Des 25'!$AB:$AB,'List Petty Cash Jul-Des 25'!$I:$I,Sheet1!E$1,'List Petty Cash Jul-Des 25'!$V:$V,Sheet1!$A83,'List Petty Cash Jul-Des 25'!$X:$X,Sheet1!$A78)</f>
        <v>0</v>
      </c>
      <c r="F83" s="8">
        <f>+SUMIFS('List Petty Cash Jul-Des 25'!$AB:$AB,'List Petty Cash Jul-Des 25'!$I:$I,Sheet1!F$1,'List Petty Cash Jul-Des 25'!$V:$V,Sheet1!$A83,'List Petty Cash Jul-Des 25'!$X:$X,Sheet1!$A78)</f>
        <v>0</v>
      </c>
      <c r="G83" s="8">
        <f>+SUMIFS('List Petty Cash Jul-Des 25'!$AB:$AB,'List Petty Cash Jul-Des 25'!$I:$I,Sheet1!G$1,'List Petty Cash Jul-Des 25'!$V:$V,Sheet1!$A83,'List Petty Cash Jul-Des 25'!$X:$X,Sheet1!$A78)</f>
        <v>1000000</v>
      </c>
      <c r="H83" s="8">
        <f>+SUMIFS('List Petty Cash Jul-Des 25'!$AB:$AB,'List Petty Cash Jul-Des 25'!$I:$I,Sheet1!H$1,'List Petty Cash Jul-Des 25'!$V:$V,Sheet1!$A83,'List Petty Cash Jul-Des 25'!$X:$X,Sheet1!$A78)</f>
        <v>0</v>
      </c>
      <c r="I83" s="9">
        <f t="shared" si="21"/>
        <v>1000000</v>
      </c>
    </row>
    <row r="84" spans="1:11" x14ac:dyDescent="0.25">
      <c r="A84" t="s">
        <v>1943</v>
      </c>
      <c r="C84" s="8"/>
      <c r="D84" s="8"/>
      <c r="E84" s="8"/>
      <c r="F84" s="8"/>
      <c r="G84" s="8"/>
      <c r="H84" s="8"/>
    </row>
    <row r="85" spans="1:11" x14ac:dyDescent="0.25">
      <c r="A85">
        <v>70101102</v>
      </c>
      <c r="B85" t="str">
        <f t="shared" ref="B85:B94" si="22">+VLOOKUP(A85,$A$2:$B$27,2,0)</f>
        <v>By Pemeliharaan BgnanPrasarana Material Pihak3</v>
      </c>
      <c r="C85" s="8">
        <f>+SUMIFS('List Petty Cash Jul-Des 25'!$AB:$AB,'List Petty Cash Jul-Des 25'!$I:$I,Sheet1!C$1,'List Petty Cash Jul-Des 25'!$V:$V,Sheet1!$A85,'List Petty Cash Jul-Des 25'!$X:$X,Sheet1!$A84)</f>
        <v>1675420</v>
      </c>
      <c r="D85" s="8">
        <f>+SUMIFS('List Petty Cash Jul-Des 25'!$AB:$AB,'List Petty Cash Jul-Des 25'!$I:$I,Sheet1!D$1,'List Petty Cash Jul-Des 25'!$V:$V,Sheet1!$A85,'List Petty Cash Jul-Des 25'!$X:$X,Sheet1!$A84)</f>
        <v>972000</v>
      </c>
      <c r="E85" s="8">
        <f>+SUMIFS('List Petty Cash Jul-Des 25'!$AB:$AB,'List Petty Cash Jul-Des 25'!$I:$I,Sheet1!E$1,'List Petty Cash Jul-Des 25'!$V:$V,Sheet1!$A85,'List Petty Cash Jul-Des 25'!$X:$X,Sheet1!$A84)</f>
        <v>0</v>
      </c>
      <c r="F85" s="8">
        <f>+SUMIFS('List Petty Cash Jul-Des 25'!$AB:$AB,'List Petty Cash Jul-Des 25'!$I:$I,Sheet1!F$1,'List Petty Cash Jul-Des 25'!$V:$V,Sheet1!$A85,'List Petty Cash Jul-Des 25'!$X:$X,Sheet1!$A84)</f>
        <v>1980000</v>
      </c>
      <c r="G85" s="8">
        <f>+SUMIFS('List Petty Cash Jul-Des 25'!$AB:$AB,'List Petty Cash Jul-Des 25'!$I:$I,Sheet1!G$1,'List Petty Cash Jul-Des 25'!$V:$V,Sheet1!$A85,'List Petty Cash Jul-Des 25'!$X:$X,Sheet1!$A84)</f>
        <v>1104800</v>
      </c>
      <c r="H85" s="8">
        <f>+SUMIFS('List Petty Cash Jul-Des 25'!$AB:$AB,'List Petty Cash Jul-Des 25'!$I:$I,Sheet1!H$1,'List Petty Cash Jul-Des 25'!$V:$V,Sheet1!$A85,'List Petty Cash Jul-Des 25'!$X:$X,Sheet1!$A84)</f>
        <v>961250</v>
      </c>
      <c r="I85" s="9">
        <f t="shared" ref="I85:I94" si="23">+SUM(C85:H85)</f>
        <v>6693470</v>
      </c>
    </row>
    <row r="86" spans="1:11" x14ac:dyDescent="0.25">
      <c r="A86">
        <v>70101114</v>
      </c>
      <c r="B86" t="str">
        <f t="shared" si="22"/>
        <v>By Perbaikan &amp; Perawatan Perabot Material Pihak3</v>
      </c>
      <c r="C86" s="8">
        <f>+SUMIFS('List Petty Cash Jul-Des 25'!$AB:$AB,'List Petty Cash Jul-Des 25'!$I:$I,Sheet1!C$1,'List Petty Cash Jul-Des 25'!$V:$V,Sheet1!$A86,'List Petty Cash Jul-Des 25'!$X:$X,Sheet1!$A84)</f>
        <v>2405138</v>
      </c>
      <c r="D86" s="8">
        <f>+SUMIFS('List Petty Cash Jul-Des 25'!$AB:$AB,'List Petty Cash Jul-Des 25'!$I:$I,Sheet1!D$1,'List Petty Cash Jul-Des 25'!$V:$V,Sheet1!$A86,'List Petty Cash Jul-Des 25'!$X:$X,Sheet1!$A84)</f>
        <v>2690102</v>
      </c>
      <c r="E86" s="8">
        <f>+SUMIFS('List Petty Cash Jul-Des 25'!$AB:$AB,'List Petty Cash Jul-Des 25'!$I:$I,Sheet1!E$1,'List Petty Cash Jul-Des 25'!$V:$V,Sheet1!$A86,'List Petty Cash Jul-Des 25'!$X:$X,Sheet1!$A84)</f>
        <v>2097757</v>
      </c>
      <c r="F86" s="8">
        <f>+SUMIFS('List Petty Cash Jul-Des 25'!$AB:$AB,'List Petty Cash Jul-Des 25'!$I:$I,Sheet1!F$1,'List Petty Cash Jul-Des 25'!$V:$V,Sheet1!$A86,'List Petty Cash Jul-Des 25'!$X:$X,Sheet1!$A84)</f>
        <v>2667735</v>
      </c>
      <c r="G86" s="8">
        <f>+SUMIFS('List Petty Cash Jul-Des 25'!$AB:$AB,'List Petty Cash Jul-Des 25'!$I:$I,Sheet1!G$1,'List Petty Cash Jul-Des 25'!$V:$V,Sheet1!$A86,'List Petty Cash Jul-Des 25'!$X:$X,Sheet1!$A84)</f>
        <v>959500</v>
      </c>
      <c r="H86" s="8">
        <f>+SUMIFS('List Petty Cash Jul-Des 25'!$AB:$AB,'List Petty Cash Jul-Des 25'!$I:$I,Sheet1!H$1,'List Petty Cash Jul-Des 25'!$V:$V,Sheet1!$A86,'List Petty Cash Jul-Des 25'!$X:$X,Sheet1!$A84)</f>
        <v>2064491</v>
      </c>
      <c r="I86" s="9">
        <f t="shared" si="23"/>
        <v>12884723</v>
      </c>
    </row>
    <row r="87" spans="1:11" x14ac:dyDescent="0.25">
      <c r="A87">
        <v>70101202</v>
      </c>
      <c r="B87" t="str">
        <f t="shared" si="22"/>
        <v>By Pemeliharaan Kend,ABerat,Mesin-Material Pihak3</v>
      </c>
      <c r="C87" s="8">
        <f>+SUMIFS('List Petty Cash Jul-Des 25'!$AB:$AB,'List Petty Cash Jul-Des 25'!$I:$I,Sheet1!C$1,'List Petty Cash Jul-Des 25'!$V:$V,Sheet1!$A87,'List Petty Cash Jul-Des 25'!$X:$X,Sheet1!$A84)</f>
        <v>275000</v>
      </c>
      <c r="D87" s="8">
        <f>+SUMIFS('List Petty Cash Jul-Des 25'!$AB:$AB,'List Petty Cash Jul-Des 25'!$I:$I,Sheet1!D$1,'List Petty Cash Jul-Des 25'!$V:$V,Sheet1!$A87,'List Petty Cash Jul-Des 25'!$X:$X,Sheet1!$A84)</f>
        <v>0</v>
      </c>
      <c r="E87" s="8">
        <f>+SUMIFS('List Petty Cash Jul-Des 25'!$AB:$AB,'List Petty Cash Jul-Des 25'!$I:$I,Sheet1!E$1,'List Petty Cash Jul-Des 25'!$V:$V,Sheet1!$A87,'List Petty Cash Jul-Des 25'!$X:$X,Sheet1!$A84)</f>
        <v>0</v>
      </c>
      <c r="F87" s="8">
        <f>+SUMIFS('List Petty Cash Jul-Des 25'!$AB:$AB,'List Petty Cash Jul-Des 25'!$I:$I,Sheet1!F$1,'List Petty Cash Jul-Des 25'!$V:$V,Sheet1!$A87,'List Petty Cash Jul-Des 25'!$X:$X,Sheet1!$A84)</f>
        <v>0</v>
      </c>
      <c r="G87" s="8">
        <f>+SUMIFS('List Petty Cash Jul-Des 25'!$AB:$AB,'List Petty Cash Jul-Des 25'!$I:$I,Sheet1!G$1,'List Petty Cash Jul-Des 25'!$V:$V,Sheet1!$A87,'List Petty Cash Jul-Des 25'!$X:$X,Sheet1!$A84)</f>
        <v>0</v>
      </c>
      <c r="H87" s="8">
        <f>+SUMIFS('List Petty Cash Jul-Des 25'!$AB:$AB,'List Petty Cash Jul-Des 25'!$I:$I,Sheet1!H$1,'List Petty Cash Jul-Des 25'!$V:$V,Sheet1!$A87,'List Petty Cash Jul-Des 25'!$X:$X,Sheet1!$A84)</f>
        <v>0</v>
      </c>
      <c r="I87" s="9">
        <f t="shared" si="23"/>
        <v>275000</v>
      </c>
    </row>
    <row r="88" spans="1:11" x14ac:dyDescent="0.25">
      <c r="A88">
        <v>70105210</v>
      </c>
      <c r="B88" t="str">
        <f t="shared" si="22"/>
        <v>Biaya Pajak Kendaraan Bermotor &amp; Alat Berat</v>
      </c>
      <c r="C88" s="8">
        <f>+SUMIFS('List Petty Cash Jul-Des 25'!$AB:$AB,'List Petty Cash Jul-Des 25'!$I:$I,Sheet1!C$1,'List Petty Cash Jul-Des 25'!$V:$V,Sheet1!$A88,'List Petty Cash Jul-Des 25'!$X:$X,Sheet1!$A84)</f>
        <v>0</v>
      </c>
      <c r="D88" s="8">
        <f>+SUMIFS('List Petty Cash Jul-Des 25'!$AB:$AB,'List Petty Cash Jul-Des 25'!$I:$I,Sheet1!D$1,'List Petty Cash Jul-Des 25'!$V:$V,Sheet1!$A88,'List Petty Cash Jul-Des 25'!$X:$X,Sheet1!$A84)</f>
        <v>0</v>
      </c>
      <c r="E88" s="8">
        <f>+SUMIFS('List Petty Cash Jul-Des 25'!$AB:$AB,'List Petty Cash Jul-Des 25'!$I:$I,Sheet1!E$1,'List Petty Cash Jul-Des 25'!$V:$V,Sheet1!$A88,'List Petty Cash Jul-Des 25'!$X:$X,Sheet1!$A84)</f>
        <v>0</v>
      </c>
      <c r="F88" s="8">
        <f>+SUMIFS('List Petty Cash Jul-Des 25'!$AB:$AB,'List Petty Cash Jul-Des 25'!$I:$I,Sheet1!F$1,'List Petty Cash Jul-Des 25'!$V:$V,Sheet1!$A88,'List Petty Cash Jul-Des 25'!$X:$X,Sheet1!$A84)</f>
        <v>0</v>
      </c>
      <c r="G88" s="8">
        <f>+SUMIFS('List Petty Cash Jul-Des 25'!$AB:$AB,'List Petty Cash Jul-Des 25'!$I:$I,Sheet1!G$1,'List Petty Cash Jul-Des 25'!$V:$V,Sheet1!$A88,'List Petty Cash Jul-Des 25'!$X:$X,Sheet1!$A84)</f>
        <v>420500</v>
      </c>
      <c r="H88" s="8">
        <f>+SUMIFS('List Petty Cash Jul-Des 25'!$AB:$AB,'List Petty Cash Jul-Des 25'!$I:$I,Sheet1!H$1,'List Petty Cash Jul-Des 25'!$V:$V,Sheet1!$A88,'List Petty Cash Jul-Des 25'!$X:$X,Sheet1!$A84)</f>
        <v>515500</v>
      </c>
      <c r="I88" s="9">
        <f t="shared" si="23"/>
        <v>936000</v>
      </c>
    </row>
    <row r="89" spans="1:11" x14ac:dyDescent="0.25">
      <c r="A89">
        <v>70105300</v>
      </c>
      <c r="B89" t="str">
        <f t="shared" si="22"/>
        <v>Biaya Perizinan Pemerintah</v>
      </c>
      <c r="C89" s="8">
        <f>+SUMIFS('List Petty Cash Jul-Des 25'!$AB:$AB,'List Petty Cash Jul-Des 25'!$I:$I,Sheet1!C$1,'List Petty Cash Jul-Des 25'!$V:$V,Sheet1!$A89,'List Petty Cash Jul-Des 25'!$X:$X,Sheet1!$A84)</f>
        <v>57800</v>
      </c>
      <c r="D89" s="8">
        <f>+SUMIFS('List Petty Cash Jul-Des 25'!$AB:$AB,'List Petty Cash Jul-Des 25'!$I:$I,Sheet1!D$1,'List Petty Cash Jul-Des 25'!$V:$V,Sheet1!$A89,'List Petty Cash Jul-Des 25'!$X:$X,Sheet1!$A84)</f>
        <v>57800</v>
      </c>
      <c r="E89" s="8">
        <f>+SUMIFS('List Petty Cash Jul-Des 25'!$AB:$AB,'List Petty Cash Jul-Des 25'!$I:$I,Sheet1!E$1,'List Petty Cash Jul-Des 25'!$V:$V,Sheet1!$A89,'List Petty Cash Jul-Des 25'!$X:$X,Sheet1!$A84)</f>
        <v>29900</v>
      </c>
      <c r="F89" s="8">
        <f>+SUMIFS('List Petty Cash Jul-Des 25'!$AB:$AB,'List Petty Cash Jul-Des 25'!$I:$I,Sheet1!F$1,'List Petty Cash Jul-Des 25'!$V:$V,Sheet1!$A89,'List Petty Cash Jul-Des 25'!$X:$X,Sheet1!$A84)</f>
        <v>57800</v>
      </c>
      <c r="G89" s="8">
        <f>+SUMIFS('List Petty Cash Jul-Des 25'!$AB:$AB,'List Petty Cash Jul-Des 25'!$I:$I,Sheet1!G$1,'List Petty Cash Jul-Des 25'!$V:$V,Sheet1!$A89,'List Petty Cash Jul-Des 25'!$X:$X,Sheet1!$A84)</f>
        <v>210500</v>
      </c>
      <c r="H89" s="8">
        <f>+SUMIFS('List Petty Cash Jul-Des 25'!$AB:$AB,'List Petty Cash Jul-Des 25'!$I:$I,Sheet1!H$1,'List Petty Cash Jul-Des 25'!$V:$V,Sheet1!$A89,'List Petty Cash Jul-Des 25'!$X:$X,Sheet1!$A84)</f>
        <v>57800</v>
      </c>
      <c r="I89" s="9">
        <f t="shared" si="23"/>
        <v>471600</v>
      </c>
    </row>
    <row r="90" spans="1:11" x14ac:dyDescent="0.25">
      <c r="A90">
        <v>70106100</v>
      </c>
      <c r="B90" t="str">
        <f t="shared" si="22"/>
        <v>Biaya Transportasi Lokal</v>
      </c>
      <c r="C90" s="8">
        <f>+SUMIFS('List Petty Cash Jul-Des 25'!$AB:$AB,'List Petty Cash Jul-Des 25'!$I:$I,Sheet1!C$1,'List Petty Cash Jul-Des 25'!$V:$V,Sheet1!$A90,'List Petty Cash Jul-Des 25'!$X:$X,Sheet1!$A84)</f>
        <v>4103300</v>
      </c>
      <c r="D90" s="8">
        <f>+SUMIFS('List Petty Cash Jul-Des 25'!$AB:$AB,'List Petty Cash Jul-Des 25'!$I:$I,Sheet1!D$1,'List Petty Cash Jul-Des 25'!$V:$V,Sheet1!$A90,'List Petty Cash Jul-Des 25'!$X:$X,Sheet1!$A84)</f>
        <v>2838000</v>
      </c>
      <c r="E90" s="8">
        <f>+SUMIFS('List Petty Cash Jul-Des 25'!$AB:$AB,'List Petty Cash Jul-Des 25'!$I:$I,Sheet1!E$1,'List Petty Cash Jul-Des 25'!$V:$V,Sheet1!$A90,'List Petty Cash Jul-Des 25'!$X:$X,Sheet1!$A84)</f>
        <v>2669000</v>
      </c>
      <c r="F90" s="8">
        <f>+SUMIFS('List Petty Cash Jul-Des 25'!$AB:$AB,'List Petty Cash Jul-Des 25'!$I:$I,Sheet1!F$1,'List Petty Cash Jul-Des 25'!$V:$V,Sheet1!$A90,'List Petty Cash Jul-Des 25'!$X:$X,Sheet1!$A84)</f>
        <v>4213000</v>
      </c>
      <c r="G90" s="8">
        <f>+SUMIFS('List Petty Cash Jul-Des 25'!$AB:$AB,'List Petty Cash Jul-Des 25'!$I:$I,Sheet1!G$1,'List Petty Cash Jul-Des 25'!$V:$V,Sheet1!$A90,'List Petty Cash Jul-Des 25'!$X:$X,Sheet1!$A84)</f>
        <v>7368500</v>
      </c>
      <c r="H90" s="8">
        <f>+SUMIFS('List Petty Cash Jul-Des 25'!$AB:$AB,'List Petty Cash Jul-Des 25'!$I:$I,Sheet1!H$1,'List Petty Cash Jul-Des 25'!$V:$V,Sheet1!$A90,'List Petty Cash Jul-Des 25'!$X:$X,Sheet1!$A84)</f>
        <v>5144500</v>
      </c>
      <c r="I90" s="9">
        <f t="shared" si="23"/>
        <v>26336300</v>
      </c>
      <c r="J90" s="9">
        <f>+I90+I91</f>
        <v>70946300</v>
      </c>
      <c r="K90" s="8">
        <f>+J90/6/2</f>
        <v>5912191.666666667</v>
      </c>
    </row>
    <row r="91" spans="1:11" x14ac:dyDescent="0.25">
      <c r="A91">
        <v>70106400</v>
      </c>
      <c r="B91" t="str">
        <f t="shared" si="22"/>
        <v>Biaya Bahan Bakar</v>
      </c>
      <c r="C91" s="8">
        <f>+SUMIFS('List Petty Cash Jul-Des 25'!$AB:$AB,'List Petty Cash Jul-Des 25'!$I:$I,Sheet1!C$1,'List Petty Cash Jul-Des 25'!$V:$V,Sheet1!$A91,'List Petty Cash Jul-Des 25'!$X:$X,Sheet1!$A84)</f>
        <v>6890000</v>
      </c>
      <c r="D91" s="8">
        <f>+SUMIFS('List Petty Cash Jul-Des 25'!$AB:$AB,'List Petty Cash Jul-Des 25'!$I:$I,Sheet1!D$1,'List Petty Cash Jul-Des 25'!$V:$V,Sheet1!$A91,'List Petty Cash Jul-Des 25'!$X:$X,Sheet1!$A84)</f>
        <v>5150000</v>
      </c>
      <c r="E91" s="8">
        <f>+SUMIFS('List Petty Cash Jul-Des 25'!$AB:$AB,'List Petty Cash Jul-Des 25'!$I:$I,Sheet1!E$1,'List Petty Cash Jul-Des 25'!$V:$V,Sheet1!$A91,'List Petty Cash Jul-Des 25'!$X:$X,Sheet1!$A84)</f>
        <v>4330000</v>
      </c>
      <c r="F91" s="8">
        <f>+SUMIFS('List Petty Cash Jul-Des 25'!$AB:$AB,'List Petty Cash Jul-Des 25'!$I:$I,Sheet1!F$1,'List Petty Cash Jul-Des 25'!$V:$V,Sheet1!$A91,'List Petty Cash Jul-Des 25'!$X:$X,Sheet1!$A84)</f>
        <v>7780000</v>
      </c>
      <c r="G91" s="8">
        <f>+SUMIFS('List Petty Cash Jul-Des 25'!$AB:$AB,'List Petty Cash Jul-Des 25'!$I:$I,Sheet1!G$1,'List Petty Cash Jul-Des 25'!$V:$V,Sheet1!$A91,'List Petty Cash Jul-Des 25'!$X:$X,Sheet1!$A84)</f>
        <v>11610000</v>
      </c>
      <c r="H91" s="8">
        <f>+SUMIFS('List Petty Cash Jul-Des 25'!$AB:$AB,'List Petty Cash Jul-Des 25'!$I:$I,Sheet1!H$1,'List Petty Cash Jul-Des 25'!$V:$V,Sheet1!$A91,'List Petty Cash Jul-Des 25'!$X:$X,Sheet1!$A84)</f>
        <v>8850000</v>
      </c>
      <c r="I91" s="9">
        <f t="shared" si="23"/>
        <v>44610000</v>
      </c>
      <c r="J91" s="27">
        <f>+J90/$I$194</f>
        <v>0.22190550653155136</v>
      </c>
    </row>
    <row r="92" spans="1:11" x14ac:dyDescent="0.25">
      <c r="A92">
        <v>70107100</v>
      </c>
      <c r="B92" t="str">
        <f t="shared" si="22"/>
        <v>Biaya Mess</v>
      </c>
      <c r="C92" s="8">
        <f>+SUMIFS('List Petty Cash Jul-Des 25'!$AB:$AB,'List Petty Cash Jul-Des 25'!$I:$I,Sheet1!C$1,'List Petty Cash Jul-Des 25'!$V:$V,Sheet1!$A92,'List Petty Cash Jul-Des 25'!$X:$X,Sheet1!$A84)</f>
        <v>290500</v>
      </c>
      <c r="D92" s="8">
        <f>+SUMIFS('List Petty Cash Jul-Des 25'!$AB:$AB,'List Petty Cash Jul-Des 25'!$I:$I,Sheet1!D$1,'List Petty Cash Jul-Des 25'!$V:$V,Sheet1!$A92,'List Petty Cash Jul-Des 25'!$X:$X,Sheet1!$A84)</f>
        <v>1890500</v>
      </c>
      <c r="E92" s="8">
        <f>+SUMIFS('List Petty Cash Jul-Des 25'!$AB:$AB,'List Petty Cash Jul-Des 25'!$I:$I,Sheet1!E$1,'List Petty Cash Jul-Des 25'!$V:$V,Sheet1!$A92,'List Petty Cash Jul-Des 25'!$X:$X,Sheet1!$A84)</f>
        <v>290500</v>
      </c>
      <c r="F92" s="8">
        <f>+SUMIFS('List Petty Cash Jul-Des 25'!$AB:$AB,'List Petty Cash Jul-Des 25'!$I:$I,Sheet1!F$1,'List Petty Cash Jul-Des 25'!$V:$V,Sheet1!$A92,'List Petty Cash Jul-Des 25'!$X:$X,Sheet1!$A84)</f>
        <v>1890500</v>
      </c>
      <c r="G92" s="8">
        <f>+SUMIFS('List Petty Cash Jul-Des 25'!$AB:$AB,'List Petty Cash Jul-Des 25'!$I:$I,Sheet1!G$1,'List Petty Cash Jul-Des 25'!$V:$V,Sheet1!$A92,'List Petty Cash Jul-Des 25'!$X:$X,Sheet1!$A84)</f>
        <v>1540500</v>
      </c>
      <c r="H92" s="8">
        <f>+SUMIFS('List Petty Cash Jul-Des 25'!$AB:$AB,'List Petty Cash Jul-Des 25'!$I:$I,Sheet1!H$1,'List Petty Cash Jul-Des 25'!$V:$V,Sheet1!$A92,'List Petty Cash Jul-Des 25'!$X:$X,Sheet1!$A84)</f>
        <v>1090500</v>
      </c>
      <c r="I92" s="9">
        <f t="shared" si="23"/>
        <v>6993000</v>
      </c>
    </row>
    <row r="93" spans="1:11" x14ac:dyDescent="0.25">
      <c r="A93">
        <v>70107600</v>
      </c>
      <c r="B93" t="str">
        <f t="shared" si="22"/>
        <v>Biaya Konsumsi Kantor</v>
      </c>
      <c r="C93" s="8">
        <f>+SUMIFS('List Petty Cash Jul-Des 25'!$AB:$AB,'List Petty Cash Jul-Des 25'!$I:$I,Sheet1!C$1,'List Petty Cash Jul-Des 25'!$V:$V,Sheet1!$A93,'List Petty Cash Jul-Des 25'!$X:$X,Sheet1!$A84)</f>
        <v>2205000</v>
      </c>
      <c r="D93" s="8">
        <f>+SUMIFS('List Petty Cash Jul-Des 25'!$AB:$AB,'List Petty Cash Jul-Des 25'!$I:$I,Sheet1!D$1,'List Petty Cash Jul-Des 25'!$V:$V,Sheet1!$A93,'List Petty Cash Jul-Des 25'!$X:$X,Sheet1!$A84)</f>
        <v>0</v>
      </c>
      <c r="E93" s="8">
        <f>+SUMIFS('List Petty Cash Jul-Des 25'!$AB:$AB,'List Petty Cash Jul-Des 25'!$I:$I,Sheet1!E$1,'List Petty Cash Jul-Des 25'!$V:$V,Sheet1!$A93,'List Petty Cash Jul-Des 25'!$X:$X,Sheet1!$A84)</f>
        <v>973530</v>
      </c>
      <c r="F93" s="8">
        <f>+SUMIFS('List Petty Cash Jul-Des 25'!$AB:$AB,'List Petty Cash Jul-Des 25'!$I:$I,Sheet1!F$1,'List Petty Cash Jul-Des 25'!$V:$V,Sheet1!$A93,'List Petty Cash Jul-Des 25'!$X:$X,Sheet1!$A84)</f>
        <v>0</v>
      </c>
      <c r="G93" s="8">
        <f>+SUMIFS('List Petty Cash Jul-Des 25'!$AB:$AB,'List Petty Cash Jul-Des 25'!$I:$I,Sheet1!G$1,'List Petty Cash Jul-Des 25'!$V:$V,Sheet1!$A93,'List Petty Cash Jul-Des 25'!$X:$X,Sheet1!$A84)</f>
        <v>993960</v>
      </c>
      <c r="H93" s="8">
        <f>+SUMIFS('List Petty Cash Jul-Des 25'!$AB:$AB,'List Petty Cash Jul-Des 25'!$I:$I,Sheet1!H$1,'List Petty Cash Jul-Des 25'!$V:$V,Sheet1!$A93,'List Petty Cash Jul-Des 25'!$X:$X,Sheet1!$A84)</f>
        <v>0</v>
      </c>
      <c r="I93" s="9">
        <f t="shared" si="23"/>
        <v>4172490</v>
      </c>
    </row>
    <row r="94" spans="1:11" x14ac:dyDescent="0.25">
      <c r="A94">
        <v>70108100</v>
      </c>
      <c r="B94" t="str">
        <f t="shared" si="22"/>
        <v>Biaya Peralatan Dan Perabot Kantor</v>
      </c>
      <c r="C94" s="8">
        <f>+SUMIFS('List Petty Cash Jul-Des 25'!$AB:$AB,'List Petty Cash Jul-Des 25'!$I:$I,Sheet1!C$1,'List Petty Cash Jul-Des 25'!$V:$V,Sheet1!$A94,'List Petty Cash Jul-Des 25'!$X:$X,Sheet1!$A84)</f>
        <v>286200</v>
      </c>
      <c r="D94" s="8">
        <f>+SUMIFS('List Petty Cash Jul-Des 25'!$AB:$AB,'List Petty Cash Jul-Des 25'!$I:$I,Sheet1!D$1,'List Petty Cash Jul-Des 25'!$V:$V,Sheet1!$A94,'List Petty Cash Jul-Des 25'!$X:$X,Sheet1!$A84)</f>
        <v>961000</v>
      </c>
      <c r="E94" s="8">
        <f>+SUMIFS('List Petty Cash Jul-Des 25'!$AB:$AB,'List Petty Cash Jul-Des 25'!$I:$I,Sheet1!E$1,'List Petty Cash Jul-Des 25'!$V:$V,Sheet1!$A94,'List Petty Cash Jul-Des 25'!$X:$X,Sheet1!$A84)</f>
        <v>272900</v>
      </c>
      <c r="F94" s="8">
        <f>+SUMIFS('List Petty Cash Jul-Des 25'!$AB:$AB,'List Petty Cash Jul-Des 25'!$I:$I,Sheet1!F$1,'List Petty Cash Jul-Des 25'!$V:$V,Sheet1!$A94,'List Petty Cash Jul-Des 25'!$X:$X,Sheet1!$A84)</f>
        <v>1731000</v>
      </c>
      <c r="G94" s="8">
        <f>+SUMIFS('List Petty Cash Jul-Des 25'!$AB:$AB,'List Petty Cash Jul-Des 25'!$I:$I,Sheet1!G$1,'List Petty Cash Jul-Des 25'!$V:$V,Sheet1!$A94,'List Petty Cash Jul-Des 25'!$X:$X,Sheet1!$A84)</f>
        <v>996100</v>
      </c>
      <c r="H94" s="8">
        <f>+SUMIFS('List Petty Cash Jul-Des 25'!$AB:$AB,'List Petty Cash Jul-Des 25'!$I:$I,Sheet1!H$1,'List Petty Cash Jul-Des 25'!$V:$V,Sheet1!$A94,'List Petty Cash Jul-Des 25'!$X:$X,Sheet1!$A84)</f>
        <v>0</v>
      </c>
      <c r="I94" s="9">
        <f t="shared" si="23"/>
        <v>4247200</v>
      </c>
    </row>
    <row r="95" spans="1:11" x14ac:dyDescent="0.25">
      <c r="A95" t="s">
        <v>1975</v>
      </c>
    </row>
    <row r="96" spans="1:11" x14ac:dyDescent="0.25">
      <c r="A96">
        <v>70107600</v>
      </c>
      <c r="B96" t="str">
        <f t="shared" ref="B96:B98" si="24">+VLOOKUP(A96,$A$2:$B$27,2,0)</f>
        <v>Biaya Konsumsi Kantor</v>
      </c>
      <c r="C96" s="8">
        <f>+SUMIFS('List Petty Cash Jul-Des 25'!$AB:$AB,'List Petty Cash Jul-Des 25'!$I:$I,Sheet1!C$1,'List Petty Cash Jul-Des 25'!$V:$V,Sheet1!$A96,'List Petty Cash Jul-Des 25'!$X:$X,Sheet1!$A95)</f>
        <v>1389800</v>
      </c>
      <c r="D96" s="8">
        <f>+SUMIFS('List Petty Cash Jul-Des 25'!$AB:$AB,'List Petty Cash Jul-Des 25'!$I:$I,Sheet1!D$1,'List Petty Cash Jul-Des 25'!$V:$V,Sheet1!$A96,'List Petty Cash Jul-Des 25'!$X:$X,Sheet1!$A95)</f>
        <v>0</v>
      </c>
      <c r="E96" s="8">
        <f>+SUMIFS('List Petty Cash Jul-Des 25'!$AB:$AB,'List Petty Cash Jul-Des 25'!$I:$I,Sheet1!E$1,'List Petty Cash Jul-Des 25'!$V:$V,Sheet1!$A96,'List Petty Cash Jul-Des 25'!$X:$X,Sheet1!$A95)</f>
        <v>412800</v>
      </c>
      <c r="F96" s="8">
        <f>+SUMIFS('List Petty Cash Jul-Des 25'!$AB:$AB,'List Petty Cash Jul-Des 25'!$I:$I,Sheet1!F$1,'List Petty Cash Jul-Des 25'!$V:$V,Sheet1!$A96,'List Petty Cash Jul-Des 25'!$X:$X,Sheet1!$A95)</f>
        <v>870000</v>
      </c>
      <c r="G96" s="8">
        <f>+SUMIFS('List Petty Cash Jul-Des 25'!$AB:$AB,'List Petty Cash Jul-Des 25'!$I:$I,Sheet1!G$1,'List Petty Cash Jul-Des 25'!$V:$V,Sheet1!$A96,'List Petty Cash Jul-Des 25'!$X:$X,Sheet1!$A95)</f>
        <v>500000</v>
      </c>
      <c r="H96" s="8">
        <f>+SUMIFS('List Petty Cash Jul-Des 25'!$AB:$AB,'List Petty Cash Jul-Des 25'!$I:$I,Sheet1!H$1,'List Petty Cash Jul-Des 25'!$V:$V,Sheet1!$A96,'List Petty Cash Jul-Des 25'!$X:$X,Sheet1!$A95)</f>
        <v>400000</v>
      </c>
      <c r="I96" s="9">
        <f t="shared" ref="I96:I98" si="25">+SUM(C96:H96)</f>
        <v>3572600</v>
      </c>
    </row>
    <row r="97" spans="1:9" x14ac:dyDescent="0.25">
      <c r="A97">
        <v>70108100</v>
      </c>
      <c r="B97" t="str">
        <f t="shared" si="24"/>
        <v>Biaya Peralatan Dan Perabot Kantor</v>
      </c>
      <c r="C97" s="8">
        <f>+SUMIFS('List Petty Cash Jul-Des 25'!$AB:$AB,'List Petty Cash Jul-Des 25'!$I:$I,Sheet1!C$1,'List Petty Cash Jul-Des 25'!$V:$V,Sheet1!$A97,'List Petty Cash Jul-Des 25'!$X:$X,Sheet1!$A95)</f>
        <v>0</v>
      </c>
      <c r="D97" s="8">
        <f>+SUMIFS('List Petty Cash Jul-Des 25'!$AB:$AB,'List Petty Cash Jul-Des 25'!$I:$I,Sheet1!D$1,'List Petty Cash Jul-Des 25'!$V:$V,Sheet1!$A97,'List Petty Cash Jul-Des 25'!$X:$X,Sheet1!$A95)</f>
        <v>0</v>
      </c>
      <c r="E97" s="8">
        <f>+SUMIFS('List Petty Cash Jul-Des 25'!$AB:$AB,'List Petty Cash Jul-Des 25'!$I:$I,Sheet1!E$1,'List Petty Cash Jul-Des 25'!$V:$V,Sheet1!$A97,'List Petty Cash Jul-Des 25'!$X:$X,Sheet1!$A95)</f>
        <v>105500</v>
      </c>
      <c r="F97" s="8">
        <f>+SUMIFS('List Petty Cash Jul-Des 25'!$AB:$AB,'List Petty Cash Jul-Des 25'!$I:$I,Sheet1!F$1,'List Petty Cash Jul-Des 25'!$V:$V,Sheet1!$A97,'List Petty Cash Jul-Des 25'!$X:$X,Sheet1!$A95)</f>
        <v>0</v>
      </c>
      <c r="G97" s="8">
        <f>+SUMIFS('List Petty Cash Jul-Des 25'!$AB:$AB,'List Petty Cash Jul-Des 25'!$I:$I,Sheet1!G$1,'List Petty Cash Jul-Des 25'!$V:$V,Sheet1!$A97,'List Petty Cash Jul-Des 25'!$X:$X,Sheet1!$A95)</f>
        <v>0</v>
      </c>
      <c r="H97" s="8">
        <f>+SUMIFS('List Petty Cash Jul-Des 25'!$AB:$AB,'List Petty Cash Jul-Des 25'!$I:$I,Sheet1!H$1,'List Petty Cash Jul-Des 25'!$V:$V,Sheet1!$A97,'List Petty Cash Jul-Des 25'!$X:$X,Sheet1!$A95)</f>
        <v>0</v>
      </c>
      <c r="I97" s="9">
        <f t="shared" si="25"/>
        <v>105500</v>
      </c>
    </row>
    <row r="98" spans="1:9" x14ac:dyDescent="0.25">
      <c r="A98">
        <v>70119300</v>
      </c>
      <c r="B98" t="str">
        <f t="shared" si="24"/>
        <v>Biaya Umum dan Administrasi</v>
      </c>
      <c r="C98" s="8">
        <f>+SUMIFS('List Petty Cash Jul-Des 25'!$AB:$AB,'List Petty Cash Jul-Des 25'!$I:$I,Sheet1!C$1,'List Petty Cash Jul-Des 25'!$V:$V,Sheet1!$A98,'List Petty Cash Jul-Des 25'!$X:$X,Sheet1!$A95)</f>
        <v>0</v>
      </c>
      <c r="D98" s="8">
        <f>+SUMIFS('List Petty Cash Jul-Des 25'!$AB:$AB,'List Petty Cash Jul-Des 25'!$I:$I,Sheet1!D$1,'List Petty Cash Jul-Des 25'!$V:$V,Sheet1!$A98,'List Petty Cash Jul-Des 25'!$X:$X,Sheet1!$A95)</f>
        <v>0</v>
      </c>
      <c r="E98" s="8">
        <f>+SUMIFS('List Petty Cash Jul-Des 25'!$AB:$AB,'List Petty Cash Jul-Des 25'!$I:$I,Sheet1!E$1,'List Petty Cash Jul-Des 25'!$V:$V,Sheet1!$A98,'List Petty Cash Jul-Des 25'!$X:$X,Sheet1!$A95)</f>
        <v>100000</v>
      </c>
      <c r="F98" s="8">
        <f>+SUMIFS('List Petty Cash Jul-Des 25'!$AB:$AB,'List Petty Cash Jul-Des 25'!$I:$I,Sheet1!F$1,'List Petty Cash Jul-Des 25'!$V:$V,Sheet1!$A98,'List Petty Cash Jul-Des 25'!$X:$X,Sheet1!$A95)</f>
        <v>0</v>
      </c>
      <c r="G98" s="8">
        <f>+SUMIFS('List Petty Cash Jul-Des 25'!$AB:$AB,'List Petty Cash Jul-Des 25'!$I:$I,Sheet1!G$1,'List Petty Cash Jul-Des 25'!$V:$V,Sheet1!$A98,'List Petty Cash Jul-Des 25'!$X:$X,Sheet1!$A95)</f>
        <v>0</v>
      </c>
      <c r="H98" s="8">
        <f>+SUMIFS('List Petty Cash Jul-Des 25'!$AB:$AB,'List Petty Cash Jul-Des 25'!$I:$I,Sheet1!H$1,'List Petty Cash Jul-Des 25'!$V:$V,Sheet1!$A98,'List Petty Cash Jul-Des 25'!$X:$X,Sheet1!$A95)</f>
        <v>0</v>
      </c>
      <c r="I98" s="9">
        <f t="shared" si="25"/>
        <v>100000</v>
      </c>
    </row>
    <row r="99" spans="1:9" x14ac:dyDescent="0.25">
      <c r="A99" t="s">
        <v>1973</v>
      </c>
    </row>
    <row r="100" spans="1:9" x14ac:dyDescent="0.25">
      <c r="A100">
        <v>70107500</v>
      </c>
      <c r="B100" t="str">
        <f t="shared" ref="B100:B101" si="26">+VLOOKUP(A100,$A$2:$B$27,2,0)</f>
        <v>Biaya Sumbangan Sosial</v>
      </c>
      <c r="C100" s="8">
        <f>+SUMIFS('List Petty Cash Jul-Des 25'!$AB:$AB,'List Petty Cash Jul-Des 25'!$I:$I,Sheet1!C$1,'List Petty Cash Jul-Des 25'!$V:$V,Sheet1!$A100,'List Petty Cash Jul-Des 25'!$X:$X,Sheet1!$A99)</f>
        <v>0</v>
      </c>
      <c r="D100" s="8">
        <f>+SUMIFS('List Petty Cash Jul-Des 25'!$AB:$AB,'List Petty Cash Jul-Des 25'!$I:$I,Sheet1!D$1,'List Petty Cash Jul-Des 25'!$V:$V,Sheet1!$A100,'List Petty Cash Jul-Des 25'!$X:$X,Sheet1!$A99)</f>
        <v>600000</v>
      </c>
      <c r="E100" s="8">
        <f>+SUMIFS('List Petty Cash Jul-Des 25'!$AB:$AB,'List Petty Cash Jul-Des 25'!$I:$I,Sheet1!E$1,'List Petty Cash Jul-Des 25'!$V:$V,Sheet1!$A100,'List Petty Cash Jul-Des 25'!$X:$X,Sheet1!$A99)</f>
        <v>0</v>
      </c>
      <c r="F100" s="8">
        <f>+SUMIFS('List Petty Cash Jul-Des 25'!$AB:$AB,'List Petty Cash Jul-Des 25'!$I:$I,Sheet1!F$1,'List Petty Cash Jul-Des 25'!$V:$V,Sheet1!$A100,'List Petty Cash Jul-Des 25'!$X:$X,Sheet1!$A99)</f>
        <v>0</v>
      </c>
      <c r="G100" s="8">
        <f>+SUMIFS('List Petty Cash Jul-Des 25'!$AB:$AB,'List Petty Cash Jul-Des 25'!$I:$I,Sheet1!G$1,'List Petty Cash Jul-Des 25'!$V:$V,Sheet1!$A100,'List Petty Cash Jul-Des 25'!$X:$X,Sheet1!$A99)</f>
        <v>0</v>
      </c>
      <c r="H100" s="8">
        <f>+SUMIFS('List Petty Cash Jul-Des 25'!$AB:$AB,'List Petty Cash Jul-Des 25'!$I:$I,Sheet1!H$1,'List Petty Cash Jul-Des 25'!$V:$V,Sheet1!$A100,'List Petty Cash Jul-Des 25'!$X:$X,Sheet1!$A99)</f>
        <v>0</v>
      </c>
      <c r="I100" s="9">
        <f t="shared" ref="I100:I101" si="27">+SUM(C100:H100)</f>
        <v>600000</v>
      </c>
    </row>
    <row r="101" spans="1:9" x14ac:dyDescent="0.25">
      <c r="A101">
        <v>70119300</v>
      </c>
      <c r="B101" t="str">
        <f t="shared" si="26"/>
        <v>Biaya Umum dan Administrasi</v>
      </c>
      <c r="C101" s="8">
        <f>+SUMIFS('List Petty Cash Jul-Des 25'!$AB:$AB,'List Petty Cash Jul-Des 25'!$I:$I,Sheet1!C$1,'List Petty Cash Jul-Des 25'!$V:$V,Sheet1!$A101,'List Petty Cash Jul-Des 25'!$X:$X,Sheet1!$A99)</f>
        <v>1000000</v>
      </c>
      <c r="D101" s="8">
        <f>+SUMIFS('List Petty Cash Jul-Des 25'!$AB:$AB,'List Petty Cash Jul-Des 25'!$I:$I,Sheet1!D$1,'List Petty Cash Jul-Des 25'!$V:$V,Sheet1!$A101,'List Petty Cash Jul-Des 25'!$X:$X,Sheet1!$A99)</f>
        <v>0</v>
      </c>
      <c r="E101" s="8">
        <f>+SUMIFS('List Petty Cash Jul-Des 25'!$AB:$AB,'List Petty Cash Jul-Des 25'!$I:$I,Sheet1!E$1,'List Petty Cash Jul-Des 25'!$V:$V,Sheet1!$A101,'List Petty Cash Jul-Des 25'!$X:$X,Sheet1!$A99)</f>
        <v>0</v>
      </c>
      <c r="F101" s="8">
        <f>+SUMIFS('List Petty Cash Jul-Des 25'!$AB:$AB,'List Petty Cash Jul-Des 25'!$I:$I,Sheet1!F$1,'List Petty Cash Jul-Des 25'!$V:$V,Sheet1!$A101,'List Petty Cash Jul-Des 25'!$X:$X,Sheet1!$A99)</f>
        <v>0</v>
      </c>
      <c r="G101" s="8">
        <f>+SUMIFS('List Petty Cash Jul-Des 25'!$AB:$AB,'List Petty Cash Jul-Des 25'!$I:$I,Sheet1!G$1,'List Petty Cash Jul-Des 25'!$V:$V,Sheet1!$A101,'List Petty Cash Jul-Des 25'!$X:$X,Sheet1!$A99)</f>
        <v>0</v>
      </c>
      <c r="H101" s="8">
        <f>+SUMIFS('List Petty Cash Jul-Des 25'!$AB:$AB,'List Petty Cash Jul-Des 25'!$I:$I,Sheet1!H$1,'List Petty Cash Jul-Des 25'!$V:$V,Sheet1!$A101,'List Petty Cash Jul-Des 25'!$X:$X,Sheet1!$A99)</f>
        <v>1000000</v>
      </c>
      <c r="I101" s="9">
        <f t="shared" si="27"/>
        <v>2000000</v>
      </c>
    </row>
    <row r="102" spans="1:9" x14ac:dyDescent="0.25">
      <c r="A102" t="s">
        <v>2023</v>
      </c>
    </row>
    <row r="103" spans="1:9" x14ac:dyDescent="0.25">
      <c r="A103">
        <v>70119300</v>
      </c>
      <c r="B103" t="str">
        <f>+VLOOKUP(A103,$A$2:$B$27,2,0)</f>
        <v>Biaya Umum dan Administrasi</v>
      </c>
      <c r="C103" s="8">
        <f>+SUMIFS('List Petty Cash Jul-Des 25'!$AB:$AB,'List Petty Cash Jul-Des 25'!$I:$I,Sheet1!C$1,'List Petty Cash Jul-Des 25'!$V:$V,Sheet1!$A103,'List Petty Cash Jul-Des 25'!$X:$X,Sheet1!$A102)</f>
        <v>0</v>
      </c>
      <c r="D103" s="8">
        <f>+SUMIFS('List Petty Cash Jul-Des 25'!$AB:$AB,'List Petty Cash Jul-Des 25'!$I:$I,Sheet1!D$1,'List Petty Cash Jul-Des 25'!$V:$V,Sheet1!$A103,'List Petty Cash Jul-Des 25'!$X:$X,Sheet1!$A102)</f>
        <v>0</v>
      </c>
      <c r="E103" s="8">
        <f>+SUMIFS('List Petty Cash Jul-Des 25'!$AB:$AB,'List Petty Cash Jul-Des 25'!$I:$I,Sheet1!E$1,'List Petty Cash Jul-Des 25'!$V:$V,Sheet1!$A103,'List Petty Cash Jul-Des 25'!$X:$X,Sheet1!$A102)</f>
        <v>0</v>
      </c>
      <c r="F103" s="8">
        <f>+SUMIFS('List Petty Cash Jul-Des 25'!$AB:$AB,'List Petty Cash Jul-Des 25'!$I:$I,Sheet1!F$1,'List Petty Cash Jul-Des 25'!$V:$V,Sheet1!$A103,'List Petty Cash Jul-Des 25'!$X:$X,Sheet1!$A102)</f>
        <v>0</v>
      </c>
      <c r="G103" s="8">
        <f>+SUMIFS('List Petty Cash Jul-Des 25'!$AB:$AB,'List Petty Cash Jul-Des 25'!$I:$I,Sheet1!G$1,'List Petty Cash Jul-Des 25'!$V:$V,Sheet1!$A103,'List Petty Cash Jul-Des 25'!$X:$X,Sheet1!$A102)</f>
        <v>385000</v>
      </c>
      <c r="H103" s="8">
        <f>+SUMIFS('List Petty Cash Jul-Des 25'!$AB:$AB,'List Petty Cash Jul-Des 25'!$I:$I,Sheet1!H$1,'List Petty Cash Jul-Des 25'!$V:$V,Sheet1!$A103,'List Petty Cash Jul-Des 25'!$X:$X,Sheet1!$A102)</f>
        <v>0</v>
      </c>
      <c r="I103" s="9">
        <f>+SUM(C103:H103)</f>
        <v>385000</v>
      </c>
    </row>
    <row r="104" spans="1:9" x14ac:dyDescent="0.25">
      <c r="A104" t="s">
        <v>2031</v>
      </c>
    </row>
    <row r="105" spans="1:9" x14ac:dyDescent="0.25">
      <c r="A105">
        <v>70101114</v>
      </c>
      <c r="B105" t="str">
        <f>+VLOOKUP(A105,$A$2:$B$27,2,0)</f>
        <v>By Perbaikan &amp; Perawatan Perabot Material Pihak3</v>
      </c>
      <c r="C105" s="8">
        <f>+SUMIFS('List Petty Cash Jul-Des 25'!$AB:$AB,'List Petty Cash Jul-Des 25'!$I:$I,Sheet1!C$1,'List Petty Cash Jul-Des 25'!$V:$V,Sheet1!$A105,'List Petty Cash Jul-Des 25'!$X:$X,Sheet1!$A104)</f>
        <v>0</v>
      </c>
      <c r="D105" s="8">
        <f>+SUMIFS('List Petty Cash Jul-Des 25'!$AB:$AB,'List Petty Cash Jul-Des 25'!$I:$I,Sheet1!D$1,'List Petty Cash Jul-Des 25'!$V:$V,Sheet1!$A105,'List Petty Cash Jul-Des 25'!$X:$X,Sheet1!$A104)</f>
        <v>0</v>
      </c>
      <c r="E105" s="8">
        <f>+SUMIFS('List Petty Cash Jul-Des 25'!$AB:$AB,'List Petty Cash Jul-Des 25'!$I:$I,Sheet1!E$1,'List Petty Cash Jul-Des 25'!$V:$V,Sheet1!$A105,'List Petty Cash Jul-Des 25'!$X:$X,Sheet1!$A104)</f>
        <v>0</v>
      </c>
      <c r="F105" s="8">
        <f>+SUMIFS('List Petty Cash Jul-Des 25'!$AB:$AB,'List Petty Cash Jul-Des 25'!$I:$I,Sheet1!F$1,'List Petty Cash Jul-Des 25'!$V:$V,Sheet1!$A105,'List Petty Cash Jul-Des 25'!$X:$X,Sheet1!$A104)</f>
        <v>0</v>
      </c>
      <c r="G105" s="8">
        <f>+SUMIFS('List Petty Cash Jul-Des 25'!$AB:$AB,'List Petty Cash Jul-Des 25'!$I:$I,Sheet1!G$1,'List Petty Cash Jul-Des 25'!$V:$V,Sheet1!$A105,'List Petty Cash Jul-Des 25'!$X:$X,Sheet1!$A104)</f>
        <v>0</v>
      </c>
      <c r="H105" s="8">
        <f>+SUMIFS('List Petty Cash Jul-Des 25'!$AB:$AB,'List Petty Cash Jul-Des 25'!$I:$I,Sheet1!H$1,'List Petty Cash Jul-Des 25'!$V:$V,Sheet1!$A105,'List Petty Cash Jul-Des 25'!$X:$X,Sheet1!$A104)</f>
        <v>2047748</v>
      </c>
      <c r="I105" s="9">
        <f>+SUM(C105:H105)</f>
        <v>2047748</v>
      </c>
    </row>
    <row r="106" spans="1:9" x14ac:dyDescent="0.25">
      <c r="A106" t="s">
        <v>1992</v>
      </c>
    </row>
    <row r="107" spans="1:9" x14ac:dyDescent="0.25">
      <c r="A107">
        <v>70101102</v>
      </c>
      <c r="B107" t="str">
        <f t="shared" ref="B107:B110" si="28">+VLOOKUP(A107,$A$2:$B$27,2,0)</f>
        <v>By Pemeliharaan BgnanPrasarana Material Pihak3</v>
      </c>
      <c r="C107" s="8">
        <f>+SUMIFS('List Petty Cash Jul-Des 25'!$AB:$AB,'List Petty Cash Jul-Des 25'!$I:$I,Sheet1!C$1,'List Petty Cash Jul-Des 25'!$V:$V,Sheet1!$A107,'List Petty Cash Jul-Des 25'!$X:$X,Sheet1!$A106)</f>
        <v>0</v>
      </c>
      <c r="D107" s="8">
        <f>+SUMIFS('List Petty Cash Jul-Des 25'!$AB:$AB,'List Petty Cash Jul-Des 25'!$I:$I,Sheet1!D$1,'List Petty Cash Jul-Des 25'!$V:$V,Sheet1!$A107,'List Petty Cash Jul-Des 25'!$X:$X,Sheet1!$A106)</f>
        <v>0</v>
      </c>
      <c r="E107" s="8">
        <f>+SUMIFS('List Petty Cash Jul-Des 25'!$AB:$AB,'List Petty Cash Jul-Des 25'!$I:$I,Sheet1!E$1,'List Petty Cash Jul-Des 25'!$V:$V,Sheet1!$A107,'List Petty Cash Jul-Des 25'!$X:$X,Sheet1!$A106)</f>
        <v>0</v>
      </c>
      <c r="F107" s="8">
        <f>+SUMIFS('List Petty Cash Jul-Des 25'!$AB:$AB,'List Petty Cash Jul-Des 25'!$I:$I,Sheet1!F$1,'List Petty Cash Jul-Des 25'!$V:$V,Sheet1!$A107,'List Petty Cash Jul-Des 25'!$X:$X,Sheet1!$A106)</f>
        <v>463000</v>
      </c>
      <c r="G107" s="8">
        <f>+SUMIFS('List Petty Cash Jul-Des 25'!$AB:$AB,'List Petty Cash Jul-Des 25'!$I:$I,Sheet1!G$1,'List Petty Cash Jul-Des 25'!$V:$V,Sheet1!$A107,'List Petty Cash Jul-Des 25'!$X:$X,Sheet1!$A106)</f>
        <v>543510</v>
      </c>
      <c r="H107" s="8">
        <f>+SUMIFS('List Petty Cash Jul-Des 25'!$AB:$AB,'List Petty Cash Jul-Des 25'!$I:$I,Sheet1!H$1,'List Petty Cash Jul-Des 25'!$V:$V,Sheet1!$A107,'List Petty Cash Jul-Des 25'!$X:$X,Sheet1!$A106)</f>
        <v>0</v>
      </c>
      <c r="I107" s="9">
        <f t="shared" ref="I107:I110" si="29">+SUM(C107:H107)</f>
        <v>1006510</v>
      </c>
    </row>
    <row r="108" spans="1:9" x14ac:dyDescent="0.25">
      <c r="A108">
        <v>70101114</v>
      </c>
      <c r="B108" t="str">
        <f t="shared" si="28"/>
        <v>By Perbaikan &amp; Perawatan Perabot Material Pihak3</v>
      </c>
      <c r="C108" s="8">
        <f>+SUMIFS('List Petty Cash Jul-Des 25'!$AB:$AB,'List Petty Cash Jul-Des 25'!$I:$I,Sheet1!C$1,'List Petty Cash Jul-Des 25'!$V:$V,Sheet1!$A108,'List Petty Cash Jul-Des 25'!$X:$X,Sheet1!$A106)</f>
        <v>0</v>
      </c>
      <c r="D108" s="8">
        <f>+SUMIFS('List Petty Cash Jul-Des 25'!$AB:$AB,'List Petty Cash Jul-Des 25'!$I:$I,Sheet1!D$1,'List Petty Cash Jul-Des 25'!$V:$V,Sheet1!$A108,'List Petty Cash Jul-Des 25'!$X:$X,Sheet1!$A106)</f>
        <v>145000</v>
      </c>
      <c r="E108" s="8">
        <f>+SUMIFS('List Petty Cash Jul-Des 25'!$AB:$AB,'List Petty Cash Jul-Des 25'!$I:$I,Sheet1!E$1,'List Petty Cash Jul-Des 25'!$V:$V,Sheet1!$A108,'List Petty Cash Jul-Des 25'!$X:$X,Sheet1!$A106)</f>
        <v>376000</v>
      </c>
      <c r="F108" s="8">
        <f>+SUMIFS('List Petty Cash Jul-Des 25'!$AB:$AB,'List Petty Cash Jul-Des 25'!$I:$I,Sheet1!F$1,'List Petty Cash Jul-Des 25'!$V:$V,Sheet1!$A108,'List Petty Cash Jul-Des 25'!$X:$X,Sheet1!$A106)</f>
        <v>0</v>
      </c>
      <c r="G108" s="8">
        <f>+SUMIFS('List Petty Cash Jul-Des 25'!$AB:$AB,'List Petty Cash Jul-Des 25'!$I:$I,Sheet1!G$1,'List Petty Cash Jul-Des 25'!$V:$V,Sheet1!$A108,'List Petty Cash Jul-Des 25'!$X:$X,Sheet1!$A106)</f>
        <v>302000</v>
      </c>
      <c r="H108" s="8">
        <f>+SUMIFS('List Petty Cash Jul-Des 25'!$AB:$AB,'List Petty Cash Jul-Des 25'!$I:$I,Sheet1!H$1,'List Petty Cash Jul-Des 25'!$V:$V,Sheet1!$A108,'List Petty Cash Jul-Des 25'!$X:$X,Sheet1!$A106)</f>
        <v>201100</v>
      </c>
      <c r="I108" s="9">
        <f t="shared" si="29"/>
        <v>1024100</v>
      </c>
    </row>
    <row r="109" spans="1:9" x14ac:dyDescent="0.25">
      <c r="A109">
        <v>70101202</v>
      </c>
      <c r="B109" t="str">
        <f t="shared" si="28"/>
        <v>By Pemeliharaan Kend,ABerat,Mesin-Material Pihak3</v>
      </c>
      <c r="C109" s="8">
        <f>+SUMIFS('List Petty Cash Jul-Des 25'!$AB:$AB,'List Petty Cash Jul-Des 25'!$I:$I,Sheet1!C$1,'List Petty Cash Jul-Des 25'!$V:$V,Sheet1!$A109,'List Petty Cash Jul-Des 25'!$X:$X,Sheet1!$A106)</f>
        <v>0</v>
      </c>
      <c r="D109" s="8">
        <f>+SUMIFS('List Petty Cash Jul-Des 25'!$AB:$AB,'List Petty Cash Jul-Des 25'!$I:$I,Sheet1!D$1,'List Petty Cash Jul-Des 25'!$V:$V,Sheet1!$A109,'List Petty Cash Jul-Des 25'!$X:$X,Sheet1!$A106)</f>
        <v>0</v>
      </c>
      <c r="E109" s="8">
        <f>+SUMIFS('List Petty Cash Jul-Des 25'!$AB:$AB,'List Petty Cash Jul-Des 25'!$I:$I,Sheet1!E$1,'List Petty Cash Jul-Des 25'!$V:$V,Sheet1!$A109,'List Petty Cash Jul-Des 25'!$X:$X,Sheet1!$A106)</f>
        <v>916120</v>
      </c>
      <c r="F109" s="8">
        <f>+SUMIFS('List Petty Cash Jul-Des 25'!$AB:$AB,'List Petty Cash Jul-Des 25'!$I:$I,Sheet1!F$1,'List Petty Cash Jul-Des 25'!$V:$V,Sheet1!$A109,'List Petty Cash Jul-Des 25'!$X:$X,Sheet1!$A106)</f>
        <v>0</v>
      </c>
      <c r="G109" s="8">
        <f>+SUMIFS('List Petty Cash Jul-Des 25'!$AB:$AB,'List Petty Cash Jul-Des 25'!$I:$I,Sheet1!G$1,'List Petty Cash Jul-Des 25'!$V:$V,Sheet1!$A109,'List Petty Cash Jul-Des 25'!$X:$X,Sheet1!$A106)</f>
        <v>0</v>
      </c>
      <c r="H109" s="8">
        <f>+SUMIFS('List Petty Cash Jul-Des 25'!$AB:$AB,'List Petty Cash Jul-Des 25'!$I:$I,Sheet1!H$1,'List Petty Cash Jul-Des 25'!$V:$V,Sheet1!$A109,'List Petty Cash Jul-Des 25'!$X:$X,Sheet1!$A106)</f>
        <v>215000</v>
      </c>
      <c r="I109" s="9">
        <f t="shared" si="29"/>
        <v>1131120</v>
      </c>
    </row>
    <row r="110" spans="1:9" x14ac:dyDescent="0.25">
      <c r="A110">
        <v>70107600</v>
      </c>
      <c r="B110" t="str">
        <f t="shared" si="28"/>
        <v>Biaya Konsumsi Kantor</v>
      </c>
      <c r="C110" s="8">
        <f>+SUMIFS('List Petty Cash Jul-Des 25'!$AB:$AB,'List Petty Cash Jul-Des 25'!$I:$I,Sheet1!C$1,'List Petty Cash Jul-Des 25'!$V:$V,Sheet1!$A110,'List Petty Cash Jul-Des 25'!$X:$X,Sheet1!$A106)</f>
        <v>0</v>
      </c>
      <c r="D110" s="8">
        <f>+SUMIFS('List Petty Cash Jul-Des 25'!$AB:$AB,'List Petty Cash Jul-Des 25'!$I:$I,Sheet1!D$1,'List Petty Cash Jul-Des 25'!$V:$V,Sheet1!$A110,'List Petty Cash Jul-Des 25'!$X:$X,Sheet1!$A106)</f>
        <v>0</v>
      </c>
      <c r="E110" s="8">
        <f>+SUMIFS('List Petty Cash Jul-Des 25'!$AB:$AB,'List Petty Cash Jul-Des 25'!$I:$I,Sheet1!E$1,'List Petty Cash Jul-Des 25'!$V:$V,Sheet1!$A110,'List Petty Cash Jul-Des 25'!$X:$X,Sheet1!$A106)</f>
        <v>865001</v>
      </c>
      <c r="F110" s="8">
        <f>+SUMIFS('List Petty Cash Jul-Des 25'!$AB:$AB,'List Petty Cash Jul-Des 25'!$I:$I,Sheet1!F$1,'List Petty Cash Jul-Des 25'!$V:$V,Sheet1!$A110,'List Petty Cash Jul-Des 25'!$X:$X,Sheet1!$A106)</f>
        <v>0</v>
      </c>
      <c r="G110" s="8">
        <f>+SUMIFS('List Petty Cash Jul-Des 25'!$AB:$AB,'List Petty Cash Jul-Des 25'!$I:$I,Sheet1!G$1,'List Petty Cash Jul-Des 25'!$V:$V,Sheet1!$A110,'List Petty Cash Jul-Des 25'!$X:$X,Sheet1!$A106)</f>
        <v>0</v>
      </c>
      <c r="H110" s="8">
        <f>+SUMIFS('List Petty Cash Jul-Des 25'!$AB:$AB,'List Petty Cash Jul-Des 25'!$I:$I,Sheet1!H$1,'List Petty Cash Jul-Des 25'!$V:$V,Sheet1!$A110,'List Petty Cash Jul-Des 25'!$X:$X,Sheet1!$A106)</f>
        <v>0</v>
      </c>
      <c r="I110" s="9">
        <f t="shared" si="29"/>
        <v>865001</v>
      </c>
    </row>
    <row r="111" spans="1:9" x14ac:dyDescent="0.25">
      <c r="A111" t="s">
        <v>2007</v>
      </c>
    </row>
    <row r="112" spans="1:9" x14ac:dyDescent="0.25">
      <c r="A112">
        <v>70101114</v>
      </c>
      <c r="B112" t="str">
        <f t="shared" ref="B112:B113" si="30">+VLOOKUP(A112,$A$2:$B$27,2,0)</f>
        <v>By Perbaikan &amp; Perawatan Perabot Material Pihak3</v>
      </c>
      <c r="C112" s="8">
        <f>+SUMIFS('List Petty Cash Jul-Des 25'!$AB:$AB,'List Petty Cash Jul-Des 25'!$I:$I,Sheet1!C$1,'List Petty Cash Jul-Des 25'!$V:$V,Sheet1!$A112,'List Petty Cash Jul-Des 25'!$X:$X,Sheet1!$A111)</f>
        <v>0</v>
      </c>
      <c r="D112" s="8">
        <f>+SUMIFS('List Petty Cash Jul-Des 25'!$AB:$AB,'List Petty Cash Jul-Des 25'!$I:$I,Sheet1!D$1,'List Petty Cash Jul-Des 25'!$V:$V,Sheet1!$A112,'List Petty Cash Jul-Des 25'!$X:$X,Sheet1!$A111)</f>
        <v>0</v>
      </c>
      <c r="E112" s="8">
        <f>+SUMIFS('List Petty Cash Jul-Des 25'!$AB:$AB,'List Petty Cash Jul-Des 25'!$I:$I,Sheet1!E$1,'List Petty Cash Jul-Des 25'!$V:$V,Sheet1!$A112,'List Petty Cash Jul-Des 25'!$X:$X,Sheet1!$A111)</f>
        <v>61000</v>
      </c>
      <c r="F112" s="8">
        <f>+SUMIFS('List Petty Cash Jul-Des 25'!$AB:$AB,'List Petty Cash Jul-Des 25'!$I:$I,Sheet1!F$1,'List Petty Cash Jul-Des 25'!$V:$V,Sheet1!$A112,'List Petty Cash Jul-Des 25'!$X:$X,Sheet1!$A111)</f>
        <v>2325500</v>
      </c>
      <c r="G112" s="8">
        <f>+SUMIFS('List Petty Cash Jul-Des 25'!$AB:$AB,'List Petty Cash Jul-Des 25'!$I:$I,Sheet1!G$1,'List Petty Cash Jul-Des 25'!$V:$V,Sheet1!$A112,'List Petty Cash Jul-Des 25'!$X:$X,Sheet1!$A111)</f>
        <v>0</v>
      </c>
      <c r="H112" s="8">
        <f>+SUMIFS('List Petty Cash Jul-Des 25'!$AB:$AB,'List Petty Cash Jul-Des 25'!$I:$I,Sheet1!H$1,'List Petty Cash Jul-Des 25'!$V:$V,Sheet1!$A112,'List Petty Cash Jul-Des 25'!$X:$X,Sheet1!$A111)</f>
        <v>0</v>
      </c>
      <c r="I112" s="9">
        <f t="shared" ref="I112:I113" si="31">+SUM(C112:H112)</f>
        <v>2386500</v>
      </c>
    </row>
    <row r="113" spans="1:9" x14ac:dyDescent="0.25">
      <c r="A113">
        <v>70101202</v>
      </c>
      <c r="B113" t="str">
        <f t="shared" si="30"/>
        <v>By Pemeliharaan Kend,ABerat,Mesin-Material Pihak3</v>
      </c>
      <c r="C113" s="8">
        <f>+SUMIFS('List Petty Cash Jul-Des 25'!$AB:$AB,'List Petty Cash Jul-Des 25'!$I:$I,Sheet1!C$1,'List Petty Cash Jul-Des 25'!$V:$V,Sheet1!$A113,'List Petty Cash Jul-Des 25'!$X:$X,Sheet1!$A111)</f>
        <v>0</v>
      </c>
      <c r="D113" s="8">
        <f>+SUMIFS('List Petty Cash Jul-Des 25'!$AB:$AB,'List Petty Cash Jul-Des 25'!$I:$I,Sheet1!D$1,'List Petty Cash Jul-Des 25'!$V:$V,Sheet1!$A113,'List Petty Cash Jul-Des 25'!$X:$X,Sheet1!$A111)</f>
        <v>0</v>
      </c>
      <c r="E113" s="8">
        <f>+SUMIFS('List Petty Cash Jul-Des 25'!$AB:$AB,'List Petty Cash Jul-Des 25'!$I:$I,Sheet1!E$1,'List Petty Cash Jul-Des 25'!$V:$V,Sheet1!$A113,'List Petty Cash Jul-Des 25'!$X:$X,Sheet1!$A111)</f>
        <v>0</v>
      </c>
      <c r="F113" s="8">
        <f>+SUMIFS('List Petty Cash Jul-Des 25'!$AB:$AB,'List Petty Cash Jul-Des 25'!$I:$I,Sheet1!F$1,'List Petty Cash Jul-Des 25'!$V:$V,Sheet1!$A113,'List Petty Cash Jul-Des 25'!$X:$X,Sheet1!$A111)</f>
        <v>0</v>
      </c>
      <c r="G113" s="8">
        <f>+SUMIFS('List Petty Cash Jul-Des 25'!$AB:$AB,'List Petty Cash Jul-Des 25'!$I:$I,Sheet1!G$1,'List Petty Cash Jul-Des 25'!$V:$V,Sheet1!$A113,'List Petty Cash Jul-Des 25'!$X:$X,Sheet1!$A111)</f>
        <v>0</v>
      </c>
      <c r="H113" s="8">
        <f>+SUMIFS('List Petty Cash Jul-Des 25'!$AB:$AB,'List Petty Cash Jul-Des 25'!$I:$I,Sheet1!H$1,'List Petty Cash Jul-Des 25'!$V:$V,Sheet1!$A113,'List Petty Cash Jul-Des 25'!$X:$X,Sheet1!$A111)</f>
        <v>256380</v>
      </c>
      <c r="I113" s="9">
        <f t="shared" si="31"/>
        <v>256380</v>
      </c>
    </row>
    <row r="114" spans="1:9" x14ac:dyDescent="0.25">
      <c r="A114" t="s">
        <v>2013</v>
      </c>
    </row>
    <row r="115" spans="1:9" x14ac:dyDescent="0.25">
      <c r="A115">
        <v>70101202</v>
      </c>
      <c r="B115" t="str">
        <f t="shared" ref="B115:B116" si="32">+VLOOKUP(A115,$A$2:$B$27,2,0)</f>
        <v>By Pemeliharaan Kend,ABerat,Mesin-Material Pihak3</v>
      </c>
      <c r="C115" s="8">
        <f>+SUMIFS('List Petty Cash Jul-Des 25'!$AB:$AB,'List Petty Cash Jul-Des 25'!$I:$I,Sheet1!C$1,'List Petty Cash Jul-Des 25'!$V:$V,Sheet1!$A115,'List Petty Cash Jul-Des 25'!$X:$X,Sheet1!$A114)</f>
        <v>0</v>
      </c>
      <c r="D115" s="8">
        <f>+SUMIFS('List Petty Cash Jul-Des 25'!$AB:$AB,'List Petty Cash Jul-Des 25'!$I:$I,Sheet1!D$1,'List Petty Cash Jul-Des 25'!$V:$V,Sheet1!$A115,'List Petty Cash Jul-Des 25'!$X:$X,Sheet1!$A114)</f>
        <v>0</v>
      </c>
      <c r="E115" s="8">
        <f>+SUMIFS('List Petty Cash Jul-Des 25'!$AB:$AB,'List Petty Cash Jul-Des 25'!$I:$I,Sheet1!E$1,'List Petty Cash Jul-Des 25'!$V:$V,Sheet1!$A115,'List Petty Cash Jul-Des 25'!$X:$X,Sheet1!$A114)</f>
        <v>0</v>
      </c>
      <c r="F115" s="8">
        <f>+SUMIFS('List Petty Cash Jul-Des 25'!$AB:$AB,'List Petty Cash Jul-Des 25'!$I:$I,Sheet1!F$1,'List Petty Cash Jul-Des 25'!$V:$V,Sheet1!$A115,'List Petty Cash Jul-Des 25'!$X:$X,Sheet1!$A114)</f>
        <v>2869500</v>
      </c>
      <c r="G115" s="8">
        <f>+SUMIFS('List Petty Cash Jul-Des 25'!$AB:$AB,'List Petty Cash Jul-Des 25'!$I:$I,Sheet1!G$1,'List Petty Cash Jul-Des 25'!$V:$V,Sheet1!$A115,'List Petty Cash Jul-Des 25'!$X:$X,Sheet1!$A114)</f>
        <v>362500</v>
      </c>
      <c r="H115" s="8">
        <f>+SUMIFS('List Petty Cash Jul-Des 25'!$AB:$AB,'List Petty Cash Jul-Des 25'!$I:$I,Sheet1!H$1,'List Petty Cash Jul-Des 25'!$V:$V,Sheet1!$A115,'List Petty Cash Jul-Des 25'!$X:$X,Sheet1!$A114)</f>
        <v>800000</v>
      </c>
      <c r="I115" s="9">
        <f t="shared" ref="I115:I116" si="33">+SUM(C115:H115)</f>
        <v>4032000</v>
      </c>
    </row>
    <row r="116" spans="1:9" x14ac:dyDescent="0.25">
      <c r="A116">
        <v>70107600</v>
      </c>
      <c r="B116" t="str">
        <f t="shared" si="32"/>
        <v>Biaya Konsumsi Kantor</v>
      </c>
      <c r="C116" s="8">
        <f>+SUMIFS('List Petty Cash Jul-Des 25'!$AB:$AB,'List Petty Cash Jul-Des 25'!$I:$I,Sheet1!C$1,'List Petty Cash Jul-Des 25'!$V:$V,Sheet1!$A116,'List Petty Cash Jul-Des 25'!$X:$X,Sheet1!$A114)</f>
        <v>0</v>
      </c>
      <c r="D116" s="8">
        <f>+SUMIFS('List Petty Cash Jul-Des 25'!$AB:$AB,'List Petty Cash Jul-Des 25'!$I:$I,Sheet1!D$1,'List Petty Cash Jul-Des 25'!$V:$V,Sheet1!$A116,'List Petty Cash Jul-Des 25'!$X:$X,Sheet1!$A114)</f>
        <v>0</v>
      </c>
      <c r="E116" s="8">
        <f>+SUMIFS('List Petty Cash Jul-Des 25'!$AB:$AB,'List Petty Cash Jul-Des 25'!$I:$I,Sheet1!E$1,'List Petty Cash Jul-Des 25'!$V:$V,Sheet1!$A116,'List Petty Cash Jul-Des 25'!$X:$X,Sheet1!$A114)</f>
        <v>0</v>
      </c>
      <c r="F116" s="8">
        <f>+SUMIFS('List Petty Cash Jul-Des 25'!$AB:$AB,'List Petty Cash Jul-Des 25'!$I:$I,Sheet1!F$1,'List Petty Cash Jul-Des 25'!$V:$V,Sheet1!$A116,'List Petty Cash Jul-Des 25'!$X:$X,Sheet1!$A114)</f>
        <v>0</v>
      </c>
      <c r="G116" s="8">
        <f>+SUMIFS('List Petty Cash Jul-Des 25'!$AB:$AB,'List Petty Cash Jul-Des 25'!$I:$I,Sheet1!G$1,'List Petty Cash Jul-Des 25'!$V:$V,Sheet1!$A116,'List Petty Cash Jul-Des 25'!$X:$X,Sheet1!$A114)</f>
        <v>263450</v>
      </c>
      <c r="H116" s="8">
        <f>+SUMIFS('List Petty Cash Jul-Des 25'!$AB:$AB,'List Petty Cash Jul-Des 25'!$I:$I,Sheet1!H$1,'List Petty Cash Jul-Des 25'!$V:$V,Sheet1!$A116,'List Petty Cash Jul-Des 25'!$X:$X,Sheet1!$A114)</f>
        <v>0</v>
      </c>
      <c r="I116" s="9">
        <f t="shared" si="33"/>
        <v>263450</v>
      </c>
    </row>
    <row r="117" spans="1:9" x14ac:dyDescent="0.25">
      <c r="A117" t="s">
        <v>1962</v>
      </c>
    </row>
    <row r="118" spans="1:9" x14ac:dyDescent="0.25">
      <c r="A118">
        <v>70101102</v>
      </c>
      <c r="B118" t="str">
        <f t="shared" ref="B118:B122" si="34">+VLOOKUP(A118,$A$2:$B$27,2,0)</f>
        <v>By Pemeliharaan BgnanPrasarana Material Pihak3</v>
      </c>
      <c r="C118" s="8">
        <f>+SUMIFS('List Petty Cash Jul-Des 25'!$AB:$AB,'List Petty Cash Jul-Des 25'!$I:$I,Sheet1!C$1,'List Petty Cash Jul-Des 25'!$V:$V,Sheet1!$A118,'List Petty Cash Jul-Des 25'!$X:$X,Sheet1!$A117)</f>
        <v>60000</v>
      </c>
      <c r="D118" s="8">
        <f>+SUMIFS('List Petty Cash Jul-Des 25'!$AB:$AB,'List Petty Cash Jul-Des 25'!$I:$I,Sheet1!D$1,'List Petty Cash Jul-Des 25'!$V:$V,Sheet1!$A118,'List Petty Cash Jul-Des 25'!$X:$X,Sheet1!$A117)</f>
        <v>0</v>
      </c>
      <c r="E118" s="8">
        <f>+SUMIFS('List Petty Cash Jul-Des 25'!$AB:$AB,'List Petty Cash Jul-Des 25'!$I:$I,Sheet1!E$1,'List Petty Cash Jul-Des 25'!$V:$V,Sheet1!$A118,'List Petty Cash Jul-Des 25'!$X:$X,Sheet1!$A117)</f>
        <v>0</v>
      </c>
      <c r="F118" s="8">
        <f>+SUMIFS('List Petty Cash Jul-Des 25'!$AB:$AB,'List Petty Cash Jul-Des 25'!$I:$I,Sheet1!F$1,'List Petty Cash Jul-Des 25'!$V:$V,Sheet1!$A118,'List Petty Cash Jul-Des 25'!$X:$X,Sheet1!$A117)</f>
        <v>0</v>
      </c>
      <c r="G118" s="8">
        <f>+SUMIFS('List Petty Cash Jul-Des 25'!$AB:$AB,'List Petty Cash Jul-Des 25'!$I:$I,Sheet1!G$1,'List Petty Cash Jul-Des 25'!$V:$V,Sheet1!$A118,'List Petty Cash Jul-Des 25'!$X:$X,Sheet1!$A117)</f>
        <v>0</v>
      </c>
      <c r="H118" s="8">
        <f>+SUMIFS('List Petty Cash Jul-Des 25'!$AB:$AB,'List Petty Cash Jul-Des 25'!$I:$I,Sheet1!H$1,'List Petty Cash Jul-Des 25'!$V:$V,Sheet1!$A118,'List Petty Cash Jul-Des 25'!$X:$X,Sheet1!$A117)</f>
        <v>0</v>
      </c>
      <c r="I118" s="9">
        <f t="shared" ref="I118:I122" si="35">+SUM(C118:H118)</f>
        <v>60000</v>
      </c>
    </row>
    <row r="119" spans="1:9" x14ac:dyDescent="0.25">
      <c r="A119">
        <v>70101114</v>
      </c>
      <c r="B119" t="str">
        <f t="shared" si="34"/>
        <v>By Perbaikan &amp; Perawatan Perabot Material Pihak3</v>
      </c>
      <c r="C119" s="8">
        <f>+SUMIFS('List Petty Cash Jul-Des 25'!$AB:$AB,'List Petty Cash Jul-Des 25'!$I:$I,Sheet1!C$1,'List Petty Cash Jul-Des 25'!$V:$V,Sheet1!$A119,'List Petty Cash Jul-Des 25'!$X:$X,Sheet1!$A117)</f>
        <v>172150</v>
      </c>
      <c r="D119" s="8">
        <f>+SUMIFS('List Petty Cash Jul-Des 25'!$AB:$AB,'List Petty Cash Jul-Des 25'!$I:$I,Sheet1!D$1,'List Petty Cash Jul-Des 25'!$V:$V,Sheet1!$A119,'List Petty Cash Jul-Des 25'!$X:$X,Sheet1!$A117)</f>
        <v>0</v>
      </c>
      <c r="E119" s="8">
        <f>+SUMIFS('List Petty Cash Jul-Des 25'!$AB:$AB,'List Petty Cash Jul-Des 25'!$I:$I,Sheet1!E$1,'List Petty Cash Jul-Des 25'!$V:$V,Sheet1!$A119,'List Petty Cash Jul-Des 25'!$X:$X,Sheet1!$A117)</f>
        <v>70000</v>
      </c>
      <c r="F119" s="8">
        <f>+SUMIFS('List Petty Cash Jul-Des 25'!$AB:$AB,'List Petty Cash Jul-Des 25'!$I:$I,Sheet1!F$1,'List Petty Cash Jul-Des 25'!$V:$V,Sheet1!$A119,'List Petty Cash Jul-Des 25'!$X:$X,Sheet1!$A117)</f>
        <v>0</v>
      </c>
      <c r="G119" s="8">
        <f>+SUMIFS('List Petty Cash Jul-Des 25'!$AB:$AB,'List Petty Cash Jul-Des 25'!$I:$I,Sheet1!G$1,'List Petty Cash Jul-Des 25'!$V:$V,Sheet1!$A119,'List Petty Cash Jul-Des 25'!$X:$X,Sheet1!$A117)</f>
        <v>0</v>
      </c>
      <c r="H119" s="8">
        <f>+SUMIFS('List Petty Cash Jul-Des 25'!$AB:$AB,'List Petty Cash Jul-Des 25'!$I:$I,Sheet1!H$1,'List Petty Cash Jul-Des 25'!$V:$V,Sheet1!$A119,'List Petty Cash Jul-Des 25'!$X:$X,Sheet1!$A117)</f>
        <v>0</v>
      </c>
      <c r="I119" s="9">
        <f t="shared" si="35"/>
        <v>242150</v>
      </c>
    </row>
    <row r="120" spans="1:9" x14ac:dyDescent="0.25">
      <c r="A120">
        <v>70107500</v>
      </c>
      <c r="B120" t="str">
        <f t="shared" si="34"/>
        <v>Biaya Sumbangan Sosial</v>
      </c>
      <c r="C120" s="8">
        <f>+SUMIFS('List Petty Cash Jul-Des 25'!$AB:$AB,'List Petty Cash Jul-Des 25'!$I:$I,Sheet1!C$1,'List Petty Cash Jul-Des 25'!$V:$V,Sheet1!$A120,'List Petty Cash Jul-Des 25'!$X:$X,Sheet1!$A117)</f>
        <v>0</v>
      </c>
      <c r="D120" s="8">
        <f>+SUMIFS('List Petty Cash Jul-Des 25'!$AB:$AB,'List Petty Cash Jul-Des 25'!$I:$I,Sheet1!D$1,'List Petty Cash Jul-Des 25'!$V:$V,Sheet1!$A120,'List Petty Cash Jul-Des 25'!$X:$X,Sheet1!$A117)</f>
        <v>0</v>
      </c>
      <c r="E120" s="8">
        <f>+SUMIFS('List Petty Cash Jul-Des 25'!$AB:$AB,'List Petty Cash Jul-Des 25'!$I:$I,Sheet1!E$1,'List Petty Cash Jul-Des 25'!$V:$V,Sheet1!$A120,'List Petty Cash Jul-Des 25'!$X:$X,Sheet1!$A117)</f>
        <v>0</v>
      </c>
      <c r="F120" s="8">
        <f>+SUMIFS('List Petty Cash Jul-Des 25'!$AB:$AB,'List Petty Cash Jul-Des 25'!$I:$I,Sheet1!F$1,'List Petty Cash Jul-Des 25'!$V:$V,Sheet1!$A120,'List Petty Cash Jul-Des 25'!$X:$X,Sheet1!$A117)</f>
        <v>0</v>
      </c>
      <c r="G120" s="8">
        <f>+SUMIFS('List Petty Cash Jul-Des 25'!$AB:$AB,'List Petty Cash Jul-Des 25'!$I:$I,Sheet1!G$1,'List Petty Cash Jul-Des 25'!$V:$V,Sheet1!$A120,'List Petty Cash Jul-Des 25'!$X:$X,Sheet1!$A117)</f>
        <v>0</v>
      </c>
      <c r="H120" s="8">
        <f>+SUMIFS('List Petty Cash Jul-Des 25'!$AB:$AB,'List Petty Cash Jul-Des 25'!$I:$I,Sheet1!H$1,'List Petty Cash Jul-Des 25'!$V:$V,Sheet1!$A120,'List Petty Cash Jul-Des 25'!$X:$X,Sheet1!$A117)</f>
        <v>600000</v>
      </c>
      <c r="I120" s="9">
        <f t="shared" si="35"/>
        <v>600000</v>
      </c>
    </row>
    <row r="121" spans="1:9" x14ac:dyDescent="0.25">
      <c r="A121">
        <v>70107600</v>
      </c>
      <c r="B121" t="str">
        <f t="shared" si="34"/>
        <v>Biaya Konsumsi Kantor</v>
      </c>
      <c r="C121" s="8">
        <f>+SUMIFS('List Petty Cash Jul-Des 25'!$AB:$AB,'List Petty Cash Jul-Des 25'!$I:$I,Sheet1!C$1,'List Petty Cash Jul-Des 25'!$V:$V,Sheet1!$A121,'List Petty Cash Jul-Des 25'!$X:$X,Sheet1!$A117)</f>
        <v>687500</v>
      </c>
      <c r="D121" s="8">
        <f>+SUMIFS('List Petty Cash Jul-Des 25'!$AB:$AB,'List Petty Cash Jul-Des 25'!$I:$I,Sheet1!D$1,'List Petty Cash Jul-Des 25'!$V:$V,Sheet1!$A121,'List Petty Cash Jul-Des 25'!$X:$X,Sheet1!$A117)</f>
        <v>150000</v>
      </c>
      <c r="E121" s="8">
        <f>+SUMIFS('List Petty Cash Jul-Des 25'!$AB:$AB,'List Petty Cash Jul-Des 25'!$I:$I,Sheet1!E$1,'List Petty Cash Jul-Des 25'!$V:$V,Sheet1!$A121,'List Petty Cash Jul-Des 25'!$X:$X,Sheet1!$A117)</f>
        <v>332000</v>
      </c>
      <c r="F121" s="8">
        <f>+SUMIFS('List Petty Cash Jul-Des 25'!$AB:$AB,'List Petty Cash Jul-Des 25'!$I:$I,Sheet1!F$1,'List Petty Cash Jul-Des 25'!$V:$V,Sheet1!$A121,'List Petty Cash Jul-Des 25'!$X:$X,Sheet1!$A117)</f>
        <v>0</v>
      </c>
      <c r="G121" s="8">
        <f>+SUMIFS('List Petty Cash Jul-Des 25'!$AB:$AB,'List Petty Cash Jul-Des 25'!$I:$I,Sheet1!G$1,'List Petty Cash Jul-Des 25'!$V:$V,Sheet1!$A121,'List Petty Cash Jul-Des 25'!$X:$X,Sheet1!$A117)</f>
        <v>299200</v>
      </c>
      <c r="H121" s="8">
        <f>+SUMIFS('List Petty Cash Jul-Des 25'!$AB:$AB,'List Petty Cash Jul-Des 25'!$I:$I,Sheet1!H$1,'List Petty Cash Jul-Des 25'!$V:$V,Sheet1!$A121,'List Petty Cash Jul-Des 25'!$X:$X,Sheet1!$A117)</f>
        <v>0</v>
      </c>
      <c r="I121" s="9">
        <f t="shared" si="35"/>
        <v>1468700</v>
      </c>
    </row>
    <row r="122" spans="1:9" x14ac:dyDescent="0.25">
      <c r="A122">
        <v>70108100</v>
      </c>
      <c r="B122" t="str">
        <f t="shared" si="34"/>
        <v>Biaya Peralatan Dan Perabot Kantor</v>
      </c>
      <c r="C122" s="8">
        <f>+SUMIFS('List Petty Cash Jul-Des 25'!$AB:$AB,'List Petty Cash Jul-Des 25'!$I:$I,Sheet1!C$1,'List Petty Cash Jul-Des 25'!$V:$V,Sheet1!$A122,'List Petty Cash Jul-Des 25'!$X:$X,Sheet1!$A117)</f>
        <v>0</v>
      </c>
      <c r="D122" s="8">
        <f>+SUMIFS('List Petty Cash Jul-Des 25'!$AB:$AB,'List Petty Cash Jul-Des 25'!$I:$I,Sheet1!D$1,'List Petty Cash Jul-Des 25'!$V:$V,Sheet1!$A122,'List Petty Cash Jul-Des 25'!$X:$X,Sheet1!$A117)</f>
        <v>0</v>
      </c>
      <c r="E122" s="8">
        <f>+SUMIFS('List Petty Cash Jul-Des 25'!$AB:$AB,'List Petty Cash Jul-Des 25'!$I:$I,Sheet1!E$1,'List Petty Cash Jul-Des 25'!$V:$V,Sheet1!$A122,'List Petty Cash Jul-Des 25'!$X:$X,Sheet1!$A117)</f>
        <v>250000</v>
      </c>
      <c r="F122" s="8">
        <f>+SUMIFS('List Petty Cash Jul-Des 25'!$AB:$AB,'List Petty Cash Jul-Des 25'!$I:$I,Sheet1!F$1,'List Petty Cash Jul-Des 25'!$V:$V,Sheet1!$A122,'List Petty Cash Jul-Des 25'!$X:$X,Sheet1!$A117)</f>
        <v>150000</v>
      </c>
      <c r="G122" s="8">
        <f>+SUMIFS('List Petty Cash Jul-Des 25'!$AB:$AB,'List Petty Cash Jul-Des 25'!$I:$I,Sheet1!G$1,'List Petty Cash Jul-Des 25'!$V:$V,Sheet1!$A122,'List Petty Cash Jul-Des 25'!$X:$X,Sheet1!$A117)</f>
        <v>0</v>
      </c>
      <c r="H122" s="8">
        <f>+SUMIFS('List Petty Cash Jul-Des 25'!$AB:$AB,'List Petty Cash Jul-Des 25'!$I:$I,Sheet1!H$1,'List Petty Cash Jul-Des 25'!$V:$V,Sheet1!$A122,'List Petty Cash Jul-Des 25'!$X:$X,Sheet1!$A117)</f>
        <v>0</v>
      </c>
      <c r="I122" s="9">
        <f t="shared" si="35"/>
        <v>400000</v>
      </c>
    </row>
    <row r="123" spans="1:9" x14ac:dyDescent="0.25">
      <c r="A123" t="s">
        <v>2028</v>
      </c>
    </row>
    <row r="124" spans="1:9" x14ac:dyDescent="0.25">
      <c r="A124">
        <v>70101102</v>
      </c>
      <c r="B124" t="str">
        <f t="shared" ref="B124:B125" si="36">+VLOOKUP(A124,$A$2:$B$27,2,0)</f>
        <v>By Pemeliharaan BgnanPrasarana Material Pihak3</v>
      </c>
      <c r="C124" s="8">
        <f>+SUMIFS('List Petty Cash Jul-Des 25'!$AB:$AB,'List Petty Cash Jul-Des 25'!$I:$I,Sheet1!C$1,'List Petty Cash Jul-Des 25'!$V:$V,Sheet1!$A124,'List Petty Cash Jul-Des 25'!$X:$X,Sheet1!$A123)</f>
        <v>0</v>
      </c>
      <c r="D124" s="8">
        <f>+SUMIFS('List Petty Cash Jul-Des 25'!$AB:$AB,'List Petty Cash Jul-Des 25'!$I:$I,Sheet1!D$1,'List Petty Cash Jul-Des 25'!$V:$V,Sheet1!$A124,'List Petty Cash Jul-Des 25'!$X:$X,Sheet1!$A123)</f>
        <v>0</v>
      </c>
      <c r="E124" s="8">
        <f>+SUMIFS('List Petty Cash Jul-Des 25'!$AB:$AB,'List Petty Cash Jul-Des 25'!$I:$I,Sheet1!E$1,'List Petty Cash Jul-Des 25'!$V:$V,Sheet1!$A124,'List Petty Cash Jul-Des 25'!$X:$X,Sheet1!$A123)</f>
        <v>0</v>
      </c>
      <c r="F124" s="8">
        <f>+SUMIFS('List Petty Cash Jul-Des 25'!$AB:$AB,'List Petty Cash Jul-Des 25'!$I:$I,Sheet1!F$1,'List Petty Cash Jul-Des 25'!$V:$V,Sheet1!$A124,'List Petty Cash Jul-Des 25'!$X:$X,Sheet1!$A123)</f>
        <v>0</v>
      </c>
      <c r="G124" s="8">
        <f>+SUMIFS('List Petty Cash Jul-Des 25'!$AB:$AB,'List Petty Cash Jul-Des 25'!$I:$I,Sheet1!G$1,'List Petty Cash Jul-Des 25'!$V:$V,Sheet1!$A124,'List Petty Cash Jul-Des 25'!$X:$X,Sheet1!$A123)</f>
        <v>0</v>
      </c>
      <c r="H124" s="8">
        <f>+SUMIFS('List Petty Cash Jul-Des 25'!$AB:$AB,'List Petty Cash Jul-Des 25'!$I:$I,Sheet1!H$1,'List Petty Cash Jul-Des 25'!$V:$V,Sheet1!$A124,'List Petty Cash Jul-Des 25'!$X:$X,Sheet1!$A123)</f>
        <v>420000</v>
      </c>
      <c r="I124" s="9">
        <f t="shared" ref="I124:I125" si="37">+SUM(C124:H124)</f>
        <v>420000</v>
      </c>
    </row>
    <row r="125" spans="1:9" x14ac:dyDescent="0.25">
      <c r="A125">
        <v>70101202</v>
      </c>
      <c r="B125" t="str">
        <f t="shared" si="36"/>
        <v>By Pemeliharaan Kend,ABerat,Mesin-Material Pihak3</v>
      </c>
      <c r="C125" s="8">
        <f>+SUMIFS('List Petty Cash Jul-Des 25'!$AB:$AB,'List Petty Cash Jul-Des 25'!$I:$I,Sheet1!C$1,'List Petty Cash Jul-Des 25'!$V:$V,Sheet1!$A125,'List Petty Cash Jul-Des 25'!$X:$X,Sheet1!$A123)</f>
        <v>0</v>
      </c>
      <c r="D125" s="8">
        <f>+SUMIFS('List Petty Cash Jul-Des 25'!$AB:$AB,'List Petty Cash Jul-Des 25'!$I:$I,Sheet1!D$1,'List Petty Cash Jul-Des 25'!$V:$V,Sheet1!$A125,'List Petty Cash Jul-Des 25'!$X:$X,Sheet1!$A123)</f>
        <v>0</v>
      </c>
      <c r="E125" s="8">
        <f>+SUMIFS('List Petty Cash Jul-Des 25'!$AB:$AB,'List Petty Cash Jul-Des 25'!$I:$I,Sheet1!E$1,'List Petty Cash Jul-Des 25'!$V:$V,Sheet1!$A125,'List Petty Cash Jul-Des 25'!$X:$X,Sheet1!$A123)</f>
        <v>0</v>
      </c>
      <c r="F125" s="8">
        <f>+SUMIFS('List Petty Cash Jul-Des 25'!$AB:$AB,'List Petty Cash Jul-Des 25'!$I:$I,Sheet1!F$1,'List Petty Cash Jul-Des 25'!$V:$V,Sheet1!$A125,'List Petty Cash Jul-Des 25'!$X:$X,Sheet1!$A123)</f>
        <v>0</v>
      </c>
      <c r="G125" s="8">
        <f>+SUMIFS('List Petty Cash Jul-Des 25'!$AB:$AB,'List Petty Cash Jul-Des 25'!$I:$I,Sheet1!G$1,'List Petty Cash Jul-Des 25'!$V:$V,Sheet1!$A125,'List Petty Cash Jul-Des 25'!$X:$X,Sheet1!$A123)</f>
        <v>0</v>
      </c>
      <c r="H125" s="8">
        <f>+SUMIFS('List Petty Cash Jul-Des 25'!$AB:$AB,'List Petty Cash Jul-Des 25'!$I:$I,Sheet1!H$1,'List Petty Cash Jul-Des 25'!$V:$V,Sheet1!$A125,'List Petty Cash Jul-Des 25'!$X:$X,Sheet1!$A123)</f>
        <v>875000</v>
      </c>
      <c r="I125" s="9">
        <f t="shared" si="37"/>
        <v>875000</v>
      </c>
    </row>
    <row r="126" spans="1:9" x14ac:dyDescent="0.25">
      <c r="A126" t="s">
        <v>1945</v>
      </c>
    </row>
    <row r="127" spans="1:9" x14ac:dyDescent="0.25">
      <c r="A127">
        <v>70101114</v>
      </c>
      <c r="B127" t="str">
        <f t="shared" ref="B127:B129" si="38">+VLOOKUP(A127,$A$2:$B$27,2,0)</f>
        <v>By Perbaikan &amp; Perawatan Perabot Material Pihak3</v>
      </c>
      <c r="C127" s="8">
        <f>+SUMIFS('List Petty Cash Jul-Des 25'!$AB:$AB,'List Petty Cash Jul-Des 25'!$I:$I,Sheet1!C$1,'List Petty Cash Jul-Des 25'!$V:$V,Sheet1!$A127,'List Petty Cash Jul-Des 25'!$X:$X,Sheet1!$A126)</f>
        <v>0</v>
      </c>
      <c r="D127" s="8">
        <f>+SUMIFS('List Petty Cash Jul-Des 25'!$AB:$AB,'List Petty Cash Jul-Des 25'!$I:$I,Sheet1!D$1,'List Petty Cash Jul-Des 25'!$V:$V,Sheet1!$A127,'List Petty Cash Jul-Des 25'!$X:$X,Sheet1!$A126)</f>
        <v>816000</v>
      </c>
      <c r="E127" s="8">
        <f>+SUMIFS('List Petty Cash Jul-Des 25'!$AB:$AB,'List Petty Cash Jul-Des 25'!$I:$I,Sheet1!E$1,'List Petty Cash Jul-Des 25'!$V:$V,Sheet1!$A127,'List Petty Cash Jul-Des 25'!$X:$X,Sheet1!$A126)</f>
        <v>949000</v>
      </c>
      <c r="F127" s="8">
        <f>+SUMIFS('List Petty Cash Jul-Des 25'!$AB:$AB,'List Petty Cash Jul-Des 25'!$I:$I,Sheet1!F$1,'List Petty Cash Jul-Des 25'!$V:$V,Sheet1!$A127,'List Petty Cash Jul-Des 25'!$X:$X,Sheet1!$A126)</f>
        <v>0</v>
      </c>
      <c r="G127" s="8">
        <f>+SUMIFS('List Petty Cash Jul-Des 25'!$AB:$AB,'List Petty Cash Jul-Des 25'!$I:$I,Sheet1!G$1,'List Petty Cash Jul-Des 25'!$V:$V,Sheet1!$A127,'List Petty Cash Jul-Des 25'!$X:$X,Sheet1!$A126)</f>
        <v>0</v>
      </c>
      <c r="H127" s="8">
        <f>+SUMIFS('List Petty Cash Jul-Des 25'!$AB:$AB,'List Petty Cash Jul-Des 25'!$I:$I,Sheet1!H$1,'List Petty Cash Jul-Des 25'!$V:$V,Sheet1!$A127,'List Petty Cash Jul-Des 25'!$X:$X,Sheet1!$A126)</f>
        <v>0</v>
      </c>
      <c r="I127" s="9">
        <f t="shared" ref="I127:I129" si="39">+SUM(C127:H127)</f>
        <v>1765000</v>
      </c>
    </row>
    <row r="128" spans="1:9" x14ac:dyDescent="0.25">
      <c r="A128">
        <v>70101202</v>
      </c>
      <c r="B128" t="str">
        <f t="shared" si="38"/>
        <v>By Pemeliharaan Kend,ABerat,Mesin-Material Pihak3</v>
      </c>
      <c r="C128" s="8">
        <f>+SUMIFS('List Petty Cash Jul-Des 25'!$AB:$AB,'List Petty Cash Jul-Des 25'!$I:$I,Sheet1!C$1,'List Petty Cash Jul-Des 25'!$V:$V,Sheet1!$A128,'List Petty Cash Jul-Des 25'!$X:$X,Sheet1!$A126)</f>
        <v>1793700</v>
      </c>
      <c r="D128" s="8">
        <f>+SUMIFS('List Petty Cash Jul-Des 25'!$AB:$AB,'List Petty Cash Jul-Des 25'!$I:$I,Sheet1!D$1,'List Petty Cash Jul-Des 25'!$V:$V,Sheet1!$A128,'List Petty Cash Jul-Des 25'!$X:$X,Sheet1!$A126)</f>
        <v>0</v>
      </c>
      <c r="E128" s="8">
        <f>+SUMIFS('List Petty Cash Jul-Des 25'!$AB:$AB,'List Petty Cash Jul-Des 25'!$I:$I,Sheet1!E$1,'List Petty Cash Jul-Des 25'!$V:$V,Sheet1!$A128,'List Petty Cash Jul-Des 25'!$X:$X,Sheet1!$A126)</f>
        <v>1562000</v>
      </c>
      <c r="F128" s="8">
        <f>+SUMIFS('List Petty Cash Jul-Des 25'!$AB:$AB,'List Petty Cash Jul-Des 25'!$I:$I,Sheet1!F$1,'List Petty Cash Jul-Des 25'!$V:$V,Sheet1!$A128,'List Petty Cash Jul-Des 25'!$X:$X,Sheet1!$A126)</f>
        <v>1052280</v>
      </c>
      <c r="G128" s="8">
        <f>+SUMIFS('List Petty Cash Jul-Des 25'!$AB:$AB,'List Petty Cash Jul-Des 25'!$I:$I,Sheet1!G$1,'List Petty Cash Jul-Des 25'!$V:$V,Sheet1!$A128,'List Petty Cash Jul-Des 25'!$X:$X,Sheet1!$A126)</f>
        <v>0</v>
      </c>
      <c r="H128" s="8">
        <f>+SUMIFS('List Petty Cash Jul-Des 25'!$AB:$AB,'List Petty Cash Jul-Des 25'!$I:$I,Sheet1!H$1,'List Petty Cash Jul-Des 25'!$V:$V,Sheet1!$A128,'List Petty Cash Jul-Des 25'!$X:$X,Sheet1!$A126)</f>
        <v>0</v>
      </c>
      <c r="I128" s="9">
        <f t="shared" si="39"/>
        <v>4407980</v>
      </c>
    </row>
    <row r="129" spans="1:9" x14ac:dyDescent="0.25">
      <c r="A129">
        <v>70107600</v>
      </c>
      <c r="B129" t="str">
        <f t="shared" si="38"/>
        <v>Biaya Konsumsi Kantor</v>
      </c>
      <c r="C129" s="8">
        <f>+SUMIFS('List Petty Cash Jul-Des 25'!$AB:$AB,'List Petty Cash Jul-Des 25'!$I:$I,Sheet1!C$1,'List Petty Cash Jul-Des 25'!$V:$V,Sheet1!$A129,'List Petty Cash Jul-Des 25'!$X:$X,Sheet1!$A126)</f>
        <v>0</v>
      </c>
      <c r="D129" s="8">
        <f>+SUMIFS('List Petty Cash Jul-Des 25'!$AB:$AB,'List Petty Cash Jul-Des 25'!$I:$I,Sheet1!D$1,'List Petty Cash Jul-Des 25'!$V:$V,Sheet1!$A129,'List Petty Cash Jul-Des 25'!$X:$X,Sheet1!$A126)</f>
        <v>0</v>
      </c>
      <c r="E129" s="8">
        <f>+SUMIFS('List Petty Cash Jul-Des 25'!$AB:$AB,'List Petty Cash Jul-Des 25'!$I:$I,Sheet1!E$1,'List Petty Cash Jul-Des 25'!$V:$V,Sheet1!$A129,'List Petty Cash Jul-Des 25'!$X:$X,Sheet1!$A126)</f>
        <v>0</v>
      </c>
      <c r="F129" s="8">
        <f>+SUMIFS('List Petty Cash Jul-Des 25'!$AB:$AB,'List Petty Cash Jul-Des 25'!$I:$I,Sheet1!F$1,'List Petty Cash Jul-Des 25'!$V:$V,Sheet1!$A129,'List Petty Cash Jul-Des 25'!$X:$X,Sheet1!$A126)</f>
        <v>477000</v>
      </c>
      <c r="G129" s="8">
        <f>+SUMIFS('List Petty Cash Jul-Des 25'!$AB:$AB,'List Petty Cash Jul-Des 25'!$I:$I,Sheet1!G$1,'List Petty Cash Jul-Des 25'!$V:$V,Sheet1!$A129,'List Petty Cash Jul-Des 25'!$X:$X,Sheet1!$A126)</f>
        <v>0</v>
      </c>
      <c r="H129" s="8">
        <f>+SUMIFS('List Petty Cash Jul-Des 25'!$AB:$AB,'List Petty Cash Jul-Des 25'!$I:$I,Sheet1!H$1,'List Petty Cash Jul-Des 25'!$V:$V,Sheet1!$A129,'List Petty Cash Jul-Des 25'!$X:$X,Sheet1!$A126)</f>
        <v>0</v>
      </c>
      <c r="I129" s="9">
        <f t="shared" si="39"/>
        <v>477000</v>
      </c>
    </row>
    <row r="130" spans="1:9" x14ac:dyDescent="0.25">
      <c r="A130" t="s">
        <v>1928</v>
      </c>
    </row>
    <row r="131" spans="1:9" x14ac:dyDescent="0.25">
      <c r="A131">
        <v>70101202</v>
      </c>
      <c r="B131" t="str">
        <f t="shared" ref="B131:B132" si="40">+VLOOKUP(A131,$A$2:$B$27,2,0)</f>
        <v>By Pemeliharaan Kend,ABerat,Mesin-Material Pihak3</v>
      </c>
      <c r="C131" s="8">
        <f>+SUMIFS('List Petty Cash Jul-Des 25'!$AB:$AB,'List Petty Cash Jul-Des 25'!$I:$I,Sheet1!C$1,'List Petty Cash Jul-Des 25'!$V:$V,Sheet1!$A131,'List Petty Cash Jul-Des 25'!$X:$X,Sheet1!$A130)</f>
        <v>322008</v>
      </c>
      <c r="D131" s="8">
        <f>+SUMIFS('List Petty Cash Jul-Des 25'!$AB:$AB,'List Petty Cash Jul-Des 25'!$I:$I,Sheet1!D$1,'List Petty Cash Jul-Des 25'!$V:$V,Sheet1!$A131,'List Petty Cash Jul-Des 25'!$X:$X,Sheet1!$A130)</f>
        <v>428500</v>
      </c>
      <c r="E131" s="8">
        <f>+SUMIFS('List Petty Cash Jul-Des 25'!$AB:$AB,'List Petty Cash Jul-Des 25'!$I:$I,Sheet1!E$1,'List Petty Cash Jul-Des 25'!$V:$V,Sheet1!$A131,'List Petty Cash Jul-Des 25'!$X:$X,Sheet1!$A130)</f>
        <v>0</v>
      </c>
      <c r="F131" s="8">
        <f>+SUMIFS('List Petty Cash Jul-Des 25'!$AB:$AB,'List Petty Cash Jul-Des 25'!$I:$I,Sheet1!F$1,'List Petty Cash Jul-Des 25'!$V:$V,Sheet1!$A131,'List Petty Cash Jul-Des 25'!$X:$X,Sheet1!$A130)</f>
        <v>0</v>
      </c>
      <c r="G131" s="8">
        <f>+SUMIFS('List Petty Cash Jul-Des 25'!$AB:$AB,'List Petty Cash Jul-Des 25'!$I:$I,Sheet1!G$1,'List Petty Cash Jul-Des 25'!$V:$V,Sheet1!$A131,'List Petty Cash Jul-Des 25'!$X:$X,Sheet1!$A130)</f>
        <v>591120</v>
      </c>
      <c r="H131" s="8">
        <f>+SUMIFS('List Petty Cash Jul-Des 25'!$AB:$AB,'List Petty Cash Jul-Des 25'!$I:$I,Sheet1!H$1,'List Petty Cash Jul-Des 25'!$V:$V,Sheet1!$A131,'List Petty Cash Jul-Des 25'!$X:$X,Sheet1!$A130)</f>
        <v>0</v>
      </c>
      <c r="I131" s="9">
        <f t="shared" ref="I131:I132" si="41">+SUM(C131:H131)</f>
        <v>1341628</v>
      </c>
    </row>
    <row r="132" spans="1:9" x14ac:dyDescent="0.25">
      <c r="A132">
        <v>70107600</v>
      </c>
      <c r="B132" t="str">
        <f t="shared" si="40"/>
        <v>Biaya Konsumsi Kantor</v>
      </c>
      <c r="C132" s="8">
        <f>+SUMIFS('List Petty Cash Jul-Des 25'!$AB:$AB,'List Petty Cash Jul-Des 25'!$I:$I,Sheet1!C$1,'List Petty Cash Jul-Des 25'!$V:$V,Sheet1!$A132,'List Petty Cash Jul-Des 25'!$X:$X,Sheet1!$A130)</f>
        <v>0</v>
      </c>
      <c r="D132" s="8">
        <f>+SUMIFS('List Petty Cash Jul-Des 25'!$AB:$AB,'List Petty Cash Jul-Des 25'!$I:$I,Sheet1!D$1,'List Petty Cash Jul-Des 25'!$V:$V,Sheet1!$A132,'List Petty Cash Jul-Des 25'!$X:$X,Sheet1!$A130)</f>
        <v>0</v>
      </c>
      <c r="E132" s="8">
        <f>+SUMIFS('List Petty Cash Jul-Des 25'!$AB:$AB,'List Petty Cash Jul-Des 25'!$I:$I,Sheet1!E$1,'List Petty Cash Jul-Des 25'!$V:$V,Sheet1!$A132,'List Petty Cash Jul-Des 25'!$X:$X,Sheet1!$A130)</f>
        <v>0</v>
      </c>
      <c r="F132" s="8">
        <f>+SUMIFS('List Petty Cash Jul-Des 25'!$AB:$AB,'List Petty Cash Jul-Des 25'!$I:$I,Sheet1!F$1,'List Petty Cash Jul-Des 25'!$V:$V,Sheet1!$A132,'List Petty Cash Jul-Des 25'!$X:$X,Sheet1!$A130)</f>
        <v>519520</v>
      </c>
      <c r="G132" s="8">
        <f>+SUMIFS('List Petty Cash Jul-Des 25'!$AB:$AB,'List Petty Cash Jul-Des 25'!$I:$I,Sheet1!G$1,'List Petty Cash Jul-Des 25'!$V:$V,Sheet1!$A132,'List Petty Cash Jul-Des 25'!$X:$X,Sheet1!$A130)</f>
        <v>0</v>
      </c>
      <c r="H132" s="8">
        <f>+SUMIFS('List Petty Cash Jul-Des 25'!$AB:$AB,'List Petty Cash Jul-Des 25'!$I:$I,Sheet1!H$1,'List Petty Cash Jul-Des 25'!$V:$V,Sheet1!$A132,'List Petty Cash Jul-Des 25'!$X:$X,Sheet1!$A130)</f>
        <v>0</v>
      </c>
      <c r="I132" s="9">
        <f t="shared" si="41"/>
        <v>519520</v>
      </c>
    </row>
    <row r="133" spans="1:9" x14ac:dyDescent="0.25">
      <c r="A133" t="s">
        <v>1953</v>
      </c>
    </row>
    <row r="134" spans="1:9" x14ac:dyDescent="0.25">
      <c r="A134">
        <v>70101114</v>
      </c>
      <c r="B134" t="str">
        <f t="shared" ref="B134:B136" si="42">+VLOOKUP(A134,$A$2:$B$27,2,0)</f>
        <v>By Perbaikan &amp; Perawatan Perabot Material Pihak3</v>
      </c>
      <c r="C134" s="8">
        <f>+SUMIFS('List Petty Cash Jul-Des 25'!$AB:$AB,'List Petty Cash Jul-Des 25'!$I:$I,Sheet1!C$1,'List Petty Cash Jul-Des 25'!$V:$V,Sheet1!$A134,'List Petty Cash Jul-Des 25'!$X:$X,Sheet1!$A133)</f>
        <v>143900</v>
      </c>
      <c r="D134" s="8">
        <f>+SUMIFS('List Petty Cash Jul-Des 25'!$AB:$AB,'List Petty Cash Jul-Des 25'!$I:$I,Sheet1!D$1,'List Petty Cash Jul-Des 25'!$V:$V,Sheet1!$A134,'List Petty Cash Jul-Des 25'!$X:$X,Sheet1!$A133)</f>
        <v>45000</v>
      </c>
      <c r="E134" s="8">
        <f>+SUMIFS('List Petty Cash Jul-Des 25'!$AB:$AB,'List Petty Cash Jul-Des 25'!$I:$I,Sheet1!E$1,'List Petty Cash Jul-Des 25'!$V:$V,Sheet1!$A134,'List Petty Cash Jul-Des 25'!$X:$X,Sheet1!$A133)</f>
        <v>0</v>
      </c>
      <c r="F134" s="8">
        <f>+SUMIFS('List Petty Cash Jul-Des 25'!$AB:$AB,'List Petty Cash Jul-Des 25'!$I:$I,Sheet1!F$1,'List Petty Cash Jul-Des 25'!$V:$V,Sheet1!$A134,'List Petty Cash Jul-Des 25'!$X:$X,Sheet1!$A133)</f>
        <v>0</v>
      </c>
      <c r="G134" s="8">
        <f>+SUMIFS('List Petty Cash Jul-Des 25'!$AB:$AB,'List Petty Cash Jul-Des 25'!$I:$I,Sheet1!G$1,'List Petty Cash Jul-Des 25'!$V:$V,Sheet1!$A134,'List Petty Cash Jul-Des 25'!$X:$X,Sheet1!$A133)</f>
        <v>0</v>
      </c>
      <c r="H134" s="8">
        <f>+SUMIFS('List Petty Cash Jul-Des 25'!$AB:$AB,'List Petty Cash Jul-Des 25'!$I:$I,Sheet1!H$1,'List Petty Cash Jul-Des 25'!$V:$V,Sheet1!$A134,'List Petty Cash Jul-Des 25'!$X:$X,Sheet1!$A133)</f>
        <v>0</v>
      </c>
      <c r="I134" s="9">
        <f t="shared" ref="I134:I136" si="43">+SUM(C134:H134)</f>
        <v>188900</v>
      </c>
    </row>
    <row r="135" spans="1:9" x14ac:dyDescent="0.25">
      <c r="A135">
        <v>70106100</v>
      </c>
      <c r="B135" t="str">
        <f t="shared" si="42"/>
        <v>Biaya Transportasi Lokal</v>
      </c>
      <c r="C135" s="8">
        <f>+SUMIFS('List Petty Cash Jul-Des 25'!$AB:$AB,'List Petty Cash Jul-Des 25'!$I:$I,Sheet1!C$1,'List Petty Cash Jul-Des 25'!$V:$V,Sheet1!$A135,'List Petty Cash Jul-Des 25'!$X:$X,Sheet1!$A133)</f>
        <v>0</v>
      </c>
      <c r="D135" s="8">
        <f>+SUMIFS('List Petty Cash Jul-Des 25'!$AB:$AB,'List Petty Cash Jul-Des 25'!$I:$I,Sheet1!D$1,'List Petty Cash Jul-Des 25'!$V:$V,Sheet1!$A135,'List Petty Cash Jul-Des 25'!$X:$X,Sheet1!$A133)</f>
        <v>0</v>
      </c>
      <c r="E135" s="8">
        <f>+SUMIFS('List Petty Cash Jul-Des 25'!$AB:$AB,'List Petty Cash Jul-Des 25'!$I:$I,Sheet1!E$1,'List Petty Cash Jul-Des 25'!$V:$V,Sheet1!$A135,'List Petty Cash Jul-Des 25'!$X:$X,Sheet1!$A133)</f>
        <v>0</v>
      </c>
      <c r="F135" s="8">
        <f>+SUMIFS('List Petty Cash Jul-Des 25'!$AB:$AB,'List Petty Cash Jul-Des 25'!$I:$I,Sheet1!F$1,'List Petty Cash Jul-Des 25'!$V:$V,Sheet1!$A135,'List Petty Cash Jul-Des 25'!$X:$X,Sheet1!$A133)</f>
        <v>202500</v>
      </c>
      <c r="G135" s="8">
        <f>+SUMIFS('List Petty Cash Jul-Des 25'!$AB:$AB,'List Petty Cash Jul-Des 25'!$I:$I,Sheet1!G$1,'List Petty Cash Jul-Des 25'!$V:$V,Sheet1!$A135,'List Petty Cash Jul-Des 25'!$X:$X,Sheet1!$A133)</f>
        <v>0</v>
      </c>
      <c r="H135" s="8">
        <f>+SUMIFS('List Petty Cash Jul-Des 25'!$AB:$AB,'List Petty Cash Jul-Des 25'!$I:$I,Sheet1!H$1,'List Petty Cash Jul-Des 25'!$V:$V,Sheet1!$A135,'List Petty Cash Jul-Des 25'!$X:$X,Sheet1!$A133)</f>
        <v>0</v>
      </c>
      <c r="I135" s="9">
        <f t="shared" si="43"/>
        <v>202500</v>
      </c>
    </row>
    <row r="136" spans="1:9" x14ac:dyDescent="0.25">
      <c r="A136">
        <v>70107600</v>
      </c>
      <c r="B136" t="str">
        <f t="shared" si="42"/>
        <v>Biaya Konsumsi Kantor</v>
      </c>
      <c r="C136" s="8">
        <f>+SUMIFS('List Petty Cash Jul-Des 25'!$AB:$AB,'List Petty Cash Jul-Des 25'!$I:$I,Sheet1!C$1,'List Petty Cash Jul-Des 25'!$V:$V,Sheet1!$A136,'List Petty Cash Jul-Des 25'!$X:$X,Sheet1!$A133)</f>
        <v>50000</v>
      </c>
      <c r="D136" s="8">
        <f>+SUMIFS('List Petty Cash Jul-Des 25'!$AB:$AB,'List Petty Cash Jul-Des 25'!$I:$I,Sheet1!D$1,'List Petty Cash Jul-Des 25'!$V:$V,Sheet1!$A136,'List Petty Cash Jul-Des 25'!$X:$X,Sheet1!$A133)</f>
        <v>25000</v>
      </c>
      <c r="E136" s="8">
        <f>+SUMIFS('List Petty Cash Jul-Des 25'!$AB:$AB,'List Petty Cash Jul-Des 25'!$I:$I,Sheet1!E$1,'List Petty Cash Jul-Des 25'!$V:$V,Sheet1!$A136,'List Petty Cash Jul-Des 25'!$X:$X,Sheet1!$A133)</f>
        <v>50000</v>
      </c>
      <c r="F136" s="8">
        <f>+SUMIFS('List Petty Cash Jul-Des 25'!$AB:$AB,'List Petty Cash Jul-Des 25'!$I:$I,Sheet1!F$1,'List Petty Cash Jul-Des 25'!$V:$V,Sheet1!$A136,'List Petty Cash Jul-Des 25'!$X:$X,Sheet1!$A133)</f>
        <v>200000</v>
      </c>
      <c r="G136" s="8">
        <f>+SUMIFS('List Petty Cash Jul-Des 25'!$AB:$AB,'List Petty Cash Jul-Des 25'!$I:$I,Sheet1!G$1,'List Petty Cash Jul-Des 25'!$V:$V,Sheet1!$A136,'List Petty Cash Jul-Des 25'!$X:$X,Sheet1!$A133)</f>
        <v>525000</v>
      </c>
      <c r="H136" s="8">
        <f>+SUMIFS('List Petty Cash Jul-Des 25'!$AB:$AB,'List Petty Cash Jul-Des 25'!$I:$I,Sheet1!H$1,'List Petty Cash Jul-Des 25'!$V:$V,Sheet1!$A136,'List Petty Cash Jul-Des 25'!$X:$X,Sheet1!$A133)</f>
        <v>50000</v>
      </c>
      <c r="I136" s="9">
        <f t="shared" si="43"/>
        <v>900000</v>
      </c>
    </row>
    <row r="137" spans="1:9" x14ac:dyDescent="0.25">
      <c r="A137" t="s">
        <v>1926</v>
      </c>
    </row>
    <row r="138" spans="1:9" x14ac:dyDescent="0.25">
      <c r="A138">
        <v>70101114</v>
      </c>
      <c r="B138" t="str">
        <f t="shared" ref="B138:B140" si="44">+VLOOKUP(A138,$A$2:$B$27,2,0)</f>
        <v>By Perbaikan &amp; Perawatan Perabot Material Pihak3</v>
      </c>
      <c r="C138" s="8">
        <f>+SUMIFS('List Petty Cash Jul-Des 25'!$AB:$AB,'List Petty Cash Jul-Des 25'!$I:$I,Sheet1!C$1,'List Petty Cash Jul-Des 25'!$V:$V,Sheet1!$A138,'List Petty Cash Jul-Des 25'!$X:$X,Sheet1!$A137)</f>
        <v>954127</v>
      </c>
      <c r="D138" s="8">
        <f>+SUMIFS('List Petty Cash Jul-Des 25'!$AB:$AB,'List Petty Cash Jul-Des 25'!$I:$I,Sheet1!D$1,'List Petty Cash Jul-Des 25'!$V:$V,Sheet1!$A138,'List Petty Cash Jul-Des 25'!$X:$X,Sheet1!$A137)</f>
        <v>0</v>
      </c>
      <c r="E138" s="8">
        <f>+SUMIFS('List Petty Cash Jul-Des 25'!$AB:$AB,'List Petty Cash Jul-Des 25'!$I:$I,Sheet1!E$1,'List Petty Cash Jul-Des 25'!$V:$V,Sheet1!$A138,'List Petty Cash Jul-Des 25'!$X:$X,Sheet1!$A137)</f>
        <v>0</v>
      </c>
      <c r="F138" s="8">
        <f>+SUMIFS('List Petty Cash Jul-Des 25'!$AB:$AB,'List Petty Cash Jul-Des 25'!$I:$I,Sheet1!F$1,'List Petty Cash Jul-Des 25'!$V:$V,Sheet1!$A138,'List Petty Cash Jul-Des 25'!$X:$X,Sheet1!$A137)</f>
        <v>0</v>
      </c>
      <c r="G138" s="8">
        <f>+SUMIFS('List Petty Cash Jul-Des 25'!$AB:$AB,'List Petty Cash Jul-Des 25'!$I:$I,Sheet1!G$1,'List Petty Cash Jul-Des 25'!$V:$V,Sheet1!$A138,'List Petty Cash Jul-Des 25'!$X:$X,Sheet1!$A137)</f>
        <v>0</v>
      </c>
      <c r="H138" s="8">
        <f>+SUMIFS('List Petty Cash Jul-Des 25'!$AB:$AB,'List Petty Cash Jul-Des 25'!$I:$I,Sheet1!H$1,'List Petty Cash Jul-Des 25'!$V:$V,Sheet1!$A138,'List Petty Cash Jul-Des 25'!$X:$X,Sheet1!$A137)</f>
        <v>0</v>
      </c>
      <c r="I138" s="9">
        <f t="shared" ref="I138:I140" si="45">+SUM(C138:H138)</f>
        <v>954127</v>
      </c>
    </row>
    <row r="139" spans="1:9" x14ac:dyDescent="0.25">
      <c r="A139">
        <v>70101202</v>
      </c>
      <c r="B139" t="str">
        <f t="shared" si="44"/>
        <v>By Pemeliharaan Kend,ABerat,Mesin-Material Pihak3</v>
      </c>
      <c r="C139" s="8">
        <f>+SUMIFS('List Petty Cash Jul-Des 25'!$AB:$AB,'List Petty Cash Jul-Des 25'!$I:$I,Sheet1!C$1,'List Petty Cash Jul-Des 25'!$V:$V,Sheet1!$A139,'List Petty Cash Jul-Des 25'!$X:$X,Sheet1!$A137)</f>
        <v>940000</v>
      </c>
      <c r="D139" s="8">
        <f>+SUMIFS('List Petty Cash Jul-Des 25'!$AB:$AB,'List Petty Cash Jul-Des 25'!$I:$I,Sheet1!D$1,'List Petty Cash Jul-Des 25'!$V:$V,Sheet1!$A139,'List Petty Cash Jul-Des 25'!$X:$X,Sheet1!$A137)</f>
        <v>0</v>
      </c>
      <c r="E139" s="8">
        <f>+SUMIFS('List Petty Cash Jul-Des 25'!$AB:$AB,'List Petty Cash Jul-Des 25'!$I:$I,Sheet1!E$1,'List Petty Cash Jul-Des 25'!$V:$V,Sheet1!$A139,'List Petty Cash Jul-Des 25'!$X:$X,Sheet1!$A137)</f>
        <v>0</v>
      </c>
      <c r="F139" s="8">
        <f>+SUMIFS('List Petty Cash Jul-Des 25'!$AB:$AB,'List Petty Cash Jul-Des 25'!$I:$I,Sheet1!F$1,'List Petty Cash Jul-Des 25'!$V:$V,Sheet1!$A139,'List Petty Cash Jul-Des 25'!$X:$X,Sheet1!$A137)</f>
        <v>2804000</v>
      </c>
      <c r="G139" s="8">
        <f>+SUMIFS('List Petty Cash Jul-Des 25'!$AB:$AB,'List Petty Cash Jul-Des 25'!$I:$I,Sheet1!G$1,'List Petty Cash Jul-Des 25'!$V:$V,Sheet1!$A139,'List Petty Cash Jul-Des 25'!$X:$X,Sheet1!$A137)</f>
        <v>0</v>
      </c>
      <c r="H139" s="8">
        <f>+SUMIFS('List Petty Cash Jul-Des 25'!$AB:$AB,'List Petty Cash Jul-Des 25'!$I:$I,Sheet1!H$1,'List Petty Cash Jul-Des 25'!$V:$V,Sheet1!$A139,'List Petty Cash Jul-Des 25'!$X:$X,Sheet1!$A137)</f>
        <v>0</v>
      </c>
      <c r="I139" s="9">
        <f t="shared" si="45"/>
        <v>3744000</v>
      </c>
    </row>
    <row r="140" spans="1:9" x14ac:dyDescent="0.25">
      <c r="A140">
        <v>70107600</v>
      </c>
      <c r="B140" t="str">
        <f t="shared" si="44"/>
        <v>Biaya Konsumsi Kantor</v>
      </c>
      <c r="C140" s="8">
        <f>+SUMIFS('List Petty Cash Jul-Des 25'!$AB:$AB,'List Petty Cash Jul-Des 25'!$I:$I,Sheet1!C$1,'List Petty Cash Jul-Des 25'!$V:$V,Sheet1!$A140,'List Petty Cash Jul-Des 25'!$X:$X,Sheet1!$A137)</f>
        <v>0</v>
      </c>
      <c r="D140" s="8">
        <f>+SUMIFS('List Petty Cash Jul-Des 25'!$AB:$AB,'List Petty Cash Jul-Des 25'!$I:$I,Sheet1!D$1,'List Petty Cash Jul-Des 25'!$V:$V,Sheet1!$A140,'List Petty Cash Jul-Des 25'!$X:$X,Sheet1!$A137)</f>
        <v>0</v>
      </c>
      <c r="E140" s="8">
        <f>+SUMIFS('List Petty Cash Jul-Des 25'!$AB:$AB,'List Petty Cash Jul-Des 25'!$I:$I,Sheet1!E$1,'List Petty Cash Jul-Des 25'!$V:$V,Sheet1!$A140,'List Petty Cash Jul-Des 25'!$X:$X,Sheet1!$A137)</f>
        <v>0</v>
      </c>
      <c r="F140" s="8">
        <f>+SUMIFS('List Petty Cash Jul-Des 25'!$AB:$AB,'List Petty Cash Jul-Des 25'!$I:$I,Sheet1!F$1,'List Petty Cash Jul-Des 25'!$V:$V,Sheet1!$A140,'List Petty Cash Jul-Des 25'!$X:$X,Sheet1!$A137)</f>
        <v>0</v>
      </c>
      <c r="G140" s="8">
        <f>+SUMIFS('List Petty Cash Jul-Des 25'!$AB:$AB,'List Petty Cash Jul-Des 25'!$I:$I,Sheet1!G$1,'List Petty Cash Jul-Des 25'!$V:$V,Sheet1!$A140,'List Petty Cash Jul-Des 25'!$X:$X,Sheet1!$A137)</f>
        <v>992050</v>
      </c>
      <c r="H140" s="8">
        <f>+SUMIFS('List Petty Cash Jul-Des 25'!$AB:$AB,'List Petty Cash Jul-Des 25'!$I:$I,Sheet1!H$1,'List Petty Cash Jul-Des 25'!$V:$V,Sheet1!$A140,'List Petty Cash Jul-Des 25'!$X:$X,Sheet1!$A137)</f>
        <v>0</v>
      </c>
      <c r="I140" s="9">
        <f t="shared" si="45"/>
        <v>992050</v>
      </c>
    </row>
    <row r="141" spans="1:9" x14ac:dyDescent="0.25">
      <c r="A141" t="s">
        <v>1959</v>
      </c>
    </row>
    <row r="142" spans="1:9" x14ac:dyDescent="0.25">
      <c r="A142">
        <v>70101114</v>
      </c>
      <c r="B142" t="str">
        <f t="shared" ref="B142:B148" si="46">+VLOOKUP(A142,$A$2:$B$27,2,0)</f>
        <v>By Perbaikan &amp; Perawatan Perabot Material Pihak3</v>
      </c>
      <c r="C142" s="8">
        <f>+SUMIFS('List Petty Cash Jul-Des 25'!$AB:$AB,'List Petty Cash Jul-Des 25'!$I:$I,Sheet1!C$1,'List Petty Cash Jul-Des 25'!$V:$V,Sheet1!$A142,'List Petty Cash Jul-Des 25'!$X:$X,Sheet1!$A141)</f>
        <v>1429304</v>
      </c>
      <c r="D142" s="8">
        <f>+SUMIFS('List Petty Cash Jul-Des 25'!$AB:$AB,'List Petty Cash Jul-Des 25'!$I:$I,Sheet1!D$1,'List Petty Cash Jul-Des 25'!$V:$V,Sheet1!$A142,'List Petty Cash Jul-Des 25'!$X:$X,Sheet1!$A141)</f>
        <v>87976</v>
      </c>
      <c r="E142" s="8">
        <f>+SUMIFS('List Petty Cash Jul-Des 25'!$AB:$AB,'List Petty Cash Jul-Des 25'!$I:$I,Sheet1!E$1,'List Petty Cash Jul-Des 25'!$V:$V,Sheet1!$A142,'List Petty Cash Jul-Des 25'!$X:$X,Sheet1!$A141)</f>
        <v>1409300</v>
      </c>
      <c r="F142" s="8">
        <f>+SUMIFS('List Petty Cash Jul-Des 25'!$AB:$AB,'List Petty Cash Jul-Des 25'!$I:$I,Sheet1!F$1,'List Petty Cash Jul-Des 25'!$V:$V,Sheet1!$A142,'List Petty Cash Jul-Des 25'!$X:$X,Sheet1!$A141)</f>
        <v>794700</v>
      </c>
      <c r="G142" s="8">
        <f>+SUMIFS('List Petty Cash Jul-Des 25'!$AB:$AB,'List Petty Cash Jul-Des 25'!$I:$I,Sheet1!G$1,'List Petty Cash Jul-Des 25'!$V:$V,Sheet1!$A142,'List Petty Cash Jul-Des 25'!$X:$X,Sheet1!$A141)</f>
        <v>977820</v>
      </c>
      <c r="H142" s="8">
        <f>+SUMIFS('List Petty Cash Jul-Des 25'!$AB:$AB,'List Petty Cash Jul-Des 25'!$I:$I,Sheet1!H$1,'List Petty Cash Jul-Des 25'!$V:$V,Sheet1!$A142,'List Petty Cash Jul-Des 25'!$X:$X,Sheet1!$A141)</f>
        <v>5685199</v>
      </c>
      <c r="I142" s="9">
        <f t="shared" ref="I142:I148" si="47">+SUM(C142:H142)</f>
        <v>10384299</v>
      </c>
    </row>
    <row r="143" spans="1:9" x14ac:dyDescent="0.25">
      <c r="A143">
        <v>70106100</v>
      </c>
      <c r="B143" t="str">
        <f t="shared" si="46"/>
        <v>Biaya Transportasi Lokal</v>
      </c>
      <c r="C143" s="8">
        <f>+SUMIFS('List Petty Cash Jul-Des 25'!$AB:$AB,'List Petty Cash Jul-Des 25'!$I:$I,Sheet1!C$1,'List Petty Cash Jul-Des 25'!$V:$V,Sheet1!$A143,'List Petty Cash Jul-Des 25'!$X:$X,Sheet1!$A141)</f>
        <v>217000</v>
      </c>
      <c r="D143" s="8">
        <f>+SUMIFS('List Petty Cash Jul-Des 25'!$AB:$AB,'List Petty Cash Jul-Des 25'!$I:$I,Sheet1!D$1,'List Petty Cash Jul-Des 25'!$V:$V,Sheet1!$A143,'List Petty Cash Jul-Des 25'!$X:$X,Sheet1!$A141)</f>
        <v>0</v>
      </c>
      <c r="E143" s="8">
        <f>+SUMIFS('List Petty Cash Jul-Des 25'!$AB:$AB,'List Petty Cash Jul-Des 25'!$I:$I,Sheet1!E$1,'List Petty Cash Jul-Des 25'!$V:$V,Sheet1!$A143,'List Petty Cash Jul-Des 25'!$X:$X,Sheet1!$A141)</f>
        <v>95000</v>
      </c>
      <c r="F143" s="8">
        <f>+SUMIFS('List Petty Cash Jul-Des 25'!$AB:$AB,'List Petty Cash Jul-Des 25'!$I:$I,Sheet1!F$1,'List Petty Cash Jul-Des 25'!$V:$V,Sheet1!$A143,'List Petty Cash Jul-Des 25'!$X:$X,Sheet1!$A141)</f>
        <v>0</v>
      </c>
      <c r="G143" s="8">
        <f>+SUMIFS('List Petty Cash Jul-Des 25'!$AB:$AB,'List Petty Cash Jul-Des 25'!$I:$I,Sheet1!G$1,'List Petty Cash Jul-Des 25'!$V:$V,Sheet1!$A143,'List Petty Cash Jul-Des 25'!$X:$X,Sheet1!$A141)</f>
        <v>0</v>
      </c>
      <c r="H143" s="8">
        <f>+SUMIFS('List Petty Cash Jul-Des 25'!$AB:$AB,'List Petty Cash Jul-Des 25'!$I:$I,Sheet1!H$1,'List Petty Cash Jul-Des 25'!$V:$V,Sheet1!$A143,'List Petty Cash Jul-Des 25'!$X:$X,Sheet1!$A141)</f>
        <v>137000</v>
      </c>
      <c r="I143" s="9">
        <f t="shared" si="47"/>
        <v>449000</v>
      </c>
    </row>
    <row r="144" spans="1:9" x14ac:dyDescent="0.25">
      <c r="A144">
        <v>70107500</v>
      </c>
      <c r="B144" t="str">
        <f t="shared" si="46"/>
        <v>Biaya Sumbangan Sosial</v>
      </c>
      <c r="C144" s="8">
        <f>+SUMIFS('List Petty Cash Jul-Des 25'!$AB:$AB,'List Petty Cash Jul-Des 25'!$I:$I,Sheet1!C$1,'List Petty Cash Jul-Des 25'!$V:$V,Sheet1!$A144,'List Petty Cash Jul-Des 25'!$X:$X,Sheet1!$A141)</f>
        <v>0</v>
      </c>
      <c r="D144" s="8">
        <f>+SUMIFS('List Petty Cash Jul-Des 25'!$AB:$AB,'List Petty Cash Jul-Des 25'!$I:$I,Sheet1!D$1,'List Petty Cash Jul-Des 25'!$V:$V,Sheet1!$A144,'List Petty Cash Jul-Des 25'!$X:$X,Sheet1!$A141)</f>
        <v>0</v>
      </c>
      <c r="E144" s="8">
        <f>+SUMIFS('List Petty Cash Jul-Des 25'!$AB:$AB,'List Petty Cash Jul-Des 25'!$I:$I,Sheet1!E$1,'List Petty Cash Jul-Des 25'!$V:$V,Sheet1!$A144,'List Petty Cash Jul-Des 25'!$X:$X,Sheet1!$A141)</f>
        <v>0</v>
      </c>
      <c r="F144" s="8">
        <f>+SUMIFS('List Petty Cash Jul-Des 25'!$AB:$AB,'List Petty Cash Jul-Des 25'!$I:$I,Sheet1!F$1,'List Petty Cash Jul-Des 25'!$V:$V,Sheet1!$A144,'List Petty Cash Jul-Des 25'!$X:$X,Sheet1!$A141)</f>
        <v>0</v>
      </c>
      <c r="G144" s="8">
        <f>+SUMIFS('List Petty Cash Jul-Des 25'!$AB:$AB,'List Petty Cash Jul-Des 25'!$I:$I,Sheet1!G$1,'List Petty Cash Jul-Des 25'!$V:$V,Sheet1!$A144,'List Petty Cash Jul-Des 25'!$X:$X,Sheet1!$A141)</f>
        <v>0</v>
      </c>
      <c r="H144" s="8">
        <f>+SUMIFS('List Petty Cash Jul-Des 25'!$AB:$AB,'List Petty Cash Jul-Des 25'!$I:$I,Sheet1!H$1,'List Petty Cash Jul-Des 25'!$V:$V,Sheet1!$A144,'List Petty Cash Jul-Des 25'!$X:$X,Sheet1!$A141)</f>
        <v>600000</v>
      </c>
      <c r="I144" s="9">
        <f t="shared" si="47"/>
        <v>600000</v>
      </c>
    </row>
    <row r="145" spans="1:9" x14ac:dyDescent="0.25">
      <c r="A145">
        <v>70107600</v>
      </c>
      <c r="B145" t="str">
        <f t="shared" si="46"/>
        <v>Biaya Konsumsi Kantor</v>
      </c>
      <c r="C145" s="8">
        <f>+SUMIFS('List Petty Cash Jul-Des 25'!$AB:$AB,'List Petty Cash Jul-Des 25'!$I:$I,Sheet1!C$1,'List Petty Cash Jul-Des 25'!$V:$V,Sheet1!$A145,'List Petty Cash Jul-Des 25'!$X:$X,Sheet1!$A141)</f>
        <v>0</v>
      </c>
      <c r="D145" s="8">
        <f>+SUMIFS('List Petty Cash Jul-Des 25'!$AB:$AB,'List Petty Cash Jul-Des 25'!$I:$I,Sheet1!D$1,'List Petty Cash Jul-Des 25'!$V:$V,Sheet1!$A145,'List Petty Cash Jul-Des 25'!$X:$X,Sheet1!$A141)</f>
        <v>120000</v>
      </c>
      <c r="E145" s="8">
        <f>+SUMIFS('List Petty Cash Jul-Des 25'!$AB:$AB,'List Petty Cash Jul-Des 25'!$I:$I,Sheet1!E$1,'List Petty Cash Jul-Des 25'!$V:$V,Sheet1!$A145,'List Petty Cash Jul-Des 25'!$X:$X,Sheet1!$A141)</f>
        <v>376500</v>
      </c>
      <c r="F145" s="8">
        <f>+SUMIFS('List Petty Cash Jul-Des 25'!$AB:$AB,'List Petty Cash Jul-Des 25'!$I:$I,Sheet1!F$1,'List Petty Cash Jul-Des 25'!$V:$V,Sheet1!$A145,'List Petty Cash Jul-Des 25'!$X:$X,Sheet1!$A141)</f>
        <v>185500</v>
      </c>
      <c r="G145" s="8">
        <f>+SUMIFS('List Petty Cash Jul-Des 25'!$AB:$AB,'List Petty Cash Jul-Des 25'!$I:$I,Sheet1!G$1,'List Petty Cash Jul-Des 25'!$V:$V,Sheet1!$A145,'List Petty Cash Jul-Des 25'!$X:$X,Sheet1!$A141)</f>
        <v>315000</v>
      </c>
      <c r="H145" s="8">
        <f>+SUMIFS('List Petty Cash Jul-Des 25'!$AB:$AB,'List Petty Cash Jul-Des 25'!$I:$I,Sheet1!H$1,'List Petty Cash Jul-Des 25'!$V:$V,Sheet1!$A145,'List Petty Cash Jul-Des 25'!$X:$X,Sheet1!$A141)</f>
        <v>0</v>
      </c>
      <c r="I145" s="9">
        <f t="shared" si="47"/>
        <v>997000</v>
      </c>
    </row>
    <row r="146" spans="1:9" x14ac:dyDescent="0.25">
      <c r="A146">
        <v>70108100</v>
      </c>
      <c r="B146" t="str">
        <f t="shared" si="46"/>
        <v>Biaya Peralatan Dan Perabot Kantor</v>
      </c>
      <c r="C146" s="8">
        <f>+SUMIFS('List Petty Cash Jul-Des 25'!$AB:$AB,'List Petty Cash Jul-Des 25'!$I:$I,Sheet1!C$1,'List Petty Cash Jul-Des 25'!$V:$V,Sheet1!$A146,'List Petty Cash Jul-Des 25'!$X:$X,Sheet1!$A141)</f>
        <v>0</v>
      </c>
      <c r="D146" s="8">
        <f>+SUMIFS('List Petty Cash Jul-Des 25'!$AB:$AB,'List Petty Cash Jul-Des 25'!$I:$I,Sheet1!D$1,'List Petty Cash Jul-Des 25'!$V:$V,Sheet1!$A146,'List Petty Cash Jul-Des 25'!$X:$X,Sheet1!$A141)</f>
        <v>0</v>
      </c>
      <c r="E146" s="8">
        <f>+SUMIFS('List Petty Cash Jul-Des 25'!$AB:$AB,'List Petty Cash Jul-Des 25'!$I:$I,Sheet1!E$1,'List Petty Cash Jul-Des 25'!$V:$V,Sheet1!$A146,'List Petty Cash Jul-Des 25'!$X:$X,Sheet1!$A141)</f>
        <v>0</v>
      </c>
      <c r="F146" s="8">
        <f>+SUMIFS('List Petty Cash Jul-Des 25'!$AB:$AB,'List Petty Cash Jul-Des 25'!$I:$I,Sheet1!F$1,'List Petty Cash Jul-Des 25'!$V:$V,Sheet1!$A146,'List Petty Cash Jul-Des 25'!$X:$X,Sheet1!$A141)</f>
        <v>0</v>
      </c>
      <c r="G146" s="8">
        <f>+SUMIFS('List Petty Cash Jul-Des 25'!$AB:$AB,'List Petty Cash Jul-Des 25'!$I:$I,Sheet1!G$1,'List Petty Cash Jul-Des 25'!$V:$V,Sheet1!$A146,'List Petty Cash Jul-Des 25'!$X:$X,Sheet1!$A141)</f>
        <v>0</v>
      </c>
      <c r="H146" s="8">
        <f>+SUMIFS('List Petty Cash Jul-Des 25'!$AB:$AB,'List Petty Cash Jul-Des 25'!$I:$I,Sheet1!H$1,'List Petty Cash Jul-Des 25'!$V:$V,Sheet1!$A146,'List Petty Cash Jul-Des 25'!$X:$X,Sheet1!$A141)</f>
        <v>397016</v>
      </c>
      <c r="I146" s="9">
        <f t="shared" si="47"/>
        <v>397016</v>
      </c>
    </row>
    <row r="147" spans="1:9" x14ac:dyDescent="0.25">
      <c r="A147">
        <v>70115100</v>
      </c>
      <c r="B147" t="str">
        <f t="shared" si="46"/>
        <v>Biaya Riset, Pengembangan, dan Laboratorium</v>
      </c>
      <c r="C147" s="8">
        <f>+SUMIFS('List Petty Cash Jul-Des 25'!$AB:$AB,'List Petty Cash Jul-Des 25'!$I:$I,Sheet1!C$1,'List Petty Cash Jul-Des 25'!$V:$V,Sheet1!$A147,'List Petty Cash Jul-Des 25'!$X:$X,Sheet1!$A141)</f>
        <v>2388500</v>
      </c>
      <c r="D147" s="8">
        <f>+SUMIFS('List Petty Cash Jul-Des 25'!$AB:$AB,'List Petty Cash Jul-Des 25'!$I:$I,Sheet1!D$1,'List Petty Cash Jul-Des 25'!$V:$V,Sheet1!$A147,'List Petty Cash Jul-Des 25'!$X:$X,Sheet1!$A141)</f>
        <v>525000</v>
      </c>
      <c r="E147" s="8">
        <f>+SUMIFS('List Petty Cash Jul-Des 25'!$AB:$AB,'List Petty Cash Jul-Des 25'!$I:$I,Sheet1!E$1,'List Petty Cash Jul-Des 25'!$V:$V,Sheet1!$A147,'List Petty Cash Jul-Des 25'!$X:$X,Sheet1!$A141)</f>
        <v>0</v>
      </c>
      <c r="F147" s="8">
        <f>+SUMIFS('List Petty Cash Jul-Des 25'!$AB:$AB,'List Petty Cash Jul-Des 25'!$I:$I,Sheet1!F$1,'List Petty Cash Jul-Des 25'!$V:$V,Sheet1!$A147,'List Petty Cash Jul-Des 25'!$X:$X,Sheet1!$A141)</f>
        <v>764725</v>
      </c>
      <c r="G147" s="8">
        <f>+SUMIFS('List Petty Cash Jul-Des 25'!$AB:$AB,'List Petty Cash Jul-Des 25'!$I:$I,Sheet1!G$1,'List Petty Cash Jul-Des 25'!$V:$V,Sheet1!$A147,'List Petty Cash Jul-Des 25'!$X:$X,Sheet1!$A141)</f>
        <v>365900</v>
      </c>
      <c r="H147" s="8">
        <f>+SUMIFS('List Petty Cash Jul-Des 25'!$AB:$AB,'List Petty Cash Jul-Des 25'!$I:$I,Sheet1!H$1,'List Petty Cash Jul-Des 25'!$V:$V,Sheet1!$A147,'List Petty Cash Jul-Des 25'!$X:$X,Sheet1!$A141)</f>
        <v>2559791</v>
      </c>
      <c r="I147" s="9">
        <f t="shared" si="47"/>
        <v>6603916</v>
      </c>
    </row>
    <row r="148" spans="1:9" x14ac:dyDescent="0.25">
      <c r="A148">
        <v>70119300</v>
      </c>
      <c r="B148" t="str">
        <f t="shared" si="46"/>
        <v>Biaya Umum dan Administrasi</v>
      </c>
      <c r="C148" s="8">
        <f>+SUMIFS('List Petty Cash Jul-Des 25'!$AB:$AB,'List Petty Cash Jul-Des 25'!$I:$I,Sheet1!C$1,'List Petty Cash Jul-Des 25'!$V:$V,Sheet1!$A148,'List Petty Cash Jul-Des 25'!$X:$X,Sheet1!$A141)</f>
        <v>87000</v>
      </c>
      <c r="D148" s="8">
        <f>+SUMIFS('List Petty Cash Jul-Des 25'!$AB:$AB,'List Petty Cash Jul-Des 25'!$I:$I,Sheet1!D$1,'List Petty Cash Jul-Des 25'!$V:$V,Sheet1!$A148,'List Petty Cash Jul-Des 25'!$X:$X,Sheet1!$A141)</f>
        <v>90900</v>
      </c>
      <c r="E148" s="8">
        <f>+SUMIFS('List Petty Cash Jul-Des 25'!$AB:$AB,'List Petty Cash Jul-Des 25'!$I:$I,Sheet1!E$1,'List Petty Cash Jul-Des 25'!$V:$V,Sheet1!$A148,'List Petty Cash Jul-Des 25'!$X:$X,Sheet1!$A141)</f>
        <v>0</v>
      </c>
      <c r="F148" s="8">
        <f>+SUMIFS('List Petty Cash Jul-Des 25'!$AB:$AB,'List Petty Cash Jul-Des 25'!$I:$I,Sheet1!F$1,'List Petty Cash Jul-Des 25'!$V:$V,Sheet1!$A148,'List Petty Cash Jul-Des 25'!$X:$X,Sheet1!$A141)</f>
        <v>172000</v>
      </c>
      <c r="G148" s="8">
        <f>+SUMIFS('List Petty Cash Jul-Des 25'!$AB:$AB,'List Petty Cash Jul-Des 25'!$I:$I,Sheet1!G$1,'List Petty Cash Jul-Des 25'!$V:$V,Sheet1!$A148,'List Petty Cash Jul-Des 25'!$X:$X,Sheet1!$A141)</f>
        <v>0</v>
      </c>
      <c r="H148" s="8">
        <f>+SUMIFS('List Petty Cash Jul-Des 25'!$AB:$AB,'List Petty Cash Jul-Des 25'!$I:$I,Sheet1!H$1,'List Petty Cash Jul-Des 25'!$V:$V,Sheet1!$A148,'List Petty Cash Jul-Des 25'!$X:$X,Sheet1!$A141)</f>
        <v>183460</v>
      </c>
      <c r="I148" s="9">
        <f t="shared" si="47"/>
        <v>533360</v>
      </c>
    </row>
    <row r="149" spans="1:9" x14ac:dyDescent="0.25">
      <c r="A149" t="s">
        <v>1930</v>
      </c>
    </row>
    <row r="150" spans="1:9" x14ac:dyDescent="0.25">
      <c r="A150">
        <v>70107600</v>
      </c>
      <c r="B150" t="str">
        <f t="shared" ref="B150:B151" si="48">+VLOOKUP(A150,$A$2:$B$27,2,0)</f>
        <v>Biaya Konsumsi Kantor</v>
      </c>
      <c r="C150" s="8">
        <f>+SUMIFS('List Petty Cash Jul-Des 25'!$AB:$AB,'List Petty Cash Jul-Des 25'!$I:$I,Sheet1!C$1,'List Petty Cash Jul-Des 25'!$V:$V,Sheet1!$A150,'List Petty Cash Jul-Des 25'!$X:$X,Sheet1!$A149)</f>
        <v>915600</v>
      </c>
      <c r="D150" s="8">
        <f>+SUMIFS('List Petty Cash Jul-Des 25'!$AB:$AB,'List Petty Cash Jul-Des 25'!$I:$I,Sheet1!D$1,'List Petty Cash Jul-Des 25'!$V:$V,Sheet1!$A150,'List Petty Cash Jul-Des 25'!$X:$X,Sheet1!$A149)</f>
        <v>0</v>
      </c>
      <c r="E150" s="8">
        <f>+SUMIFS('List Petty Cash Jul-Des 25'!$AB:$AB,'List Petty Cash Jul-Des 25'!$I:$I,Sheet1!E$1,'List Petty Cash Jul-Des 25'!$V:$V,Sheet1!$A150,'List Petty Cash Jul-Des 25'!$X:$X,Sheet1!$A149)</f>
        <v>0</v>
      </c>
      <c r="F150" s="8">
        <f>+SUMIFS('List Petty Cash Jul-Des 25'!$AB:$AB,'List Petty Cash Jul-Des 25'!$I:$I,Sheet1!F$1,'List Petty Cash Jul-Des 25'!$V:$V,Sheet1!$A150,'List Petty Cash Jul-Des 25'!$X:$X,Sheet1!$A149)</f>
        <v>0</v>
      </c>
      <c r="G150" s="8">
        <f>+SUMIFS('List Petty Cash Jul-Des 25'!$AB:$AB,'List Petty Cash Jul-Des 25'!$I:$I,Sheet1!G$1,'List Petty Cash Jul-Des 25'!$V:$V,Sheet1!$A150,'List Petty Cash Jul-Des 25'!$X:$X,Sheet1!$A149)</f>
        <v>0</v>
      </c>
      <c r="H150" s="8">
        <f>+SUMIFS('List Petty Cash Jul-Des 25'!$AB:$AB,'List Petty Cash Jul-Des 25'!$I:$I,Sheet1!H$1,'List Petty Cash Jul-Des 25'!$V:$V,Sheet1!$A150,'List Petty Cash Jul-Des 25'!$X:$X,Sheet1!$A149)</f>
        <v>0</v>
      </c>
      <c r="I150" s="9">
        <f t="shared" ref="I150:I151" si="49">+SUM(C150:H150)</f>
        <v>915600</v>
      </c>
    </row>
    <row r="151" spans="1:9" x14ac:dyDescent="0.25">
      <c r="A151">
        <v>70108110</v>
      </c>
      <c r="B151" t="str">
        <f t="shared" si="48"/>
        <v>Biaya  Fotocopy</v>
      </c>
      <c r="C151" s="8">
        <f>+SUMIFS('List Petty Cash Jul-Des 25'!$AB:$AB,'List Petty Cash Jul-Des 25'!$I:$I,Sheet1!C$1,'List Petty Cash Jul-Des 25'!$V:$V,Sheet1!$A151,'List Petty Cash Jul-Des 25'!$X:$X,Sheet1!$A149)</f>
        <v>376800</v>
      </c>
      <c r="D151" s="8">
        <f>+SUMIFS('List Petty Cash Jul-Des 25'!$AB:$AB,'List Petty Cash Jul-Des 25'!$I:$I,Sheet1!D$1,'List Petty Cash Jul-Des 25'!$V:$V,Sheet1!$A151,'List Petty Cash Jul-Des 25'!$X:$X,Sheet1!$A149)</f>
        <v>71400</v>
      </c>
      <c r="E151" s="8">
        <f>+SUMIFS('List Petty Cash Jul-Des 25'!$AB:$AB,'List Petty Cash Jul-Des 25'!$I:$I,Sheet1!E$1,'List Petty Cash Jul-Des 25'!$V:$V,Sheet1!$A151,'List Petty Cash Jul-Des 25'!$X:$X,Sheet1!$A149)</f>
        <v>0</v>
      </c>
      <c r="F151" s="8">
        <f>+SUMIFS('List Petty Cash Jul-Des 25'!$AB:$AB,'List Petty Cash Jul-Des 25'!$I:$I,Sheet1!F$1,'List Petty Cash Jul-Des 25'!$V:$V,Sheet1!$A151,'List Petty Cash Jul-Des 25'!$X:$X,Sheet1!$A149)</f>
        <v>586500</v>
      </c>
      <c r="G151" s="8">
        <f>+SUMIFS('List Petty Cash Jul-Des 25'!$AB:$AB,'List Petty Cash Jul-Des 25'!$I:$I,Sheet1!G$1,'List Petty Cash Jul-Des 25'!$V:$V,Sheet1!$A151,'List Petty Cash Jul-Des 25'!$X:$X,Sheet1!$A149)</f>
        <v>180000</v>
      </c>
      <c r="H151" s="8">
        <f>+SUMIFS('List Petty Cash Jul-Des 25'!$AB:$AB,'List Petty Cash Jul-Des 25'!$I:$I,Sheet1!H$1,'List Petty Cash Jul-Des 25'!$V:$V,Sheet1!$A151,'List Petty Cash Jul-Des 25'!$X:$X,Sheet1!$A149)</f>
        <v>0</v>
      </c>
      <c r="I151" s="9">
        <f t="shared" si="49"/>
        <v>1214700</v>
      </c>
    </row>
    <row r="152" spans="1:9" x14ac:dyDescent="0.25">
      <c r="A152" t="s">
        <v>1951</v>
      </c>
    </row>
    <row r="153" spans="1:9" x14ac:dyDescent="0.25">
      <c r="A153">
        <v>70101102</v>
      </c>
      <c r="B153" t="str">
        <f t="shared" ref="B153:B157" si="50">+VLOOKUP(A153,$A$2:$B$27,2,0)</f>
        <v>By Pemeliharaan BgnanPrasarana Material Pihak3</v>
      </c>
      <c r="C153" s="8">
        <f>+SUMIFS('List Petty Cash Jul-Des 25'!$AB:$AB,'List Petty Cash Jul-Des 25'!$I:$I,Sheet1!C$1,'List Petty Cash Jul-Des 25'!$V:$V,Sheet1!$A153,'List Petty Cash Jul-Des 25'!$X:$X,Sheet1!$A152)</f>
        <v>1009000</v>
      </c>
      <c r="D153" s="8">
        <f>+SUMIFS('List Petty Cash Jul-Des 25'!$AB:$AB,'List Petty Cash Jul-Des 25'!$I:$I,Sheet1!D$1,'List Petty Cash Jul-Des 25'!$V:$V,Sheet1!$A153,'List Petty Cash Jul-Des 25'!$X:$X,Sheet1!$A152)</f>
        <v>0</v>
      </c>
      <c r="E153" s="8">
        <f>+SUMIFS('List Petty Cash Jul-Des 25'!$AB:$AB,'List Petty Cash Jul-Des 25'!$I:$I,Sheet1!E$1,'List Petty Cash Jul-Des 25'!$V:$V,Sheet1!$A153,'List Petty Cash Jul-Des 25'!$X:$X,Sheet1!$A152)</f>
        <v>0</v>
      </c>
      <c r="F153" s="8">
        <f>+SUMIFS('List Petty Cash Jul-Des 25'!$AB:$AB,'List Petty Cash Jul-Des 25'!$I:$I,Sheet1!F$1,'List Petty Cash Jul-Des 25'!$V:$V,Sheet1!$A153,'List Petty Cash Jul-Des 25'!$X:$X,Sheet1!$A152)</f>
        <v>0</v>
      </c>
      <c r="G153" s="8">
        <f>+SUMIFS('List Petty Cash Jul-Des 25'!$AB:$AB,'List Petty Cash Jul-Des 25'!$I:$I,Sheet1!G$1,'List Petty Cash Jul-Des 25'!$V:$V,Sheet1!$A153,'List Petty Cash Jul-Des 25'!$X:$X,Sheet1!$A152)</f>
        <v>0</v>
      </c>
      <c r="H153" s="8">
        <f>+SUMIFS('List Petty Cash Jul-Des 25'!$AB:$AB,'List Petty Cash Jul-Des 25'!$I:$I,Sheet1!H$1,'List Petty Cash Jul-Des 25'!$V:$V,Sheet1!$A153,'List Petty Cash Jul-Des 25'!$X:$X,Sheet1!$A152)</f>
        <v>0</v>
      </c>
      <c r="I153" s="9">
        <f t="shared" ref="I153:I157" si="51">+SUM(C153:H153)</f>
        <v>1009000</v>
      </c>
    </row>
    <row r="154" spans="1:9" x14ac:dyDescent="0.25">
      <c r="A154">
        <v>70101114</v>
      </c>
      <c r="B154" t="str">
        <f t="shared" si="50"/>
        <v>By Perbaikan &amp; Perawatan Perabot Material Pihak3</v>
      </c>
      <c r="C154" s="8">
        <f>+SUMIFS('List Petty Cash Jul-Des 25'!$AB:$AB,'List Petty Cash Jul-Des 25'!$I:$I,Sheet1!C$1,'List Petty Cash Jul-Des 25'!$V:$V,Sheet1!$A154,'List Petty Cash Jul-Des 25'!$X:$X,Sheet1!$A152)</f>
        <v>825000</v>
      </c>
      <c r="D154" s="8">
        <f>+SUMIFS('List Petty Cash Jul-Des 25'!$AB:$AB,'List Petty Cash Jul-Des 25'!$I:$I,Sheet1!D$1,'List Petty Cash Jul-Des 25'!$V:$V,Sheet1!$A154,'List Petty Cash Jul-Des 25'!$X:$X,Sheet1!$A152)</f>
        <v>0</v>
      </c>
      <c r="E154" s="8">
        <f>+SUMIFS('List Petty Cash Jul-Des 25'!$AB:$AB,'List Petty Cash Jul-Des 25'!$I:$I,Sheet1!E$1,'List Petty Cash Jul-Des 25'!$V:$V,Sheet1!$A154,'List Petty Cash Jul-Des 25'!$X:$X,Sheet1!$A152)</f>
        <v>0</v>
      </c>
      <c r="F154" s="8">
        <f>+SUMIFS('List Petty Cash Jul-Des 25'!$AB:$AB,'List Petty Cash Jul-Des 25'!$I:$I,Sheet1!F$1,'List Petty Cash Jul-Des 25'!$V:$V,Sheet1!$A154,'List Petty Cash Jul-Des 25'!$X:$X,Sheet1!$A152)</f>
        <v>0</v>
      </c>
      <c r="G154" s="8">
        <f>+SUMIFS('List Petty Cash Jul-Des 25'!$AB:$AB,'List Petty Cash Jul-Des 25'!$I:$I,Sheet1!G$1,'List Petty Cash Jul-Des 25'!$V:$V,Sheet1!$A154,'List Petty Cash Jul-Des 25'!$X:$X,Sheet1!$A152)</f>
        <v>523000</v>
      </c>
      <c r="H154" s="8">
        <f>+SUMIFS('List Petty Cash Jul-Des 25'!$AB:$AB,'List Petty Cash Jul-Des 25'!$I:$I,Sheet1!H$1,'List Petty Cash Jul-Des 25'!$V:$V,Sheet1!$A154,'List Petty Cash Jul-Des 25'!$X:$X,Sheet1!$A152)</f>
        <v>0</v>
      </c>
      <c r="I154" s="9">
        <f t="shared" si="51"/>
        <v>1348000</v>
      </c>
    </row>
    <row r="155" spans="1:9" x14ac:dyDescent="0.25">
      <c r="A155">
        <v>70101202</v>
      </c>
      <c r="B155" t="str">
        <f t="shared" si="50"/>
        <v>By Pemeliharaan Kend,ABerat,Mesin-Material Pihak3</v>
      </c>
      <c r="C155" s="8">
        <f>+SUMIFS('List Petty Cash Jul-Des 25'!$AB:$AB,'List Petty Cash Jul-Des 25'!$I:$I,Sheet1!C$1,'List Petty Cash Jul-Des 25'!$V:$V,Sheet1!$A155,'List Petty Cash Jul-Des 25'!$X:$X,Sheet1!$A152)</f>
        <v>0</v>
      </c>
      <c r="D155" s="8">
        <f>+SUMIFS('List Petty Cash Jul-Des 25'!$AB:$AB,'List Petty Cash Jul-Des 25'!$I:$I,Sheet1!D$1,'List Petty Cash Jul-Des 25'!$V:$V,Sheet1!$A155,'List Petty Cash Jul-Des 25'!$X:$X,Sheet1!$A152)</f>
        <v>604000</v>
      </c>
      <c r="E155" s="8">
        <f>+SUMIFS('List Petty Cash Jul-Des 25'!$AB:$AB,'List Petty Cash Jul-Des 25'!$I:$I,Sheet1!E$1,'List Petty Cash Jul-Des 25'!$V:$V,Sheet1!$A155,'List Petty Cash Jul-Des 25'!$X:$X,Sheet1!$A152)</f>
        <v>800000</v>
      </c>
      <c r="F155" s="8">
        <f>+SUMIFS('List Petty Cash Jul-Des 25'!$AB:$AB,'List Petty Cash Jul-Des 25'!$I:$I,Sheet1!F$1,'List Petty Cash Jul-Des 25'!$V:$V,Sheet1!$A155,'List Petty Cash Jul-Des 25'!$X:$X,Sheet1!$A152)</f>
        <v>152000</v>
      </c>
      <c r="G155" s="8">
        <f>+SUMIFS('List Petty Cash Jul-Des 25'!$AB:$AB,'List Petty Cash Jul-Des 25'!$I:$I,Sheet1!G$1,'List Petty Cash Jul-Des 25'!$V:$V,Sheet1!$A155,'List Petty Cash Jul-Des 25'!$X:$X,Sheet1!$A152)</f>
        <v>0</v>
      </c>
      <c r="H155" s="8">
        <f>+SUMIFS('List Petty Cash Jul-Des 25'!$AB:$AB,'List Petty Cash Jul-Des 25'!$I:$I,Sheet1!H$1,'List Petty Cash Jul-Des 25'!$V:$V,Sheet1!$A155,'List Petty Cash Jul-Des 25'!$X:$X,Sheet1!$A152)</f>
        <v>1500000</v>
      </c>
      <c r="I155" s="9">
        <f t="shared" si="51"/>
        <v>3056000</v>
      </c>
    </row>
    <row r="156" spans="1:9" x14ac:dyDescent="0.25">
      <c r="A156">
        <v>70107600</v>
      </c>
      <c r="B156" t="str">
        <f t="shared" si="50"/>
        <v>Biaya Konsumsi Kantor</v>
      </c>
      <c r="C156" s="8">
        <f>+SUMIFS('List Petty Cash Jul-Des 25'!$AB:$AB,'List Petty Cash Jul-Des 25'!$I:$I,Sheet1!C$1,'List Petty Cash Jul-Des 25'!$V:$V,Sheet1!$A156,'List Petty Cash Jul-Des 25'!$X:$X,Sheet1!$A152)</f>
        <v>0</v>
      </c>
      <c r="D156" s="8">
        <f>+SUMIFS('List Petty Cash Jul-Des 25'!$AB:$AB,'List Petty Cash Jul-Des 25'!$I:$I,Sheet1!D$1,'List Petty Cash Jul-Des 25'!$V:$V,Sheet1!$A156,'List Petty Cash Jul-Des 25'!$X:$X,Sheet1!$A152)</f>
        <v>0</v>
      </c>
      <c r="E156" s="8">
        <f>+SUMIFS('List Petty Cash Jul-Des 25'!$AB:$AB,'List Petty Cash Jul-Des 25'!$I:$I,Sheet1!E$1,'List Petty Cash Jul-Des 25'!$V:$V,Sheet1!$A156,'List Petty Cash Jul-Des 25'!$X:$X,Sheet1!$A152)</f>
        <v>0</v>
      </c>
      <c r="F156" s="8">
        <f>+SUMIFS('List Petty Cash Jul-Des 25'!$AB:$AB,'List Petty Cash Jul-Des 25'!$I:$I,Sheet1!F$1,'List Petty Cash Jul-Des 25'!$V:$V,Sheet1!$A156,'List Petty Cash Jul-Des 25'!$X:$X,Sheet1!$A152)</f>
        <v>227000</v>
      </c>
      <c r="G156" s="8">
        <f>+SUMIFS('List Petty Cash Jul-Des 25'!$AB:$AB,'List Petty Cash Jul-Des 25'!$I:$I,Sheet1!G$1,'List Petty Cash Jul-Des 25'!$V:$V,Sheet1!$A156,'List Petty Cash Jul-Des 25'!$X:$X,Sheet1!$A152)</f>
        <v>396000</v>
      </c>
      <c r="H156" s="8">
        <f>+SUMIFS('List Petty Cash Jul-Des 25'!$AB:$AB,'List Petty Cash Jul-Des 25'!$I:$I,Sheet1!H$1,'List Petty Cash Jul-Des 25'!$V:$V,Sheet1!$A156,'List Petty Cash Jul-Des 25'!$X:$X,Sheet1!$A152)</f>
        <v>1237000</v>
      </c>
      <c r="I156" s="9">
        <f t="shared" si="51"/>
        <v>1860000</v>
      </c>
    </row>
    <row r="157" spans="1:9" x14ac:dyDescent="0.25">
      <c r="A157">
        <v>70108100</v>
      </c>
      <c r="B157" t="str">
        <f t="shared" si="50"/>
        <v>Biaya Peralatan Dan Perabot Kantor</v>
      </c>
      <c r="C157" s="8">
        <f>+SUMIFS('List Petty Cash Jul-Des 25'!$AB:$AB,'List Petty Cash Jul-Des 25'!$I:$I,Sheet1!C$1,'List Petty Cash Jul-Des 25'!$V:$V,Sheet1!$A157,'List Petty Cash Jul-Des 25'!$X:$X,Sheet1!$A152)</f>
        <v>0</v>
      </c>
      <c r="D157" s="8">
        <f>+SUMIFS('List Petty Cash Jul-Des 25'!$AB:$AB,'List Petty Cash Jul-Des 25'!$I:$I,Sheet1!D$1,'List Petty Cash Jul-Des 25'!$V:$V,Sheet1!$A157,'List Petty Cash Jul-Des 25'!$X:$X,Sheet1!$A152)</f>
        <v>0</v>
      </c>
      <c r="E157" s="8">
        <f>+SUMIFS('List Petty Cash Jul-Des 25'!$AB:$AB,'List Petty Cash Jul-Des 25'!$I:$I,Sheet1!E$1,'List Petty Cash Jul-Des 25'!$V:$V,Sheet1!$A157,'List Petty Cash Jul-Des 25'!$X:$X,Sheet1!$A152)</f>
        <v>0</v>
      </c>
      <c r="F157" s="8">
        <f>+SUMIFS('List Petty Cash Jul-Des 25'!$AB:$AB,'List Petty Cash Jul-Des 25'!$I:$I,Sheet1!F$1,'List Petty Cash Jul-Des 25'!$V:$V,Sheet1!$A157,'List Petty Cash Jul-Des 25'!$X:$X,Sheet1!$A152)</f>
        <v>0</v>
      </c>
      <c r="G157" s="8">
        <f>+SUMIFS('List Petty Cash Jul-Des 25'!$AB:$AB,'List Petty Cash Jul-Des 25'!$I:$I,Sheet1!G$1,'List Petty Cash Jul-Des 25'!$V:$V,Sheet1!$A157,'List Petty Cash Jul-Des 25'!$X:$X,Sheet1!$A152)</f>
        <v>0</v>
      </c>
      <c r="H157" s="8">
        <f>+SUMIFS('List Petty Cash Jul-Des 25'!$AB:$AB,'List Petty Cash Jul-Des 25'!$I:$I,Sheet1!H$1,'List Petty Cash Jul-Des 25'!$V:$V,Sheet1!$A157,'List Petty Cash Jul-Des 25'!$X:$X,Sheet1!$A152)</f>
        <v>21000</v>
      </c>
      <c r="I157" s="9">
        <f t="shared" si="51"/>
        <v>21000</v>
      </c>
    </row>
    <row r="158" spans="1:9" x14ac:dyDescent="0.25">
      <c r="A158" t="s">
        <v>1995</v>
      </c>
    </row>
    <row r="159" spans="1:9" x14ac:dyDescent="0.25">
      <c r="A159">
        <v>70101202</v>
      </c>
      <c r="B159" t="str">
        <f t="shared" ref="B159:B160" si="52">+VLOOKUP(A159,$A$2:$B$27,2,0)</f>
        <v>By Pemeliharaan Kend,ABerat,Mesin-Material Pihak3</v>
      </c>
      <c r="C159" s="8">
        <f>+SUMIFS('List Petty Cash Jul-Des 25'!$AB:$AB,'List Petty Cash Jul-Des 25'!$I:$I,Sheet1!C$1,'List Petty Cash Jul-Des 25'!$V:$V,Sheet1!$A159,'List Petty Cash Jul-Des 25'!$X:$X,Sheet1!$A158)</f>
        <v>0</v>
      </c>
      <c r="D159" s="8">
        <f>+SUMIFS('List Petty Cash Jul-Des 25'!$AB:$AB,'List Petty Cash Jul-Des 25'!$I:$I,Sheet1!D$1,'List Petty Cash Jul-Des 25'!$V:$V,Sheet1!$A159,'List Petty Cash Jul-Des 25'!$X:$X,Sheet1!$A158)</f>
        <v>310000</v>
      </c>
      <c r="E159" s="8">
        <f>+SUMIFS('List Petty Cash Jul-Des 25'!$AB:$AB,'List Petty Cash Jul-Des 25'!$I:$I,Sheet1!E$1,'List Petty Cash Jul-Des 25'!$V:$V,Sheet1!$A159,'List Petty Cash Jul-Des 25'!$X:$X,Sheet1!$A158)</f>
        <v>0</v>
      </c>
      <c r="F159" s="8">
        <f>+SUMIFS('List Petty Cash Jul-Des 25'!$AB:$AB,'List Petty Cash Jul-Des 25'!$I:$I,Sheet1!F$1,'List Petty Cash Jul-Des 25'!$V:$V,Sheet1!$A159,'List Petty Cash Jul-Des 25'!$X:$X,Sheet1!$A158)</f>
        <v>0</v>
      </c>
      <c r="G159" s="8">
        <f>+SUMIFS('List Petty Cash Jul-Des 25'!$AB:$AB,'List Petty Cash Jul-Des 25'!$I:$I,Sheet1!G$1,'List Petty Cash Jul-Des 25'!$V:$V,Sheet1!$A159,'List Petty Cash Jul-Des 25'!$X:$X,Sheet1!$A158)</f>
        <v>167756</v>
      </c>
      <c r="H159" s="8">
        <f>+SUMIFS('List Petty Cash Jul-Des 25'!$AB:$AB,'List Petty Cash Jul-Des 25'!$I:$I,Sheet1!H$1,'List Petty Cash Jul-Des 25'!$V:$V,Sheet1!$A159,'List Petty Cash Jul-Des 25'!$X:$X,Sheet1!$A158)</f>
        <v>0</v>
      </c>
      <c r="I159" s="9">
        <f t="shared" ref="I159:I160" si="53">+SUM(C159:H159)</f>
        <v>477756</v>
      </c>
    </row>
    <row r="160" spans="1:9" x14ac:dyDescent="0.25">
      <c r="A160">
        <v>70107600</v>
      </c>
      <c r="B160" t="str">
        <f t="shared" si="52"/>
        <v>Biaya Konsumsi Kantor</v>
      </c>
      <c r="C160" s="8">
        <f>+SUMIFS('List Petty Cash Jul-Des 25'!$AB:$AB,'List Petty Cash Jul-Des 25'!$I:$I,Sheet1!C$1,'List Petty Cash Jul-Des 25'!$V:$V,Sheet1!$A160,'List Petty Cash Jul-Des 25'!$X:$X,Sheet1!$A158)</f>
        <v>0</v>
      </c>
      <c r="D160" s="8">
        <f>+SUMIFS('List Petty Cash Jul-Des 25'!$AB:$AB,'List Petty Cash Jul-Des 25'!$I:$I,Sheet1!D$1,'List Petty Cash Jul-Des 25'!$V:$V,Sheet1!$A160,'List Petty Cash Jul-Des 25'!$X:$X,Sheet1!$A158)</f>
        <v>0</v>
      </c>
      <c r="E160" s="8">
        <f>+SUMIFS('List Petty Cash Jul-Des 25'!$AB:$AB,'List Petty Cash Jul-Des 25'!$I:$I,Sheet1!E$1,'List Petty Cash Jul-Des 25'!$V:$V,Sheet1!$A160,'List Petty Cash Jul-Des 25'!$X:$X,Sheet1!$A158)</f>
        <v>0</v>
      </c>
      <c r="F160" s="8">
        <f>+SUMIFS('List Petty Cash Jul-Des 25'!$AB:$AB,'List Petty Cash Jul-Des 25'!$I:$I,Sheet1!F$1,'List Petty Cash Jul-Des 25'!$V:$V,Sheet1!$A160,'List Petty Cash Jul-Des 25'!$X:$X,Sheet1!$A158)</f>
        <v>0</v>
      </c>
      <c r="G160" s="8">
        <f>+SUMIFS('List Petty Cash Jul-Des 25'!$AB:$AB,'List Petty Cash Jul-Des 25'!$I:$I,Sheet1!G$1,'List Petty Cash Jul-Des 25'!$V:$V,Sheet1!$A160,'List Petty Cash Jul-Des 25'!$X:$X,Sheet1!$A158)</f>
        <v>601200</v>
      </c>
      <c r="H160" s="8">
        <f>+SUMIFS('List Petty Cash Jul-Des 25'!$AB:$AB,'List Petty Cash Jul-Des 25'!$I:$I,Sheet1!H$1,'List Petty Cash Jul-Des 25'!$V:$V,Sheet1!$A160,'List Petty Cash Jul-Des 25'!$X:$X,Sheet1!$A158)</f>
        <v>0</v>
      </c>
      <c r="I160" s="9">
        <f t="shared" si="53"/>
        <v>601200</v>
      </c>
    </row>
    <row r="161" spans="1:9" x14ac:dyDescent="0.25">
      <c r="A161" t="s">
        <v>1971</v>
      </c>
    </row>
    <row r="162" spans="1:9" x14ac:dyDescent="0.25">
      <c r="A162">
        <v>70101114</v>
      </c>
      <c r="B162" t="str">
        <f t="shared" ref="B162:B163" si="54">+VLOOKUP(A162,$A$2:$B$27,2,0)</f>
        <v>By Perbaikan &amp; Perawatan Perabot Material Pihak3</v>
      </c>
      <c r="C162" s="8">
        <f>+SUMIFS('List Petty Cash Jul-Des 25'!$AB:$AB,'List Petty Cash Jul-Des 25'!$I:$I,Sheet1!C$1,'List Petty Cash Jul-Des 25'!$V:$V,Sheet1!$A162,'List Petty Cash Jul-Des 25'!$X:$X,Sheet1!$A161)</f>
        <v>0</v>
      </c>
      <c r="D162" s="8">
        <f>+SUMIFS('List Petty Cash Jul-Des 25'!$AB:$AB,'List Petty Cash Jul-Des 25'!$I:$I,Sheet1!D$1,'List Petty Cash Jul-Des 25'!$V:$V,Sheet1!$A162,'List Petty Cash Jul-Des 25'!$X:$X,Sheet1!$A161)</f>
        <v>0</v>
      </c>
      <c r="E162" s="8">
        <f>+SUMIFS('List Petty Cash Jul-Des 25'!$AB:$AB,'List Petty Cash Jul-Des 25'!$I:$I,Sheet1!E$1,'List Petty Cash Jul-Des 25'!$V:$V,Sheet1!$A162,'List Petty Cash Jul-Des 25'!$X:$X,Sheet1!$A161)</f>
        <v>261036</v>
      </c>
      <c r="F162" s="8">
        <f>+SUMIFS('List Petty Cash Jul-Des 25'!$AB:$AB,'List Petty Cash Jul-Des 25'!$I:$I,Sheet1!F$1,'List Petty Cash Jul-Des 25'!$V:$V,Sheet1!$A162,'List Petty Cash Jul-Des 25'!$X:$X,Sheet1!$A161)</f>
        <v>0</v>
      </c>
      <c r="G162" s="8">
        <f>+SUMIFS('List Petty Cash Jul-Des 25'!$AB:$AB,'List Petty Cash Jul-Des 25'!$I:$I,Sheet1!G$1,'List Petty Cash Jul-Des 25'!$V:$V,Sheet1!$A162,'List Petty Cash Jul-Des 25'!$X:$X,Sheet1!$A161)</f>
        <v>0</v>
      </c>
      <c r="H162" s="8">
        <f>+SUMIFS('List Petty Cash Jul-Des 25'!$AB:$AB,'List Petty Cash Jul-Des 25'!$I:$I,Sheet1!H$1,'List Petty Cash Jul-Des 25'!$V:$V,Sheet1!$A162,'List Petty Cash Jul-Des 25'!$X:$X,Sheet1!$A161)</f>
        <v>0</v>
      </c>
      <c r="I162" s="9">
        <f t="shared" ref="I162:I163" si="55">+SUM(C162:H162)</f>
        <v>261036</v>
      </c>
    </row>
    <row r="163" spans="1:9" x14ac:dyDescent="0.25">
      <c r="A163">
        <v>70101202</v>
      </c>
      <c r="B163" t="str">
        <f t="shared" si="54"/>
        <v>By Pemeliharaan Kend,ABerat,Mesin-Material Pihak3</v>
      </c>
      <c r="C163" s="8">
        <f>+SUMIFS('List Petty Cash Jul-Des 25'!$AB:$AB,'List Petty Cash Jul-Des 25'!$I:$I,Sheet1!C$1,'List Petty Cash Jul-Des 25'!$V:$V,Sheet1!$A163,'List Petty Cash Jul-Des 25'!$X:$X,Sheet1!$A161)</f>
        <v>648100</v>
      </c>
      <c r="D163" s="8">
        <f>+SUMIFS('List Petty Cash Jul-Des 25'!$AB:$AB,'List Petty Cash Jul-Des 25'!$I:$I,Sheet1!D$1,'List Petty Cash Jul-Des 25'!$V:$V,Sheet1!$A163,'List Petty Cash Jul-Des 25'!$X:$X,Sheet1!$A161)</f>
        <v>0</v>
      </c>
      <c r="E163" s="8">
        <f>+SUMIFS('List Petty Cash Jul-Des 25'!$AB:$AB,'List Petty Cash Jul-Des 25'!$I:$I,Sheet1!E$1,'List Petty Cash Jul-Des 25'!$V:$V,Sheet1!$A163,'List Petty Cash Jul-Des 25'!$X:$X,Sheet1!$A161)</f>
        <v>0</v>
      </c>
      <c r="F163" s="8">
        <f>+SUMIFS('List Petty Cash Jul-Des 25'!$AB:$AB,'List Petty Cash Jul-Des 25'!$I:$I,Sheet1!F$1,'List Petty Cash Jul-Des 25'!$V:$V,Sheet1!$A163,'List Petty Cash Jul-Des 25'!$X:$X,Sheet1!$A161)</f>
        <v>2744500</v>
      </c>
      <c r="G163" s="8">
        <f>+SUMIFS('List Petty Cash Jul-Des 25'!$AB:$AB,'List Petty Cash Jul-Des 25'!$I:$I,Sheet1!G$1,'List Petty Cash Jul-Des 25'!$V:$V,Sheet1!$A163,'List Petty Cash Jul-Des 25'!$X:$X,Sheet1!$A161)</f>
        <v>819600</v>
      </c>
      <c r="H163" s="8">
        <f>+SUMIFS('List Petty Cash Jul-Des 25'!$AB:$AB,'List Petty Cash Jul-Des 25'!$I:$I,Sheet1!H$1,'List Petty Cash Jul-Des 25'!$V:$V,Sheet1!$A163,'List Petty Cash Jul-Des 25'!$X:$X,Sheet1!$A161)</f>
        <v>1610800</v>
      </c>
      <c r="I163" s="9">
        <f t="shared" si="55"/>
        <v>5823000</v>
      </c>
    </row>
    <row r="164" spans="1:9" x14ac:dyDescent="0.25">
      <c r="A164" t="s">
        <v>2012</v>
      </c>
    </row>
    <row r="165" spans="1:9" x14ac:dyDescent="0.25">
      <c r="A165">
        <v>70101114</v>
      </c>
      <c r="B165" t="str">
        <f t="shared" ref="B165:B167" si="56">+VLOOKUP(A165,$A$2:$B$27,2,0)</f>
        <v>By Perbaikan &amp; Perawatan Perabot Material Pihak3</v>
      </c>
      <c r="C165" s="8">
        <f>+SUMIFS('List Petty Cash Jul-Des 25'!$AB:$AB,'List Petty Cash Jul-Des 25'!$I:$I,Sheet1!C$1,'List Petty Cash Jul-Des 25'!$V:$V,Sheet1!$A165,'List Petty Cash Jul-Des 25'!$X:$X,Sheet1!$A164)</f>
        <v>0</v>
      </c>
      <c r="D165" s="8">
        <f>+SUMIFS('List Petty Cash Jul-Des 25'!$AB:$AB,'List Petty Cash Jul-Des 25'!$I:$I,Sheet1!D$1,'List Petty Cash Jul-Des 25'!$V:$V,Sheet1!$A165,'List Petty Cash Jul-Des 25'!$X:$X,Sheet1!$A164)</f>
        <v>0</v>
      </c>
      <c r="E165" s="8">
        <f>+SUMIFS('List Petty Cash Jul-Des 25'!$AB:$AB,'List Petty Cash Jul-Des 25'!$I:$I,Sheet1!E$1,'List Petty Cash Jul-Des 25'!$V:$V,Sheet1!$A165,'List Petty Cash Jul-Des 25'!$X:$X,Sheet1!$A164)</f>
        <v>0</v>
      </c>
      <c r="F165" s="8">
        <f>+SUMIFS('List Petty Cash Jul-Des 25'!$AB:$AB,'List Petty Cash Jul-Des 25'!$I:$I,Sheet1!F$1,'List Petty Cash Jul-Des 25'!$V:$V,Sheet1!$A165,'List Petty Cash Jul-Des 25'!$X:$X,Sheet1!$A164)</f>
        <v>957000</v>
      </c>
      <c r="G165" s="8">
        <f>+SUMIFS('List Petty Cash Jul-Des 25'!$AB:$AB,'List Petty Cash Jul-Des 25'!$I:$I,Sheet1!G$1,'List Petty Cash Jul-Des 25'!$V:$V,Sheet1!$A165,'List Petty Cash Jul-Des 25'!$X:$X,Sheet1!$A164)</f>
        <v>0</v>
      </c>
      <c r="H165" s="8">
        <f>+SUMIFS('List Petty Cash Jul-Des 25'!$AB:$AB,'List Petty Cash Jul-Des 25'!$I:$I,Sheet1!H$1,'List Petty Cash Jul-Des 25'!$V:$V,Sheet1!$A165,'List Petty Cash Jul-Des 25'!$X:$X,Sheet1!$A164)</f>
        <v>0</v>
      </c>
      <c r="I165" s="9">
        <f t="shared" ref="I165:I167" si="57">+SUM(C165:H165)</f>
        <v>957000</v>
      </c>
    </row>
    <row r="166" spans="1:9" x14ac:dyDescent="0.25">
      <c r="A166">
        <v>70101202</v>
      </c>
      <c r="B166" t="str">
        <f t="shared" si="56"/>
        <v>By Pemeliharaan Kend,ABerat,Mesin-Material Pihak3</v>
      </c>
      <c r="C166" s="8">
        <f>+SUMIFS('List Petty Cash Jul-Des 25'!$AB:$AB,'List Petty Cash Jul-Des 25'!$I:$I,Sheet1!C$1,'List Petty Cash Jul-Des 25'!$V:$V,Sheet1!$A166,'List Petty Cash Jul-Des 25'!$X:$X,Sheet1!$A164)</f>
        <v>0</v>
      </c>
      <c r="D166" s="8">
        <f>+SUMIFS('List Petty Cash Jul-Des 25'!$AB:$AB,'List Petty Cash Jul-Des 25'!$I:$I,Sheet1!D$1,'List Petty Cash Jul-Des 25'!$V:$V,Sheet1!$A166,'List Petty Cash Jul-Des 25'!$X:$X,Sheet1!$A164)</f>
        <v>0</v>
      </c>
      <c r="E166" s="8">
        <f>+SUMIFS('List Petty Cash Jul-Des 25'!$AB:$AB,'List Petty Cash Jul-Des 25'!$I:$I,Sheet1!E$1,'List Petty Cash Jul-Des 25'!$V:$V,Sheet1!$A166,'List Petty Cash Jul-Des 25'!$X:$X,Sheet1!$A164)</f>
        <v>0</v>
      </c>
      <c r="F166" s="8">
        <f>+SUMIFS('List Petty Cash Jul-Des 25'!$AB:$AB,'List Petty Cash Jul-Des 25'!$I:$I,Sheet1!F$1,'List Petty Cash Jul-Des 25'!$V:$V,Sheet1!$A166,'List Petty Cash Jul-Des 25'!$X:$X,Sheet1!$A164)</f>
        <v>706000</v>
      </c>
      <c r="G166" s="8">
        <f>+SUMIFS('List Petty Cash Jul-Des 25'!$AB:$AB,'List Petty Cash Jul-Des 25'!$I:$I,Sheet1!G$1,'List Petty Cash Jul-Des 25'!$V:$V,Sheet1!$A166,'List Petty Cash Jul-Des 25'!$X:$X,Sheet1!$A164)</f>
        <v>0</v>
      </c>
      <c r="H166" s="8">
        <f>+SUMIFS('List Petty Cash Jul-Des 25'!$AB:$AB,'List Petty Cash Jul-Des 25'!$I:$I,Sheet1!H$1,'List Petty Cash Jul-Des 25'!$V:$V,Sheet1!$A166,'List Petty Cash Jul-Des 25'!$X:$X,Sheet1!$A164)</f>
        <v>600000</v>
      </c>
      <c r="I166" s="9">
        <f t="shared" si="57"/>
        <v>1306000</v>
      </c>
    </row>
    <row r="167" spans="1:9" x14ac:dyDescent="0.25">
      <c r="A167">
        <v>70107600</v>
      </c>
      <c r="B167" t="str">
        <f t="shared" si="56"/>
        <v>Biaya Konsumsi Kantor</v>
      </c>
      <c r="C167" s="8">
        <f>+SUMIFS('List Petty Cash Jul-Des 25'!$AB:$AB,'List Petty Cash Jul-Des 25'!$I:$I,Sheet1!C$1,'List Petty Cash Jul-Des 25'!$V:$V,Sheet1!$A167,'List Petty Cash Jul-Des 25'!$X:$X,Sheet1!$A164)</f>
        <v>0</v>
      </c>
      <c r="D167" s="8">
        <f>+SUMIFS('List Petty Cash Jul-Des 25'!$AB:$AB,'List Petty Cash Jul-Des 25'!$I:$I,Sheet1!D$1,'List Petty Cash Jul-Des 25'!$V:$V,Sheet1!$A167,'List Petty Cash Jul-Des 25'!$X:$X,Sheet1!$A164)</f>
        <v>0</v>
      </c>
      <c r="E167" s="8">
        <f>+SUMIFS('List Petty Cash Jul-Des 25'!$AB:$AB,'List Petty Cash Jul-Des 25'!$I:$I,Sheet1!E$1,'List Petty Cash Jul-Des 25'!$V:$V,Sheet1!$A167,'List Petty Cash Jul-Des 25'!$X:$X,Sheet1!$A164)</f>
        <v>0</v>
      </c>
      <c r="F167" s="8">
        <f>+SUMIFS('List Petty Cash Jul-Des 25'!$AB:$AB,'List Petty Cash Jul-Des 25'!$I:$I,Sheet1!F$1,'List Petty Cash Jul-Des 25'!$V:$V,Sheet1!$A167,'List Petty Cash Jul-Des 25'!$X:$X,Sheet1!$A164)</f>
        <v>0</v>
      </c>
      <c r="G167" s="8">
        <f>+SUMIFS('List Petty Cash Jul-Des 25'!$AB:$AB,'List Petty Cash Jul-Des 25'!$I:$I,Sheet1!G$1,'List Petty Cash Jul-Des 25'!$V:$V,Sheet1!$A167,'List Petty Cash Jul-Des 25'!$X:$X,Sheet1!$A164)</f>
        <v>877100</v>
      </c>
      <c r="H167" s="8">
        <f>+SUMIFS('List Petty Cash Jul-Des 25'!$AB:$AB,'List Petty Cash Jul-Des 25'!$I:$I,Sheet1!H$1,'List Petty Cash Jul-Des 25'!$V:$V,Sheet1!$A167,'List Petty Cash Jul-Des 25'!$X:$X,Sheet1!$A164)</f>
        <v>0</v>
      </c>
      <c r="I167" s="9">
        <f t="shared" si="57"/>
        <v>877100</v>
      </c>
    </row>
    <row r="168" spans="1:9" x14ac:dyDescent="0.25">
      <c r="A168" t="s">
        <v>2008</v>
      </c>
    </row>
    <row r="169" spans="1:9" x14ac:dyDescent="0.25">
      <c r="A169">
        <v>70101102</v>
      </c>
      <c r="B169" t="str">
        <f t="shared" ref="B169:B171" si="58">+VLOOKUP(A169,$A$2:$B$27,2,0)</f>
        <v>By Pemeliharaan BgnanPrasarana Material Pihak3</v>
      </c>
      <c r="C169" s="8">
        <f>+SUMIFS('List Petty Cash Jul-Des 25'!$AB:$AB,'List Petty Cash Jul-Des 25'!$I:$I,Sheet1!C$1,'List Petty Cash Jul-Des 25'!$V:$V,Sheet1!$A169,'List Petty Cash Jul-Des 25'!$X:$X,Sheet1!$A168)</f>
        <v>0</v>
      </c>
      <c r="D169" s="8">
        <f>+SUMIFS('List Petty Cash Jul-Des 25'!$AB:$AB,'List Petty Cash Jul-Des 25'!$I:$I,Sheet1!D$1,'List Petty Cash Jul-Des 25'!$V:$V,Sheet1!$A169,'List Petty Cash Jul-Des 25'!$X:$X,Sheet1!$A168)</f>
        <v>0</v>
      </c>
      <c r="E169" s="8">
        <f>+SUMIFS('List Petty Cash Jul-Des 25'!$AB:$AB,'List Petty Cash Jul-Des 25'!$I:$I,Sheet1!E$1,'List Petty Cash Jul-Des 25'!$V:$V,Sheet1!$A169,'List Petty Cash Jul-Des 25'!$X:$X,Sheet1!$A168)</f>
        <v>0</v>
      </c>
      <c r="F169" s="8">
        <f>+SUMIFS('List Petty Cash Jul-Des 25'!$AB:$AB,'List Petty Cash Jul-Des 25'!$I:$I,Sheet1!F$1,'List Petty Cash Jul-Des 25'!$V:$V,Sheet1!$A169,'List Petty Cash Jul-Des 25'!$X:$X,Sheet1!$A168)</f>
        <v>0</v>
      </c>
      <c r="G169" s="8">
        <f>+SUMIFS('List Petty Cash Jul-Des 25'!$AB:$AB,'List Petty Cash Jul-Des 25'!$I:$I,Sheet1!G$1,'List Petty Cash Jul-Des 25'!$V:$V,Sheet1!$A169,'List Petty Cash Jul-Des 25'!$X:$X,Sheet1!$A168)</f>
        <v>208000</v>
      </c>
      <c r="H169" s="8">
        <f>+SUMIFS('List Petty Cash Jul-Des 25'!$AB:$AB,'List Petty Cash Jul-Des 25'!$I:$I,Sheet1!H$1,'List Petty Cash Jul-Des 25'!$V:$V,Sheet1!$A169,'List Petty Cash Jul-Des 25'!$X:$X,Sheet1!$A168)</f>
        <v>0</v>
      </c>
      <c r="I169" s="9">
        <f t="shared" ref="I169:I171" si="59">+SUM(C169:H169)</f>
        <v>208000</v>
      </c>
    </row>
    <row r="170" spans="1:9" x14ac:dyDescent="0.25">
      <c r="A170">
        <v>70101114</v>
      </c>
      <c r="B170" t="str">
        <f t="shared" si="58"/>
        <v>By Perbaikan &amp; Perawatan Perabot Material Pihak3</v>
      </c>
      <c r="C170" s="8">
        <f>+SUMIFS('List Petty Cash Jul-Des 25'!$AB:$AB,'List Petty Cash Jul-Des 25'!$I:$I,Sheet1!C$1,'List Petty Cash Jul-Des 25'!$V:$V,Sheet1!$A170,'List Petty Cash Jul-Des 25'!$X:$X,Sheet1!$A168)</f>
        <v>0</v>
      </c>
      <c r="D170" s="8">
        <f>+SUMIFS('List Petty Cash Jul-Des 25'!$AB:$AB,'List Petty Cash Jul-Des 25'!$I:$I,Sheet1!D$1,'List Petty Cash Jul-Des 25'!$V:$V,Sheet1!$A170,'List Petty Cash Jul-Des 25'!$X:$X,Sheet1!$A168)</f>
        <v>0</v>
      </c>
      <c r="E170" s="8">
        <f>+SUMIFS('List Petty Cash Jul-Des 25'!$AB:$AB,'List Petty Cash Jul-Des 25'!$I:$I,Sheet1!E$1,'List Petty Cash Jul-Des 25'!$V:$V,Sheet1!$A170,'List Petty Cash Jul-Des 25'!$X:$X,Sheet1!$A168)</f>
        <v>0</v>
      </c>
      <c r="F170" s="8">
        <f>+SUMIFS('List Petty Cash Jul-Des 25'!$AB:$AB,'List Petty Cash Jul-Des 25'!$I:$I,Sheet1!F$1,'List Petty Cash Jul-Des 25'!$V:$V,Sheet1!$A170,'List Petty Cash Jul-Des 25'!$X:$X,Sheet1!$A168)</f>
        <v>0</v>
      </c>
      <c r="G170" s="8">
        <f>+SUMIFS('List Petty Cash Jul-Des 25'!$AB:$AB,'List Petty Cash Jul-Des 25'!$I:$I,Sheet1!G$1,'List Petty Cash Jul-Des 25'!$V:$V,Sheet1!$A170,'List Petty Cash Jul-Des 25'!$X:$X,Sheet1!$A168)</f>
        <v>0</v>
      </c>
      <c r="H170" s="8">
        <f>+SUMIFS('List Petty Cash Jul-Des 25'!$AB:$AB,'List Petty Cash Jul-Des 25'!$I:$I,Sheet1!H$1,'List Petty Cash Jul-Des 25'!$V:$V,Sheet1!$A170,'List Petty Cash Jul-Des 25'!$X:$X,Sheet1!$A168)</f>
        <v>1044900</v>
      </c>
      <c r="I170" s="9">
        <f t="shared" si="59"/>
        <v>1044900</v>
      </c>
    </row>
    <row r="171" spans="1:9" x14ac:dyDescent="0.25">
      <c r="A171">
        <v>70101202</v>
      </c>
      <c r="B171" t="str">
        <f t="shared" si="58"/>
        <v>By Pemeliharaan Kend,ABerat,Mesin-Material Pihak3</v>
      </c>
      <c r="C171" s="8">
        <f>+SUMIFS('List Petty Cash Jul-Des 25'!$AB:$AB,'List Petty Cash Jul-Des 25'!$I:$I,Sheet1!C$1,'List Petty Cash Jul-Des 25'!$V:$V,Sheet1!$A171,'List Petty Cash Jul-Des 25'!$X:$X,Sheet1!$A168)</f>
        <v>0</v>
      </c>
      <c r="D171" s="8">
        <f>+SUMIFS('List Petty Cash Jul-Des 25'!$AB:$AB,'List Petty Cash Jul-Des 25'!$I:$I,Sheet1!D$1,'List Petty Cash Jul-Des 25'!$V:$V,Sheet1!$A171,'List Petty Cash Jul-Des 25'!$X:$X,Sheet1!$A168)</f>
        <v>0</v>
      </c>
      <c r="E171" s="8">
        <f>+SUMIFS('List Petty Cash Jul-Des 25'!$AB:$AB,'List Petty Cash Jul-Des 25'!$I:$I,Sheet1!E$1,'List Petty Cash Jul-Des 25'!$V:$V,Sheet1!$A171,'List Petty Cash Jul-Des 25'!$X:$X,Sheet1!$A168)</f>
        <v>133500</v>
      </c>
      <c r="F171" s="8">
        <f>+SUMIFS('List Petty Cash Jul-Des 25'!$AB:$AB,'List Petty Cash Jul-Des 25'!$I:$I,Sheet1!F$1,'List Petty Cash Jul-Des 25'!$V:$V,Sheet1!$A171,'List Petty Cash Jul-Des 25'!$X:$X,Sheet1!$A168)</f>
        <v>0</v>
      </c>
      <c r="G171" s="8">
        <f>+SUMIFS('List Petty Cash Jul-Des 25'!$AB:$AB,'List Petty Cash Jul-Des 25'!$I:$I,Sheet1!G$1,'List Petty Cash Jul-Des 25'!$V:$V,Sheet1!$A171,'List Petty Cash Jul-Des 25'!$X:$X,Sheet1!$A168)</f>
        <v>0</v>
      </c>
      <c r="H171" s="8">
        <f>+SUMIFS('List Petty Cash Jul-Des 25'!$AB:$AB,'List Petty Cash Jul-Des 25'!$I:$I,Sheet1!H$1,'List Petty Cash Jul-Des 25'!$V:$V,Sheet1!$A171,'List Petty Cash Jul-Des 25'!$X:$X,Sheet1!$A168)</f>
        <v>0</v>
      </c>
      <c r="I171" s="9">
        <f t="shared" si="59"/>
        <v>133500</v>
      </c>
    </row>
    <row r="172" spans="1:9" x14ac:dyDescent="0.25">
      <c r="A172" t="s">
        <v>1933</v>
      </c>
    </row>
    <row r="173" spans="1:9" x14ac:dyDescent="0.25">
      <c r="A173">
        <v>70101114</v>
      </c>
      <c r="B173" t="str">
        <f t="shared" ref="B173:B175" si="60">+VLOOKUP(A173,$A$2:$B$27,2,0)</f>
        <v>By Perbaikan &amp; Perawatan Perabot Material Pihak3</v>
      </c>
      <c r="C173" s="8">
        <f>+SUMIFS('List Petty Cash Jul-Des 25'!$AB:$AB,'List Petty Cash Jul-Des 25'!$I:$I,Sheet1!C$1,'List Petty Cash Jul-Des 25'!$V:$V,Sheet1!$A173,'List Petty Cash Jul-Des 25'!$X:$X,Sheet1!$A172)</f>
        <v>1609000</v>
      </c>
      <c r="D173" s="8">
        <f>+SUMIFS('List Petty Cash Jul-Des 25'!$AB:$AB,'List Petty Cash Jul-Des 25'!$I:$I,Sheet1!D$1,'List Petty Cash Jul-Des 25'!$V:$V,Sheet1!$A173,'List Petty Cash Jul-Des 25'!$X:$X,Sheet1!$A172)</f>
        <v>0</v>
      </c>
      <c r="E173" s="8">
        <f>+SUMIFS('List Petty Cash Jul-Des 25'!$AB:$AB,'List Petty Cash Jul-Des 25'!$I:$I,Sheet1!E$1,'List Petty Cash Jul-Des 25'!$V:$V,Sheet1!$A173,'List Petty Cash Jul-Des 25'!$X:$X,Sheet1!$A172)</f>
        <v>0</v>
      </c>
      <c r="F173" s="8">
        <f>+SUMIFS('List Petty Cash Jul-Des 25'!$AB:$AB,'List Petty Cash Jul-Des 25'!$I:$I,Sheet1!F$1,'List Petty Cash Jul-Des 25'!$V:$V,Sheet1!$A173,'List Petty Cash Jul-Des 25'!$X:$X,Sheet1!$A172)</f>
        <v>0</v>
      </c>
      <c r="G173" s="8">
        <f>+SUMIFS('List Petty Cash Jul-Des 25'!$AB:$AB,'List Petty Cash Jul-Des 25'!$I:$I,Sheet1!G$1,'List Petty Cash Jul-Des 25'!$V:$V,Sheet1!$A173,'List Petty Cash Jul-Des 25'!$X:$X,Sheet1!$A172)</f>
        <v>0</v>
      </c>
      <c r="H173" s="8">
        <f>+SUMIFS('List Petty Cash Jul-Des 25'!$AB:$AB,'List Petty Cash Jul-Des 25'!$I:$I,Sheet1!H$1,'List Petty Cash Jul-Des 25'!$V:$V,Sheet1!$A173,'List Petty Cash Jul-Des 25'!$X:$X,Sheet1!$A172)</f>
        <v>1584540</v>
      </c>
      <c r="I173" s="9">
        <f t="shared" ref="I173:I175" si="61">+SUM(C173:H173)</f>
        <v>3193540</v>
      </c>
    </row>
    <row r="174" spans="1:9" x14ac:dyDescent="0.25">
      <c r="A174">
        <v>70101202</v>
      </c>
      <c r="B174" t="str">
        <f t="shared" si="60"/>
        <v>By Pemeliharaan Kend,ABerat,Mesin-Material Pihak3</v>
      </c>
      <c r="C174" s="8">
        <f>+SUMIFS('List Petty Cash Jul-Des 25'!$AB:$AB,'List Petty Cash Jul-Des 25'!$I:$I,Sheet1!C$1,'List Petty Cash Jul-Des 25'!$V:$V,Sheet1!$A174,'List Petty Cash Jul-Des 25'!$X:$X,Sheet1!$A172)</f>
        <v>210000</v>
      </c>
      <c r="D174" s="8">
        <f>+SUMIFS('List Petty Cash Jul-Des 25'!$AB:$AB,'List Petty Cash Jul-Des 25'!$I:$I,Sheet1!D$1,'List Petty Cash Jul-Des 25'!$V:$V,Sheet1!$A174,'List Petty Cash Jul-Des 25'!$X:$X,Sheet1!$A172)</f>
        <v>0</v>
      </c>
      <c r="E174" s="8">
        <f>+SUMIFS('List Petty Cash Jul-Des 25'!$AB:$AB,'List Petty Cash Jul-Des 25'!$I:$I,Sheet1!E$1,'List Petty Cash Jul-Des 25'!$V:$V,Sheet1!$A174,'List Petty Cash Jul-Des 25'!$X:$X,Sheet1!$A172)</f>
        <v>0</v>
      </c>
      <c r="F174" s="8">
        <f>+SUMIFS('List Petty Cash Jul-Des 25'!$AB:$AB,'List Petty Cash Jul-Des 25'!$I:$I,Sheet1!F$1,'List Petty Cash Jul-Des 25'!$V:$V,Sheet1!$A174,'List Petty Cash Jul-Des 25'!$X:$X,Sheet1!$A172)</f>
        <v>80000</v>
      </c>
      <c r="G174" s="8">
        <f>+SUMIFS('List Petty Cash Jul-Des 25'!$AB:$AB,'List Petty Cash Jul-Des 25'!$I:$I,Sheet1!G$1,'List Petty Cash Jul-Des 25'!$V:$V,Sheet1!$A174,'List Petty Cash Jul-Des 25'!$X:$X,Sheet1!$A172)</f>
        <v>0</v>
      </c>
      <c r="H174" s="8">
        <f>+SUMIFS('List Petty Cash Jul-Des 25'!$AB:$AB,'List Petty Cash Jul-Des 25'!$I:$I,Sheet1!H$1,'List Petty Cash Jul-Des 25'!$V:$V,Sheet1!$A174,'List Petty Cash Jul-Des 25'!$X:$X,Sheet1!$A172)</f>
        <v>323000</v>
      </c>
      <c r="I174" s="9">
        <f t="shared" si="61"/>
        <v>613000</v>
      </c>
    </row>
    <row r="175" spans="1:9" x14ac:dyDescent="0.25">
      <c r="A175">
        <v>70108100</v>
      </c>
      <c r="B175" t="str">
        <f t="shared" si="60"/>
        <v>Biaya Peralatan Dan Perabot Kantor</v>
      </c>
      <c r="C175" s="8">
        <f>+SUMIFS('List Petty Cash Jul-Des 25'!$AB:$AB,'List Petty Cash Jul-Des 25'!$I:$I,Sheet1!C$1,'List Petty Cash Jul-Des 25'!$V:$V,Sheet1!$A175,'List Petty Cash Jul-Des 25'!$X:$X,Sheet1!$A172)</f>
        <v>962500</v>
      </c>
      <c r="D175" s="8">
        <f>+SUMIFS('List Petty Cash Jul-Des 25'!$AB:$AB,'List Petty Cash Jul-Des 25'!$I:$I,Sheet1!D$1,'List Petty Cash Jul-Des 25'!$V:$V,Sheet1!$A175,'List Petty Cash Jul-Des 25'!$X:$X,Sheet1!$A172)</f>
        <v>0</v>
      </c>
      <c r="E175" s="8">
        <f>+SUMIFS('List Petty Cash Jul-Des 25'!$AB:$AB,'List Petty Cash Jul-Des 25'!$I:$I,Sheet1!E$1,'List Petty Cash Jul-Des 25'!$V:$V,Sheet1!$A175,'List Petty Cash Jul-Des 25'!$X:$X,Sheet1!$A172)</f>
        <v>0</v>
      </c>
      <c r="F175" s="8">
        <f>+SUMIFS('List Petty Cash Jul-Des 25'!$AB:$AB,'List Petty Cash Jul-Des 25'!$I:$I,Sheet1!F$1,'List Petty Cash Jul-Des 25'!$V:$V,Sheet1!$A175,'List Petty Cash Jul-Des 25'!$X:$X,Sheet1!$A172)</f>
        <v>0</v>
      </c>
      <c r="G175" s="8">
        <f>+SUMIFS('List Petty Cash Jul-Des 25'!$AB:$AB,'List Petty Cash Jul-Des 25'!$I:$I,Sheet1!G$1,'List Petty Cash Jul-Des 25'!$V:$V,Sheet1!$A175,'List Petty Cash Jul-Des 25'!$X:$X,Sheet1!$A172)</f>
        <v>0</v>
      </c>
      <c r="H175" s="8">
        <f>+SUMIFS('List Petty Cash Jul-Des 25'!$AB:$AB,'List Petty Cash Jul-Des 25'!$I:$I,Sheet1!H$1,'List Petty Cash Jul-Des 25'!$V:$V,Sheet1!$A175,'List Petty Cash Jul-Des 25'!$X:$X,Sheet1!$A172)</f>
        <v>0</v>
      </c>
      <c r="I175" s="9">
        <f t="shared" si="61"/>
        <v>962500</v>
      </c>
    </row>
    <row r="176" spans="1:9" x14ac:dyDescent="0.25">
      <c r="A176" t="s">
        <v>1948</v>
      </c>
    </row>
    <row r="177" spans="1:9" x14ac:dyDescent="0.25">
      <c r="A177">
        <v>70101102</v>
      </c>
      <c r="B177" t="str">
        <f t="shared" ref="B177:B182" si="62">+VLOOKUP(A177,$A$2:$B$27,2,0)</f>
        <v>By Pemeliharaan BgnanPrasarana Material Pihak3</v>
      </c>
      <c r="C177" s="8">
        <f>+SUMIFS('List Petty Cash Jul-Des 25'!$AB:$AB,'List Petty Cash Jul-Des 25'!$I:$I,Sheet1!C$1,'List Petty Cash Jul-Des 25'!$V:$V,Sheet1!$A177,'List Petty Cash Jul-Des 25'!$X:$X,Sheet1!$A176)</f>
        <v>0</v>
      </c>
      <c r="D177" s="8">
        <f>+SUMIFS('List Petty Cash Jul-Des 25'!$AB:$AB,'List Petty Cash Jul-Des 25'!$I:$I,Sheet1!D$1,'List Petty Cash Jul-Des 25'!$V:$V,Sheet1!$A177,'List Petty Cash Jul-Des 25'!$X:$X,Sheet1!$A176)</f>
        <v>166300</v>
      </c>
      <c r="E177" s="8">
        <f>+SUMIFS('List Petty Cash Jul-Des 25'!$AB:$AB,'List Petty Cash Jul-Des 25'!$I:$I,Sheet1!E$1,'List Petty Cash Jul-Des 25'!$V:$V,Sheet1!$A177,'List Petty Cash Jul-Des 25'!$X:$X,Sheet1!$A176)</f>
        <v>0</v>
      </c>
      <c r="F177" s="8">
        <f>+SUMIFS('List Petty Cash Jul-Des 25'!$AB:$AB,'List Petty Cash Jul-Des 25'!$I:$I,Sheet1!F$1,'List Petty Cash Jul-Des 25'!$V:$V,Sheet1!$A177,'List Petty Cash Jul-Des 25'!$X:$X,Sheet1!$A176)</f>
        <v>0</v>
      </c>
      <c r="G177" s="8">
        <f>+SUMIFS('List Petty Cash Jul-Des 25'!$AB:$AB,'List Petty Cash Jul-Des 25'!$I:$I,Sheet1!G$1,'List Petty Cash Jul-Des 25'!$V:$V,Sheet1!$A177,'List Petty Cash Jul-Des 25'!$X:$X,Sheet1!$A176)</f>
        <v>0</v>
      </c>
      <c r="H177" s="8">
        <f>+SUMIFS('List Petty Cash Jul-Des 25'!$AB:$AB,'List Petty Cash Jul-Des 25'!$I:$I,Sheet1!H$1,'List Petty Cash Jul-Des 25'!$V:$V,Sheet1!$A177,'List Petty Cash Jul-Des 25'!$X:$X,Sheet1!$A176)</f>
        <v>0</v>
      </c>
      <c r="I177" s="9">
        <f t="shared" ref="I177:I182" si="63">+SUM(C177:H177)</f>
        <v>166300</v>
      </c>
    </row>
    <row r="178" spans="1:9" x14ac:dyDescent="0.25">
      <c r="A178">
        <v>70101114</v>
      </c>
      <c r="B178" t="str">
        <f t="shared" si="62"/>
        <v>By Perbaikan &amp; Perawatan Perabot Material Pihak3</v>
      </c>
      <c r="C178" s="8">
        <f>+SUMIFS('List Petty Cash Jul-Des 25'!$AB:$AB,'List Petty Cash Jul-Des 25'!$I:$I,Sheet1!C$1,'List Petty Cash Jul-Des 25'!$V:$V,Sheet1!$A178,'List Petty Cash Jul-Des 25'!$X:$X,Sheet1!$A176)</f>
        <v>124000</v>
      </c>
      <c r="D178" s="8">
        <f>+SUMIFS('List Petty Cash Jul-Des 25'!$AB:$AB,'List Petty Cash Jul-Des 25'!$I:$I,Sheet1!D$1,'List Petty Cash Jul-Des 25'!$V:$V,Sheet1!$A178,'List Petty Cash Jul-Des 25'!$X:$X,Sheet1!$A176)</f>
        <v>220000</v>
      </c>
      <c r="E178" s="8">
        <f>+SUMIFS('List Petty Cash Jul-Des 25'!$AB:$AB,'List Petty Cash Jul-Des 25'!$I:$I,Sheet1!E$1,'List Petty Cash Jul-Des 25'!$V:$V,Sheet1!$A178,'List Petty Cash Jul-Des 25'!$X:$X,Sheet1!$A176)</f>
        <v>0</v>
      </c>
      <c r="F178" s="8">
        <f>+SUMIFS('List Petty Cash Jul-Des 25'!$AB:$AB,'List Petty Cash Jul-Des 25'!$I:$I,Sheet1!F$1,'List Petty Cash Jul-Des 25'!$V:$V,Sheet1!$A178,'List Petty Cash Jul-Des 25'!$X:$X,Sheet1!$A176)</f>
        <v>222000</v>
      </c>
      <c r="G178" s="8">
        <f>+SUMIFS('List Petty Cash Jul-Des 25'!$AB:$AB,'List Petty Cash Jul-Des 25'!$I:$I,Sheet1!G$1,'List Petty Cash Jul-Des 25'!$V:$V,Sheet1!$A178,'List Petty Cash Jul-Des 25'!$X:$X,Sheet1!$A176)</f>
        <v>0</v>
      </c>
      <c r="H178" s="8">
        <f>+SUMIFS('List Petty Cash Jul-Des 25'!$AB:$AB,'List Petty Cash Jul-Des 25'!$I:$I,Sheet1!H$1,'List Petty Cash Jul-Des 25'!$V:$V,Sheet1!$A178,'List Petty Cash Jul-Des 25'!$X:$X,Sheet1!$A176)</f>
        <v>0</v>
      </c>
      <c r="I178" s="9">
        <f t="shared" si="63"/>
        <v>566000</v>
      </c>
    </row>
    <row r="179" spans="1:9" x14ac:dyDescent="0.25">
      <c r="A179">
        <v>70101202</v>
      </c>
      <c r="B179" t="str">
        <f t="shared" si="62"/>
        <v>By Pemeliharaan Kend,ABerat,Mesin-Material Pihak3</v>
      </c>
      <c r="C179" s="8">
        <f>+SUMIFS('List Petty Cash Jul-Des 25'!$AB:$AB,'List Petty Cash Jul-Des 25'!$I:$I,Sheet1!C$1,'List Petty Cash Jul-Des 25'!$V:$V,Sheet1!$A179,'List Petty Cash Jul-Des 25'!$X:$X,Sheet1!$A176)</f>
        <v>93000</v>
      </c>
      <c r="D179" s="8">
        <f>+SUMIFS('List Petty Cash Jul-Des 25'!$AB:$AB,'List Petty Cash Jul-Des 25'!$I:$I,Sheet1!D$1,'List Petty Cash Jul-Des 25'!$V:$V,Sheet1!$A179,'List Petty Cash Jul-Des 25'!$X:$X,Sheet1!$A176)</f>
        <v>0</v>
      </c>
      <c r="E179" s="8">
        <f>+SUMIFS('List Petty Cash Jul-Des 25'!$AB:$AB,'List Petty Cash Jul-Des 25'!$I:$I,Sheet1!E$1,'List Petty Cash Jul-Des 25'!$V:$V,Sheet1!$A179,'List Petty Cash Jul-Des 25'!$X:$X,Sheet1!$A176)</f>
        <v>0</v>
      </c>
      <c r="F179" s="8">
        <f>+SUMIFS('List Petty Cash Jul-Des 25'!$AB:$AB,'List Petty Cash Jul-Des 25'!$I:$I,Sheet1!F$1,'List Petty Cash Jul-Des 25'!$V:$V,Sheet1!$A179,'List Petty Cash Jul-Des 25'!$X:$X,Sheet1!$A176)</f>
        <v>0</v>
      </c>
      <c r="G179" s="8">
        <f>+SUMIFS('List Petty Cash Jul-Des 25'!$AB:$AB,'List Petty Cash Jul-Des 25'!$I:$I,Sheet1!G$1,'List Petty Cash Jul-Des 25'!$V:$V,Sheet1!$A179,'List Petty Cash Jul-Des 25'!$X:$X,Sheet1!$A176)</f>
        <v>0</v>
      </c>
      <c r="H179" s="8">
        <f>+SUMIFS('List Petty Cash Jul-Des 25'!$AB:$AB,'List Petty Cash Jul-Des 25'!$I:$I,Sheet1!H$1,'List Petty Cash Jul-Des 25'!$V:$V,Sheet1!$A179,'List Petty Cash Jul-Des 25'!$X:$X,Sheet1!$A176)</f>
        <v>171000</v>
      </c>
      <c r="I179" s="9">
        <f t="shared" si="63"/>
        <v>264000</v>
      </c>
    </row>
    <row r="180" spans="1:9" x14ac:dyDescent="0.25">
      <c r="A180">
        <v>70101230</v>
      </c>
      <c r="B180" t="str">
        <f t="shared" si="62"/>
        <v>Pemakaian Sparepart Kend &amp; A.Berat</v>
      </c>
      <c r="C180" s="8">
        <f>+SUMIFS('List Petty Cash Jul-Des 25'!$AB:$AB,'List Petty Cash Jul-Des 25'!$I:$I,Sheet1!C$1,'List Petty Cash Jul-Des 25'!$V:$V,Sheet1!$A180,'List Petty Cash Jul-Des 25'!$X:$X,Sheet1!$A176)</f>
        <v>1800000</v>
      </c>
      <c r="D180" s="8">
        <f>+SUMIFS('List Petty Cash Jul-Des 25'!$AB:$AB,'List Petty Cash Jul-Des 25'!$I:$I,Sheet1!D$1,'List Petty Cash Jul-Des 25'!$V:$V,Sheet1!$A180,'List Petty Cash Jul-Des 25'!$X:$X,Sheet1!$A176)</f>
        <v>0</v>
      </c>
      <c r="E180" s="8">
        <f>+SUMIFS('List Petty Cash Jul-Des 25'!$AB:$AB,'List Petty Cash Jul-Des 25'!$I:$I,Sheet1!E$1,'List Petty Cash Jul-Des 25'!$V:$V,Sheet1!$A180,'List Petty Cash Jul-Des 25'!$X:$X,Sheet1!$A176)</f>
        <v>0</v>
      </c>
      <c r="F180" s="8">
        <f>+SUMIFS('List Petty Cash Jul-Des 25'!$AB:$AB,'List Petty Cash Jul-Des 25'!$I:$I,Sheet1!F$1,'List Petty Cash Jul-Des 25'!$V:$V,Sheet1!$A180,'List Petty Cash Jul-Des 25'!$X:$X,Sheet1!$A176)</f>
        <v>0</v>
      </c>
      <c r="G180" s="8">
        <f>+SUMIFS('List Petty Cash Jul-Des 25'!$AB:$AB,'List Petty Cash Jul-Des 25'!$I:$I,Sheet1!G$1,'List Petty Cash Jul-Des 25'!$V:$V,Sheet1!$A180,'List Petty Cash Jul-Des 25'!$X:$X,Sheet1!$A176)</f>
        <v>0</v>
      </c>
      <c r="H180" s="8">
        <f>+SUMIFS('List Petty Cash Jul-Des 25'!$AB:$AB,'List Petty Cash Jul-Des 25'!$I:$I,Sheet1!H$1,'List Petty Cash Jul-Des 25'!$V:$V,Sheet1!$A180,'List Petty Cash Jul-Des 25'!$X:$X,Sheet1!$A176)</f>
        <v>0</v>
      </c>
      <c r="I180" s="9">
        <f t="shared" si="63"/>
        <v>1800000</v>
      </c>
    </row>
    <row r="181" spans="1:9" x14ac:dyDescent="0.25">
      <c r="A181">
        <v>70107500</v>
      </c>
      <c r="B181" t="str">
        <f t="shared" si="62"/>
        <v>Biaya Sumbangan Sosial</v>
      </c>
      <c r="C181" s="8">
        <f>+SUMIFS('List Petty Cash Jul-Des 25'!$AB:$AB,'List Petty Cash Jul-Des 25'!$I:$I,Sheet1!C$1,'List Petty Cash Jul-Des 25'!$V:$V,Sheet1!$A181,'List Petty Cash Jul-Des 25'!$X:$X,Sheet1!$A176)</f>
        <v>0</v>
      </c>
      <c r="D181" s="8">
        <f>+SUMIFS('List Petty Cash Jul-Des 25'!$AB:$AB,'List Petty Cash Jul-Des 25'!$I:$I,Sheet1!D$1,'List Petty Cash Jul-Des 25'!$V:$V,Sheet1!$A181,'List Petty Cash Jul-Des 25'!$X:$X,Sheet1!$A176)</f>
        <v>0</v>
      </c>
      <c r="E181" s="8">
        <f>+SUMIFS('List Petty Cash Jul-Des 25'!$AB:$AB,'List Petty Cash Jul-Des 25'!$I:$I,Sheet1!E$1,'List Petty Cash Jul-Des 25'!$V:$V,Sheet1!$A181,'List Petty Cash Jul-Des 25'!$X:$X,Sheet1!$A176)</f>
        <v>0</v>
      </c>
      <c r="F181" s="8">
        <f>+SUMIFS('List Petty Cash Jul-Des 25'!$AB:$AB,'List Petty Cash Jul-Des 25'!$I:$I,Sheet1!F$1,'List Petty Cash Jul-Des 25'!$V:$V,Sheet1!$A181,'List Petty Cash Jul-Des 25'!$X:$X,Sheet1!$A176)</f>
        <v>600000</v>
      </c>
      <c r="G181" s="8">
        <f>+SUMIFS('List Petty Cash Jul-Des 25'!$AB:$AB,'List Petty Cash Jul-Des 25'!$I:$I,Sheet1!G$1,'List Petty Cash Jul-Des 25'!$V:$V,Sheet1!$A181,'List Petty Cash Jul-Des 25'!$X:$X,Sheet1!$A176)</f>
        <v>0</v>
      </c>
      <c r="H181" s="8">
        <f>+SUMIFS('List Petty Cash Jul-Des 25'!$AB:$AB,'List Petty Cash Jul-Des 25'!$I:$I,Sheet1!H$1,'List Petty Cash Jul-Des 25'!$V:$V,Sheet1!$A181,'List Petty Cash Jul-Des 25'!$X:$X,Sheet1!$A176)</f>
        <v>600000</v>
      </c>
      <c r="I181" s="9">
        <f t="shared" si="63"/>
        <v>1200000</v>
      </c>
    </row>
    <row r="182" spans="1:9" x14ac:dyDescent="0.25">
      <c r="A182">
        <v>70107600</v>
      </c>
      <c r="B182" t="str">
        <f t="shared" si="62"/>
        <v>Biaya Konsumsi Kantor</v>
      </c>
      <c r="C182" s="8">
        <f>+SUMIFS('List Petty Cash Jul-Des 25'!$AB:$AB,'List Petty Cash Jul-Des 25'!$I:$I,Sheet1!C$1,'List Petty Cash Jul-Des 25'!$V:$V,Sheet1!$A182,'List Petty Cash Jul-Des 25'!$X:$X,Sheet1!$A176)</f>
        <v>0</v>
      </c>
      <c r="D182" s="8">
        <f>+SUMIFS('List Petty Cash Jul-Des 25'!$AB:$AB,'List Petty Cash Jul-Des 25'!$I:$I,Sheet1!D$1,'List Petty Cash Jul-Des 25'!$V:$V,Sheet1!$A182,'List Petty Cash Jul-Des 25'!$X:$X,Sheet1!$A176)</f>
        <v>0</v>
      </c>
      <c r="E182" s="8">
        <f>+SUMIFS('List Petty Cash Jul-Des 25'!$AB:$AB,'List Petty Cash Jul-Des 25'!$I:$I,Sheet1!E$1,'List Petty Cash Jul-Des 25'!$V:$V,Sheet1!$A182,'List Petty Cash Jul-Des 25'!$X:$X,Sheet1!$A176)</f>
        <v>0</v>
      </c>
      <c r="F182" s="8">
        <f>+SUMIFS('List Petty Cash Jul-Des 25'!$AB:$AB,'List Petty Cash Jul-Des 25'!$I:$I,Sheet1!F$1,'List Petty Cash Jul-Des 25'!$V:$V,Sheet1!$A182,'List Petty Cash Jul-Des 25'!$X:$X,Sheet1!$A176)</f>
        <v>0</v>
      </c>
      <c r="G182" s="8">
        <f>+SUMIFS('List Petty Cash Jul-Des 25'!$AB:$AB,'List Petty Cash Jul-Des 25'!$I:$I,Sheet1!G$1,'List Petty Cash Jul-Des 25'!$V:$V,Sheet1!$A182,'List Petty Cash Jul-Des 25'!$X:$X,Sheet1!$A176)</f>
        <v>0</v>
      </c>
      <c r="H182" s="8">
        <f>+SUMIFS('List Petty Cash Jul-Des 25'!$AB:$AB,'List Petty Cash Jul-Des 25'!$I:$I,Sheet1!H$1,'List Petty Cash Jul-Des 25'!$V:$V,Sheet1!$A182,'List Petty Cash Jul-Des 25'!$X:$X,Sheet1!$A176)</f>
        <v>175000</v>
      </c>
      <c r="I182" s="9">
        <f t="shared" si="63"/>
        <v>175000</v>
      </c>
    </row>
    <row r="183" spans="1:9" x14ac:dyDescent="0.25">
      <c r="A183" t="s">
        <v>1955</v>
      </c>
    </row>
    <row r="184" spans="1:9" x14ac:dyDescent="0.25">
      <c r="A184">
        <v>70101102</v>
      </c>
      <c r="B184" t="str">
        <f t="shared" ref="B184:B186" si="64">+VLOOKUP(A184,$A$2:$B$27,2,0)</f>
        <v>By Pemeliharaan BgnanPrasarana Material Pihak3</v>
      </c>
      <c r="C184" s="8">
        <f>+SUMIFS('List Petty Cash Jul-Des 25'!$AB:$AB,'List Petty Cash Jul-Des 25'!$I:$I,Sheet1!C$1,'List Petty Cash Jul-Des 25'!$V:$V,Sheet1!$A184,'List Petty Cash Jul-Des 25'!$X:$X,Sheet1!$A183)</f>
        <v>0</v>
      </c>
      <c r="D184" s="8">
        <f>+SUMIFS('List Petty Cash Jul-Des 25'!$AB:$AB,'List Petty Cash Jul-Des 25'!$I:$I,Sheet1!D$1,'List Petty Cash Jul-Des 25'!$V:$V,Sheet1!$A184,'List Petty Cash Jul-Des 25'!$X:$X,Sheet1!$A183)</f>
        <v>0</v>
      </c>
      <c r="E184" s="8">
        <f>+SUMIFS('List Petty Cash Jul-Des 25'!$AB:$AB,'List Petty Cash Jul-Des 25'!$I:$I,Sheet1!E$1,'List Petty Cash Jul-Des 25'!$V:$V,Sheet1!$A184,'List Petty Cash Jul-Des 25'!$X:$X,Sheet1!$A183)</f>
        <v>0</v>
      </c>
      <c r="F184" s="8">
        <f>+SUMIFS('List Petty Cash Jul-Des 25'!$AB:$AB,'List Petty Cash Jul-Des 25'!$I:$I,Sheet1!F$1,'List Petty Cash Jul-Des 25'!$V:$V,Sheet1!$A184,'List Petty Cash Jul-Des 25'!$X:$X,Sheet1!$A183)</f>
        <v>0</v>
      </c>
      <c r="G184" s="8">
        <f>+SUMIFS('List Petty Cash Jul-Des 25'!$AB:$AB,'List Petty Cash Jul-Des 25'!$I:$I,Sheet1!G$1,'List Petty Cash Jul-Des 25'!$V:$V,Sheet1!$A184,'List Petty Cash Jul-Des 25'!$X:$X,Sheet1!$A183)</f>
        <v>0</v>
      </c>
      <c r="H184" s="8">
        <f>+SUMIFS('List Petty Cash Jul-Des 25'!$AB:$AB,'List Petty Cash Jul-Des 25'!$I:$I,Sheet1!H$1,'List Petty Cash Jul-Des 25'!$V:$V,Sheet1!$A184,'List Petty Cash Jul-Des 25'!$X:$X,Sheet1!$A183)</f>
        <v>509000</v>
      </c>
      <c r="I184" s="9">
        <f t="shared" ref="I184:I186" si="65">+SUM(C184:H184)</f>
        <v>509000</v>
      </c>
    </row>
    <row r="185" spans="1:9" x14ac:dyDescent="0.25">
      <c r="A185">
        <v>70101114</v>
      </c>
      <c r="B185" t="str">
        <f t="shared" si="64"/>
        <v>By Perbaikan &amp; Perawatan Perabot Material Pihak3</v>
      </c>
      <c r="C185" s="8">
        <f>+SUMIFS('List Petty Cash Jul-Des 25'!$AB:$AB,'List Petty Cash Jul-Des 25'!$I:$I,Sheet1!C$1,'List Petty Cash Jul-Des 25'!$V:$V,Sheet1!$A185,'List Petty Cash Jul-Des 25'!$X:$X,Sheet1!$A183)</f>
        <v>835777</v>
      </c>
      <c r="D185" s="8">
        <f>+SUMIFS('List Petty Cash Jul-Des 25'!$AB:$AB,'List Petty Cash Jul-Des 25'!$I:$I,Sheet1!D$1,'List Petty Cash Jul-Des 25'!$V:$V,Sheet1!$A185,'List Petty Cash Jul-Des 25'!$X:$X,Sheet1!$A183)</f>
        <v>0</v>
      </c>
      <c r="E185" s="8">
        <f>+SUMIFS('List Petty Cash Jul-Des 25'!$AB:$AB,'List Petty Cash Jul-Des 25'!$I:$I,Sheet1!E$1,'List Petty Cash Jul-Des 25'!$V:$V,Sheet1!$A185,'List Petty Cash Jul-Des 25'!$X:$X,Sheet1!$A183)</f>
        <v>0</v>
      </c>
      <c r="F185" s="8">
        <f>+SUMIFS('List Petty Cash Jul-Des 25'!$AB:$AB,'List Petty Cash Jul-Des 25'!$I:$I,Sheet1!F$1,'List Petty Cash Jul-Des 25'!$V:$V,Sheet1!$A185,'List Petty Cash Jul-Des 25'!$X:$X,Sheet1!$A183)</f>
        <v>290470</v>
      </c>
      <c r="G185" s="8">
        <f>+SUMIFS('List Petty Cash Jul-Des 25'!$AB:$AB,'List Petty Cash Jul-Des 25'!$I:$I,Sheet1!G$1,'List Petty Cash Jul-Des 25'!$V:$V,Sheet1!$A185,'List Petty Cash Jul-Des 25'!$X:$X,Sheet1!$A183)</f>
        <v>0</v>
      </c>
      <c r="H185" s="8">
        <f>+SUMIFS('List Petty Cash Jul-Des 25'!$AB:$AB,'List Petty Cash Jul-Des 25'!$I:$I,Sheet1!H$1,'List Petty Cash Jul-Des 25'!$V:$V,Sheet1!$A185,'List Petty Cash Jul-Des 25'!$X:$X,Sheet1!$A183)</f>
        <v>0</v>
      </c>
      <c r="I185" s="9">
        <f t="shared" si="65"/>
        <v>1126247</v>
      </c>
    </row>
    <row r="186" spans="1:9" x14ac:dyDescent="0.25">
      <c r="A186">
        <v>70101202</v>
      </c>
      <c r="B186" t="str">
        <f t="shared" si="64"/>
        <v>By Pemeliharaan Kend,ABerat,Mesin-Material Pihak3</v>
      </c>
      <c r="C186" s="8">
        <f>+SUMIFS('List Petty Cash Jul-Des 25'!$AB:$AB,'List Petty Cash Jul-Des 25'!$I:$I,Sheet1!C$1,'List Petty Cash Jul-Des 25'!$V:$V,Sheet1!$A186,'List Petty Cash Jul-Des 25'!$X:$X,Sheet1!$A183)</f>
        <v>0</v>
      </c>
      <c r="D186" s="8">
        <f>+SUMIFS('List Petty Cash Jul-Des 25'!$AB:$AB,'List Petty Cash Jul-Des 25'!$I:$I,Sheet1!D$1,'List Petty Cash Jul-Des 25'!$V:$V,Sheet1!$A186,'List Petty Cash Jul-Des 25'!$X:$X,Sheet1!$A183)</f>
        <v>0</v>
      </c>
      <c r="E186" s="8">
        <f>+SUMIFS('List Petty Cash Jul-Des 25'!$AB:$AB,'List Petty Cash Jul-Des 25'!$I:$I,Sheet1!E$1,'List Petty Cash Jul-Des 25'!$V:$V,Sheet1!$A186,'List Petty Cash Jul-Des 25'!$X:$X,Sheet1!$A183)</f>
        <v>0</v>
      </c>
      <c r="F186" s="8">
        <f>+SUMIFS('List Petty Cash Jul-Des 25'!$AB:$AB,'List Petty Cash Jul-Des 25'!$I:$I,Sheet1!F$1,'List Petty Cash Jul-Des 25'!$V:$V,Sheet1!$A186,'List Petty Cash Jul-Des 25'!$X:$X,Sheet1!$A183)</f>
        <v>600000</v>
      </c>
      <c r="G186" s="8">
        <f>+SUMIFS('List Petty Cash Jul-Des 25'!$AB:$AB,'List Petty Cash Jul-Des 25'!$I:$I,Sheet1!G$1,'List Petty Cash Jul-Des 25'!$V:$V,Sheet1!$A186,'List Petty Cash Jul-Des 25'!$X:$X,Sheet1!$A183)</f>
        <v>0</v>
      </c>
      <c r="H186" s="8">
        <f>+SUMIFS('List Petty Cash Jul-Des 25'!$AB:$AB,'List Petty Cash Jul-Des 25'!$I:$I,Sheet1!H$1,'List Petty Cash Jul-Des 25'!$V:$V,Sheet1!$A186,'List Petty Cash Jul-Des 25'!$X:$X,Sheet1!$A183)</f>
        <v>0</v>
      </c>
      <c r="I186" s="9">
        <f t="shared" si="65"/>
        <v>600000</v>
      </c>
    </row>
    <row r="187" spans="1:9" x14ac:dyDescent="0.25">
      <c r="A187" t="s">
        <v>1935</v>
      </c>
    </row>
    <row r="188" spans="1:9" x14ac:dyDescent="0.25">
      <c r="A188">
        <v>70101102</v>
      </c>
      <c r="B188" t="str">
        <f t="shared" ref="B188:B191" si="66">+VLOOKUP(A188,$A$2:$B$27,2,0)</f>
        <v>By Pemeliharaan BgnanPrasarana Material Pihak3</v>
      </c>
      <c r="C188" s="8">
        <f>+SUMIFS('List Petty Cash Jul-Des 25'!$AB:$AB,'List Petty Cash Jul-Des 25'!$I:$I,Sheet1!C$1,'List Petty Cash Jul-Des 25'!$V:$V,Sheet1!$A188,'List Petty Cash Jul-Des 25'!$X:$X,Sheet1!$A187)</f>
        <v>0</v>
      </c>
      <c r="D188" s="8">
        <f>+SUMIFS('List Petty Cash Jul-Des 25'!$AB:$AB,'List Petty Cash Jul-Des 25'!$I:$I,Sheet1!D$1,'List Petty Cash Jul-Des 25'!$V:$V,Sheet1!$A188,'List Petty Cash Jul-Des 25'!$X:$X,Sheet1!$A187)</f>
        <v>0</v>
      </c>
      <c r="E188" s="8">
        <f>+SUMIFS('List Petty Cash Jul-Des 25'!$AB:$AB,'List Petty Cash Jul-Des 25'!$I:$I,Sheet1!E$1,'List Petty Cash Jul-Des 25'!$V:$V,Sheet1!$A188,'List Petty Cash Jul-Des 25'!$X:$X,Sheet1!$A187)</f>
        <v>0</v>
      </c>
      <c r="F188" s="8">
        <f>+SUMIFS('List Petty Cash Jul-Des 25'!$AB:$AB,'List Petty Cash Jul-Des 25'!$I:$I,Sheet1!F$1,'List Petty Cash Jul-Des 25'!$V:$V,Sheet1!$A188,'List Petty Cash Jul-Des 25'!$X:$X,Sheet1!$A187)</f>
        <v>0</v>
      </c>
      <c r="G188" s="8">
        <f>+SUMIFS('List Petty Cash Jul-Des 25'!$AB:$AB,'List Petty Cash Jul-Des 25'!$I:$I,Sheet1!G$1,'List Petty Cash Jul-Des 25'!$V:$V,Sheet1!$A188,'List Petty Cash Jul-Des 25'!$X:$X,Sheet1!$A187)</f>
        <v>100000</v>
      </c>
      <c r="H188" s="8">
        <f>+SUMIFS('List Petty Cash Jul-Des 25'!$AB:$AB,'List Petty Cash Jul-Des 25'!$I:$I,Sheet1!H$1,'List Petty Cash Jul-Des 25'!$V:$V,Sheet1!$A188,'List Petty Cash Jul-Des 25'!$X:$X,Sheet1!$A187)</f>
        <v>0</v>
      </c>
      <c r="I188" s="9">
        <f t="shared" ref="I188:I191" si="67">+SUM(C188:H188)</f>
        <v>100000</v>
      </c>
    </row>
    <row r="189" spans="1:9" x14ac:dyDescent="0.25">
      <c r="A189">
        <v>70101114</v>
      </c>
      <c r="B189" t="str">
        <f t="shared" si="66"/>
        <v>By Perbaikan &amp; Perawatan Perabot Material Pihak3</v>
      </c>
      <c r="C189" s="8">
        <f>+SUMIFS('List Petty Cash Jul-Des 25'!$AB:$AB,'List Petty Cash Jul-Des 25'!$I:$I,Sheet1!C$1,'List Petty Cash Jul-Des 25'!$V:$V,Sheet1!$A189,'List Petty Cash Jul-Des 25'!$X:$X,Sheet1!$A187)</f>
        <v>243910</v>
      </c>
      <c r="D189" s="8">
        <f>+SUMIFS('List Petty Cash Jul-Des 25'!$AB:$AB,'List Petty Cash Jul-Des 25'!$I:$I,Sheet1!D$1,'List Petty Cash Jul-Des 25'!$V:$V,Sheet1!$A189,'List Petty Cash Jul-Des 25'!$X:$X,Sheet1!$A187)</f>
        <v>0</v>
      </c>
      <c r="E189" s="8">
        <f>+SUMIFS('List Petty Cash Jul-Des 25'!$AB:$AB,'List Petty Cash Jul-Des 25'!$I:$I,Sheet1!E$1,'List Petty Cash Jul-Des 25'!$V:$V,Sheet1!$A189,'List Petty Cash Jul-Des 25'!$X:$X,Sheet1!$A187)</f>
        <v>557500</v>
      </c>
      <c r="F189" s="8">
        <f>+SUMIFS('List Petty Cash Jul-Des 25'!$AB:$AB,'List Petty Cash Jul-Des 25'!$I:$I,Sheet1!F$1,'List Petty Cash Jul-Des 25'!$V:$V,Sheet1!$A189,'List Petty Cash Jul-Des 25'!$X:$X,Sheet1!$A187)</f>
        <v>0</v>
      </c>
      <c r="G189" s="8">
        <f>+SUMIFS('List Petty Cash Jul-Des 25'!$AB:$AB,'List Petty Cash Jul-Des 25'!$I:$I,Sheet1!G$1,'List Petty Cash Jul-Des 25'!$V:$V,Sheet1!$A189,'List Petty Cash Jul-Des 25'!$X:$X,Sheet1!$A187)</f>
        <v>0</v>
      </c>
      <c r="H189" s="8">
        <f>+SUMIFS('List Petty Cash Jul-Des 25'!$AB:$AB,'List Petty Cash Jul-Des 25'!$I:$I,Sheet1!H$1,'List Petty Cash Jul-Des 25'!$V:$V,Sheet1!$A189,'List Petty Cash Jul-Des 25'!$X:$X,Sheet1!$A187)</f>
        <v>0</v>
      </c>
      <c r="I189" s="9">
        <f t="shared" si="67"/>
        <v>801410</v>
      </c>
    </row>
    <row r="190" spans="1:9" x14ac:dyDescent="0.25">
      <c r="A190">
        <v>70107600</v>
      </c>
      <c r="B190" t="str">
        <f t="shared" si="66"/>
        <v>Biaya Konsumsi Kantor</v>
      </c>
      <c r="C190" s="8">
        <f>+SUMIFS('List Petty Cash Jul-Des 25'!$AB:$AB,'List Petty Cash Jul-Des 25'!$I:$I,Sheet1!C$1,'List Petty Cash Jul-Des 25'!$V:$V,Sheet1!$A190,'List Petty Cash Jul-Des 25'!$X:$X,Sheet1!$A187)</f>
        <v>0</v>
      </c>
      <c r="D190" s="8">
        <f>+SUMIFS('List Petty Cash Jul-Des 25'!$AB:$AB,'List Petty Cash Jul-Des 25'!$I:$I,Sheet1!D$1,'List Petty Cash Jul-Des 25'!$V:$V,Sheet1!$A190,'List Petty Cash Jul-Des 25'!$X:$X,Sheet1!$A187)</f>
        <v>0</v>
      </c>
      <c r="E190" s="8">
        <f>+SUMIFS('List Petty Cash Jul-Des 25'!$AB:$AB,'List Petty Cash Jul-Des 25'!$I:$I,Sheet1!E$1,'List Petty Cash Jul-Des 25'!$V:$V,Sheet1!$A190,'List Petty Cash Jul-Des 25'!$X:$X,Sheet1!$A187)</f>
        <v>0</v>
      </c>
      <c r="F190" s="8">
        <f>+SUMIFS('List Petty Cash Jul-Des 25'!$AB:$AB,'List Petty Cash Jul-Des 25'!$I:$I,Sheet1!F$1,'List Petty Cash Jul-Des 25'!$V:$V,Sheet1!$A190,'List Petty Cash Jul-Des 25'!$X:$X,Sheet1!$A187)</f>
        <v>665500</v>
      </c>
      <c r="G190" s="8">
        <f>+SUMIFS('List Petty Cash Jul-Des 25'!$AB:$AB,'List Petty Cash Jul-Des 25'!$I:$I,Sheet1!G$1,'List Petty Cash Jul-Des 25'!$V:$V,Sheet1!$A190,'List Petty Cash Jul-Des 25'!$X:$X,Sheet1!$A187)</f>
        <v>0</v>
      </c>
      <c r="H190" s="8">
        <f>+SUMIFS('List Petty Cash Jul-Des 25'!$AB:$AB,'List Petty Cash Jul-Des 25'!$I:$I,Sheet1!H$1,'List Petty Cash Jul-Des 25'!$V:$V,Sheet1!$A190,'List Petty Cash Jul-Des 25'!$X:$X,Sheet1!$A187)</f>
        <v>0</v>
      </c>
      <c r="I190" s="9">
        <f t="shared" si="67"/>
        <v>665500</v>
      </c>
    </row>
    <row r="191" spans="1:9" x14ac:dyDescent="0.25">
      <c r="A191">
        <v>70108100</v>
      </c>
      <c r="B191" t="str">
        <f t="shared" si="66"/>
        <v>Biaya Peralatan Dan Perabot Kantor</v>
      </c>
      <c r="C191" s="8">
        <f>+SUMIFS('List Petty Cash Jul-Des 25'!$AB:$AB,'List Petty Cash Jul-Des 25'!$I:$I,Sheet1!C$1,'List Petty Cash Jul-Des 25'!$V:$V,Sheet1!$A191,'List Petty Cash Jul-Des 25'!$X:$X,Sheet1!$A187)</f>
        <v>0</v>
      </c>
      <c r="D191" s="8">
        <f>+SUMIFS('List Petty Cash Jul-Des 25'!$AB:$AB,'List Petty Cash Jul-Des 25'!$I:$I,Sheet1!D$1,'List Petty Cash Jul-Des 25'!$V:$V,Sheet1!$A191,'List Petty Cash Jul-Des 25'!$X:$X,Sheet1!$A187)</f>
        <v>0</v>
      </c>
      <c r="E191" s="8">
        <f>+SUMIFS('List Petty Cash Jul-Des 25'!$AB:$AB,'List Petty Cash Jul-Des 25'!$I:$I,Sheet1!E$1,'List Petty Cash Jul-Des 25'!$V:$V,Sheet1!$A191,'List Petty Cash Jul-Des 25'!$X:$X,Sheet1!$A187)</f>
        <v>24000</v>
      </c>
      <c r="F191" s="8">
        <f>+SUMIFS('List Petty Cash Jul-Des 25'!$AB:$AB,'List Petty Cash Jul-Des 25'!$I:$I,Sheet1!F$1,'List Petty Cash Jul-Des 25'!$V:$V,Sheet1!$A191,'List Petty Cash Jul-Des 25'!$X:$X,Sheet1!$A187)</f>
        <v>0</v>
      </c>
      <c r="G191" s="8">
        <f>+SUMIFS('List Petty Cash Jul-Des 25'!$AB:$AB,'List Petty Cash Jul-Des 25'!$I:$I,Sheet1!G$1,'List Petty Cash Jul-Des 25'!$V:$V,Sheet1!$A191,'List Petty Cash Jul-Des 25'!$X:$X,Sheet1!$A187)</f>
        <v>0</v>
      </c>
      <c r="H191" s="8">
        <f>+SUMIFS('List Petty Cash Jul-Des 25'!$AB:$AB,'List Petty Cash Jul-Des 25'!$I:$I,Sheet1!H$1,'List Petty Cash Jul-Des 25'!$V:$V,Sheet1!$A191,'List Petty Cash Jul-Des 25'!$X:$X,Sheet1!$A187)</f>
        <v>0</v>
      </c>
      <c r="I191" s="9">
        <f t="shared" si="67"/>
        <v>24000</v>
      </c>
    </row>
    <row r="192" spans="1:9" x14ac:dyDescent="0.25">
      <c r="A192" t="s">
        <v>1977</v>
      </c>
    </row>
    <row r="193" spans="1:9" x14ac:dyDescent="0.25">
      <c r="A193">
        <v>70101202</v>
      </c>
      <c r="B193" t="str">
        <f>+VLOOKUP(A193,$A$2:$B$27,2,0)</f>
        <v>By Pemeliharaan Kend,ABerat,Mesin-Material Pihak3</v>
      </c>
      <c r="C193" s="8">
        <f>+SUMIFS('List Petty Cash Jul-Des 25'!$AB:$AB,'List Petty Cash Jul-Des 25'!$I:$I,Sheet1!C$1,'List Petty Cash Jul-Des 25'!$V:$V,Sheet1!$A193,'List Petty Cash Jul-Des 25'!$X:$X,Sheet1!$A192)</f>
        <v>991000</v>
      </c>
      <c r="D193" s="8">
        <f>+SUMIFS('List Petty Cash Jul-Des 25'!$AB:$AB,'List Petty Cash Jul-Des 25'!$I:$I,Sheet1!D$1,'List Petty Cash Jul-Des 25'!$V:$V,Sheet1!$A193,'List Petty Cash Jul-Des 25'!$X:$X,Sheet1!$A192)</f>
        <v>0</v>
      </c>
      <c r="E193" s="8">
        <f>+SUMIFS('List Petty Cash Jul-Des 25'!$AB:$AB,'List Petty Cash Jul-Des 25'!$I:$I,Sheet1!E$1,'List Petty Cash Jul-Des 25'!$V:$V,Sheet1!$A193,'List Petty Cash Jul-Des 25'!$X:$X,Sheet1!$A192)</f>
        <v>0</v>
      </c>
      <c r="F193" s="8">
        <f>+SUMIFS('List Petty Cash Jul-Des 25'!$AB:$AB,'List Petty Cash Jul-Des 25'!$I:$I,Sheet1!F$1,'List Petty Cash Jul-Des 25'!$V:$V,Sheet1!$A193,'List Petty Cash Jul-Des 25'!$X:$X,Sheet1!$A192)</f>
        <v>0</v>
      </c>
      <c r="G193" s="8">
        <f>+SUMIFS('List Petty Cash Jul-Des 25'!$AB:$AB,'List Petty Cash Jul-Des 25'!$I:$I,Sheet1!G$1,'List Petty Cash Jul-Des 25'!$V:$V,Sheet1!$A193,'List Petty Cash Jul-Des 25'!$X:$X,Sheet1!$A192)</f>
        <v>0</v>
      </c>
      <c r="H193" s="8">
        <f>+SUMIFS('List Petty Cash Jul-Des 25'!$AB:$AB,'List Petty Cash Jul-Des 25'!$I:$I,Sheet1!H$1,'List Petty Cash Jul-Des 25'!$V:$V,Sheet1!$A193,'List Petty Cash Jul-Des 25'!$X:$X,Sheet1!$A192)</f>
        <v>0</v>
      </c>
      <c r="I193" s="9">
        <f>+SUM(C193:H193)</f>
        <v>991000</v>
      </c>
    </row>
    <row r="194" spans="1:9" x14ac:dyDescent="0.25">
      <c r="C194" s="11">
        <f>SUM(C40:C193)</f>
        <v>58589163</v>
      </c>
      <c r="D194" s="11">
        <f t="shared" ref="D194:I194" si="68">SUM(D40:D193)</f>
        <v>34438078</v>
      </c>
      <c r="E194" s="11">
        <f t="shared" si="68"/>
        <v>30159697</v>
      </c>
      <c r="F194" s="11">
        <f t="shared" si="68"/>
        <v>63465821</v>
      </c>
      <c r="G194" s="11">
        <f t="shared" si="68"/>
        <v>66145918</v>
      </c>
      <c r="H194" s="11">
        <f t="shared" si="68"/>
        <v>66915336</v>
      </c>
      <c r="I194" s="11">
        <f t="shared" si="68"/>
        <v>319714013</v>
      </c>
    </row>
  </sheetData>
  <autoFilter ref="A39:T194" xr:uid="{707E7B34-61F4-42B8-BD96-E152BFA9745E}"/>
  <sortState ref="AE3:AG12">
    <sortCondition descending="1" ref="AG3:AG12"/>
  </sortState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176055-4889-40A3-BFCB-73343EB7AE69}">
  <dimension ref="A2:N64"/>
  <sheetViews>
    <sheetView tabSelected="1" topLeftCell="A34" workbookViewId="0">
      <selection activeCell="P64" sqref="P64"/>
    </sheetView>
  </sheetViews>
  <sheetFormatPr defaultRowHeight="15" x14ac:dyDescent="0.25"/>
  <cols>
    <col min="1" max="1" width="2" customWidth="1"/>
    <col min="2" max="2" width="2.7109375" customWidth="1"/>
    <col min="3" max="3" width="11.28515625" customWidth="1"/>
    <col min="4" max="4" width="25.140625" customWidth="1"/>
    <col min="5" max="10" width="11.5703125" bestFit="1" customWidth="1"/>
    <col min="11" max="11" width="12.5703125" bestFit="1" customWidth="1"/>
    <col min="13" max="14" width="11.5703125" bestFit="1" customWidth="1"/>
  </cols>
  <sheetData>
    <row r="2" spans="1:4" s="15" customFormat="1" x14ac:dyDescent="0.25">
      <c r="A2" s="15">
        <v>1</v>
      </c>
      <c r="B2" s="15" t="s">
        <v>2080</v>
      </c>
    </row>
    <row r="4" spans="1:4" x14ac:dyDescent="0.25">
      <c r="C4" s="22" t="s">
        <v>2074</v>
      </c>
      <c r="D4" s="22" t="s">
        <v>2072</v>
      </c>
    </row>
    <row r="5" spans="1:4" x14ac:dyDescent="0.25">
      <c r="C5" s="17" t="s">
        <v>2073</v>
      </c>
      <c r="D5" s="18">
        <v>58589163</v>
      </c>
    </row>
    <row r="6" spans="1:4" x14ac:dyDescent="0.25">
      <c r="C6" s="17" t="s">
        <v>2075</v>
      </c>
      <c r="D6" s="18">
        <v>34438078</v>
      </c>
    </row>
    <row r="7" spans="1:4" x14ac:dyDescent="0.25">
      <c r="C7" s="19" t="s">
        <v>2076</v>
      </c>
      <c r="D7" s="18">
        <v>30159697</v>
      </c>
    </row>
    <row r="8" spans="1:4" x14ac:dyDescent="0.25">
      <c r="C8" s="17" t="s">
        <v>2077</v>
      </c>
      <c r="D8" s="18">
        <v>63465821</v>
      </c>
    </row>
    <row r="9" spans="1:4" x14ac:dyDescent="0.25">
      <c r="C9" s="20" t="s">
        <v>2078</v>
      </c>
      <c r="D9" s="18">
        <v>66145918</v>
      </c>
    </row>
    <row r="10" spans="1:4" x14ac:dyDescent="0.25">
      <c r="C10" s="21" t="s">
        <v>2079</v>
      </c>
      <c r="D10" s="18">
        <v>66915336</v>
      </c>
    </row>
    <row r="11" spans="1:4" x14ac:dyDescent="0.25">
      <c r="C11" s="23" t="s">
        <v>2081</v>
      </c>
      <c r="D11" s="24">
        <v>319714013</v>
      </c>
    </row>
    <row r="13" spans="1:4" x14ac:dyDescent="0.25">
      <c r="D13" s="9">
        <f>+AVERAGE(D5:D10)</f>
        <v>53285668.833333336</v>
      </c>
    </row>
    <row r="21" spans="1:6" x14ac:dyDescent="0.25">
      <c r="C21" t="s">
        <v>2082</v>
      </c>
    </row>
    <row r="23" spans="1:6" s="15" customFormat="1" x14ac:dyDescent="0.25">
      <c r="A23" s="15">
        <v>2</v>
      </c>
      <c r="B23" s="15" t="s">
        <v>2083</v>
      </c>
    </row>
    <row r="24" spans="1:6" x14ac:dyDescent="0.25">
      <c r="C24" s="25" t="s">
        <v>2033</v>
      </c>
      <c r="D24" s="25" t="s">
        <v>2072</v>
      </c>
    </row>
    <row r="25" spans="1:6" x14ac:dyDescent="0.25">
      <c r="C25" s="17" t="s">
        <v>1943</v>
      </c>
      <c r="D25" s="26">
        <v>107619783</v>
      </c>
      <c r="E25" s="8">
        <f>+D25/6</f>
        <v>17936630.5</v>
      </c>
      <c r="F25" s="8"/>
    </row>
    <row r="26" spans="1:6" x14ac:dyDescent="0.25">
      <c r="C26" s="17" t="s">
        <v>1923</v>
      </c>
      <c r="D26" s="26">
        <v>33069100</v>
      </c>
    </row>
    <row r="27" spans="1:6" x14ac:dyDescent="0.25">
      <c r="C27" s="17" t="s">
        <v>1921</v>
      </c>
      <c r="D27" s="26">
        <v>22378764</v>
      </c>
    </row>
    <row r="28" spans="1:6" x14ac:dyDescent="0.25">
      <c r="C28" s="17" t="s">
        <v>1959</v>
      </c>
      <c r="D28" s="26">
        <v>19964591</v>
      </c>
    </row>
    <row r="29" spans="1:6" x14ac:dyDescent="0.25">
      <c r="C29" s="17" t="s">
        <v>1938</v>
      </c>
      <c r="D29" s="26">
        <v>15782300</v>
      </c>
    </row>
    <row r="30" spans="1:6" x14ac:dyDescent="0.25">
      <c r="C30" s="17" t="s">
        <v>1924</v>
      </c>
      <c r="D30" s="26">
        <v>10153000</v>
      </c>
    </row>
    <row r="31" spans="1:6" x14ac:dyDescent="0.25">
      <c r="C31" s="17" t="s">
        <v>2019</v>
      </c>
      <c r="D31" s="26">
        <v>8948800</v>
      </c>
    </row>
    <row r="32" spans="1:6" x14ac:dyDescent="0.25">
      <c r="C32" s="17" t="s">
        <v>1951</v>
      </c>
      <c r="D32" s="26">
        <v>7294000</v>
      </c>
    </row>
    <row r="33" spans="1:14" x14ac:dyDescent="0.25">
      <c r="C33" s="17" t="s">
        <v>1945</v>
      </c>
      <c r="D33" s="26">
        <v>6649980</v>
      </c>
    </row>
    <row r="34" spans="1:14" x14ac:dyDescent="0.25">
      <c r="C34" s="17" t="s">
        <v>1971</v>
      </c>
      <c r="D34" s="26">
        <v>6084036</v>
      </c>
    </row>
    <row r="40" spans="1:14" x14ac:dyDescent="0.25">
      <c r="C40" t="s">
        <v>2084</v>
      </c>
    </row>
    <row r="41" spans="1:14" x14ac:dyDescent="0.25">
      <c r="C41" t="s">
        <v>2085</v>
      </c>
    </row>
    <row r="43" spans="1:14" s="15" customFormat="1" x14ac:dyDescent="0.25">
      <c r="A43" s="15">
        <v>3</v>
      </c>
      <c r="B43" s="15" t="s">
        <v>2088</v>
      </c>
    </row>
    <row r="44" spans="1:14" x14ac:dyDescent="0.25">
      <c r="C44" t="s">
        <v>1943</v>
      </c>
      <c r="M44" s="15"/>
      <c r="N44" s="15"/>
    </row>
    <row r="45" spans="1:14" x14ac:dyDescent="0.25">
      <c r="C45" s="40" t="s">
        <v>2032</v>
      </c>
      <c r="D45" s="40"/>
      <c r="E45" s="31" t="s">
        <v>2073</v>
      </c>
      <c r="F45" s="31" t="s">
        <v>2075</v>
      </c>
      <c r="G45" s="32" t="s">
        <v>2086</v>
      </c>
      <c r="H45" s="31" t="s">
        <v>2077</v>
      </c>
      <c r="I45" s="33" t="s">
        <v>2078</v>
      </c>
      <c r="J45" s="33" t="s">
        <v>2079</v>
      </c>
      <c r="K45" s="34" t="s">
        <v>2072</v>
      </c>
      <c r="L45" s="34" t="s">
        <v>2089</v>
      </c>
      <c r="M45" s="15"/>
      <c r="N45" s="15"/>
    </row>
    <row r="46" spans="1:14" x14ac:dyDescent="0.25">
      <c r="C46" s="17">
        <v>70101102</v>
      </c>
      <c r="D46" s="17" t="s">
        <v>2040</v>
      </c>
      <c r="E46" s="26">
        <v>1675420</v>
      </c>
      <c r="F46" s="26">
        <v>972000</v>
      </c>
      <c r="G46" s="26">
        <v>0</v>
      </c>
      <c r="H46" s="26">
        <v>1980000</v>
      </c>
      <c r="I46" s="26">
        <v>1104800</v>
      </c>
      <c r="J46" s="26">
        <v>961250</v>
      </c>
      <c r="K46" s="18">
        <v>6693470</v>
      </c>
      <c r="L46" s="37">
        <f>+K46/$K$56</f>
        <v>6.2195535183340783E-2</v>
      </c>
      <c r="M46" s="15"/>
      <c r="N46" s="15"/>
    </row>
    <row r="47" spans="1:14" x14ac:dyDescent="0.25">
      <c r="C47" s="17">
        <v>70101114</v>
      </c>
      <c r="D47" s="17" t="s">
        <v>2037</v>
      </c>
      <c r="E47" s="26">
        <v>2405138</v>
      </c>
      <c r="F47" s="26">
        <v>2690102</v>
      </c>
      <c r="G47" s="26">
        <v>2097757</v>
      </c>
      <c r="H47" s="26">
        <v>2667735</v>
      </c>
      <c r="I47" s="26">
        <v>959500</v>
      </c>
      <c r="J47" s="26">
        <v>2064491</v>
      </c>
      <c r="K47" s="18">
        <v>12884723</v>
      </c>
      <c r="L47" s="37">
        <f t="shared" ref="L47:L55" si="0">+K47/$K$56</f>
        <v>0.11972448411273975</v>
      </c>
      <c r="M47" s="15"/>
      <c r="N47" s="15"/>
    </row>
    <row r="48" spans="1:14" x14ac:dyDescent="0.25">
      <c r="C48" s="17">
        <v>70101202</v>
      </c>
      <c r="D48" s="17" t="s">
        <v>2038</v>
      </c>
      <c r="E48" s="26">
        <v>275000</v>
      </c>
      <c r="F48" s="26">
        <v>0</v>
      </c>
      <c r="G48" s="26">
        <v>0</v>
      </c>
      <c r="H48" s="26">
        <v>0</v>
      </c>
      <c r="I48" s="26">
        <v>0</v>
      </c>
      <c r="J48" s="26">
        <v>0</v>
      </c>
      <c r="K48" s="18">
        <v>275000</v>
      </c>
      <c r="L48" s="37">
        <f t="shared" si="0"/>
        <v>2.5552922737262906E-3</v>
      </c>
      <c r="M48" s="15"/>
      <c r="N48" s="15"/>
    </row>
    <row r="49" spans="3:14" x14ac:dyDescent="0.25">
      <c r="C49" s="17">
        <v>70105210</v>
      </c>
      <c r="D49" s="17" t="s">
        <v>2056</v>
      </c>
      <c r="E49" s="26">
        <v>0</v>
      </c>
      <c r="F49" s="26">
        <v>0</v>
      </c>
      <c r="G49" s="26">
        <v>0</v>
      </c>
      <c r="H49" s="26">
        <v>0</v>
      </c>
      <c r="I49" s="26">
        <v>420500</v>
      </c>
      <c r="J49" s="26">
        <v>515500</v>
      </c>
      <c r="K49" s="18">
        <v>936000</v>
      </c>
      <c r="L49" s="37">
        <f t="shared" si="0"/>
        <v>8.6972857025738471E-3</v>
      </c>
      <c r="M49" s="15"/>
      <c r="N49" s="15"/>
    </row>
    <row r="50" spans="3:14" x14ac:dyDescent="0.25">
      <c r="C50" s="17">
        <v>70105300</v>
      </c>
      <c r="D50" s="17" t="s">
        <v>2041</v>
      </c>
      <c r="E50" s="26">
        <v>57800</v>
      </c>
      <c r="F50" s="26">
        <v>57800</v>
      </c>
      <c r="G50" s="26">
        <v>29900</v>
      </c>
      <c r="H50" s="26">
        <v>57800</v>
      </c>
      <c r="I50" s="26">
        <v>210500</v>
      </c>
      <c r="J50" s="26">
        <v>57800</v>
      </c>
      <c r="K50" s="18">
        <v>471600</v>
      </c>
      <c r="L50" s="37">
        <f t="shared" si="0"/>
        <v>4.3820939501429765E-3</v>
      </c>
      <c r="M50" s="15"/>
      <c r="N50" s="15"/>
    </row>
    <row r="51" spans="3:14" x14ac:dyDescent="0.25">
      <c r="C51" s="28">
        <v>70106100</v>
      </c>
      <c r="D51" s="28" t="s">
        <v>2042</v>
      </c>
      <c r="E51" s="29">
        <v>4103300</v>
      </c>
      <c r="F51" s="29">
        <v>2838000</v>
      </c>
      <c r="G51" s="29">
        <v>2669000</v>
      </c>
      <c r="H51" s="29">
        <v>4213000</v>
      </c>
      <c r="I51" s="29">
        <v>7368500</v>
      </c>
      <c r="J51" s="29">
        <v>5144500</v>
      </c>
      <c r="K51" s="30">
        <v>26336300</v>
      </c>
      <c r="L51" s="38">
        <f t="shared" si="0"/>
        <v>0.24471615966740984</v>
      </c>
      <c r="M51" s="15"/>
      <c r="N51" s="11">
        <f>+K51+K52</f>
        <v>70946300</v>
      </c>
    </row>
    <row r="52" spans="3:14" x14ac:dyDescent="0.25">
      <c r="C52" s="28">
        <v>70106400</v>
      </c>
      <c r="D52" s="28" t="s">
        <v>2043</v>
      </c>
      <c r="E52" s="29">
        <v>6890000</v>
      </c>
      <c r="F52" s="29">
        <v>5150000</v>
      </c>
      <c r="G52" s="29">
        <v>4330000</v>
      </c>
      <c r="H52" s="29">
        <v>7780000</v>
      </c>
      <c r="I52" s="29">
        <v>11610000</v>
      </c>
      <c r="J52" s="29">
        <v>8850000</v>
      </c>
      <c r="K52" s="30">
        <v>44610000</v>
      </c>
      <c r="L52" s="38">
        <f t="shared" si="0"/>
        <v>0.41451486665792664</v>
      </c>
      <c r="M52" s="15"/>
      <c r="N52" s="39">
        <f>+N51/6</f>
        <v>11824383.333333334</v>
      </c>
    </row>
    <row r="53" spans="3:14" x14ac:dyDescent="0.25">
      <c r="C53" s="17">
        <v>70107100</v>
      </c>
      <c r="D53" s="17" t="s">
        <v>2044</v>
      </c>
      <c r="E53" s="26">
        <v>290500</v>
      </c>
      <c r="F53" s="26">
        <v>1890500</v>
      </c>
      <c r="G53" s="26">
        <v>290500</v>
      </c>
      <c r="H53" s="26">
        <v>1890500</v>
      </c>
      <c r="I53" s="26">
        <v>1540500</v>
      </c>
      <c r="J53" s="26">
        <v>1090500</v>
      </c>
      <c r="K53" s="18">
        <v>6993000</v>
      </c>
      <c r="L53" s="37">
        <f t="shared" si="0"/>
        <v>6.4978759527883456E-2</v>
      </c>
      <c r="M53" s="15"/>
      <c r="N53" s="15"/>
    </row>
    <row r="54" spans="3:14" x14ac:dyDescent="0.25">
      <c r="C54" s="17">
        <v>70107600</v>
      </c>
      <c r="D54" s="17" t="s">
        <v>2047</v>
      </c>
      <c r="E54" s="26">
        <v>2205000</v>
      </c>
      <c r="F54" s="26">
        <v>0</v>
      </c>
      <c r="G54" s="26">
        <v>973530</v>
      </c>
      <c r="H54" s="26">
        <v>0</v>
      </c>
      <c r="I54" s="26">
        <v>993960</v>
      </c>
      <c r="J54" s="26">
        <v>0</v>
      </c>
      <c r="K54" s="18">
        <v>4172490</v>
      </c>
      <c r="L54" s="37">
        <f t="shared" si="0"/>
        <v>3.8770659851637128E-2</v>
      </c>
      <c r="M54" s="15"/>
      <c r="N54" s="15"/>
    </row>
    <row r="55" spans="3:14" x14ac:dyDescent="0.25">
      <c r="C55" s="17">
        <v>70108100</v>
      </c>
      <c r="D55" s="17" t="s">
        <v>2048</v>
      </c>
      <c r="E55" s="26">
        <v>286200</v>
      </c>
      <c r="F55" s="26">
        <v>961000</v>
      </c>
      <c r="G55" s="26">
        <v>272900</v>
      </c>
      <c r="H55" s="26">
        <v>1731000</v>
      </c>
      <c r="I55" s="26">
        <v>996100</v>
      </c>
      <c r="J55" s="26">
        <v>0</v>
      </c>
      <c r="K55" s="18">
        <v>4247200</v>
      </c>
      <c r="L55" s="37">
        <f t="shared" si="0"/>
        <v>3.9464863072619281E-2</v>
      </c>
      <c r="M55" s="15"/>
      <c r="N55" s="15"/>
    </row>
    <row r="56" spans="3:14" x14ac:dyDescent="0.25">
      <c r="C56" s="35" t="s">
        <v>2087</v>
      </c>
      <c r="D56" s="35"/>
      <c r="E56" s="36">
        <f>SUM(E46:E55)</f>
        <v>18188358</v>
      </c>
      <c r="F56" s="36">
        <f t="shared" ref="F56:K56" si="1">SUM(F46:F55)</f>
        <v>14559402</v>
      </c>
      <c r="G56" s="36">
        <f t="shared" si="1"/>
        <v>10663587</v>
      </c>
      <c r="H56" s="36">
        <f t="shared" si="1"/>
        <v>20320035</v>
      </c>
      <c r="I56" s="36">
        <f t="shared" si="1"/>
        <v>25204360</v>
      </c>
      <c r="J56" s="36">
        <f t="shared" si="1"/>
        <v>18684041</v>
      </c>
      <c r="K56" s="36">
        <f t="shared" si="1"/>
        <v>107619783</v>
      </c>
      <c r="M56" s="15"/>
      <c r="N56" s="15"/>
    </row>
    <row r="57" spans="3:14" x14ac:dyDescent="0.25">
      <c r="K57" s="9">
        <f>(K51+K52)/6</f>
        <v>11824383.333333334</v>
      </c>
      <c r="M57" s="15"/>
      <c r="N57" s="15"/>
    </row>
    <row r="58" spans="3:14" x14ac:dyDescent="0.25">
      <c r="K58" s="9"/>
      <c r="M58" s="15"/>
      <c r="N58" s="15"/>
    </row>
    <row r="59" spans="3:14" x14ac:dyDescent="0.25">
      <c r="C59" t="s">
        <v>2090</v>
      </c>
      <c r="M59" s="15"/>
      <c r="N59" s="15"/>
    </row>
    <row r="60" spans="3:14" x14ac:dyDescent="0.25">
      <c r="C60" t="s">
        <v>2091</v>
      </c>
      <c r="M60" s="15"/>
      <c r="N60" s="15"/>
    </row>
    <row r="61" spans="3:14" x14ac:dyDescent="0.25">
      <c r="M61" s="15"/>
      <c r="N61" s="15"/>
    </row>
    <row r="62" spans="3:14" x14ac:dyDescent="0.25">
      <c r="C62" t="s">
        <v>2092</v>
      </c>
      <c r="D62" t="s">
        <v>2093</v>
      </c>
      <c r="M62" s="15"/>
      <c r="N62" s="15"/>
    </row>
    <row r="63" spans="3:14" x14ac:dyDescent="0.25">
      <c r="M63" s="15"/>
      <c r="N63" s="15"/>
    </row>
    <row r="64" spans="3:14" x14ac:dyDescent="0.25">
      <c r="M64" s="15"/>
      <c r="N64" s="15"/>
    </row>
  </sheetData>
  <mergeCells count="1">
    <mergeCell ref="C45:D4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FBCJ Jul-Des 2025</vt:lpstr>
      <vt:lpstr>FBL3N</vt:lpstr>
      <vt:lpstr>Sheet2</vt:lpstr>
      <vt:lpstr>List Petty Cash Jul-Des 25</vt:lpstr>
      <vt:lpstr>Sheet1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Hera Christanti</dc:creator>
  <cp:lastModifiedBy>Hera Christanti</cp:lastModifiedBy>
  <dcterms:created xsi:type="dcterms:W3CDTF">2026-01-30T07:47:15Z</dcterms:created>
  <dcterms:modified xsi:type="dcterms:W3CDTF">2026-03-16T08:52:47Z</dcterms:modified>
</cp:coreProperties>
</file>